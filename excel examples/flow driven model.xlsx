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omer Fishman\Dropbox (Personal)\-the research\2017 9 convolution\manuscript\excel examples\"/>
    </mc:Choice>
  </mc:AlternateContent>
  <xr:revisionPtr revIDLastSave="0" documentId="13_ncr:1_{61DC65A4-EF47-4AF0-BFFF-43ACC736F225}" xr6:coauthVersionLast="45" xr6:coauthVersionMax="45" xr10:uidLastSave="{00000000-0000-0000-0000-000000000000}"/>
  <bookViews>
    <workbookView xWindow="18970" yWindow="5040" windowWidth="17620" windowHeight="14070" xr2:uid="{CA27C5B0-A8EF-433D-A2E2-0D6E7373BB30}"/>
    <workbookView xWindow="26190" yWindow="3920" windowWidth="17620" windowHeight="14070" activeTab="3" xr2:uid="{17100112-CCF1-4A5C-B5AC-FCCCF0455753}"/>
  </bookViews>
  <sheets>
    <sheet name="instructions" sheetId="5" r:id="rId1"/>
    <sheet name="data input" sheetId="1" r:id="rId2"/>
    <sheet name="survival matrix" sheetId="2" r:id="rId3"/>
    <sheet name="model outpu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0" i="4" l="1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F2" i="4" s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3" i="2"/>
  <c r="I3" i="1"/>
  <c r="E4" i="1" s="1"/>
  <c r="E127" i="1" l="1"/>
  <c r="E119" i="1"/>
  <c r="E126" i="1"/>
  <c r="E118" i="1"/>
  <c r="E110" i="1"/>
  <c r="E102" i="1"/>
  <c r="E94" i="1"/>
  <c r="E86" i="1"/>
  <c r="E78" i="1"/>
  <c r="E70" i="1"/>
  <c r="E62" i="1"/>
  <c r="E54" i="1"/>
  <c r="E46" i="1"/>
  <c r="E38" i="1"/>
  <c r="E30" i="1"/>
  <c r="E22" i="1"/>
  <c r="E7" i="1"/>
  <c r="E3" i="1"/>
  <c r="E123" i="1"/>
  <c r="E115" i="1"/>
  <c r="E107" i="1"/>
  <c r="E99" i="1"/>
  <c r="E91" i="1"/>
  <c r="E83" i="1"/>
  <c r="E75" i="1"/>
  <c r="E67" i="1"/>
  <c r="E59" i="1"/>
  <c r="E51" i="1"/>
  <c r="E43" i="1"/>
  <c r="E35" i="1"/>
  <c r="E27" i="1"/>
  <c r="E19" i="1"/>
  <c r="E130" i="1"/>
  <c r="E122" i="1"/>
  <c r="E114" i="1"/>
  <c r="E106" i="1"/>
  <c r="E98" i="1"/>
  <c r="E90" i="1"/>
  <c r="E82" i="1"/>
  <c r="E74" i="1"/>
  <c r="E66" i="1"/>
  <c r="E58" i="1"/>
  <c r="E50" i="1"/>
  <c r="E42" i="1"/>
  <c r="E34" i="1"/>
  <c r="E26" i="1"/>
  <c r="E15" i="1"/>
  <c r="E111" i="1"/>
  <c r="E103" i="1"/>
  <c r="E95" i="1"/>
  <c r="E87" i="1"/>
  <c r="E79" i="1"/>
  <c r="E71" i="1"/>
  <c r="E63" i="1"/>
  <c r="E55" i="1"/>
  <c r="E47" i="1"/>
  <c r="E39" i="1"/>
  <c r="E31" i="1"/>
  <c r="E23" i="1"/>
  <c r="E11" i="1"/>
  <c r="F1" i="4"/>
  <c r="G2" i="4"/>
  <c r="F2" i="2"/>
  <c r="E18" i="1"/>
  <c r="E14" i="1"/>
  <c r="E10" i="1"/>
  <c r="E6" i="1"/>
  <c r="E129" i="1"/>
  <c r="E125" i="1"/>
  <c r="E121" i="1"/>
  <c r="E117" i="1"/>
  <c r="E113" i="1"/>
  <c r="E109" i="1"/>
  <c r="E105" i="1"/>
  <c r="E101" i="1"/>
  <c r="E97" i="1"/>
  <c r="E93" i="1"/>
  <c r="E89" i="1"/>
  <c r="E85" i="1"/>
  <c r="E81" i="1"/>
  <c r="E77" i="1"/>
  <c r="E73" i="1"/>
  <c r="E69" i="1"/>
  <c r="E65" i="1"/>
  <c r="E61" i="1"/>
  <c r="E57" i="1"/>
  <c r="E53" i="1"/>
  <c r="E49" i="1"/>
  <c r="E45" i="1"/>
  <c r="E41" i="1"/>
  <c r="E37" i="1"/>
  <c r="E33" i="1"/>
  <c r="E29" i="1"/>
  <c r="E25" i="1"/>
  <c r="E21" i="1"/>
  <c r="E17" i="1"/>
  <c r="E13" i="1"/>
  <c r="E9" i="1"/>
  <c r="E5" i="1"/>
  <c r="E128" i="1"/>
  <c r="E124" i="1"/>
  <c r="E120" i="1"/>
  <c r="E116" i="1"/>
  <c r="E112" i="1"/>
  <c r="E108" i="1"/>
  <c r="E104" i="1"/>
  <c r="E100" i="1"/>
  <c r="E96" i="1"/>
  <c r="E92" i="1"/>
  <c r="E88" i="1"/>
  <c r="E84" i="1"/>
  <c r="E80" i="1"/>
  <c r="E76" i="1"/>
  <c r="E72" i="1"/>
  <c r="E68" i="1"/>
  <c r="E64" i="1"/>
  <c r="E60" i="1"/>
  <c r="E56" i="1"/>
  <c r="E52" i="1"/>
  <c r="E48" i="1"/>
  <c r="E44" i="1"/>
  <c r="E40" i="1"/>
  <c r="E36" i="1"/>
  <c r="E32" i="1"/>
  <c r="E28" i="1"/>
  <c r="E24" i="1"/>
  <c r="E20" i="1"/>
  <c r="E16" i="1"/>
  <c r="E12" i="1"/>
  <c r="E8" i="1"/>
  <c r="F129" i="2" l="1"/>
  <c r="H2" i="4"/>
  <c r="G1" i="4"/>
  <c r="F10" i="4"/>
  <c r="F129" i="4"/>
  <c r="F101" i="2"/>
  <c r="F101" i="4" s="1"/>
  <c r="F105" i="2"/>
  <c r="F105" i="4" s="1"/>
  <c r="F117" i="2"/>
  <c r="F117" i="4" s="1"/>
  <c r="F121" i="2"/>
  <c r="F121" i="4" s="1"/>
  <c r="F109" i="2"/>
  <c r="F109" i="4" s="1"/>
  <c r="F125" i="2"/>
  <c r="F125" i="4" s="1"/>
  <c r="F97" i="2"/>
  <c r="F97" i="4" s="1"/>
  <c r="F113" i="2"/>
  <c r="F113" i="4" s="1"/>
  <c r="F4" i="2"/>
  <c r="F4" i="4" s="1"/>
  <c r="F12" i="2"/>
  <c r="F12" i="4" s="1"/>
  <c r="F20" i="2"/>
  <c r="F20" i="4" s="1"/>
  <c r="F28" i="2"/>
  <c r="F28" i="4" s="1"/>
  <c r="F36" i="2"/>
  <c r="F36" i="4" s="1"/>
  <c r="F44" i="2"/>
  <c r="F44" i="4" s="1"/>
  <c r="F52" i="2"/>
  <c r="F52" i="4" s="1"/>
  <c r="F60" i="2"/>
  <c r="F60" i="4" s="1"/>
  <c r="F68" i="2"/>
  <c r="F68" i="4" s="1"/>
  <c r="F76" i="2"/>
  <c r="F76" i="4" s="1"/>
  <c r="F84" i="2"/>
  <c r="F84" i="4" s="1"/>
  <c r="F92" i="2"/>
  <c r="F92" i="4" s="1"/>
  <c r="F100" i="2"/>
  <c r="F100" i="4" s="1"/>
  <c r="F108" i="2"/>
  <c r="F108" i="4" s="1"/>
  <c r="F116" i="2"/>
  <c r="F116" i="4" s="1"/>
  <c r="F124" i="2"/>
  <c r="F124" i="4" s="1"/>
  <c r="F19" i="2"/>
  <c r="F19" i="4" s="1"/>
  <c r="F59" i="2"/>
  <c r="F59" i="4" s="1"/>
  <c r="F115" i="2"/>
  <c r="F115" i="4" s="1"/>
  <c r="F7" i="2"/>
  <c r="F7" i="4" s="1"/>
  <c r="F15" i="2"/>
  <c r="F15" i="4" s="1"/>
  <c r="F23" i="2"/>
  <c r="F23" i="4" s="1"/>
  <c r="F31" i="2"/>
  <c r="F31" i="4" s="1"/>
  <c r="F39" i="2"/>
  <c r="F39" i="4" s="1"/>
  <c r="F47" i="2"/>
  <c r="F47" i="4" s="1"/>
  <c r="F55" i="2"/>
  <c r="F55" i="4" s="1"/>
  <c r="F63" i="2"/>
  <c r="F63" i="4" s="1"/>
  <c r="F71" i="2"/>
  <c r="F71" i="4" s="1"/>
  <c r="F79" i="2"/>
  <c r="F79" i="4" s="1"/>
  <c r="F87" i="2"/>
  <c r="F87" i="4" s="1"/>
  <c r="F95" i="2"/>
  <c r="F95" i="4" s="1"/>
  <c r="F103" i="2"/>
  <c r="F103" i="4" s="1"/>
  <c r="F111" i="2"/>
  <c r="F111" i="4" s="1"/>
  <c r="F119" i="2"/>
  <c r="F119" i="4" s="1"/>
  <c r="F127" i="2"/>
  <c r="F127" i="4" s="1"/>
  <c r="F27" i="2"/>
  <c r="F27" i="4" s="1"/>
  <c r="F43" i="2"/>
  <c r="F43" i="4" s="1"/>
  <c r="F67" i="2"/>
  <c r="F67" i="4" s="1"/>
  <c r="F91" i="2"/>
  <c r="F91" i="4" s="1"/>
  <c r="F107" i="2"/>
  <c r="F107" i="4" s="1"/>
  <c r="F3" i="2"/>
  <c r="F3" i="4" s="1"/>
  <c r="F8" i="2"/>
  <c r="F8" i="4" s="1"/>
  <c r="F16" i="2"/>
  <c r="F16" i="4" s="1"/>
  <c r="F24" i="2"/>
  <c r="F24" i="4" s="1"/>
  <c r="F32" i="2"/>
  <c r="F32" i="4" s="1"/>
  <c r="F40" i="2"/>
  <c r="F40" i="4" s="1"/>
  <c r="F48" i="2"/>
  <c r="F48" i="4" s="1"/>
  <c r="F56" i="2"/>
  <c r="F56" i="4" s="1"/>
  <c r="F64" i="2"/>
  <c r="F64" i="4" s="1"/>
  <c r="F72" i="2"/>
  <c r="F72" i="4" s="1"/>
  <c r="F80" i="2"/>
  <c r="F80" i="4" s="1"/>
  <c r="F88" i="2"/>
  <c r="F88" i="4" s="1"/>
  <c r="F96" i="2"/>
  <c r="F96" i="4" s="1"/>
  <c r="F104" i="2"/>
  <c r="F104" i="4" s="1"/>
  <c r="F112" i="2"/>
  <c r="F112" i="4" s="1"/>
  <c r="F120" i="2"/>
  <c r="F120" i="4" s="1"/>
  <c r="F128" i="2"/>
  <c r="F128" i="4" s="1"/>
  <c r="G2" i="2"/>
  <c r="F11" i="2"/>
  <c r="F11" i="4" s="1"/>
  <c r="F35" i="2"/>
  <c r="F35" i="4" s="1"/>
  <c r="F51" i="2"/>
  <c r="F51" i="4" s="1"/>
  <c r="F75" i="2"/>
  <c r="F75" i="4" s="1"/>
  <c r="F83" i="2"/>
  <c r="F83" i="4" s="1"/>
  <c r="F99" i="2"/>
  <c r="F99" i="4" s="1"/>
  <c r="F123" i="2"/>
  <c r="F123" i="4" s="1"/>
  <c r="F86" i="2"/>
  <c r="F86" i="4" s="1"/>
  <c r="F70" i="2"/>
  <c r="F70" i="4" s="1"/>
  <c r="F66" i="2"/>
  <c r="F66" i="4" s="1"/>
  <c r="F62" i="2"/>
  <c r="F62" i="4" s="1"/>
  <c r="F50" i="2"/>
  <c r="F50" i="4" s="1"/>
  <c r="F130" i="2"/>
  <c r="F130" i="4" s="1"/>
  <c r="F126" i="2"/>
  <c r="F126" i="4" s="1"/>
  <c r="F122" i="2"/>
  <c r="F122" i="4" s="1"/>
  <c r="F118" i="2"/>
  <c r="F118" i="4" s="1"/>
  <c r="F114" i="2"/>
  <c r="F114" i="4" s="1"/>
  <c r="F110" i="2"/>
  <c r="F110" i="4" s="1"/>
  <c r="F106" i="2"/>
  <c r="F106" i="4" s="1"/>
  <c r="F102" i="2"/>
  <c r="F102" i="4" s="1"/>
  <c r="F98" i="2"/>
  <c r="F98" i="4" s="1"/>
  <c r="F94" i="2"/>
  <c r="F94" i="4" s="1"/>
  <c r="F90" i="2"/>
  <c r="F90" i="4" s="1"/>
  <c r="F82" i="2"/>
  <c r="F82" i="4" s="1"/>
  <c r="F74" i="2"/>
  <c r="F74" i="4" s="1"/>
  <c r="F58" i="2"/>
  <c r="F58" i="4" s="1"/>
  <c r="F54" i="2"/>
  <c r="F54" i="4" s="1"/>
  <c r="F46" i="2"/>
  <c r="F46" i="4" s="1"/>
  <c r="F42" i="2"/>
  <c r="F42" i="4" s="1"/>
  <c r="F38" i="2"/>
  <c r="F38" i="4" s="1"/>
  <c r="F34" i="2"/>
  <c r="F34" i="4" s="1"/>
  <c r="F30" i="2"/>
  <c r="F30" i="4" s="1"/>
  <c r="F26" i="2"/>
  <c r="F26" i="4" s="1"/>
  <c r="F22" i="2"/>
  <c r="F22" i="4" s="1"/>
  <c r="F18" i="2"/>
  <c r="F18" i="4" s="1"/>
  <c r="F14" i="2"/>
  <c r="F14" i="4" s="1"/>
  <c r="F10" i="2"/>
  <c r="F6" i="2"/>
  <c r="F6" i="4" s="1"/>
  <c r="F93" i="2"/>
  <c r="F93" i="4" s="1"/>
  <c r="F78" i="2"/>
  <c r="F78" i="4" s="1"/>
  <c r="F81" i="2"/>
  <c r="F81" i="4" s="1"/>
  <c r="F77" i="2"/>
  <c r="F77" i="4" s="1"/>
  <c r="F73" i="2"/>
  <c r="F73" i="4" s="1"/>
  <c r="F69" i="2"/>
  <c r="F69" i="4" s="1"/>
  <c r="F65" i="2"/>
  <c r="F65" i="4" s="1"/>
  <c r="F37" i="2"/>
  <c r="F37" i="4" s="1"/>
  <c r="F33" i="2"/>
  <c r="F33" i="4" s="1"/>
  <c r="F29" i="2"/>
  <c r="F29" i="4" s="1"/>
  <c r="F25" i="2"/>
  <c r="F25" i="4" s="1"/>
  <c r="F21" i="2"/>
  <c r="F21" i="4" s="1"/>
  <c r="F17" i="2"/>
  <c r="F17" i="4" s="1"/>
  <c r="F13" i="2"/>
  <c r="F13" i="4" s="1"/>
  <c r="F9" i="2"/>
  <c r="F9" i="4" s="1"/>
  <c r="F5" i="2"/>
  <c r="F5" i="4" s="1"/>
  <c r="F89" i="2"/>
  <c r="F89" i="4" s="1"/>
  <c r="F85" i="2"/>
  <c r="F85" i="4" s="1"/>
  <c r="F61" i="2"/>
  <c r="F61" i="4" s="1"/>
  <c r="F41" i="2"/>
  <c r="F41" i="4" s="1"/>
  <c r="F45" i="2"/>
  <c r="F45" i="4" s="1"/>
  <c r="F49" i="2"/>
  <c r="F49" i="4" s="1"/>
  <c r="F53" i="2"/>
  <c r="F53" i="4" s="1"/>
  <c r="F57" i="2"/>
  <c r="F57" i="4" s="1"/>
  <c r="H1" i="4" l="1"/>
  <c r="I2" i="4"/>
  <c r="G127" i="2"/>
  <c r="G127" i="4" s="1"/>
  <c r="G100" i="2"/>
  <c r="G100" i="4" s="1"/>
  <c r="G116" i="2"/>
  <c r="G116" i="4" s="1"/>
  <c r="H2" i="2"/>
  <c r="G112" i="2"/>
  <c r="G112" i="4" s="1"/>
  <c r="G128" i="2"/>
  <c r="G128" i="4" s="1"/>
  <c r="G120" i="2"/>
  <c r="G120" i="4" s="1"/>
  <c r="G108" i="2"/>
  <c r="G108" i="4" s="1"/>
  <c r="G124" i="2"/>
  <c r="G124" i="4" s="1"/>
  <c r="G104" i="2"/>
  <c r="G104" i="4" s="1"/>
  <c r="G123" i="2"/>
  <c r="G123" i="4" s="1"/>
  <c r="G107" i="2"/>
  <c r="G107" i="4" s="1"/>
  <c r="G75" i="2"/>
  <c r="G75" i="4" s="1"/>
  <c r="G18" i="2"/>
  <c r="G18" i="4" s="1"/>
  <c r="G119" i="2"/>
  <c r="G119" i="4" s="1"/>
  <c r="G103" i="2"/>
  <c r="G103" i="4" s="1"/>
  <c r="G130" i="2"/>
  <c r="G130" i="4" s="1"/>
  <c r="G126" i="2"/>
  <c r="G126" i="4" s="1"/>
  <c r="G122" i="2"/>
  <c r="G122" i="4" s="1"/>
  <c r="G118" i="2"/>
  <c r="G118" i="4" s="1"/>
  <c r="G114" i="2"/>
  <c r="G114" i="4" s="1"/>
  <c r="G110" i="2"/>
  <c r="G110" i="4" s="1"/>
  <c r="G106" i="2"/>
  <c r="G106" i="4" s="1"/>
  <c r="G102" i="2"/>
  <c r="G102" i="4" s="1"/>
  <c r="G98" i="2"/>
  <c r="G98" i="4" s="1"/>
  <c r="G94" i="2"/>
  <c r="G94" i="4" s="1"/>
  <c r="G90" i="2"/>
  <c r="G90" i="4" s="1"/>
  <c r="G86" i="2"/>
  <c r="G86" i="4" s="1"/>
  <c r="G82" i="2"/>
  <c r="G82" i="4" s="1"/>
  <c r="G74" i="2"/>
  <c r="G74" i="4" s="1"/>
  <c r="G70" i="2"/>
  <c r="G70" i="4" s="1"/>
  <c r="G66" i="2"/>
  <c r="G66" i="4" s="1"/>
  <c r="G62" i="2"/>
  <c r="G62" i="4" s="1"/>
  <c r="G42" i="2"/>
  <c r="G42" i="4" s="1"/>
  <c r="G38" i="2"/>
  <c r="G38" i="4" s="1"/>
  <c r="G30" i="2"/>
  <c r="G30" i="4" s="1"/>
  <c r="G10" i="2"/>
  <c r="G10" i="4" s="1"/>
  <c r="G6" i="2"/>
  <c r="G6" i="4" s="1"/>
  <c r="G129" i="2"/>
  <c r="G129" i="4" s="1"/>
  <c r="G125" i="2"/>
  <c r="G125" i="4" s="1"/>
  <c r="G121" i="2"/>
  <c r="G121" i="4" s="1"/>
  <c r="G117" i="2"/>
  <c r="G117" i="4" s="1"/>
  <c r="G113" i="2"/>
  <c r="G113" i="4" s="1"/>
  <c r="G109" i="2"/>
  <c r="G109" i="4" s="1"/>
  <c r="G105" i="2"/>
  <c r="G105" i="4" s="1"/>
  <c r="G101" i="2"/>
  <c r="G101" i="4" s="1"/>
  <c r="G115" i="2"/>
  <c r="G115" i="4" s="1"/>
  <c r="G78" i="2"/>
  <c r="G78" i="4" s="1"/>
  <c r="G58" i="2"/>
  <c r="G58" i="4" s="1"/>
  <c r="G54" i="2"/>
  <c r="G54" i="4" s="1"/>
  <c r="G50" i="2"/>
  <c r="G50" i="4" s="1"/>
  <c r="G46" i="2"/>
  <c r="G46" i="4" s="1"/>
  <c r="G34" i="2"/>
  <c r="G34" i="4" s="1"/>
  <c r="G26" i="2"/>
  <c r="G26" i="4" s="1"/>
  <c r="G22" i="2"/>
  <c r="G22" i="4" s="1"/>
  <c r="G93" i="2"/>
  <c r="G93" i="4" s="1"/>
  <c r="G14" i="2"/>
  <c r="G14" i="4" s="1"/>
  <c r="G81" i="2"/>
  <c r="G81" i="4" s="1"/>
  <c r="G77" i="2"/>
  <c r="G77" i="4" s="1"/>
  <c r="G73" i="2"/>
  <c r="G73" i="4" s="1"/>
  <c r="G69" i="2"/>
  <c r="G69" i="4" s="1"/>
  <c r="G65" i="2"/>
  <c r="G65" i="4" s="1"/>
  <c r="G57" i="2"/>
  <c r="G57" i="4" s="1"/>
  <c r="G53" i="2"/>
  <c r="G53" i="4" s="1"/>
  <c r="G49" i="2"/>
  <c r="G49" i="4" s="1"/>
  <c r="G45" i="2"/>
  <c r="G45" i="4" s="1"/>
  <c r="G25" i="2"/>
  <c r="G25" i="4" s="1"/>
  <c r="G21" i="2"/>
  <c r="G21" i="4" s="1"/>
  <c r="G89" i="2"/>
  <c r="G89" i="4" s="1"/>
  <c r="G76" i="2"/>
  <c r="G76" i="4" s="1"/>
  <c r="G60" i="2"/>
  <c r="G60" i="4" s="1"/>
  <c r="G61" i="2"/>
  <c r="G61" i="4" s="1"/>
  <c r="G41" i="2"/>
  <c r="G41" i="4" s="1"/>
  <c r="G37" i="2"/>
  <c r="G37" i="4" s="1"/>
  <c r="G33" i="2"/>
  <c r="G33" i="4" s="1"/>
  <c r="G29" i="2"/>
  <c r="G29" i="4" s="1"/>
  <c r="G17" i="2"/>
  <c r="G17" i="4" s="1"/>
  <c r="G13" i="2"/>
  <c r="G13" i="4" s="1"/>
  <c r="G9" i="2"/>
  <c r="G9" i="4" s="1"/>
  <c r="G92" i="2"/>
  <c r="G92" i="4" s="1"/>
  <c r="G88" i="2"/>
  <c r="G88" i="4" s="1"/>
  <c r="G84" i="2"/>
  <c r="G84" i="4" s="1"/>
  <c r="G80" i="2"/>
  <c r="G80" i="4" s="1"/>
  <c r="G64" i="2"/>
  <c r="G64" i="4" s="1"/>
  <c r="G48" i="2"/>
  <c r="G48" i="4" s="1"/>
  <c r="G28" i="2"/>
  <c r="G28" i="4" s="1"/>
  <c r="G8" i="2"/>
  <c r="G8" i="4" s="1"/>
  <c r="G96" i="2"/>
  <c r="G96" i="4" s="1"/>
  <c r="G85" i="2"/>
  <c r="G85" i="4" s="1"/>
  <c r="G68" i="2"/>
  <c r="G68" i="4" s="1"/>
  <c r="G32" i="2"/>
  <c r="G32" i="4" s="1"/>
  <c r="G16" i="2"/>
  <c r="G16" i="4" s="1"/>
  <c r="G4" i="2"/>
  <c r="G4" i="4" s="1"/>
  <c r="G99" i="2"/>
  <c r="G99" i="4" s="1"/>
  <c r="G91" i="2"/>
  <c r="G91" i="4" s="1"/>
  <c r="G56" i="2"/>
  <c r="G56" i="4" s="1"/>
  <c r="G44" i="2"/>
  <c r="G44" i="4" s="1"/>
  <c r="G20" i="2"/>
  <c r="G20" i="4" s="1"/>
  <c r="G12" i="2"/>
  <c r="G12" i="4" s="1"/>
  <c r="G83" i="2"/>
  <c r="G83" i="4" s="1"/>
  <c r="G59" i="2"/>
  <c r="G59" i="4" s="1"/>
  <c r="G47" i="2"/>
  <c r="G47" i="4" s="1"/>
  <c r="G43" i="2"/>
  <c r="G43" i="4" s="1"/>
  <c r="G31" i="2"/>
  <c r="G31" i="4" s="1"/>
  <c r="G15" i="2"/>
  <c r="G15" i="4" s="1"/>
  <c r="G11" i="2"/>
  <c r="G11" i="4" s="1"/>
  <c r="G7" i="2"/>
  <c r="G7" i="4" s="1"/>
  <c r="G97" i="2"/>
  <c r="G97" i="4" s="1"/>
  <c r="G5" i="2"/>
  <c r="G5" i="4" s="1"/>
  <c r="G24" i="2"/>
  <c r="G24" i="4" s="1"/>
  <c r="G87" i="2"/>
  <c r="G87" i="4" s="1"/>
  <c r="G63" i="2"/>
  <c r="G63" i="4" s="1"/>
  <c r="G35" i="2"/>
  <c r="G35" i="4" s="1"/>
  <c r="G19" i="2"/>
  <c r="G19" i="4" s="1"/>
  <c r="G52" i="2"/>
  <c r="G52" i="4" s="1"/>
  <c r="G40" i="2"/>
  <c r="G40" i="4" s="1"/>
  <c r="G51" i="2"/>
  <c r="G51" i="4" s="1"/>
  <c r="G39" i="2"/>
  <c r="G39" i="4" s="1"/>
  <c r="G27" i="2"/>
  <c r="G27" i="4" s="1"/>
  <c r="G111" i="2"/>
  <c r="G111" i="4" s="1"/>
  <c r="G3" i="2"/>
  <c r="G3" i="4" s="1"/>
  <c r="G95" i="2"/>
  <c r="G95" i="4" s="1"/>
  <c r="G71" i="2"/>
  <c r="G71" i="4" s="1"/>
  <c r="G67" i="2"/>
  <c r="G67" i="4" s="1"/>
  <c r="G55" i="2"/>
  <c r="G55" i="4" s="1"/>
  <c r="G23" i="2"/>
  <c r="G23" i="4" s="1"/>
  <c r="G72" i="2"/>
  <c r="G72" i="4" s="1"/>
  <c r="G36" i="2"/>
  <c r="G36" i="4" s="1"/>
  <c r="G79" i="2"/>
  <c r="G79" i="4" s="1"/>
  <c r="I1" i="4" l="1"/>
  <c r="J2" i="4"/>
  <c r="H128" i="2"/>
  <c r="H128" i="4" s="1"/>
  <c r="I2" i="2"/>
  <c r="H121" i="2"/>
  <c r="H121" i="4" s="1"/>
  <c r="H116" i="2"/>
  <c r="H116" i="4" s="1"/>
  <c r="H112" i="2"/>
  <c r="H112" i="4" s="1"/>
  <c r="H104" i="2"/>
  <c r="H104" i="4" s="1"/>
  <c r="H125" i="2"/>
  <c r="H125" i="4" s="1"/>
  <c r="H109" i="2"/>
  <c r="H109" i="4" s="1"/>
  <c r="H100" i="2"/>
  <c r="H100" i="4" s="1"/>
  <c r="H130" i="2"/>
  <c r="H130" i="4" s="1"/>
  <c r="H126" i="2"/>
  <c r="H126" i="4" s="1"/>
  <c r="H122" i="2"/>
  <c r="H122" i="4" s="1"/>
  <c r="H118" i="2"/>
  <c r="H118" i="4" s="1"/>
  <c r="H114" i="2"/>
  <c r="H114" i="4" s="1"/>
  <c r="H110" i="2"/>
  <c r="H110" i="4" s="1"/>
  <c r="H106" i="2"/>
  <c r="H106" i="4" s="1"/>
  <c r="H102" i="2"/>
  <c r="H102" i="4" s="1"/>
  <c r="H98" i="2"/>
  <c r="H98" i="4" s="1"/>
  <c r="H86" i="2"/>
  <c r="H86" i="4" s="1"/>
  <c r="H82" i="2"/>
  <c r="H82" i="4" s="1"/>
  <c r="H74" i="2"/>
  <c r="H74" i="4" s="1"/>
  <c r="H70" i="2"/>
  <c r="H70" i="4" s="1"/>
  <c r="H66" i="2"/>
  <c r="H66" i="4" s="1"/>
  <c r="H46" i="2"/>
  <c r="H46" i="4" s="1"/>
  <c r="H97" i="2"/>
  <c r="H97" i="4" s="1"/>
  <c r="H93" i="2"/>
  <c r="H93" i="4" s="1"/>
  <c r="H105" i="2"/>
  <c r="H105" i="4" s="1"/>
  <c r="H78" i="2"/>
  <c r="H78" i="4" s="1"/>
  <c r="H62" i="2"/>
  <c r="H62" i="4" s="1"/>
  <c r="H58" i="2"/>
  <c r="H58" i="4" s="1"/>
  <c r="H54" i="2"/>
  <c r="H54" i="4" s="1"/>
  <c r="H50" i="2"/>
  <c r="H50" i="4" s="1"/>
  <c r="H42" i="2"/>
  <c r="H42" i="4" s="1"/>
  <c r="H38" i="2"/>
  <c r="H38" i="4" s="1"/>
  <c r="H34" i="2"/>
  <c r="H34" i="4" s="1"/>
  <c r="H30" i="2"/>
  <c r="H30" i="4" s="1"/>
  <c r="H22" i="2"/>
  <c r="H22" i="4" s="1"/>
  <c r="H18" i="2"/>
  <c r="H18" i="4" s="1"/>
  <c r="H14" i="2"/>
  <c r="H14" i="4" s="1"/>
  <c r="H10" i="2"/>
  <c r="H10" i="4" s="1"/>
  <c r="H113" i="2"/>
  <c r="H113" i="4" s="1"/>
  <c r="H6" i="2"/>
  <c r="H6" i="4" s="1"/>
  <c r="H94" i="2"/>
  <c r="H94" i="4" s="1"/>
  <c r="H77" i="2"/>
  <c r="H77" i="4" s="1"/>
  <c r="H73" i="2"/>
  <c r="H73" i="4" s="1"/>
  <c r="H69" i="2"/>
  <c r="H69" i="4" s="1"/>
  <c r="H65" i="2"/>
  <c r="H65" i="4" s="1"/>
  <c r="H57" i="2"/>
  <c r="H57" i="4" s="1"/>
  <c r="H53" i="2"/>
  <c r="H53" i="4" s="1"/>
  <c r="H49" i="2"/>
  <c r="H49" i="4" s="1"/>
  <c r="H25" i="2"/>
  <c r="H25" i="4" s="1"/>
  <c r="H21" i="2"/>
  <c r="H21" i="4" s="1"/>
  <c r="H13" i="2"/>
  <c r="H13" i="4" s="1"/>
  <c r="H72" i="2"/>
  <c r="H72" i="4" s="1"/>
  <c r="H60" i="2"/>
  <c r="H60" i="4" s="1"/>
  <c r="H120" i="2"/>
  <c r="H120" i="4" s="1"/>
  <c r="H61" i="2"/>
  <c r="H61" i="4" s="1"/>
  <c r="H45" i="2"/>
  <c r="H45" i="4" s="1"/>
  <c r="H41" i="2"/>
  <c r="H41" i="4" s="1"/>
  <c r="H37" i="2"/>
  <c r="H37" i="4" s="1"/>
  <c r="H33" i="2"/>
  <c r="H33" i="4" s="1"/>
  <c r="H29" i="2"/>
  <c r="H29" i="4" s="1"/>
  <c r="H17" i="2"/>
  <c r="H17" i="4" s="1"/>
  <c r="H9" i="2"/>
  <c r="H9" i="4" s="1"/>
  <c r="H117" i="2"/>
  <c r="H117" i="4" s="1"/>
  <c r="H101" i="2"/>
  <c r="H101" i="4" s="1"/>
  <c r="H96" i="2"/>
  <c r="H96" i="4" s="1"/>
  <c r="H92" i="2"/>
  <c r="H92" i="4" s="1"/>
  <c r="H88" i="2"/>
  <c r="H88" i="4" s="1"/>
  <c r="H84" i="2"/>
  <c r="H84" i="4" s="1"/>
  <c r="H80" i="2"/>
  <c r="H80" i="4" s="1"/>
  <c r="H48" i="2"/>
  <c r="H48" i="4" s="1"/>
  <c r="H36" i="2"/>
  <c r="H36" i="4" s="1"/>
  <c r="H28" i="2"/>
  <c r="H28" i="4" s="1"/>
  <c r="H12" i="2"/>
  <c r="H12" i="4" s="1"/>
  <c r="H8" i="2"/>
  <c r="H8" i="4" s="1"/>
  <c r="H129" i="2"/>
  <c r="H129" i="4" s="1"/>
  <c r="H127" i="2"/>
  <c r="H127" i="4" s="1"/>
  <c r="H124" i="2"/>
  <c r="H124" i="4" s="1"/>
  <c r="H26" i="2"/>
  <c r="H26" i="4" s="1"/>
  <c r="H5" i="2"/>
  <c r="H5" i="4" s="1"/>
  <c r="H90" i="2"/>
  <c r="H90" i="4" s="1"/>
  <c r="H64" i="2"/>
  <c r="H64" i="4" s="1"/>
  <c r="H32" i="2"/>
  <c r="H32" i="4" s="1"/>
  <c r="H16" i="2"/>
  <c r="H16" i="4" s="1"/>
  <c r="H76" i="2"/>
  <c r="H76" i="4" s="1"/>
  <c r="H91" i="2"/>
  <c r="H91" i="4" s="1"/>
  <c r="H89" i="2"/>
  <c r="H89" i="4" s="1"/>
  <c r="H56" i="2"/>
  <c r="H56" i="4" s="1"/>
  <c r="H44" i="2"/>
  <c r="H44" i="4" s="1"/>
  <c r="H20" i="2"/>
  <c r="H20" i="4" s="1"/>
  <c r="H83" i="2"/>
  <c r="H83" i="4" s="1"/>
  <c r="H63" i="2"/>
  <c r="H63" i="4" s="1"/>
  <c r="H51" i="2"/>
  <c r="H51" i="4" s="1"/>
  <c r="H43" i="2"/>
  <c r="H43" i="4" s="1"/>
  <c r="H35" i="2"/>
  <c r="H35" i="4" s="1"/>
  <c r="H31" i="2"/>
  <c r="H31" i="4" s="1"/>
  <c r="H19" i="2"/>
  <c r="H19" i="4" s="1"/>
  <c r="H11" i="2"/>
  <c r="H11" i="4" s="1"/>
  <c r="H123" i="2"/>
  <c r="H123" i="4" s="1"/>
  <c r="H119" i="2"/>
  <c r="H119" i="4" s="1"/>
  <c r="H115" i="2"/>
  <c r="H115" i="4" s="1"/>
  <c r="H111" i="2"/>
  <c r="H111" i="4" s="1"/>
  <c r="H107" i="2"/>
  <c r="H107" i="4" s="1"/>
  <c r="H103" i="2"/>
  <c r="H103" i="4" s="1"/>
  <c r="H24" i="2"/>
  <c r="H24" i="4" s="1"/>
  <c r="H87" i="2"/>
  <c r="H87" i="4" s="1"/>
  <c r="H47" i="2"/>
  <c r="H47" i="4" s="1"/>
  <c r="H85" i="2"/>
  <c r="H85" i="4" s="1"/>
  <c r="H81" i="2"/>
  <c r="H81" i="4" s="1"/>
  <c r="H52" i="2"/>
  <c r="H52" i="4" s="1"/>
  <c r="H40" i="2"/>
  <c r="H40" i="4" s="1"/>
  <c r="H27" i="2"/>
  <c r="H27" i="4" s="1"/>
  <c r="H23" i="2"/>
  <c r="H23" i="4" s="1"/>
  <c r="H68" i="2"/>
  <c r="H68" i="4" s="1"/>
  <c r="H3" i="2"/>
  <c r="H3" i="4" s="1"/>
  <c r="H95" i="2"/>
  <c r="H95" i="4" s="1"/>
  <c r="H71" i="2"/>
  <c r="H71" i="4" s="1"/>
  <c r="H67" i="2"/>
  <c r="H67" i="4" s="1"/>
  <c r="H7" i="2"/>
  <c r="H7" i="4" s="1"/>
  <c r="H108" i="2"/>
  <c r="H108" i="4" s="1"/>
  <c r="H4" i="2"/>
  <c r="H4" i="4" s="1"/>
  <c r="H99" i="2"/>
  <c r="H99" i="4" s="1"/>
  <c r="H79" i="2"/>
  <c r="H79" i="4" s="1"/>
  <c r="H75" i="2"/>
  <c r="H75" i="4" s="1"/>
  <c r="H59" i="2"/>
  <c r="H59" i="4" s="1"/>
  <c r="H55" i="2"/>
  <c r="H55" i="4" s="1"/>
  <c r="H39" i="2"/>
  <c r="H39" i="4" s="1"/>
  <c r="H15" i="2"/>
  <c r="H15" i="4" s="1"/>
  <c r="J1" i="4" l="1"/>
  <c r="K2" i="4"/>
  <c r="J2" i="2"/>
  <c r="I91" i="2"/>
  <c r="I91" i="4" s="1"/>
  <c r="I95" i="2"/>
  <c r="I95" i="4" s="1"/>
  <c r="I106" i="2"/>
  <c r="I106" i="4" s="1"/>
  <c r="I122" i="2"/>
  <c r="I122" i="4" s="1"/>
  <c r="I18" i="2"/>
  <c r="I18" i="4" s="1"/>
  <c r="I126" i="2"/>
  <c r="I126" i="4" s="1"/>
  <c r="I110" i="2"/>
  <c r="I110" i="4" s="1"/>
  <c r="I98" i="2"/>
  <c r="I98" i="4" s="1"/>
  <c r="I94" i="2"/>
  <c r="I94" i="4" s="1"/>
  <c r="I78" i="2"/>
  <c r="I78" i="4" s="1"/>
  <c r="I70" i="2"/>
  <c r="I70" i="4" s="1"/>
  <c r="I66" i="2"/>
  <c r="I66" i="4" s="1"/>
  <c r="I129" i="2"/>
  <c r="I129" i="4" s="1"/>
  <c r="I125" i="2"/>
  <c r="I125" i="4" s="1"/>
  <c r="I121" i="2"/>
  <c r="I121" i="4" s="1"/>
  <c r="I117" i="2"/>
  <c r="I117" i="4" s="1"/>
  <c r="I113" i="2"/>
  <c r="I113" i="4" s="1"/>
  <c r="I109" i="2"/>
  <c r="I109" i="4" s="1"/>
  <c r="I105" i="2"/>
  <c r="I105" i="4" s="1"/>
  <c r="I101" i="2"/>
  <c r="I101" i="4" s="1"/>
  <c r="I97" i="2"/>
  <c r="I97" i="4" s="1"/>
  <c r="I128" i="2"/>
  <c r="I128" i="4" s="1"/>
  <c r="I90" i="2"/>
  <c r="I90" i="4" s="1"/>
  <c r="I86" i="2"/>
  <c r="I86" i="4" s="1"/>
  <c r="I82" i="2"/>
  <c r="I82" i="4" s="1"/>
  <c r="I62" i="2"/>
  <c r="I62" i="4" s="1"/>
  <c r="I58" i="2"/>
  <c r="I58" i="4" s="1"/>
  <c r="I54" i="2"/>
  <c r="I54" i="4" s="1"/>
  <c r="I50" i="2"/>
  <c r="I50" i="4" s="1"/>
  <c r="I46" i="2"/>
  <c r="I46" i="4" s="1"/>
  <c r="I42" i="2"/>
  <c r="I42" i="4" s="1"/>
  <c r="I38" i="2"/>
  <c r="I38" i="4" s="1"/>
  <c r="I30" i="2"/>
  <c r="I30" i="4" s="1"/>
  <c r="I22" i="2"/>
  <c r="I22" i="4" s="1"/>
  <c r="I14" i="2"/>
  <c r="I14" i="4" s="1"/>
  <c r="I10" i="2"/>
  <c r="I10" i="4" s="1"/>
  <c r="I6" i="2"/>
  <c r="I6" i="4" s="1"/>
  <c r="I61" i="2"/>
  <c r="I61" i="4" s="1"/>
  <c r="I57" i="2"/>
  <c r="I57" i="4" s="1"/>
  <c r="I53" i="2"/>
  <c r="I53" i="4" s="1"/>
  <c r="I49" i="2"/>
  <c r="I49" i="4" s="1"/>
  <c r="I25" i="2"/>
  <c r="I25" i="4" s="1"/>
  <c r="I21" i="2"/>
  <c r="I21" i="4" s="1"/>
  <c r="I13" i="2"/>
  <c r="I13" i="4" s="1"/>
  <c r="I72" i="2"/>
  <c r="I72" i="4" s="1"/>
  <c r="I56" i="2"/>
  <c r="I56" i="4" s="1"/>
  <c r="I79" i="2"/>
  <c r="I79" i="4" s="1"/>
  <c r="I114" i="2"/>
  <c r="I114" i="4" s="1"/>
  <c r="I93" i="2"/>
  <c r="I93" i="4" s="1"/>
  <c r="I73" i="2"/>
  <c r="I73" i="4" s="1"/>
  <c r="I69" i="2"/>
  <c r="I69" i="4" s="1"/>
  <c r="I65" i="2"/>
  <c r="I65" i="4" s="1"/>
  <c r="I45" i="2"/>
  <c r="I45" i="4" s="1"/>
  <c r="I41" i="2"/>
  <c r="I41" i="4" s="1"/>
  <c r="I37" i="2"/>
  <c r="I37" i="4" s="1"/>
  <c r="I33" i="2"/>
  <c r="I33" i="4" s="1"/>
  <c r="I29" i="2"/>
  <c r="I29" i="4" s="1"/>
  <c r="I17" i="2"/>
  <c r="I17" i="4" s="1"/>
  <c r="I5" i="2"/>
  <c r="I5" i="4" s="1"/>
  <c r="I118" i="2"/>
  <c r="I118" i="4" s="1"/>
  <c r="I102" i="2"/>
  <c r="I102" i="4" s="1"/>
  <c r="I96" i="2"/>
  <c r="I96" i="4" s="1"/>
  <c r="I92" i="2"/>
  <c r="I92" i="4" s="1"/>
  <c r="I88" i="2"/>
  <c r="I88" i="4" s="1"/>
  <c r="I84" i="2"/>
  <c r="I84" i="4" s="1"/>
  <c r="I80" i="2"/>
  <c r="I80" i="4" s="1"/>
  <c r="I76" i="2"/>
  <c r="I76" i="4" s="1"/>
  <c r="I52" i="2"/>
  <c r="I52" i="4" s="1"/>
  <c r="I36" i="2"/>
  <c r="I36" i="4" s="1"/>
  <c r="I28" i="2"/>
  <c r="I28" i="4" s="1"/>
  <c r="I24" i="2"/>
  <c r="I24" i="4" s="1"/>
  <c r="I16" i="2"/>
  <c r="I16" i="4" s="1"/>
  <c r="I12" i="2"/>
  <c r="I12" i="4" s="1"/>
  <c r="I127" i="2"/>
  <c r="I127" i="4" s="1"/>
  <c r="I111" i="2"/>
  <c r="I111" i="4" s="1"/>
  <c r="I26" i="2"/>
  <c r="I26" i="4" s="1"/>
  <c r="I64" i="2"/>
  <c r="I64" i="4" s="1"/>
  <c r="I48" i="2"/>
  <c r="I48" i="4" s="1"/>
  <c r="I44" i="2"/>
  <c r="I44" i="4" s="1"/>
  <c r="I32" i="2"/>
  <c r="I32" i="4" s="1"/>
  <c r="I115" i="2"/>
  <c r="I115" i="4" s="1"/>
  <c r="I89" i="2"/>
  <c r="I89" i="4" s="1"/>
  <c r="I119" i="2"/>
  <c r="I119" i="4" s="1"/>
  <c r="I51" i="2"/>
  <c r="I51" i="4" s="1"/>
  <c r="I39" i="2"/>
  <c r="I39" i="4" s="1"/>
  <c r="I27" i="2"/>
  <c r="I27" i="4" s="1"/>
  <c r="I11" i="2"/>
  <c r="I11" i="4" s="1"/>
  <c r="I124" i="2"/>
  <c r="I124" i="4" s="1"/>
  <c r="I120" i="2"/>
  <c r="I120" i="4" s="1"/>
  <c r="I116" i="2"/>
  <c r="I116" i="4" s="1"/>
  <c r="I112" i="2"/>
  <c r="I112" i="4" s="1"/>
  <c r="I108" i="2"/>
  <c r="I108" i="4" s="1"/>
  <c r="I104" i="2"/>
  <c r="I104" i="4" s="1"/>
  <c r="I100" i="2"/>
  <c r="I100" i="4" s="1"/>
  <c r="I99" i="2"/>
  <c r="I99" i="4" s="1"/>
  <c r="I60" i="2"/>
  <c r="I60" i="4" s="1"/>
  <c r="I74" i="2"/>
  <c r="I74" i="4" s="1"/>
  <c r="I77" i="2"/>
  <c r="I77" i="4" s="1"/>
  <c r="I9" i="2"/>
  <c r="I9" i="4" s="1"/>
  <c r="I20" i="2"/>
  <c r="I20" i="4" s="1"/>
  <c r="I123" i="2"/>
  <c r="I123" i="4" s="1"/>
  <c r="I63" i="2"/>
  <c r="I63" i="4" s="1"/>
  <c r="I59" i="2"/>
  <c r="I59" i="4" s="1"/>
  <c r="I47" i="2"/>
  <c r="I47" i="4" s="1"/>
  <c r="I35" i="2"/>
  <c r="I35" i="4" s="1"/>
  <c r="I31" i="2"/>
  <c r="I31" i="4" s="1"/>
  <c r="I19" i="2"/>
  <c r="I19" i="4" s="1"/>
  <c r="I15" i="2"/>
  <c r="I15" i="4" s="1"/>
  <c r="I87" i="2"/>
  <c r="I87" i="4" s="1"/>
  <c r="I85" i="2"/>
  <c r="I85" i="4" s="1"/>
  <c r="I8" i="2"/>
  <c r="I8" i="4" s="1"/>
  <c r="I75" i="2"/>
  <c r="I75" i="4" s="1"/>
  <c r="I23" i="2"/>
  <c r="I23" i="4" s="1"/>
  <c r="I83" i="2"/>
  <c r="I83" i="4" s="1"/>
  <c r="I34" i="2"/>
  <c r="I34" i="4" s="1"/>
  <c r="I68" i="2"/>
  <c r="I68" i="4" s="1"/>
  <c r="I103" i="2"/>
  <c r="I103" i="4" s="1"/>
  <c r="I3" i="2"/>
  <c r="I3" i="4" s="1"/>
  <c r="I71" i="2"/>
  <c r="I71" i="4" s="1"/>
  <c r="I67" i="2"/>
  <c r="I67" i="4" s="1"/>
  <c r="I43" i="2"/>
  <c r="I43" i="4" s="1"/>
  <c r="I130" i="2"/>
  <c r="I130" i="4" s="1"/>
  <c r="I81" i="2"/>
  <c r="I81" i="4" s="1"/>
  <c r="I40" i="2"/>
  <c r="I40" i="4" s="1"/>
  <c r="I4" i="2"/>
  <c r="I4" i="4" s="1"/>
  <c r="I107" i="2"/>
  <c r="I107" i="4" s="1"/>
  <c r="I55" i="2"/>
  <c r="I55" i="4" s="1"/>
  <c r="I7" i="2"/>
  <c r="I7" i="4" s="1"/>
  <c r="K1" i="4" l="1"/>
  <c r="L2" i="4"/>
  <c r="J92" i="2"/>
  <c r="J92" i="4" s="1"/>
  <c r="J103" i="2"/>
  <c r="J103" i="4" s="1"/>
  <c r="J119" i="2"/>
  <c r="J119" i="4" s="1"/>
  <c r="J96" i="2"/>
  <c r="J96" i="4" s="1"/>
  <c r="J115" i="2"/>
  <c r="J115" i="4" s="1"/>
  <c r="K2" i="2"/>
  <c r="J107" i="2"/>
  <c r="J107" i="4" s="1"/>
  <c r="J111" i="2"/>
  <c r="J111" i="4" s="1"/>
  <c r="J127" i="2"/>
  <c r="J127" i="4" s="1"/>
  <c r="J123" i="2"/>
  <c r="J123" i="4" s="1"/>
  <c r="J46" i="2"/>
  <c r="J46" i="4" s="1"/>
  <c r="J18" i="2"/>
  <c r="J18" i="4" s="1"/>
  <c r="J10" i="2"/>
  <c r="J10" i="4" s="1"/>
  <c r="J130" i="2"/>
  <c r="J130" i="4" s="1"/>
  <c r="J78" i="2"/>
  <c r="J78" i="4" s="1"/>
  <c r="J62" i="2"/>
  <c r="J62" i="4" s="1"/>
  <c r="J58" i="2"/>
  <c r="J58" i="4" s="1"/>
  <c r="J54" i="2"/>
  <c r="J54" i="4" s="1"/>
  <c r="J50" i="2"/>
  <c r="J50" i="4" s="1"/>
  <c r="J26" i="2"/>
  <c r="J26" i="4" s="1"/>
  <c r="J22" i="2"/>
  <c r="J22" i="4" s="1"/>
  <c r="J129" i="2"/>
  <c r="J129" i="4" s="1"/>
  <c r="J125" i="2"/>
  <c r="J125" i="4" s="1"/>
  <c r="J121" i="2"/>
  <c r="J121" i="4" s="1"/>
  <c r="J117" i="2"/>
  <c r="J117" i="4" s="1"/>
  <c r="J113" i="2"/>
  <c r="J113" i="4" s="1"/>
  <c r="J109" i="2"/>
  <c r="J109" i="4" s="1"/>
  <c r="J105" i="2"/>
  <c r="J105" i="4" s="1"/>
  <c r="J101" i="2"/>
  <c r="J101" i="4" s="1"/>
  <c r="J97" i="2"/>
  <c r="J97" i="4" s="1"/>
  <c r="J99" i="2"/>
  <c r="J99" i="4" s="1"/>
  <c r="J126" i="2"/>
  <c r="J126" i="4" s="1"/>
  <c r="J122" i="2"/>
  <c r="J122" i="4" s="1"/>
  <c r="J118" i="2"/>
  <c r="J118" i="4" s="1"/>
  <c r="J114" i="2"/>
  <c r="J114" i="4" s="1"/>
  <c r="J110" i="2"/>
  <c r="J110" i="4" s="1"/>
  <c r="J106" i="2"/>
  <c r="J106" i="4" s="1"/>
  <c r="J102" i="2"/>
  <c r="J102" i="4" s="1"/>
  <c r="J98" i="2"/>
  <c r="J98" i="4" s="1"/>
  <c r="J94" i="2"/>
  <c r="J94" i="4" s="1"/>
  <c r="J90" i="2"/>
  <c r="J90" i="4" s="1"/>
  <c r="J86" i="2"/>
  <c r="J86" i="4" s="1"/>
  <c r="J82" i="2"/>
  <c r="J82" i="4" s="1"/>
  <c r="J74" i="2"/>
  <c r="J74" i="4" s="1"/>
  <c r="J70" i="2"/>
  <c r="J70" i="4" s="1"/>
  <c r="J66" i="2"/>
  <c r="J66" i="4" s="1"/>
  <c r="J42" i="2"/>
  <c r="J42" i="4" s="1"/>
  <c r="J38" i="2"/>
  <c r="J38" i="4" s="1"/>
  <c r="J30" i="2"/>
  <c r="J30" i="4" s="1"/>
  <c r="J14" i="2"/>
  <c r="J14" i="4" s="1"/>
  <c r="J6" i="2"/>
  <c r="J6" i="4" s="1"/>
  <c r="J61" i="2"/>
  <c r="J61" i="4" s="1"/>
  <c r="J45" i="2"/>
  <c r="J45" i="4" s="1"/>
  <c r="J41" i="2"/>
  <c r="J41" i="4" s="1"/>
  <c r="J33" i="2"/>
  <c r="J33" i="4" s="1"/>
  <c r="J13" i="2"/>
  <c r="J13" i="4" s="1"/>
  <c r="J72" i="2"/>
  <c r="J72" i="4" s="1"/>
  <c r="J56" i="2"/>
  <c r="J56" i="4" s="1"/>
  <c r="J93" i="2"/>
  <c r="J93" i="4" s="1"/>
  <c r="J77" i="2"/>
  <c r="J77" i="4" s="1"/>
  <c r="J73" i="2"/>
  <c r="J73" i="4" s="1"/>
  <c r="J69" i="2"/>
  <c r="J69" i="4" s="1"/>
  <c r="J65" i="2"/>
  <c r="J65" i="4" s="1"/>
  <c r="J57" i="2"/>
  <c r="J57" i="4" s="1"/>
  <c r="J53" i="2"/>
  <c r="J53" i="4" s="1"/>
  <c r="J49" i="2"/>
  <c r="J49" i="4" s="1"/>
  <c r="J25" i="2"/>
  <c r="J25" i="4" s="1"/>
  <c r="J21" i="2"/>
  <c r="J21" i="4" s="1"/>
  <c r="J17" i="2"/>
  <c r="J17" i="4" s="1"/>
  <c r="J76" i="2"/>
  <c r="J76" i="4" s="1"/>
  <c r="J60" i="2"/>
  <c r="J60" i="4" s="1"/>
  <c r="J52" i="2"/>
  <c r="J52" i="4" s="1"/>
  <c r="J40" i="2"/>
  <c r="J40" i="4" s="1"/>
  <c r="J24" i="2"/>
  <c r="J24" i="4" s="1"/>
  <c r="J8" i="2"/>
  <c r="J8" i="4" s="1"/>
  <c r="J128" i="2"/>
  <c r="J128" i="4" s="1"/>
  <c r="J112" i="2"/>
  <c r="J112" i="4" s="1"/>
  <c r="J37" i="2"/>
  <c r="J37" i="4" s="1"/>
  <c r="J5" i="2"/>
  <c r="J5" i="4" s="1"/>
  <c r="J64" i="2"/>
  <c r="J64" i="4" s="1"/>
  <c r="J48" i="2"/>
  <c r="J48" i="4" s="1"/>
  <c r="J44" i="2"/>
  <c r="J44" i="4" s="1"/>
  <c r="J36" i="2"/>
  <c r="J36" i="4" s="1"/>
  <c r="J28" i="2"/>
  <c r="J28" i="4" s="1"/>
  <c r="J12" i="2"/>
  <c r="J12" i="4" s="1"/>
  <c r="J116" i="2"/>
  <c r="J116" i="4" s="1"/>
  <c r="J100" i="2"/>
  <c r="J100" i="4" s="1"/>
  <c r="J87" i="2"/>
  <c r="J87" i="4" s="1"/>
  <c r="J34" i="2"/>
  <c r="J34" i="4" s="1"/>
  <c r="J89" i="2"/>
  <c r="J89" i="4" s="1"/>
  <c r="J29" i="2"/>
  <c r="J29" i="4" s="1"/>
  <c r="J16" i="2"/>
  <c r="J16" i="4" s="1"/>
  <c r="J120" i="2"/>
  <c r="J120" i="4" s="1"/>
  <c r="J79" i="2"/>
  <c r="J79" i="4" s="1"/>
  <c r="J51" i="2"/>
  <c r="J51" i="4" s="1"/>
  <c r="J39" i="2"/>
  <c r="J39" i="4" s="1"/>
  <c r="J27" i="2"/>
  <c r="J27" i="4" s="1"/>
  <c r="J11" i="2"/>
  <c r="J11" i="4" s="1"/>
  <c r="J7" i="2"/>
  <c r="J7" i="4" s="1"/>
  <c r="J20" i="2"/>
  <c r="J20" i="4" s="1"/>
  <c r="J124" i="2"/>
  <c r="J124" i="4" s="1"/>
  <c r="J83" i="2"/>
  <c r="J83" i="4" s="1"/>
  <c r="J67" i="2"/>
  <c r="J67" i="4" s="1"/>
  <c r="J59" i="2"/>
  <c r="J59" i="4" s="1"/>
  <c r="J47" i="2"/>
  <c r="J47" i="4" s="1"/>
  <c r="J43" i="2"/>
  <c r="J43" i="4" s="1"/>
  <c r="J31" i="2"/>
  <c r="J31" i="4" s="1"/>
  <c r="J15" i="2"/>
  <c r="J15" i="4" s="1"/>
  <c r="J95" i="2"/>
  <c r="J95" i="4" s="1"/>
  <c r="J88" i="2"/>
  <c r="J88" i="4" s="1"/>
  <c r="J85" i="2"/>
  <c r="J85" i="4" s="1"/>
  <c r="J81" i="2"/>
  <c r="J81" i="4" s="1"/>
  <c r="J75" i="2"/>
  <c r="J75" i="4" s="1"/>
  <c r="J63" i="2"/>
  <c r="J63" i="4" s="1"/>
  <c r="J84" i="2"/>
  <c r="J84" i="4" s="1"/>
  <c r="J68" i="2"/>
  <c r="J68" i="4" s="1"/>
  <c r="J32" i="2"/>
  <c r="J32" i="4" s="1"/>
  <c r="J104" i="2"/>
  <c r="J104" i="4" s="1"/>
  <c r="J80" i="2"/>
  <c r="J80" i="4" s="1"/>
  <c r="J3" i="2"/>
  <c r="J3" i="4" s="1"/>
  <c r="J91" i="2"/>
  <c r="J91" i="4" s="1"/>
  <c r="J71" i="2"/>
  <c r="J71" i="4" s="1"/>
  <c r="J35" i="2"/>
  <c r="J35" i="4" s="1"/>
  <c r="J19" i="2"/>
  <c r="J19" i="4" s="1"/>
  <c r="J9" i="2"/>
  <c r="J9" i="4" s="1"/>
  <c r="J4" i="2"/>
  <c r="J4" i="4" s="1"/>
  <c r="J108" i="2"/>
  <c r="J108" i="4" s="1"/>
  <c r="J55" i="2"/>
  <c r="J55" i="4" s="1"/>
  <c r="J23" i="2"/>
  <c r="J23" i="4" s="1"/>
  <c r="L1" i="4" l="1"/>
  <c r="M2" i="4"/>
  <c r="L2" i="2"/>
  <c r="K127" i="2"/>
  <c r="K127" i="4" s="1"/>
  <c r="K104" i="2"/>
  <c r="K104" i="4" s="1"/>
  <c r="K120" i="2"/>
  <c r="K120" i="4" s="1"/>
  <c r="K100" i="2"/>
  <c r="K100" i="4" s="1"/>
  <c r="K116" i="2"/>
  <c r="K116" i="4" s="1"/>
  <c r="K108" i="2"/>
  <c r="K108" i="4" s="1"/>
  <c r="K112" i="2"/>
  <c r="K112" i="4" s="1"/>
  <c r="K128" i="2"/>
  <c r="K128" i="4" s="1"/>
  <c r="K124" i="2"/>
  <c r="K124" i="4" s="1"/>
  <c r="K97" i="2"/>
  <c r="K97" i="4" s="1"/>
  <c r="K46" i="2"/>
  <c r="K46" i="4" s="1"/>
  <c r="K10" i="2"/>
  <c r="K10" i="4" s="1"/>
  <c r="K62" i="2"/>
  <c r="K62" i="4" s="1"/>
  <c r="K42" i="2"/>
  <c r="K42" i="4" s="1"/>
  <c r="K34" i="2"/>
  <c r="K34" i="4" s="1"/>
  <c r="K30" i="2"/>
  <c r="K30" i="4" s="1"/>
  <c r="K14" i="2"/>
  <c r="K14" i="4" s="1"/>
  <c r="K130" i="2"/>
  <c r="K130" i="4" s="1"/>
  <c r="K126" i="2"/>
  <c r="K126" i="4" s="1"/>
  <c r="K122" i="2"/>
  <c r="K122" i="4" s="1"/>
  <c r="K118" i="2"/>
  <c r="K118" i="4" s="1"/>
  <c r="K114" i="2"/>
  <c r="K114" i="4" s="1"/>
  <c r="K110" i="2"/>
  <c r="K110" i="4" s="1"/>
  <c r="K106" i="2"/>
  <c r="K106" i="4" s="1"/>
  <c r="K102" i="2"/>
  <c r="K102" i="4" s="1"/>
  <c r="K98" i="2"/>
  <c r="K98" i="4" s="1"/>
  <c r="K94" i="2"/>
  <c r="K94" i="4" s="1"/>
  <c r="K90" i="2"/>
  <c r="K90" i="4" s="1"/>
  <c r="K86" i="2"/>
  <c r="K86" i="4" s="1"/>
  <c r="K82" i="2"/>
  <c r="K82" i="4" s="1"/>
  <c r="K74" i="2"/>
  <c r="K74" i="4" s="1"/>
  <c r="K70" i="2"/>
  <c r="K70" i="4" s="1"/>
  <c r="K66" i="2"/>
  <c r="K66" i="4" s="1"/>
  <c r="K6" i="2"/>
  <c r="K6" i="4" s="1"/>
  <c r="K129" i="2"/>
  <c r="K129" i="4" s="1"/>
  <c r="K125" i="2"/>
  <c r="K125" i="4" s="1"/>
  <c r="K121" i="2"/>
  <c r="K121" i="4" s="1"/>
  <c r="K117" i="2"/>
  <c r="K117" i="4" s="1"/>
  <c r="K113" i="2"/>
  <c r="K113" i="4" s="1"/>
  <c r="K109" i="2"/>
  <c r="K109" i="4" s="1"/>
  <c r="K105" i="2"/>
  <c r="K105" i="4" s="1"/>
  <c r="K101" i="2"/>
  <c r="K101" i="4" s="1"/>
  <c r="K38" i="2"/>
  <c r="K38" i="4" s="1"/>
  <c r="K45" i="2"/>
  <c r="K45" i="4" s="1"/>
  <c r="K5" i="2"/>
  <c r="K5" i="4" s="1"/>
  <c r="K93" i="2"/>
  <c r="K93" i="4" s="1"/>
  <c r="K76" i="2"/>
  <c r="K76" i="4" s="1"/>
  <c r="K18" i="2"/>
  <c r="K18" i="4" s="1"/>
  <c r="K81" i="2"/>
  <c r="K81" i="4" s="1"/>
  <c r="K77" i="2"/>
  <c r="K77" i="4" s="1"/>
  <c r="K73" i="2"/>
  <c r="K73" i="4" s="1"/>
  <c r="K69" i="2"/>
  <c r="K69" i="4" s="1"/>
  <c r="K65" i="2"/>
  <c r="K65" i="4" s="1"/>
  <c r="K57" i="2"/>
  <c r="K57" i="4" s="1"/>
  <c r="K53" i="2"/>
  <c r="K53" i="4" s="1"/>
  <c r="K49" i="2"/>
  <c r="K49" i="4" s="1"/>
  <c r="K25" i="2"/>
  <c r="K25" i="4" s="1"/>
  <c r="K21" i="2"/>
  <c r="K21" i="4" s="1"/>
  <c r="K64" i="2"/>
  <c r="K64" i="4" s="1"/>
  <c r="K60" i="2"/>
  <c r="K60" i="4" s="1"/>
  <c r="K52" i="2"/>
  <c r="K52" i="4" s="1"/>
  <c r="K40" i="2"/>
  <c r="K40" i="4" s="1"/>
  <c r="K36" i="2"/>
  <c r="K36" i="4" s="1"/>
  <c r="K24" i="2"/>
  <c r="K24" i="4" s="1"/>
  <c r="K12" i="2"/>
  <c r="K12" i="4" s="1"/>
  <c r="K78" i="2"/>
  <c r="K78" i="4" s="1"/>
  <c r="K58" i="2"/>
  <c r="K58" i="4" s="1"/>
  <c r="K54" i="2"/>
  <c r="K54" i="4" s="1"/>
  <c r="K50" i="2"/>
  <c r="K50" i="4" s="1"/>
  <c r="K26" i="2"/>
  <c r="K26" i="4" s="1"/>
  <c r="K22" i="2"/>
  <c r="K22" i="4" s="1"/>
  <c r="K89" i="2"/>
  <c r="K89" i="4" s="1"/>
  <c r="K85" i="2"/>
  <c r="K85" i="4" s="1"/>
  <c r="K61" i="2"/>
  <c r="K61" i="4" s="1"/>
  <c r="K41" i="2"/>
  <c r="K41" i="4" s="1"/>
  <c r="K37" i="2"/>
  <c r="K37" i="4" s="1"/>
  <c r="K33" i="2"/>
  <c r="K33" i="4" s="1"/>
  <c r="K29" i="2"/>
  <c r="K29" i="4" s="1"/>
  <c r="K17" i="2"/>
  <c r="K17" i="4" s="1"/>
  <c r="K13" i="2"/>
  <c r="K13" i="4" s="1"/>
  <c r="K92" i="2"/>
  <c r="K92" i="4" s="1"/>
  <c r="K88" i="2"/>
  <c r="K88" i="4" s="1"/>
  <c r="K84" i="2"/>
  <c r="K84" i="4" s="1"/>
  <c r="K80" i="2"/>
  <c r="K80" i="4" s="1"/>
  <c r="K68" i="2"/>
  <c r="K68" i="4" s="1"/>
  <c r="K48" i="2"/>
  <c r="K48" i="4" s="1"/>
  <c r="K28" i="2"/>
  <c r="K28" i="4" s="1"/>
  <c r="K8" i="2"/>
  <c r="K8" i="4" s="1"/>
  <c r="K72" i="2"/>
  <c r="K72" i="4" s="1"/>
  <c r="K79" i="2"/>
  <c r="K79" i="4" s="1"/>
  <c r="K59" i="2"/>
  <c r="K59" i="4" s="1"/>
  <c r="K47" i="2"/>
  <c r="K47" i="4" s="1"/>
  <c r="K39" i="2"/>
  <c r="K39" i="4" s="1"/>
  <c r="K11" i="2"/>
  <c r="K11" i="4" s="1"/>
  <c r="K9" i="2"/>
  <c r="K9" i="4" s="1"/>
  <c r="K56" i="2"/>
  <c r="K56" i="4" s="1"/>
  <c r="K44" i="2"/>
  <c r="K44" i="4" s="1"/>
  <c r="K20" i="2"/>
  <c r="K20" i="4" s="1"/>
  <c r="K83" i="2"/>
  <c r="K83" i="4" s="1"/>
  <c r="K43" i="2"/>
  <c r="K43" i="4" s="1"/>
  <c r="K31" i="2"/>
  <c r="K31" i="4" s="1"/>
  <c r="K15" i="2"/>
  <c r="K15" i="4" s="1"/>
  <c r="K7" i="2"/>
  <c r="K7" i="4" s="1"/>
  <c r="K123" i="2"/>
  <c r="K123" i="4" s="1"/>
  <c r="K115" i="2"/>
  <c r="K115" i="4" s="1"/>
  <c r="K107" i="2"/>
  <c r="K107" i="4" s="1"/>
  <c r="K96" i="2"/>
  <c r="K96" i="4" s="1"/>
  <c r="K95" i="2"/>
  <c r="K95" i="4" s="1"/>
  <c r="K67" i="2"/>
  <c r="K67" i="4" s="1"/>
  <c r="K51" i="2"/>
  <c r="K51" i="4" s="1"/>
  <c r="K27" i="2"/>
  <c r="K27" i="4" s="1"/>
  <c r="K111" i="2"/>
  <c r="K111" i="4" s="1"/>
  <c r="K32" i="2"/>
  <c r="K32" i="4" s="1"/>
  <c r="K16" i="2"/>
  <c r="K16" i="4" s="1"/>
  <c r="K4" i="2"/>
  <c r="K4" i="4" s="1"/>
  <c r="K99" i="2"/>
  <c r="K99" i="4" s="1"/>
  <c r="K91" i="2"/>
  <c r="K91" i="4" s="1"/>
  <c r="K87" i="2"/>
  <c r="K87" i="4" s="1"/>
  <c r="K55" i="2"/>
  <c r="K55" i="4" s="1"/>
  <c r="K35" i="2"/>
  <c r="K35" i="4" s="1"/>
  <c r="K23" i="2"/>
  <c r="K23" i="4" s="1"/>
  <c r="K19" i="2"/>
  <c r="K19" i="4" s="1"/>
  <c r="K3" i="2"/>
  <c r="K3" i="4" s="1"/>
  <c r="K75" i="2"/>
  <c r="K75" i="4" s="1"/>
  <c r="K71" i="2"/>
  <c r="K71" i="4" s="1"/>
  <c r="K63" i="2"/>
  <c r="K63" i="4" s="1"/>
  <c r="K119" i="2"/>
  <c r="K119" i="4" s="1"/>
  <c r="K103" i="2"/>
  <c r="K103" i="4" s="1"/>
  <c r="M1" i="4" l="1"/>
  <c r="N2" i="4"/>
  <c r="M2" i="2"/>
  <c r="L128" i="2"/>
  <c r="L128" i="4" s="1"/>
  <c r="L125" i="2"/>
  <c r="L125" i="4" s="1"/>
  <c r="L101" i="2"/>
  <c r="L101" i="4" s="1"/>
  <c r="L26" i="2"/>
  <c r="L26" i="4" s="1"/>
  <c r="L117" i="2"/>
  <c r="L117" i="4" s="1"/>
  <c r="L109" i="2"/>
  <c r="L109" i="4" s="1"/>
  <c r="L94" i="2"/>
  <c r="L94" i="4" s="1"/>
  <c r="L90" i="2"/>
  <c r="L90" i="4" s="1"/>
  <c r="L86" i="2"/>
  <c r="L86" i="4" s="1"/>
  <c r="L82" i="2"/>
  <c r="L82" i="4" s="1"/>
  <c r="L89" i="2"/>
  <c r="L89" i="4" s="1"/>
  <c r="L85" i="2"/>
  <c r="L85" i="4" s="1"/>
  <c r="L81" i="2"/>
  <c r="L81" i="4" s="1"/>
  <c r="L129" i="2"/>
  <c r="L129" i="4" s="1"/>
  <c r="L113" i="2"/>
  <c r="L113" i="4" s="1"/>
  <c r="L130" i="2"/>
  <c r="L130" i="4" s="1"/>
  <c r="L126" i="2"/>
  <c r="L126" i="4" s="1"/>
  <c r="L122" i="2"/>
  <c r="L122" i="4" s="1"/>
  <c r="L118" i="2"/>
  <c r="L118" i="4" s="1"/>
  <c r="L114" i="2"/>
  <c r="L114" i="4" s="1"/>
  <c r="L110" i="2"/>
  <c r="L110" i="4" s="1"/>
  <c r="L106" i="2"/>
  <c r="L106" i="4" s="1"/>
  <c r="L102" i="2"/>
  <c r="L102" i="4" s="1"/>
  <c r="L74" i="2"/>
  <c r="L74" i="4" s="1"/>
  <c r="L70" i="2"/>
  <c r="L70" i="4" s="1"/>
  <c r="L66" i="2"/>
  <c r="L66" i="4" s="1"/>
  <c r="L46" i="2"/>
  <c r="L46" i="4" s="1"/>
  <c r="L93" i="2"/>
  <c r="L93" i="4" s="1"/>
  <c r="L78" i="2"/>
  <c r="L78" i="4" s="1"/>
  <c r="L6" i="2"/>
  <c r="L6" i="4" s="1"/>
  <c r="L77" i="2"/>
  <c r="L77" i="4" s="1"/>
  <c r="L73" i="2"/>
  <c r="L73" i="4" s="1"/>
  <c r="L69" i="2"/>
  <c r="L69" i="4" s="1"/>
  <c r="L65" i="2"/>
  <c r="L65" i="4" s="1"/>
  <c r="L13" i="2"/>
  <c r="L13" i="4" s="1"/>
  <c r="L76" i="2"/>
  <c r="L76" i="4" s="1"/>
  <c r="L68" i="2"/>
  <c r="L68" i="4" s="1"/>
  <c r="L60" i="2"/>
  <c r="L60" i="4" s="1"/>
  <c r="L98" i="2"/>
  <c r="L98" i="4" s="1"/>
  <c r="L57" i="2"/>
  <c r="L57" i="4" s="1"/>
  <c r="L53" i="2"/>
  <c r="L53" i="4" s="1"/>
  <c r="L49" i="2"/>
  <c r="L49" i="4" s="1"/>
  <c r="L25" i="2"/>
  <c r="L25" i="4" s="1"/>
  <c r="L21" i="2"/>
  <c r="L21" i="4" s="1"/>
  <c r="L5" i="2"/>
  <c r="L5" i="4" s="1"/>
  <c r="L121" i="2"/>
  <c r="L121" i="4" s="1"/>
  <c r="L105" i="2"/>
  <c r="L105" i="4" s="1"/>
  <c r="L72" i="2"/>
  <c r="L72" i="4" s="1"/>
  <c r="L48" i="2"/>
  <c r="L48" i="4" s="1"/>
  <c r="L40" i="2"/>
  <c r="L40" i="4" s="1"/>
  <c r="L28" i="2"/>
  <c r="L28" i="4" s="1"/>
  <c r="L12" i="2"/>
  <c r="L12" i="4" s="1"/>
  <c r="L4" i="2"/>
  <c r="L4" i="4" s="1"/>
  <c r="L99" i="2"/>
  <c r="L99" i="4" s="1"/>
  <c r="L62" i="2"/>
  <c r="L62" i="4" s="1"/>
  <c r="L58" i="2"/>
  <c r="L58" i="4" s="1"/>
  <c r="L54" i="2"/>
  <c r="L54" i="4" s="1"/>
  <c r="L50" i="2"/>
  <c r="L50" i="4" s="1"/>
  <c r="L42" i="2"/>
  <c r="L42" i="4" s="1"/>
  <c r="L38" i="2"/>
  <c r="L38" i="4" s="1"/>
  <c r="L34" i="2"/>
  <c r="L34" i="4" s="1"/>
  <c r="L30" i="2"/>
  <c r="L30" i="4" s="1"/>
  <c r="L22" i="2"/>
  <c r="L22" i="4" s="1"/>
  <c r="L18" i="2"/>
  <c r="L18" i="4" s="1"/>
  <c r="L14" i="2"/>
  <c r="L14" i="4" s="1"/>
  <c r="L10" i="2"/>
  <c r="L10" i="4" s="1"/>
  <c r="L61" i="2"/>
  <c r="L61" i="4" s="1"/>
  <c r="L45" i="2"/>
  <c r="L45" i="4" s="1"/>
  <c r="L41" i="2"/>
  <c r="L41" i="4" s="1"/>
  <c r="L37" i="2"/>
  <c r="L37" i="4" s="1"/>
  <c r="L33" i="2"/>
  <c r="L33" i="4" s="1"/>
  <c r="L29" i="2"/>
  <c r="L29" i="4" s="1"/>
  <c r="L17" i="2"/>
  <c r="L17" i="4" s="1"/>
  <c r="L9" i="2"/>
  <c r="L9" i="4" s="1"/>
  <c r="L96" i="2"/>
  <c r="L96" i="4" s="1"/>
  <c r="L92" i="2"/>
  <c r="L92" i="4" s="1"/>
  <c r="L88" i="2"/>
  <c r="L88" i="4" s="1"/>
  <c r="L84" i="2"/>
  <c r="L84" i="4" s="1"/>
  <c r="L80" i="2"/>
  <c r="L80" i="4" s="1"/>
  <c r="L36" i="2"/>
  <c r="L36" i="4" s="1"/>
  <c r="L8" i="2"/>
  <c r="L8" i="4" s="1"/>
  <c r="L64" i="2"/>
  <c r="L64" i="4" s="1"/>
  <c r="L56" i="2"/>
  <c r="L56" i="4" s="1"/>
  <c r="L20" i="2"/>
  <c r="L20" i="4" s="1"/>
  <c r="L79" i="2"/>
  <c r="L79" i="4" s="1"/>
  <c r="L75" i="2"/>
  <c r="L75" i="4" s="1"/>
  <c r="L59" i="2"/>
  <c r="L59" i="4" s="1"/>
  <c r="L55" i="2"/>
  <c r="L55" i="4" s="1"/>
  <c r="L31" i="2"/>
  <c r="L31" i="4" s="1"/>
  <c r="L23" i="2"/>
  <c r="L23" i="4" s="1"/>
  <c r="L15" i="2"/>
  <c r="L15" i="4" s="1"/>
  <c r="L127" i="2"/>
  <c r="L127" i="4" s="1"/>
  <c r="L120" i="2"/>
  <c r="L120" i="4" s="1"/>
  <c r="L112" i="2"/>
  <c r="L112" i="4" s="1"/>
  <c r="L104" i="2"/>
  <c r="L104" i="4" s="1"/>
  <c r="L107" i="2"/>
  <c r="L107" i="4" s="1"/>
  <c r="L44" i="2"/>
  <c r="L44" i="4" s="1"/>
  <c r="L24" i="2"/>
  <c r="L24" i="4" s="1"/>
  <c r="L83" i="2"/>
  <c r="L83" i="4" s="1"/>
  <c r="L51" i="2"/>
  <c r="L51" i="4" s="1"/>
  <c r="L43" i="2"/>
  <c r="L43" i="4" s="1"/>
  <c r="L39" i="2"/>
  <c r="L39" i="4" s="1"/>
  <c r="L35" i="2"/>
  <c r="L35" i="4" s="1"/>
  <c r="L19" i="2"/>
  <c r="L19" i="4" s="1"/>
  <c r="L11" i="2"/>
  <c r="L11" i="4" s="1"/>
  <c r="L95" i="2"/>
  <c r="L95" i="4" s="1"/>
  <c r="L71" i="2"/>
  <c r="L71" i="4" s="1"/>
  <c r="L67" i="2"/>
  <c r="L67" i="4" s="1"/>
  <c r="L27" i="2"/>
  <c r="L27" i="4" s="1"/>
  <c r="L119" i="2"/>
  <c r="L119" i="4" s="1"/>
  <c r="L115" i="2"/>
  <c r="L115" i="4" s="1"/>
  <c r="L111" i="2"/>
  <c r="L111" i="4" s="1"/>
  <c r="L32" i="2"/>
  <c r="L32" i="4" s="1"/>
  <c r="L16" i="2"/>
  <c r="L16" i="4" s="1"/>
  <c r="L91" i="2"/>
  <c r="L91" i="4" s="1"/>
  <c r="L87" i="2"/>
  <c r="L87" i="4" s="1"/>
  <c r="L47" i="2"/>
  <c r="L47" i="4" s="1"/>
  <c r="L7" i="2"/>
  <c r="L7" i="4" s="1"/>
  <c r="L124" i="2"/>
  <c r="L124" i="4" s="1"/>
  <c r="L116" i="2"/>
  <c r="L116" i="4" s="1"/>
  <c r="L108" i="2"/>
  <c r="L108" i="4" s="1"/>
  <c r="L100" i="2"/>
  <c r="L100" i="4" s="1"/>
  <c r="L97" i="2"/>
  <c r="L97" i="4" s="1"/>
  <c r="L52" i="2"/>
  <c r="L52" i="4" s="1"/>
  <c r="L3" i="2"/>
  <c r="L3" i="4" s="1"/>
  <c r="L123" i="2"/>
  <c r="L123" i="4" s="1"/>
  <c r="L103" i="2"/>
  <c r="L103" i="4" s="1"/>
  <c r="L63" i="2"/>
  <c r="L63" i="4" s="1"/>
  <c r="N1" i="4" l="1"/>
  <c r="O2" i="4"/>
  <c r="N2" i="2"/>
  <c r="M79" i="2"/>
  <c r="M79" i="4" s="1"/>
  <c r="M99" i="2"/>
  <c r="M99" i="4" s="1"/>
  <c r="M110" i="2"/>
  <c r="M110" i="4" s="1"/>
  <c r="M126" i="2"/>
  <c r="M126" i="4" s="1"/>
  <c r="M130" i="2"/>
  <c r="M130" i="4" s="1"/>
  <c r="M114" i="2"/>
  <c r="M114" i="4" s="1"/>
  <c r="M34" i="2"/>
  <c r="M34" i="4" s="1"/>
  <c r="M26" i="2"/>
  <c r="M26" i="4" s="1"/>
  <c r="M98" i="2"/>
  <c r="M98" i="4" s="1"/>
  <c r="M94" i="2"/>
  <c r="M94" i="4" s="1"/>
  <c r="M74" i="2"/>
  <c r="M74" i="4" s="1"/>
  <c r="M70" i="2"/>
  <c r="M70" i="4" s="1"/>
  <c r="M66" i="2"/>
  <c r="M66" i="4" s="1"/>
  <c r="M18" i="2"/>
  <c r="M18" i="4" s="1"/>
  <c r="M118" i="2"/>
  <c r="M118" i="4" s="1"/>
  <c r="M102" i="2"/>
  <c r="M102" i="4" s="1"/>
  <c r="M93" i="2"/>
  <c r="M93" i="4" s="1"/>
  <c r="M89" i="2"/>
  <c r="M89" i="4" s="1"/>
  <c r="M85" i="2"/>
  <c r="M85" i="4" s="1"/>
  <c r="M81" i="2"/>
  <c r="M81" i="4" s="1"/>
  <c r="M83" i="2"/>
  <c r="M83" i="4" s="1"/>
  <c r="M78" i="2"/>
  <c r="M78" i="4" s="1"/>
  <c r="M129" i="2"/>
  <c r="M129" i="4" s="1"/>
  <c r="M125" i="2"/>
  <c r="M125" i="4" s="1"/>
  <c r="M121" i="2"/>
  <c r="M121" i="4" s="1"/>
  <c r="M117" i="2"/>
  <c r="M117" i="4" s="1"/>
  <c r="M113" i="2"/>
  <c r="M113" i="4" s="1"/>
  <c r="M109" i="2"/>
  <c r="M109" i="4" s="1"/>
  <c r="M105" i="2"/>
  <c r="M105" i="4" s="1"/>
  <c r="M101" i="2"/>
  <c r="M101" i="4" s="1"/>
  <c r="M97" i="2"/>
  <c r="M97" i="4" s="1"/>
  <c r="M90" i="2"/>
  <c r="M90" i="4" s="1"/>
  <c r="M77" i="2"/>
  <c r="M77" i="4" s="1"/>
  <c r="M57" i="2"/>
  <c r="M57" i="4" s="1"/>
  <c r="M53" i="2"/>
  <c r="M53" i="4" s="1"/>
  <c r="M49" i="2"/>
  <c r="M49" i="4" s="1"/>
  <c r="M25" i="2"/>
  <c r="M25" i="4" s="1"/>
  <c r="M21" i="2"/>
  <c r="M21" i="4" s="1"/>
  <c r="M13" i="2"/>
  <c r="M13" i="4" s="1"/>
  <c r="M9" i="2"/>
  <c r="M9" i="4" s="1"/>
  <c r="M68" i="2"/>
  <c r="M68" i="4" s="1"/>
  <c r="M60" i="2"/>
  <c r="M60" i="4" s="1"/>
  <c r="M61" i="2"/>
  <c r="M61" i="4" s="1"/>
  <c r="M29" i="2"/>
  <c r="M29" i="4" s="1"/>
  <c r="M122" i="2"/>
  <c r="M122" i="4" s="1"/>
  <c r="M106" i="2"/>
  <c r="M106" i="4" s="1"/>
  <c r="M72" i="2"/>
  <c r="M72" i="4" s="1"/>
  <c r="M56" i="2"/>
  <c r="M56" i="4" s="1"/>
  <c r="M36" i="2"/>
  <c r="M36" i="4" s="1"/>
  <c r="M28" i="2"/>
  <c r="M28" i="4" s="1"/>
  <c r="M20" i="2"/>
  <c r="M20" i="4" s="1"/>
  <c r="M16" i="2"/>
  <c r="M16" i="4" s="1"/>
  <c r="M8" i="2"/>
  <c r="M8" i="4" s="1"/>
  <c r="M4" i="2"/>
  <c r="M4" i="4" s="1"/>
  <c r="M115" i="2"/>
  <c r="M115" i="4" s="1"/>
  <c r="M86" i="2"/>
  <c r="M86" i="4" s="1"/>
  <c r="M82" i="2"/>
  <c r="M82" i="4" s="1"/>
  <c r="M62" i="2"/>
  <c r="M62" i="4" s="1"/>
  <c r="M58" i="2"/>
  <c r="M58" i="4" s="1"/>
  <c r="M54" i="2"/>
  <c r="M54" i="4" s="1"/>
  <c r="M50" i="2"/>
  <c r="M50" i="4" s="1"/>
  <c r="M46" i="2"/>
  <c r="M46" i="4" s="1"/>
  <c r="M42" i="2"/>
  <c r="M42" i="4" s="1"/>
  <c r="M38" i="2"/>
  <c r="M38" i="4" s="1"/>
  <c r="M30" i="2"/>
  <c r="M30" i="4" s="1"/>
  <c r="M22" i="2"/>
  <c r="M22" i="4" s="1"/>
  <c r="M14" i="2"/>
  <c r="M14" i="4" s="1"/>
  <c r="M10" i="2"/>
  <c r="M10" i="4" s="1"/>
  <c r="M6" i="2"/>
  <c r="M6" i="4" s="1"/>
  <c r="M73" i="2"/>
  <c r="M73" i="4" s="1"/>
  <c r="M69" i="2"/>
  <c r="M69" i="4" s="1"/>
  <c r="M65" i="2"/>
  <c r="M65" i="4" s="1"/>
  <c r="M45" i="2"/>
  <c r="M45" i="4" s="1"/>
  <c r="M41" i="2"/>
  <c r="M41" i="4" s="1"/>
  <c r="M37" i="2"/>
  <c r="M37" i="4" s="1"/>
  <c r="M33" i="2"/>
  <c r="M33" i="4" s="1"/>
  <c r="M17" i="2"/>
  <c r="M17" i="4" s="1"/>
  <c r="M5" i="2"/>
  <c r="M5" i="4" s="1"/>
  <c r="M96" i="2"/>
  <c r="M96" i="4" s="1"/>
  <c r="M92" i="2"/>
  <c r="M92" i="4" s="1"/>
  <c r="M88" i="2"/>
  <c r="M88" i="4" s="1"/>
  <c r="M84" i="2"/>
  <c r="M84" i="4" s="1"/>
  <c r="M80" i="2"/>
  <c r="M80" i="4" s="1"/>
  <c r="M76" i="2"/>
  <c r="M76" i="4" s="1"/>
  <c r="M52" i="2"/>
  <c r="M52" i="4" s="1"/>
  <c r="M40" i="2"/>
  <c r="M40" i="4" s="1"/>
  <c r="M32" i="2"/>
  <c r="M32" i="4" s="1"/>
  <c r="M24" i="2"/>
  <c r="M24" i="4" s="1"/>
  <c r="M12" i="2"/>
  <c r="M12" i="4" s="1"/>
  <c r="M119" i="2"/>
  <c r="M119" i="4" s="1"/>
  <c r="M103" i="2"/>
  <c r="M103" i="4" s="1"/>
  <c r="M64" i="2"/>
  <c r="M64" i="4" s="1"/>
  <c r="M44" i="2"/>
  <c r="M44" i="4" s="1"/>
  <c r="M123" i="2"/>
  <c r="M123" i="4" s="1"/>
  <c r="M75" i="2"/>
  <c r="M75" i="4" s="1"/>
  <c r="M55" i="2"/>
  <c r="M55" i="4" s="1"/>
  <c r="M23" i="2"/>
  <c r="M23" i="4" s="1"/>
  <c r="M19" i="2"/>
  <c r="M19" i="4" s="1"/>
  <c r="M112" i="2"/>
  <c r="M112" i="4" s="1"/>
  <c r="M127" i="2"/>
  <c r="M127" i="4" s="1"/>
  <c r="M51" i="2"/>
  <c r="M51" i="4" s="1"/>
  <c r="M39" i="2"/>
  <c r="M39" i="4" s="1"/>
  <c r="M35" i="2"/>
  <c r="M35" i="4" s="1"/>
  <c r="M27" i="2"/>
  <c r="M27" i="4" s="1"/>
  <c r="M11" i="2"/>
  <c r="M11" i="4" s="1"/>
  <c r="M7" i="2"/>
  <c r="M7" i="4" s="1"/>
  <c r="M128" i="2"/>
  <c r="M128" i="4" s="1"/>
  <c r="M91" i="2"/>
  <c r="M91" i="4" s="1"/>
  <c r="M71" i="2"/>
  <c r="M71" i="4" s="1"/>
  <c r="M67" i="2"/>
  <c r="M67" i="4" s="1"/>
  <c r="M43" i="2"/>
  <c r="M43" i="4" s="1"/>
  <c r="M124" i="2"/>
  <c r="M124" i="4" s="1"/>
  <c r="M104" i="2"/>
  <c r="M104" i="4" s="1"/>
  <c r="M100" i="2"/>
  <c r="M100" i="4" s="1"/>
  <c r="M87" i="2"/>
  <c r="M87" i="4" s="1"/>
  <c r="M48" i="2"/>
  <c r="M48" i="4" s="1"/>
  <c r="M107" i="2"/>
  <c r="M107" i="4" s="1"/>
  <c r="M63" i="2"/>
  <c r="M63" i="4" s="1"/>
  <c r="M59" i="2"/>
  <c r="M59" i="4" s="1"/>
  <c r="M47" i="2"/>
  <c r="M47" i="4" s="1"/>
  <c r="M31" i="2"/>
  <c r="M31" i="4" s="1"/>
  <c r="M15" i="2"/>
  <c r="M15" i="4" s="1"/>
  <c r="M111" i="2"/>
  <c r="M111" i="4" s="1"/>
  <c r="M3" i="2"/>
  <c r="M3" i="4" s="1"/>
  <c r="M120" i="2"/>
  <c r="M120" i="4" s="1"/>
  <c r="M116" i="2"/>
  <c r="M116" i="4" s="1"/>
  <c r="M108" i="2"/>
  <c r="M108" i="4" s="1"/>
  <c r="M95" i="2"/>
  <c r="M95" i="4" s="1"/>
  <c r="O1" i="4" l="1"/>
  <c r="P2" i="4"/>
  <c r="O2" i="2"/>
  <c r="N80" i="2"/>
  <c r="N80" i="4" s="1"/>
  <c r="N107" i="2"/>
  <c r="N107" i="4" s="1"/>
  <c r="N123" i="2"/>
  <c r="N123" i="4" s="1"/>
  <c r="N103" i="2"/>
  <c r="N103" i="4" s="1"/>
  <c r="N119" i="2"/>
  <c r="N119" i="4" s="1"/>
  <c r="N111" i="2"/>
  <c r="N111" i="4" s="1"/>
  <c r="N127" i="2"/>
  <c r="N127" i="4" s="1"/>
  <c r="N115" i="2"/>
  <c r="N115" i="4" s="1"/>
  <c r="N34" i="2"/>
  <c r="N34" i="4" s="1"/>
  <c r="N58" i="2"/>
  <c r="N58" i="4" s="1"/>
  <c r="N54" i="2"/>
  <c r="N54" i="4" s="1"/>
  <c r="N46" i="2"/>
  <c r="N46" i="4" s="1"/>
  <c r="N26" i="2"/>
  <c r="N26" i="4" s="1"/>
  <c r="N18" i="2"/>
  <c r="N18" i="4" s="1"/>
  <c r="N10" i="2"/>
  <c r="N10" i="4" s="1"/>
  <c r="N93" i="2"/>
  <c r="N93" i="4" s="1"/>
  <c r="N89" i="2"/>
  <c r="N89" i="4" s="1"/>
  <c r="N85" i="2"/>
  <c r="N85" i="4" s="1"/>
  <c r="N81" i="2"/>
  <c r="N81" i="4" s="1"/>
  <c r="N130" i="2"/>
  <c r="N130" i="4" s="1"/>
  <c r="N78" i="2"/>
  <c r="N78" i="4" s="1"/>
  <c r="N62" i="2"/>
  <c r="N62" i="4" s="1"/>
  <c r="N50" i="2"/>
  <c r="N50" i="4" s="1"/>
  <c r="N22" i="2"/>
  <c r="N22" i="4" s="1"/>
  <c r="N129" i="2"/>
  <c r="N129" i="4" s="1"/>
  <c r="N125" i="2"/>
  <c r="N125" i="4" s="1"/>
  <c r="N121" i="2"/>
  <c r="N121" i="4" s="1"/>
  <c r="N117" i="2"/>
  <c r="N117" i="4" s="1"/>
  <c r="N113" i="2"/>
  <c r="N113" i="4" s="1"/>
  <c r="N109" i="2"/>
  <c r="N109" i="4" s="1"/>
  <c r="N105" i="2"/>
  <c r="N105" i="4" s="1"/>
  <c r="N101" i="2"/>
  <c r="N101" i="4" s="1"/>
  <c r="N97" i="2"/>
  <c r="N97" i="4" s="1"/>
  <c r="N95" i="2"/>
  <c r="N95" i="4" s="1"/>
  <c r="N126" i="2"/>
  <c r="N126" i="4" s="1"/>
  <c r="N122" i="2"/>
  <c r="N122" i="4" s="1"/>
  <c r="N118" i="2"/>
  <c r="N118" i="4" s="1"/>
  <c r="N114" i="2"/>
  <c r="N114" i="4" s="1"/>
  <c r="N110" i="2"/>
  <c r="N110" i="4" s="1"/>
  <c r="N106" i="2"/>
  <c r="N106" i="4" s="1"/>
  <c r="N102" i="2"/>
  <c r="N102" i="4" s="1"/>
  <c r="N98" i="2"/>
  <c r="N98" i="4" s="1"/>
  <c r="N94" i="2"/>
  <c r="N94" i="4" s="1"/>
  <c r="N90" i="2"/>
  <c r="N90" i="4" s="1"/>
  <c r="N33" i="2"/>
  <c r="N33" i="4" s="1"/>
  <c r="N9" i="2"/>
  <c r="N9" i="4" s="1"/>
  <c r="N68" i="2"/>
  <c r="N68" i="4" s="1"/>
  <c r="N61" i="2"/>
  <c r="N61" i="4" s="1"/>
  <c r="N45" i="2"/>
  <c r="N45" i="4" s="1"/>
  <c r="N37" i="2"/>
  <c r="N37" i="4" s="1"/>
  <c r="N17" i="2"/>
  <c r="N17" i="4" s="1"/>
  <c r="N13" i="2"/>
  <c r="N13" i="4" s="1"/>
  <c r="N72" i="2"/>
  <c r="N72" i="4" s="1"/>
  <c r="N56" i="2"/>
  <c r="N56" i="4" s="1"/>
  <c r="N20" i="2"/>
  <c r="N20" i="4" s="1"/>
  <c r="N8" i="2"/>
  <c r="N8" i="4" s="1"/>
  <c r="N4" i="2"/>
  <c r="N4" i="4" s="1"/>
  <c r="N116" i="2"/>
  <c r="N116" i="4" s="1"/>
  <c r="N100" i="2"/>
  <c r="N100" i="4" s="1"/>
  <c r="N86" i="2"/>
  <c r="N86" i="4" s="1"/>
  <c r="N82" i="2"/>
  <c r="N82" i="4" s="1"/>
  <c r="N74" i="2"/>
  <c r="N74" i="4" s="1"/>
  <c r="N70" i="2"/>
  <c r="N70" i="4" s="1"/>
  <c r="N66" i="2"/>
  <c r="N66" i="4" s="1"/>
  <c r="N42" i="2"/>
  <c r="N42" i="4" s="1"/>
  <c r="N38" i="2"/>
  <c r="N38" i="4" s="1"/>
  <c r="N30" i="2"/>
  <c r="N30" i="4" s="1"/>
  <c r="N14" i="2"/>
  <c r="N14" i="4" s="1"/>
  <c r="N6" i="2"/>
  <c r="N6" i="4" s="1"/>
  <c r="N77" i="2"/>
  <c r="N77" i="4" s="1"/>
  <c r="N73" i="2"/>
  <c r="N73" i="4" s="1"/>
  <c r="N69" i="2"/>
  <c r="N69" i="4" s="1"/>
  <c r="N65" i="2"/>
  <c r="N65" i="4" s="1"/>
  <c r="N57" i="2"/>
  <c r="N57" i="4" s="1"/>
  <c r="N53" i="2"/>
  <c r="N53" i="4" s="1"/>
  <c r="N49" i="2"/>
  <c r="N49" i="4" s="1"/>
  <c r="N41" i="2"/>
  <c r="N41" i="4" s="1"/>
  <c r="N25" i="2"/>
  <c r="N25" i="4" s="1"/>
  <c r="N21" i="2"/>
  <c r="N21" i="4" s="1"/>
  <c r="N76" i="2"/>
  <c r="N76" i="4" s="1"/>
  <c r="N60" i="2"/>
  <c r="N60" i="4" s="1"/>
  <c r="N52" i="2"/>
  <c r="N52" i="4" s="1"/>
  <c r="N40" i="2"/>
  <c r="N40" i="4" s="1"/>
  <c r="N24" i="2"/>
  <c r="N24" i="4" s="1"/>
  <c r="N120" i="2"/>
  <c r="N120" i="4" s="1"/>
  <c r="N104" i="2"/>
  <c r="N104" i="4" s="1"/>
  <c r="N5" i="2"/>
  <c r="N5" i="4" s="1"/>
  <c r="N64" i="2"/>
  <c r="N64" i="4" s="1"/>
  <c r="N44" i="2"/>
  <c r="N44" i="4" s="1"/>
  <c r="N12" i="2"/>
  <c r="N12" i="4" s="1"/>
  <c r="N124" i="2"/>
  <c r="N124" i="4" s="1"/>
  <c r="N63" i="2"/>
  <c r="N63" i="4" s="1"/>
  <c r="N55" i="2"/>
  <c r="N55" i="4" s="1"/>
  <c r="N23" i="2"/>
  <c r="N23" i="4" s="1"/>
  <c r="N7" i="2"/>
  <c r="N7" i="4" s="1"/>
  <c r="N88" i="2"/>
  <c r="N88" i="4" s="1"/>
  <c r="N16" i="2"/>
  <c r="N16" i="4" s="1"/>
  <c r="N128" i="2"/>
  <c r="N128" i="4" s="1"/>
  <c r="N79" i="2"/>
  <c r="N79" i="4" s="1"/>
  <c r="N67" i="2"/>
  <c r="N67" i="4" s="1"/>
  <c r="N51" i="2"/>
  <c r="N51" i="4" s="1"/>
  <c r="N39" i="2"/>
  <c r="N39" i="4" s="1"/>
  <c r="N27" i="2"/>
  <c r="N27" i="4" s="1"/>
  <c r="N11" i="2"/>
  <c r="N11" i="4" s="1"/>
  <c r="N99" i="2"/>
  <c r="N99" i="4" s="1"/>
  <c r="N92" i="2"/>
  <c r="N92" i="4" s="1"/>
  <c r="N29" i="2"/>
  <c r="N29" i="4" s="1"/>
  <c r="N84" i="2"/>
  <c r="N84" i="4" s="1"/>
  <c r="N91" i="2"/>
  <c r="N91" i="4" s="1"/>
  <c r="N75" i="2"/>
  <c r="N75" i="4" s="1"/>
  <c r="N96" i="2"/>
  <c r="N96" i="4" s="1"/>
  <c r="N48" i="2"/>
  <c r="N48" i="4" s="1"/>
  <c r="N28" i="2"/>
  <c r="N28" i="4" s="1"/>
  <c r="N108" i="2"/>
  <c r="N108" i="4" s="1"/>
  <c r="N3" i="2"/>
  <c r="N3" i="4" s="1"/>
  <c r="N87" i="2"/>
  <c r="N87" i="4" s="1"/>
  <c r="N83" i="2"/>
  <c r="N83" i="4" s="1"/>
  <c r="N71" i="2"/>
  <c r="N71" i="4" s="1"/>
  <c r="N59" i="2"/>
  <c r="N59" i="4" s="1"/>
  <c r="N47" i="2"/>
  <c r="N47" i="4" s="1"/>
  <c r="N43" i="2"/>
  <c r="N43" i="4" s="1"/>
  <c r="N31" i="2"/>
  <c r="N31" i="4" s="1"/>
  <c r="N15" i="2"/>
  <c r="N15" i="4" s="1"/>
  <c r="N36" i="2"/>
  <c r="N36" i="4" s="1"/>
  <c r="N32" i="2"/>
  <c r="N32" i="4" s="1"/>
  <c r="N112" i="2"/>
  <c r="N112" i="4" s="1"/>
  <c r="N35" i="2"/>
  <c r="N35" i="4" s="1"/>
  <c r="N19" i="2"/>
  <c r="N19" i="4" s="1"/>
  <c r="P1" i="4" l="1"/>
  <c r="Q2" i="4"/>
  <c r="P2" i="2"/>
  <c r="O127" i="2"/>
  <c r="O127" i="4" s="1"/>
  <c r="O75" i="2"/>
  <c r="O75" i="4" s="1"/>
  <c r="O108" i="2"/>
  <c r="O108" i="4" s="1"/>
  <c r="O124" i="2"/>
  <c r="O124" i="4" s="1"/>
  <c r="O104" i="2"/>
  <c r="O104" i="4" s="1"/>
  <c r="O120" i="2"/>
  <c r="O120" i="4" s="1"/>
  <c r="O112" i="2"/>
  <c r="O112" i="4" s="1"/>
  <c r="O100" i="2"/>
  <c r="O100" i="4" s="1"/>
  <c r="O116" i="2"/>
  <c r="O116" i="4" s="1"/>
  <c r="O128" i="2"/>
  <c r="O128" i="4" s="1"/>
  <c r="O78" i="2"/>
  <c r="O78" i="4" s="1"/>
  <c r="O58" i="2"/>
  <c r="O58" i="4" s="1"/>
  <c r="O54" i="2"/>
  <c r="O54" i="4" s="1"/>
  <c r="O50" i="2"/>
  <c r="O50" i="4" s="1"/>
  <c r="O34" i="2"/>
  <c r="O34" i="4" s="1"/>
  <c r="O26" i="2"/>
  <c r="O26" i="4" s="1"/>
  <c r="O22" i="2"/>
  <c r="O22" i="4" s="1"/>
  <c r="O18" i="2"/>
  <c r="O18" i="4" s="1"/>
  <c r="O38" i="2"/>
  <c r="O38" i="4" s="1"/>
  <c r="O14" i="2"/>
  <c r="O14" i="4" s="1"/>
  <c r="O10" i="2"/>
  <c r="O10" i="4" s="1"/>
  <c r="O97" i="2"/>
  <c r="O97" i="4" s="1"/>
  <c r="O85" i="2"/>
  <c r="O85" i="4" s="1"/>
  <c r="O62" i="2"/>
  <c r="O62" i="4" s="1"/>
  <c r="O130" i="2"/>
  <c r="O130" i="4" s="1"/>
  <c r="O126" i="2"/>
  <c r="O126" i="4" s="1"/>
  <c r="O122" i="2"/>
  <c r="O122" i="4" s="1"/>
  <c r="O118" i="2"/>
  <c r="O118" i="4" s="1"/>
  <c r="O114" i="2"/>
  <c r="O114" i="4" s="1"/>
  <c r="O110" i="2"/>
  <c r="O110" i="4" s="1"/>
  <c r="O106" i="2"/>
  <c r="O106" i="4" s="1"/>
  <c r="O102" i="2"/>
  <c r="O102" i="4" s="1"/>
  <c r="O98" i="2"/>
  <c r="O98" i="4" s="1"/>
  <c r="O94" i="2"/>
  <c r="O94" i="4" s="1"/>
  <c r="O90" i="2"/>
  <c r="O90" i="4" s="1"/>
  <c r="O74" i="2"/>
  <c r="O74" i="4" s="1"/>
  <c r="O42" i="2"/>
  <c r="O42" i="4" s="1"/>
  <c r="O30" i="2"/>
  <c r="O30" i="4" s="1"/>
  <c r="O129" i="2"/>
  <c r="O129" i="4" s="1"/>
  <c r="O125" i="2"/>
  <c r="O125" i="4" s="1"/>
  <c r="O121" i="2"/>
  <c r="O121" i="4" s="1"/>
  <c r="O117" i="2"/>
  <c r="O117" i="4" s="1"/>
  <c r="O113" i="2"/>
  <c r="O113" i="4" s="1"/>
  <c r="O109" i="2"/>
  <c r="O109" i="4" s="1"/>
  <c r="O105" i="2"/>
  <c r="O105" i="4" s="1"/>
  <c r="O101" i="2"/>
  <c r="O101" i="4" s="1"/>
  <c r="O93" i="2"/>
  <c r="O93" i="4" s="1"/>
  <c r="O81" i="2"/>
  <c r="O81" i="4" s="1"/>
  <c r="O45" i="2"/>
  <c r="O45" i="4" s="1"/>
  <c r="O5" i="2"/>
  <c r="O5" i="4" s="1"/>
  <c r="O76" i="2"/>
  <c r="O76" i="4" s="1"/>
  <c r="O56" i="2"/>
  <c r="O56" i="4" s="1"/>
  <c r="O44" i="2"/>
  <c r="O44" i="4" s="1"/>
  <c r="O20" i="2"/>
  <c r="O20" i="4" s="1"/>
  <c r="O3" i="2"/>
  <c r="O3" i="4" s="1"/>
  <c r="O95" i="2"/>
  <c r="O95" i="4" s="1"/>
  <c r="O86" i="2"/>
  <c r="O86" i="4" s="1"/>
  <c r="O82" i="2"/>
  <c r="O82" i="4" s="1"/>
  <c r="O70" i="2"/>
  <c r="O70" i="4" s="1"/>
  <c r="O66" i="2"/>
  <c r="O66" i="4" s="1"/>
  <c r="O6" i="2"/>
  <c r="O6" i="4" s="1"/>
  <c r="O89" i="2"/>
  <c r="O89" i="4" s="1"/>
  <c r="O77" i="2"/>
  <c r="O77" i="4" s="1"/>
  <c r="O73" i="2"/>
  <c r="O73" i="4" s="1"/>
  <c r="O69" i="2"/>
  <c r="O69" i="4" s="1"/>
  <c r="O65" i="2"/>
  <c r="O65" i="4" s="1"/>
  <c r="O57" i="2"/>
  <c r="O57" i="4" s="1"/>
  <c r="O53" i="2"/>
  <c r="O53" i="4" s="1"/>
  <c r="O49" i="2"/>
  <c r="O49" i="4" s="1"/>
  <c r="O25" i="2"/>
  <c r="O25" i="4" s="1"/>
  <c r="O21" i="2"/>
  <c r="O21" i="4" s="1"/>
  <c r="O9" i="2"/>
  <c r="O9" i="4" s="1"/>
  <c r="O68" i="2"/>
  <c r="O68" i="4" s="1"/>
  <c r="O60" i="2"/>
  <c r="O60" i="4" s="1"/>
  <c r="O52" i="2"/>
  <c r="O52" i="4" s="1"/>
  <c r="O40" i="2"/>
  <c r="O40" i="4" s="1"/>
  <c r="O36" i="2"/>
  <c r="O36" i="4" s="1"/>
  <c r="O24" i="2"/>
  <c r="O24" i="4" s="1"/>
  <c r="O12" i="2"/>
  <c r="O12" i="4" s="1"/>
  <c r="O8" i="2"/>
  <c r="O8" i="4" s="1"/>
  <c r="O71" i="2"/>
  <c r="O71" i="4" s="1"/>
  <c r="O67" i="2"/>
  <c r="O67" i="4" s="1"/>
  <c r="O59" i="2"/>
  <c r="O59" i="4" s="1"/>
  <c r="O47" i="2"/>
  <c r="O47" i="4" s="1"/>
  <c r="O27" i="2"/>
  <c r="O27" i="4" s="1"/>
  <c r="O64" i="2"/>
  <c r="O64" i="4" s="1"/>
  <c r="O123" i="2"/>
  <c r="O123" i="4" s="1"/>
  <c r="O115" i="2"/>
  <c r="O115" i="4" s="1"/>
  <c r="O107" i="2"/>
  <c r="O107" i="4" s="1"/>
  <c r="O92" i="2"/>
  <c r="O92" i="4" s="1"/>
  <c r="O88" i="2"/>
  <c r="O88" i="4" s="1"/>
  <c r="O84" i="2"/>
  <c r="O84" i="4" s="1"/>
  <c r="O80" i="2"/>
  <c r="O80" i="4" s="1"/>
  <c r="O96" i="2"/>
  <c r="O96" i="4" s="1"/>
  <c r="O79" i="2"/>
  <c r="O79" i="4" s="1"/>
  <c r="O39" i="2"/>
  <c r="O39" i="4" s="1"/>
  <c r="O11" i="2"/>
  <c r="O11" i="4" s="1"/>
  <c r="O61" i="2"/>
  <c r="O61" i="4" s="1"/>
  <c r="O37" i="2"/>
  <c r="O37" i="4" s="1"/>
  <c r="O33" i="2"/>
  <c r="O33" i="4" s="1"/>
  <c r="O17" i="2"/>
  <c r="O17" i="4" s="1"/>
  <c r="O13" i="2"/>
  <c r="O13" i="4" s="1"/>
  <c r="O91" i="2"/>
  <c r="O91" i="4" s="1"/>
  <c r="O87" i="2"/>
  <c r="O87" i="4" s="1"/>
  <c r="O51" i="2"/>
  <c r="O51" i="4" s="1"/>
  <c r="O35" i="2"/>
  <c r="O35" i="4" s="1"/>
  <c r="O46" i="2"/>
  <c r="O46" i="4" s="1"/>
  <c r="O72" i="2"/>
  <c r="O72" i="4" s="1"/>
  <c r="O48" i="2"/>
  <c r="O48" i="4" s="1"/>
  <c r="O28" i="2"/>
  <c r="O28" i="4" s="1"/>
  <c r="O4" i="2"/>
  <c r="O4" i="4" s="1"/>
  <c r="O83" i="2"/>
  <c r="O83" i="4" s="1"/>
  <c r="O63" i="2"/>
  <c r="O63" i="4" s="1"/>
  <c r="O55" i="2"/>
  <c r="O55" i="4" s="1"/>
  <c r="O43" i="2"/>
  <c r="O43" i="4" s="1"/>
  <c r="O31" i="2"/>
  <c r="O31" i="4" s="1"/>
  <c r="O23" i="2"/>
  <c r="O23" i="4" s="1"/>
  <c r="O15" i="2"/>
  <c r="O15" i="4" s="1"/>
  <c r="O7" i="2"/>
  <c r="O7" i="4" s="1"/>
  <c r="O119" i="2"/>
  <c r="O119" i="4" s="1"/>
  <c r="O111" i="2"/>
  <c r="O111" i="4" s="1"/>
  <c r="O103" i="2"/>
  <c r="O103" i="4" s="1"/>
  <c r="O41" i="2"/>
  <c r="O41" i="4" s="1"/>
  <c r="O29" i="2"/>
  <c r="O29" i="4" s="1"/>
  <c r="O32" i="2"/>
  <c r="O32" i="4" s="1"/>
  <c r="O16" i="2"/>
  <c r="O16" i="4" s="1"/>
  <c r="O99" i="2"/>
  <c r="O99" i="4" s="1"/>
  <c r="O19" i="2"/>
  <c r="O19" i="4" s="1"/>
  <c r="Q1" i="4" l="1"/>
  <c r="R2" i="4"/>
  <c r="Q2" i="2"/>
  <c r="P128" i="2"/>
  <c r="P128" i="4" s="1"/>
  <c r="P76" i="2"/>
  <c r="P76" i="4" s="1"/>
  <c r="P113" i="2"/>
  <c r="P113" i="4" s="1"/>
  <c r="P129" i="2"/>
  <c r="P129" i="4" s="1"/>
  <c r="P121" i="2"/>
  <c r="P121" i="4" s="1"/>
  <c r="P86" i="2"/>
  <c r="P86" i="4" s="1"/>
  <c r="P78" i="2"/>
  <c r="P78" i="4" s="1"/>
  <c r="P62" i="2"/>
  <c r="P62" i="4" s="1"/>
  <c r="P58" i="2"/>
  <c r="P58" i="4" s="1"/>
  <c r="P54" i="2"/>
  <c r="P54" i="4" s="1"/>
  <c r="P50" i="2"/>
  <c r="P50" i="4" s="1"/>
  <c r="P42" i="2"/>
  <c r="P42" i="4" s="1"/>
  <c r="P38" i="2"/>
  <c r="P38" i="4" s="1"/>
  <c r="P34" i="2"/>
  <c r="P34" i="4" s="1"/>
  <c r="P30" i="2"/>
  <c r="P30" i="4" s="1"/>
  <c r="P22" i="2"/>
  <c r="P22" i="4" s="1"/>
  <c r="P18" i="2"/>
  <c r="P18" i="4" s="1"/>
  <c r="P14" i="2"/>
  <c r="P14" i="4" s="1"/>
  <c r="P10" i="2"/>
  <c r="P10" i="4" s="1"/>
  <c r="P94" i="2"/>
  <c r="P94" i="4" s="1"/>
  <c r="P90" i="2"/>
  <c r="P90" i="4" s="1"/>
  <c r="P82" i="2"/>
  <c r="P82" i="4" s="1"/>
  <c r="P26" i="2"/>
  <c r="P26" i="4" s="1"/>
  <c r="P98" i="2"/>
  <c r="P98" i="4" s="1"/>
  <c r="P46" i="2"/>
  <c r="P46" i="4" s="1"/>
  <c r="P97" i="2"/>
  <c r="P97" i="4" s="1"/>
  <c r="P89" i="2"/>
  <c r="P89" i="4" s="1"/>
  <c r="P85" i="2"/>
  <c r="P85" i="4" s="1"/>
  <c r="P81" i="2"/>
  <c r="P81" i="4" s="1"/>
  <c r="P130" i="2"/>
  <c r="P130" i="4" s="1"/>
  <c r="P126" i="2"/>
  <c r="P126" i="4" s="1"/>
  <c r="P122" i="2"/>
  <c r="P122" i="4" s="1"/>
  <c r="P118" i="2"/>
  <c r="P118" i="4" s="1"/>
  <c r="P114" i="2"/>
  <c r="P114" i="4" s="1"/>
  <c r="P110" i="2"/>
  <c r="P110" i="4" s="1"/>
  <c r="P106" i="2"/>
  <c r="P106" i="4" s="1"/>
  <c r="P102" i="2"/>
  <c r="P102" i="4" s="1"/>
  <c r="P74" i="2"/>
  <c r="P74" i="4" s="1"/>
  <c r="P6" i="2"/>
  <c r="P6" i="4" s="1"/>
  <c r="P93" i="2"/>
  <c r="P93" i="4" s="1"/>
  <c r="P73" i="2"/>
  <c r="P73" i="4" s="1"/>
  <c r="P69" i="2"/>
  <c r="P69" i="4" s="1"/>
  <c r="P64" i="2"/>
  <c r="P64" i="4" s="1"/>
  <c r="P77" i="2"/>
  <c r="P77" i="4" s="1"/>
  <c r="P13" i="2"/>
  <c r="P13" i="4" s="1"/>
  <c r="P5" i="2"/>
  <c r="P5" i="4" s="1"/>
  <c r="P125" i="2"/>
  <c r="P125" i="4" s="1"/>
  <c r="P109" i="2"/>
  <c r="P109" i="4" s="1"/>
  <c r="P68" i="2"/>
  <c r="P68" i="4" s="1"/>
  <c r="P60" i="2"/>
  <c r="P60" i="4" s="1"/>
  <c r="P48" i="2"/>
  <c r="P48" i="4" s="1"/>
  <c r="P44" i="2"/>
  <c r="P44" i="4" s="1"/>
  <c r="P3" i="2"/>
  <c r="P3" i="4" s="1"/>
  <c r="P95" i="2"/>
  <c r="P95" i="4" s="1"/>
  <c r="P101" i="2"/>
  <c r="P101" i="4" s="1"/>
  <c r="P70" i="2"/>
  <c r="P70" i="4" s="1"/>
  <c r="P66" i="2"/>
  <c r="P66" i="4" s="1"/>
  <c r="P65" i="2"/>
  <c r="P65" i="4" s="1"/>
  <c r="P57" i="2"/>
  <c r="P57" i="4" s="1"/>
  <c r="P53" i="2"/>
  <c r="P53" i="4" s="1"/>
  <c r="P49" i="2"/>
  <c r="P49" i="4" s="1"/>
  <c r="P25" i="2"/>
  <c r="P25" i="4" s="1"/>
  <c r="P21" i="2"/>
  <c r="P21" i="4" s="1"/>
  <c r="P72" i="2"/>
  <c r="P72" i="4" s="1"/>
  <c r="P40" i="2"/>
  <c r="P40" i="4" s="1"/>
  <c r="P28" i="2"/>
  <c r="P28" i="4" s="1"/>
  <c r="P16" i="2"/>
  <c r="P16" i="4" s="1"/>
  <c r="P12" i="2"/>
  <c r="P12" i="4" s="1"/>
  <c r="P4" i="2"/>
  <c r="P4" i="4" s="1"/>
  <c r="P99" i="2"/>
  <c r="P99" i="4" s="1"/>
  <c r="P105" i="2"/>
  <c r="P105" i="4" s="1"/>
  <c r="P29" i="2"/>
  <c r="P29" i="4" s="1"/>
  <c r="P56" i="2"/>
  <c r="P56" i="4" s="1"/>
  <c r="P36" i="2"/>
  <c r="P36" i="4" s="1"/>
  <c r="P20" i="2"/>
  <c r="P20" i="4" s="1"/>
  <c r="P8" i="2"/>
  <c r="P8" i="4" s="1"/>
  <c r="P71" i="2"/>
  <c r="P71" i="4" s="1"/>
  <c r="P67" i="2"/>
  <c r="P67" i="4" s="1"/>
  <c r="P27" i="2"/>
  <c r="P27" i="4" s="1"/>
  <c r="P15" i="2"/>
  <c r="P15" i="4" s="1"/>
  <c r="P96" i="2"/>
  <c r="P96" i="4" s="1"/>
  <c r="P92" i="2"/>
  <c r="P92" i="4" s="1"/>
  <c r="P88" i="2"/>
  <c r="P88" i="4" s="1"/>
  <c r="P84" i="2"/>
  <c r="P84" i="4" s="1"/>
  <c r="P80" i="2"/>
  <c r="P80" i="4" s="1"/>
  <c r="P24" i="2"/>
  <c r="P24" i="4" s="1"/>
  <c r="P79" i="2"/>
  <c r="P79" i="4" s="1"/>
  <c r="P75" i="2"/>
  <c r="P75" i="4" s="1"/>
  <c r="P63" i="2"/>
  <c r="P63" i="4" s="1"/>
  <c r="P55" i="2"/>
  <c r="P55" i="4" s="1"/>
  <c r="P35" i="2"/>
  <c r="P35" i="4" s="1"/>
  <c r="P23" i="2"/>
  <c r="P23" i="4" s="1"/>
  <c r="P19" i="2"/>
  <c r="P19" i="4" s="1"/>
  <c r="P124" i="2"/>
  <c r="P124" i="4" s="1"/>
  <c r="P116" i="2"/>
  <c r="P116" i="4" s="1"/>
  <c r="P108" i="2"/>
  <c r="P108" i="4" s="1"/>
  <c r="P100" i="2"/>
  <c r="P100" i="4" s="1"/>
  <c r="P117" i="2"/>
  <c r="P117" i="4" s="1"/>
  <c r="P61" i="2"/>
  <c r="P61" i="4" s="1"/>
  <c r="P41" i="2"/>
  <c r="P41" i="4" s="1"/>
  <c r="P37" i="2"/>
  <c r="P37" i="4" s="1"/>
  <c r="P33" i="2"/>
  <c r="P33" i="4" s="1"/>
  <c r="P17" i="2"/>
  <c r="P17" i="4" s="1"/>
  <c r="P9" i="2"/>
  <c r="P9" i="4" s="1"/>
  <c r="P52" i="2"/>
  <c r="P52" i="4" s="1"/>
  <c r="P91" i="2"/>
  <c r="P91" i="4" s="1"/>
  <c r="P87" i="2"/>
  <c r="P87" i="4" s="1"/>
  <c r="P59" i="2"/>
  <c r="P59" i="4" s="1"/>
  <c r="P47" i="2"/>
  <c r="P47" i="4" s="1"/>
  <c r="P39" i="2"/>
  <c r="P39" i="4" s="1"/>
  <c r="P120" i="2"/>
  <c r="P120" i="4" s="1"/>
  <c r="P83" i="2"/>
  <c r="P83" i="4" s="1"/>
  <c r="P51" i="2"/>
  <c r="P51" i="4" s="1"/>
  <c r="P31" i="2"/>
  <c r="P31" i="4" s="1"/>
  <c r="P11" i="2"/>
  <c r="P11" i="4" s="1"/>
  <c r="P123" i="2"/>
  <c r="P123" i="4" s="1"/>
  <c r="P119" i="2"/>
  <c r="P119" i="4" s="1"/>
  <c r="P115" i="2"/>
  <c r="P115" i="4" s="1"/>
  <c r="P111" i="2"/>
  <c r="P111" i="4" s="1"/>
  <c r="P107" i="2"/>
  <c r="P107" i="4" s="1"/>
  <c r="P103" i="2"/>
  <c r="P103" i="4" s="1"/>
  <c r="P45" i="2"/>
  <c r="P45" i="4" s="1"/>
  <c r="P32" i="2"/>
  <c r="P32" i="4" s="1"/>
  <c r="P43" i="2"/>
  <c r="P43" i="4" s="1"/>
  <c r="P7" i="2"/>
  <c r="P7" i="4" s="1"/>
  <c r="P127" i="2"/>
  <c r="P127" i="4" s="1"/>
  <c r="P112" i="2"/>
  <c r="P112" i="4" s="1"/>
  <c r="P104" i="2"/>
  <c r="P104" i="4" s="1"/>
  <c r="R1" i="4" l="1"/>
  <c r="S2" i="4"/>
  <c r="R2" i="2"/>
  <c r="Q83" i="2"/>
  <c r="Q83" i="4" s="1"/>
  <c r="Q114" i="2"/>
  <c r="Q114" i="4" s="1"/>
  <c r="Q95" i="2"/>
  <c r="Q95" i="4" s="1"/>
  <c r="Q130" i="2"/>
  <c r="Q130" i="4" s="1"/>
  <c r="Q90" i="2"/>
  <c r="Q90" i="4" s="1"/>
  <c r="Q86" i="2"/>
  <c r="Q86" i="4" s="1"/>
  <c r="Q82" i="2"/>
  <c r="Q82" i="4" s="1"/>
  <c r="Q62" i="2"/>
  <c r="Q62" i="4" s="1"/>
  <c r="Q58" i="2"/>
  <c r="Q58" i="4" s="1"/>
  <c r="Q54" i="2"/>
  <c r="Q54" i="4" s="1"/>
  <c r="Q50" i="2"/>
  <c r="Q50" i="4" s="1"/>
  <c r="Q42" i="2"/>
  <c r="Q42" i="4" s="1"/>
  <c r="Q38" i="2"/>
  <c r="Q38" i="4" s="1"/>
  <c r="Q30" i="2"/>
  <c r="Q30" i="4" s="1"/>
  <c r="Q22" i="2"/>
  <c r="Q22" i="4" s="1"/>
  <c r="Q14" i="2"/>
  <c r="Q14" i="4" s="1"/>
  <c r="Q10" i="2"/>
  <c r="Q10" i="4" s="1"/>
  <c r="Q6" i="2"/>
  <c r="Q6" i="4" s="1"/>
  <c r="Q87" i="2"/>
  <c r="Q87" i="4" s="1"/>
  <c r="Q70" i="2"/>
  <c r="Q70" i="4" s="1"/>
  <c r="Q46" i="2"/>
  <c r="Q46" i="4" s="1"/>
  <c r="Q34" i="2"/>
  <c r="Q34" i="4" s="1"/>
  <c r="Q26" i="2"/>
  <c r="Q26" i="4" s="1"/>
  <c r="Q98" i="2"/>
  <c r="Q98" i="4" s="1"/>
  <c r="Q94" i="2"/>
  <c r="Q94" i="4" s="1"/>
  <c r="Q78" i="2"/>
  <c r="Q78" i="4" s="1"/>
  <c r="Q18" i="2"/>
  <c r="Q18" i="4" s="1"/>
  <c r="Q122" i="2"/>
  <c r="Q122" i="4" s="1"/>
  <c r="Q106" i="2"/>
  <c r="Q106" i="4" s="1"/>
  <c r="Q93" i="2"/>
  <c r="Q93" i="4" s="1"/>
  <c r="Q89" i="2"/>
  <c r="Q89" i="4" s="1"/>
  <c r="Q85" i="2"/>
  <c r="Q85" i="4" s="1"/>
  <c r="Q81" i="2"/>
  <c r="Q81" i="4" s="1"/>
  <c r="Q118" i="2"/>
  <c r="Q118" i="4" s="1"/>
  <c r="Q66" i="2"/>
  <c r="Q66" i="4" s="1"/>
  <c r="Q129" i="2"/>
  <c r="Q129" i="4" s="1"/>
  <c r="Q125" i="2"/>
  <c r="Q125" i="4" s="1"/>
  <c r="Q121" i="2"/>
  <c r="Q121" i="4" s="1"/>
  <c r="Q117" i="2"/>
  <c r="Q117" i="4" s="1"/>
  <c r="Q113" i="2"/>
  <c r="Q113" i="4" s="1"/>
  <c r="Q109" i="2"/>
  <c r="Q109" i="4" s="1"/>
  <c r="Q105" i="2"/>
  <c r="Q105" i="4" s="1"/>
  <c r="Q101" i="2"/>
  <c r="Q101" i="4" s="1"/>
  <c r="Q97" i="2"/>
  <c r="Q97" i="4" s="1"/>
  <c r="Q57" i="2"/>
  <c r="Q57" i="4" s="1"/>
  <c r="Q53" i="2"/>
  <c r="Q53" i="4" s="1"/>
  <c r="Q49" i="2"/>
  <c r="Q49" i="4" s="1"/>
  <c r="Q25" i="2"/>
  <c r="Q25" i="4" s="1"/>
  <c r="Q21" i="2"/>
  <c r="Q21" i="4" s="1"/>
  <c r="Q64" i="2"/>
  <c r="Q64" i="4" s="1"/>
  <c r="Q60" i="2"/>
  <c r="Q60" i="4" s="1"/>
  <c r="Q102" i="2"/>
  <c r="Q102" i="4" s="1"/>
  <c r="Q61" i="2"/>
  <c r="Q61" i="4" s="1"/>
  <c r="Q13" i="2"/>
  <c r="Q13" i="4" s="1"/>
  <c r="Q9" i="2"/>
  <c r="Q9" i="4" s="1"/>
  <c r="Q126" i="2"/>
  <c r="Q126" i="4" s="1"/>
  <c r="Q110" i="2"/>
  <c r="Q110" i="4" s="1"/>
  <c r="Q68" i="2"/>
  <c r="Q68" i="4" s="1"/>
  <c r="Q119" i="2"/>
  <c r="Q119" i="4" s="1"/>
  <c r="Q103" i="2"/>
  <c r="Q103" i="4" s="1"/>
  <c r="Q3" i="2"/>
  <c r="Q3" i="4" s="1"/>
  <c r="Q74" i="2"/>
  <c r="Q74" i="4" s="1"/>
  <c r="Q29" i="2"/>
  <c r="Q29" i="4" s="1"/>
  <c r="Q72" i="2"/>
  <c r="Q72" i="4" s="1"/>
  <c r="Q56" i="2"/>
  <c r="Q56" i="4" s="1"/>
  <c r="Q28" i="2"/>
  <c r="Q28" i="4" s="1"/>
  <c r="Q20" i="2"/>
  <c r="Q20" i="4" s="1"/>
  <c r="Q16" i="2"/>
  <c r="Q16" i="4" s="1"/>
  <c r="Q4" i="2"/>
  <c r="Q4" i="4" s="1"/>
  <c r="Q123" i="2"/>
  <c r="Q123" i="4" s="1"/>
  <c r="Q107" i="2"/>
  <c r="Q107" i="4" s="1"/>
  <c r="Q52" i="2"/>
  <c r="Q52" i="4" s="1"/>
  <c r="Q44" i="2"/>
  <c r="Q44" i="4" s="1"/>
  <c r="Q127" i="2"/>
  <c r="Q127" i="4" s="1"/>
  <c r="Q71" i="2"/>
  <c r="Q71" i="4" s="1"/>
  <c r="Q67" i="2"/>
  <c r="Q67" i="4" s="1"/>
  <c r="Q43" i="2"/>
  <c r="Q43" i="4" s="1"/>
  <c r="Q7" i="2"/>
  <c r="Q7" i="4" s="1"/>
  <c r="Q128" i="2"/>
  <c r="Q128" i="4" s="1"/>
  <c r="Q79" i="2"/>
  <c r="Q79" i="4" s="1"/>
  <c r="Q96" i="2"/>
  <c r="Q96" i="4" s="1"/>
  <c r="Q92" i="2"/>
  <c r="Q92" i="4" s="1"/>
  <c r="Q88" i="2"/>
  <c r="Q88" i="4" s="1"/>
  <c r="Q84" i="2"/>
  <c r="Q84" i="4" s="1"/>
  <c r="Q80" i="2"/>
  <c r="Q80" i="4" s="1"/>
  <c r="Q76" i="2"/>
  <c r="Q76" i="4" s="1"/>
  <c r="Q8" i="2"/>
  <c r="Q8" i="4" s="1"/>
  <c r="Q75" i="2"/>
  <c r="Q75" i="4" s="1"/>
  <c r="Q55" i="2"/>
  <c r="Q55" i="4" s="1"/>
  <c r="Q23" i="2"/>
  <c r="Q23" i="4" s="1"/>
  <c r="Q65" i="2"/>
  <c r="Q65" i="4" s="1"/>
  <c r="Q41" i="2"/>
  <c r="Q41" i="4" s="1"/>
  <c r="Q37" i="2"/>
  <c r="Q37" i="4" s="1"/>
  <c r="Q33" i="2"/>
  <c r="Q33" i="4" s="1"/>
  <c r="Q17" i="2"/>
  <c r="Q17" i="4" s="1"/>
  <c r="Q48" i="2"/>
  <c r="Q48" i="4" s="1"/>
  <c r="Q40" i="2"/>
  <c r="Q40" i="4" s="1"/>
  <c r="Q32" i="2"/>
  <c r="Q32" i="4" s="1"/>
  <c r="Q63" i="2"/>
  <c r="Q63" i="4" s="1"/>
  <c r="Q59" i="2"/>
  <c r="Q59" i="4" s="1"/>
  <c r="Q47" i="2"/>
  <c r="Q47" i="4" s="1"/>
  <c r="Q31" i="2"/>
  <c r="Q31" i="4" s="1"/>
  <c r="Q99" i="2"/>
  <c r="Q99" i="4" s="1"/>
  <c r="Q77" i="2"/>
  <c r="Q77" i="4" s="1"/>
  <c r="Q36" i="2"/>
  <c r="Q36" i="4" s="1"/>
  <c r="Q24" i="2"/>
  <c r="Q24" i="4" s="1"/>
  <c r="Q12" i="2"/>
  <c r="Q12" i="4" s="1"/>
  <c r="Q111" i="2"/>
  <c r="Q111" i="4" s="1"/>
  <c r="Q51" i="2"/>
  <c r="Q51" i="4" s="1"/>
  <c r="Q39" i="2"/>
  <c r="Q39" i="4" s="1"/>
  <c r="Q35" i="2"/>
  <c r="Q35" i="4" s="1"/>
  <c r="Q27" i="2"/>
  <c r="Q27" i="4" s="1"/>
  <c r="Q19" i="2"/>
  <c r="Q19" i="4" s="1"/>
  <c r="Q11" i="2"/>
  <c r="Q11" i="4" s="1"/>
  <c r="Q124" i="2"/>
  <c r="Q124" i="4" s="1"/>
  <c r="Q120" i="2"/>
  <c r="Q120" i="4" s="1"/>
  <c r="Q116" i="2"/>
  <c r="Q116" i="4" s="1"/>
  <c r="Q112" i="2"/>
  <c r="Q112" i="4" s="1"/>
  <c r="Q108" i="2"/>
  <c r="Q108" i="4" s="1"/>
  <c r="Q104" i="2"/>
  <c r="Q104" i="4" s="1"/>
  <c r="Q100" i="2"/>
  <c r="Q100" i="4" s="1"/>
  <c r="Q73" i="2"/>
  <c r="Q73" i="4" s="1"/>
  <c r="Q69" i="2"/>
  <c r="Q69" i="4" s="1"/>
  <c r="Q45" i="2"/>
  <c r="Q45" i="4" s="1"/>
  <c r="Q5" i="2"/>
  <c r="Q5" i="4" s="1"/>
  <c r="Q115" i="2"/>
  <c r="Q115" i="4" s="1"/>
  <c r="Q15" i="2"/>
  <c r="Q15" i="4" s="1"/>
  <c r="Q91" i="2"/>
  <c r="Q91" i="4" s="1"/>
  <c r="S1" i="4" l="1"/>
  <c r="T2" i="4"/>
  <c r="S2" i="2"/>
  <c r="R84" i="2"/>
  <c r="R84" i="4" s="1"/>
  <c r="R111" i="2"/>
  <c r="R111" i="4" s="1"/>
  <c r="R127" i="2"/>
  <c r="R127" i="4" s="1"/>
  <c r="R107" i="2"/>
  <c r="R107" i="4" s="1"/>
  <c r="R123" i="2"/>
  <c r="R123" i="4" s="1"/>
  <c r="R96" i="2"/>
  <c r="R96" i="4" s="1"/>
  <c r="R103" i="2"/>
  <c r="R103" i="4" s="1"/>
  <c r="R119" i="2"/>
  <c r="R119" i="4" s="1"/>
  <c r="R115" i="2"/>
  <c r="R115" i="4" s="1"/>
  <c r="R126" i="2"/>
  <c r="R126" i="4" s="1"/>
  <c r="R122" i="2"/>
  <c r="R122" i="4" s="1"/>
  <c r="R118" i="2"/>
  <c r="R118" i="4" s="1"/>
  <c r="R114" i="2"/>
  <c r="R114" i="4" s="1"/>
  <c r="R110" i="2"/>
  <c r="R110" i="4" s="1"/>
  <c r="R106" i="2"/>
  <c r="R106" i="4" s="1"/>
  <c r="R102" i="2"/>
  <c r="R102" i="4" s="1"/>
  <c r="R98" i="2"/>
  <c r="R98" i="4" s="1"/>
  <c r="R94" i="2"/>
  <c r="R94" i="4" s="1"/>
  <c r="R90" i="2"/>
  <c r="R90" i="4" s="1"/>
  <c r="R86" i="2"/>
  <c r="R86" i="4" s="1"/>
  <c r="R82" i="2"/>
  <c r="R82" i="4" s="1"/>
  <c r="R74" i="2"/>
  <c r="R74" i="4" s="1"/>
  <c r="R70" i="2"/>
  <c r="R70" i="4" s="1"/>
  <c r="R66" i="2"/>
  <c r="R66" i="4" s="1"/>
  <c r="R42" i="2"/>
  <c r="R42" i="4" s="1"/>
  <c r="R38" i="2"/>
  <c r="R38" i="4" s="1"/>
  <c r="R30" i="2"/>
  <c r="R30" i="4" s="1"/>
  <c r="R14" i="2"/>
  <c r="R14" i="4" s="1"/>
  <c r="R6" i="2"/>
  <c r="R6" i="4" s="1"/>
  <c r="R58" i="2"/>
  <c r="R58" i="4" s="1"/>
  <c r="R34" i="2"/>
  <c r="R34" i="4" s="1"/>
  <c r="R62" i="2"/>
  <c r="R62" i="4" s="1"/>
  <c r="R54" i="2"/>
  <c r="R54" i="4" s="1"/>
  <c r="R50" i="2"/>
  <c r="R50" i="4" s="1"/>
  <c r="R46" i="2"/>
  <c r="R46" i="4" s="1"/>
  <c r="R22" i="2"/>
  <c r="R22" i="4" s="1"/>
  <c r="R18" i="2"/>
  <c r="R18" i="4" s="1"/>
  <c r="R10" i="2"/>
  <c r="R10" i="4" s="1"/>
  <c r="R93" i="2"/>
  <c r="R93" i="4" s="1"/>
  <c r="R89" i="2"/>
  <c r="R89" i="4" s="1"/>
  <c r="R85" i="2"/>
  <c r="R85" i="4" s="1"/>
  <c r="R129" i="2"/>
  <c r="R129" i="4" s="1"/>
  <c r="R125" i="2"/>
  <c r="R125" i="4" s="1"/>
  <c r="R121" i="2"/>
  <c r="R121" i="4" s="1"/>
  <c r="R117" i="2"/>
  <c r="R117" i="4" s="1"/>
  <c r="R113" i="2"/>
  <c r="R113" i="4" s="1"/>
  <c r="R109" i="2"/>
  <c r="R109" i="4" s="1"/>
  <c r="R105" i="2"/>
  <c r="R105" i="4" s="1"/>
  <c r="R101" i="2"/>
  <c r="R101" i="4" s="1"/>
  <c r="R97" i="2"/>
  <c r="R97" i="4" s="1"/>
  <c r="R81" i="2"/>
  <c r="R81" i="4" s="1"/>
  <c r="R61" i="2"/>
  <c r="R61" i="4" s="1"/>
  <c r="R29" i="2"/>
  <c r="R29" i="4" s="1"/>
  <c r="R5" i="2"/>
  <c r="R5" i="4" s="1"/>
  <c r="R64" i="2"/>
  <c r="R64" i="4" s="1"/>
  <c r="R78" i="2"/>
  <c r="R78" i="4" s="1"/>
  <c r="R45" i="2"/>
  <c r="R45" i="4" s="1"/>
  <c r="R41" i="2"/>
  <c r="R41" i="4" s="1"/>
  <c r="R37" i="2"/>
  <c r="R37" i="4" s="1"/>
  <c r="R17" i="2"/>
  <c r="R17" i="4" s="1"/>
  <c r="R68" i="2"/>
  <c r="R68" i="4" s="1"/>
  <c r="R32" i="2"/>
  <c r="R32" i="4" s="1"/>
  <c r="R16" i="2"/>
  <c r="R16" i="4" s="1"/>
  <c r="R120" i="2"/>
  <c r="R120" i="4" s="1"/>
  <c r="R104" i="2"/>
  <c r="R104" i="4" s="1"/>
  <c r="R99" i="2"/>
  <c r="R99" i="4" s="1"/>
  <c r="R88" i="2"/>
  <c r="R88" i="4" s="1"/>
  <c r="R91" i="2"/>
  <c r="R91" i="4" s="1"/>
  <c r="R26" i="2"/>
  <c r="R26" i="4" s="1"/>
  <c r="R33" i="2"/>
  <c r="R33" i="4" s="1"/>
  <c r="R9" i="2"/>
  <c r="R9" i="4" s="1"/>
  <c r="R72" i="2"/>
  <c r="R72" i="4" s="1"/>
  <c r="R56" i="2"/>
  <c r="R56" i="4" s="1"/>
  <c r="R44" i="2"/>
  <c r="R44" i="4" s="1"/>
  <c r="R20" i="2"/>
  <c r="R20" i="4" s="1"/>
  <c r="R8" i="2"/>
  <c r="R8" i="4" s="1"/>
  <c r="R4" i="2"/>
  <c r="R4" i="4" s="1"/>
  <c r="R124" i="2"/>
  <c r="R124" i="4" s="1"/>
  <c r="R108" i="2"/>
  <c r="R108" i="4" s="1"/>
  <c r="R52" i="2"/>
  <c r="R52" i="4" s="1"/>
  <c r="R40" i="2"/>
  <c r="R40" i="4" s="1"/>
  <c r="R36" i="2"/>
  <c r="R36" i="4" s="1"/>
  <c r="R128" i="2"/>
  <c r="R128" i="4" s="1"/>
  <c r="R75" i="2"/>
  <c r="R75" i="4" s="1"/>
  <c r="R35" i="2"/>
  <c r="R35" i="4" s="1"/>
  <c r="R19" i="2"/>
  <c r="R19" i="4" s="1"/>
  <c r="R95" i="2"/>
  <c r="R95" i="4" s="1"/>
  <c r="R80" i="2"/>
  <c r="R80" i="4" s="1"/>
  <c r="R130" i="2"/>
  <c r="R130" i="4" s="1"/>
  <c r="R13" i="2"/>
  <c r="R13" i="4" s="1"/>
  <c r="R76" i="2"/>
  <c r="R76" i="4" s="1"/>
  <c r="R12" i="2"/>
  <c r="R12" i="4" s="1"/>
  <c r="R100" i="2"/>
  <c r="R100" i="4" s="1"/>
  <c r="R63" i="2"/>
  <c r="R63" i="4" s="1"/>
  <c r="R55" i="2"/>
  <c r="R55" i="4" s="1"/>
  <c r="R23" i="2"/>
  <c r="R23" i="4" s="1"/>
  <c r="R7" i="2"/>
  <c r="R7" i="4" s="1"/>
  <c r="R65" i="2"/>
  <c r="R65" i="4" s="1"/>
  <c r="R25" i="2"/>
  <c r="R25" i="4" s="1"/>
  <c r="R21" i="2"/>
  <c r="R21" i="4" s="1"/>
  <c r="R48" i="2"/>
  <c r="R48" i="4" s="1"/>
  <c r="R87" i="2"/>
  <c r="R87" i="4" s="1"/>
  <c r="R83" i="2"/>
  <c r="R83" i="4" s="1"/>
  <c r="R59" i="2"/>
  <c r="R59" i="4" s="1"/>
  <c r="R47" i="2"/>
  <c r="R47" i="4" s="1"/>
  <c r="R43" i="2"/>
  <c r="R43" i="4" s="1"/>
  <c r="R31" i="2"/>
  <c r="R31" i="4" s="1"/>
  <c r="R15" i="2"/>
  <c r="R15" i="4" s="1"/>
  <c r="R60" i="2"/>
  <c r="R60" i="4" s="1"/>
  <c r="R24" i="2"/>
  <c r="R24" i="4" s="1"/>
  <c r="R112" i="2"/>
  <c r="R112" i="4" s="1"/>
  <c r="R3" i="2"/>
  <c r="R3" i="4" s="1"/>
  <c r="R79" i="2"/>
  <c r="R79" i="4" s="1"/>
  <c r="R71" i="2"/>
  <c r="R71" i="4" s="1"/>
  <c r="R51" i="2"/>
  <c r="R51" i="4" s="1"/>
  <c r="R39" i="2"/>
  <c r="R39" i="4" s="1"/>
  <c r="R27" i="2"/>
  <c r="R27" i="4" s="1"/>
  <c r="R11" i="2"/>
  <c r="R11" i="4" s="1"/>
  <c r="R67" i="2"/>
  <c r="R67" i="4" s="1"/>
  <c r="R77" i="2"/>
  <c r="R77" i="4" s="1"/>
  <c r="R73" i="2"/>
  <c r="R73" i="4" s="1"/>
  <c r="R69" i="2"/>
  <c r="R69" i="4" s="1"/>
  <c r="R57" i="2"/>
  <c r="R57" i="4" s="1"/>
  <c r="R53" i="2"/>
  <c r="R53" i="4" s="1"/>
  <c r="R49" i="2"/>
  <c r="R49" i="4" s="1"/>
  <c r="R28" i="2"/>
  <c r="R28" i="4" s="1"/>
  <c r="R116" i="2"/>
  <c r="R116" i="4" s="1"/>
  <c r="R92" i="2"/>
  <c r="R92" i="4" s="1"/>
  <c r="T1" i="4" l="1"/>
  <c r="U2" i="4"/>
  <c r="T2" i="2"/>
  <c r="S127" i="2"/>
  <c r="S127" i="4" s="1"/>
  <c r="S112" i="2"/>
  <c r="S112" i="4" s="1"/>
  <c r="S128" i="2"/>
  <c r="S128" i="4" s="1"/>
  <c r="S108" i="2"/>
  <c r="S108" i="4" s="1"/>
  <c r="S124" i="2"/>
  <c r="S124" i="4" s="1"/>
  <c r="S104" i="2"/>
  <c r="S104" i="4" s="1"/>
  <c r="S120" i="2"/>
  <c r="S120" i="4" s="1"/>
  <c r="S100" i="2"/>
  <c r="S100" i="4" s="1"/>
  <c r="S116" i="2"/>
  <c r="S116" i="4" s="1"/>
  <c r="S130" i="2"/>
  <c r="S130" i="4" s="1"/>
  <c r="S126" i="2"/>
  <c r="S126" i="4" s="1"/>
  <c r="S122" i="2"/>
  <c r="S122" i="4" s="1"/>
  <c r="S118" i="2"/>
  <c r="S118" i="4" s="1"/>
  <c r="S114" i="2"/>
  <c r="S114" i="4" s="1"/>
  <c r="S110" i="2"/>
  <c r="S110" i="4" s="1"/>
  <c r="S106" i="2"/>
  <c r="S106" i="4" s="1"/>
  <c r="S102" i="2"/>
  <c r="S102" i="4" s="1"/>
  <c r="S98" i="2"/>
  <c r="S98" i="4" s="1"/>
  <c r="S94" i="2"/>
  <c r="S94" i="4" s="1"/>
  <c r="S90" i="2"/>
  <c r="S90" i="4" s="1"/>
  <c r="S86" i="2"/>
  <c r="S86" i="4" s="1"/>
  <c r="S82" i="2"/>
  <c r="S82" i="4" s="1"/>
  <c r="S74" i="2"/>
  <c r="S74" i="4" s="1"/>
  <c r="S70" i="2"/>
  <c r="S70" i="4" s="1"/>
  <c r="S66" i="2"/>
  <c r="S66" i="4" s="1"/>
  <c r="S46" i="2"/>
  <c r="S46" i="4" s="1"/>
  <c r="S18" i="2"/>
  <c r="S18" i="4" s="1"/>
  <c r="S78" i="2"/>
  <c r="S78" i="4" s="1"/>
  <c r="S62" i="2"/>
  <c r="S62" i="4" s="1"/>
  <c r="S58" i="2"/>
  <c r="S58" i="4" s="1"/>
  <c r="S54" i="2"/>
  <c r="S54" i="4" s="1"/>
  <c r="S50" i="2"/>
  <c r="S50" i="4" s="1"/>
  <c r="S42" i="2"/>
  <c r="S42" i="4" s="1"/>
  <c r="S38" i="2"/>
  <c r="S38" i="4" s="1"/>
  <c r="S30" i="2"/>
  <c r="S30" i="4" s="1"/>
  <c r="S26" i="2"/>
  <c r="S26" i="4" s="1"/>
  <c r="S22" i="2"/>
  <c r="S22" i="4" s="1"/>
  <c r="S14" i="2"/>
  <c r="S14" i="4" s="1"/>
  <c r="S97" i="2"/>
  <c r="S97" i="4" s="1"/>
  <c r="S34" i="2"/>
  <c r="S34" i="4" s="1"/>
  <c r="S10" i="2"/>
  <c r="S10" i="4" s="1"/>
  <c r="S81" i="2"/>
  <c r="S81" i="4" s="1"/>
  <c r="S61" i="2"/>
  <c r="S61" i="4" s="1"/>
  <c r="S45" i="2"/>
  <c r="S45" i="4" s="1"/>
  <c r="S41" i="2"/>
  <c r="S41" i="4" s="1"/>
  <c r="S37" i="2"/>
  <c r="S37" i="4" s="1"/>
  <c r="S33" i="2"/>
  <c r="S33" i="4" s="1"/>
  <c r="S29" i="2"/>
  <c r="S29" i="4" s="1"/>
  <c r="S17" i="2"/>
  <c r="S17" i="4" s="1"/>
  <c r="S13" i="2"/>
  <c r="S13" i="4" s="1"/>
  <c r="S9" i="2"/>
  <c r="S9" i="4" s="1"/>
  <c r="S92" i="2"/>
  <c r="S92" i="4" s="1"/>
  <c r="S88" i="2"/>
  <c r="S88" i="4" s="1"/>
  <c r="S84" i="2"/>
  <c r="S84" i="4" s="1"/>
  <c r="S80" i="2"/>
  <c r="S80" i="4" s="1"/>
  <c r="S129" i="2"/>
  <c r="S129" i="4" s="1"/>
  <c r="S125" i="2"/>
  <c r="S125" i="4" s="1"/>
  <c r="S121" i="2"/>
  <c r="S121" i="4" s="1"/>
  <c r="S117" i="2"/>
  <c r="S117" i="4" s="1"/>
  <c r="S113" i="2"/>
  <c r="S113" i="4" s="1"/>
  <c r="S109" i="2"/>
  <c r="S109" i="4" s="1"/>
  <c r="S105" i="2"/>
  <c r="S105" i="4" s="1"/>
  <c r="S101" i="2"/>
  <c r="S101" i="4" s="1"/>
  <c r="S93" i="2"/>
  <c r="S93" i="4" s="1"/>
  <c r="S76" i="2"/>
  <c r="S76" i="4" s="1"/>
  <c r="S64" i="2"/>
  <c r="S64" i="4" s="1"/>
  <c r="S32" i="2"/>
  <c r="S32" i="4" s="1"/>
  <c r="S99" i="2"/>
  <c r="S99" i="4" s="1"/>
  <c r="S91" i="2"/>
  <c r="S91" i="4" s="1"/>
  <c r="S5" i="2"/>
  <c r="S5" i="4" s="1"/>
  <c r="S56" i="2"/>
  <c r="S56" i="4" s="1"/>
  <c r="S44" i="2"/>
  <c r="S44" i="4" s="1"/>
  <c r="S20" i="2"/>
  <c r="S20" i="4" s="1"/>
  <c r="S3" i="2"/>
  <c r="S3" i="4" s="1"/>
  <c r="S95" i="2"/>
  <c r="S95" i="4" s="1"/>
  <c r="S72" i="2"/>
  <c r="S72" i="4" s="1"/>
  <c r="S52" i="2"/>
  <c r="S52" i="4" s="1"/>
  <c r="S40" i="2"/>
  <c r="S40" i="4" s="1"/>
  <c r="S36" i="2"/>
  <c r="S36" i="4" s="1"/>
  <c r="S12" i="2"/>
  <c r="S12" i="4" s="1"/>
  <c r="S87" i="2"/>
  <c r="S87" i="4" s="1"/>
  <c r="S75" i="2"/>
  <c r="S75" i="4" s="1"/>
  <c r="S63" i="2"/>
  <c r="S63" i="4" s="1"/>
  <c r="S47" i="2"/>
  <c r="S47" i="4" s="1"/>
  <c r="S35" i="2"/>
  <c r="S35" i="4" s="1"/>
  <c r="S27" i="2"/>
  <c r="S27" i="4" s="1"/>
  <c r="S19" i="2"/>
  <c r="S19" i="4" s="1"/>
  <c r="S68" i="2"/>
  <c r="S68" i="4" s="1"/>
  <c r="S96" i="2"/>
  <c r="S96" i="4" s="1"/>
  <c r="S85" i="2"/>
  <c r="S85" i="4" s="1"/>
  <c r="S8" i="2"/>
  <c r="S8" i="4" s="1"/>
  <c r="S71" i="2"/>
  <c r="S71" i="4" s="1"/>
  <c r="S67" i="2"/>
  <c r="S67" i="4" s="1"/>
  <c r="S59" i="2"/>
  <c r="S59" i="4" s="1"/>
  <c r="S119" i="2"/>
  <c r="S119" i="4" s="1"/>
  <c r="S111" i="2"/>
  <c r="S111" i="4" s="1"/>
  <c r="S103" i="2"/>
  <c r="S103" i="4" s="1"/>
  <c r="S65" i="2"/>
  <c r="S65" i="4" s="1"/>
  <c r="S25" i="2"/>
  <c r="S25" i="4" s="1"/>
  <c r="S21" i="2"/>
  <c r="S21" i="4" s="1"/>
  <c r="S48" i="2"/>
  <c r="S48" i="4" s="1"/>
  <c r="S83" i="2"/>
  <c r="S83" i="4" s="1"/>
  <c r="S51" i="2"/>
  <c r="S51" i="4" s="1"/>
  <c r="S43" i="2"/>
  <c r="S43" i="4" s="1"/>
  <c r="S31" i="2"/>
  <c r="S31" i="4" s="1"/>
  <c r="S115" i="2"/>
  <c r="S115" i="4" s="1"/>
  <c r="S107" i="2"/>
  <c r="S107" i="4" s="1"/>
  <c r="S6" i="2"/>
  <c r="S6" i="4" s="1"/>
  <c r="S89" i="2"/>
  <c r="S89" i="4" s="1"/>
  <c r="S60" i="2"/>
  <c r="S60" i="4" s="1"/>
  <c r="S24" i="2"/>
  <c r="S24" i="4" s="1"/>
  <c r="S4" i="2"/>
  <c r="S4" i="4" s="1"/>
  <c r="S79" i="2"/>
  <c r="S79" i="4" s="1"/>
  <c r="S55" i="2"/>
  <c r="S55" i="4" s="1"/>
  <c r="S39" i="2"/>
  <c r="S39" i="4" s="1"/>
  <c r="S23" i="2"/>
  <c r="S23" i="4" s="1"/>
  <c r="S11" i="2"/>
  <c r="S11" i="4" s="1"/>
  <c r="S77" i="2"/>
  <c r="S77" i="4" s="1"/>
  <c r="S73" i="2"/>
  <c r="S73" i="4" s="1"/>
  <c r="S69" i="2"/>
  <c r="S69" i="4" s="1"/>
  <c r="S57" i="2"/>
  <c r="S57" i="4" s="1"/>
  <c r="S53" i="2"/>
  <c r="S53" i="4" s="1"/>
  <c r="S49" i="2"/>
  <c r="S49" i="4" s="1"/>
  <c r="S28" i="2"/>
  <c r="S28" i="4" s="1"/>
  <c r="S16" i="2"/>
  <c r="S16" i="4" s="1"/>
  <c r="S15" i="2"/>
  <c r="S15" i="4" s="1"/>
  <c r="S7" i="2"/>
  <c r="S7" i="4" s="1"/>
  <c r="S123" i="2"/>
  <c r="S123" i="4" s="1"/>
  <c r="U1" i="4" l="1"/>
  <c r="V2" i="4"/>
  <c r="U2" i="2"/>
  <c r="T128" i="2"/>
  <c r="T128" i="4" s="1"/>
  <c r="T117" i="2"/>
  <c r="T117" i="4" s="1"/>
  <c r="T98" i="2"/>
  <c r="T98" i="4" s="1"/>
  <c r="T121" i="2"/>
  <c r="T121" i="4" s="1"/>
  <c r="T105" i="2"/>
  <c r="T105" i="4" s="1"/>
  <c r="T101" i="2"/>
  <c r="T101" i="4" s="1"/>
  <c r="T130" i="2"/>
  <c r="T130" i="4" s="1"/>
  <c r="T126" i="2"/>
  <c r="T126" i="4" s="1"/>
  <c r="T122" i="2"/>
  <c r="T122" i="4" s="1"/>
  <c r="T118" i="2"/>
  <c r="T118" i="4" s="1"/>
  <c r="T114" i="2"/>
  <c r="T114" i="4" s="1"/>
  <c r="T110" i="2"/>
  <c r="T110" i="4" s="1"/>
  <c r="T106" i="2"/>
  <c r="T106" i="4" s="1"/>
  <c r="T102" i="2"/>
  <c r="T102" i="4" s="1"/>
  <c r="T74" i="2"/>
  <c r="T74" i="4" s="1"/>
  <c r="T70" i="2"/>
  <c r="T70" i="4" s="1"/>
  <c r="T66" i="2"/>
  <c r="T66" i="4" s="1"/>
  <c r="T90" i="2"/>
  <c r="T90" i="4" s="1"/>
  <c r="T86" i="2"/>
  <c r="T86" i="4" s="1"/>
  <c r="T82" i="2"/>
  <c r="T82" i="4" s="1"/>
  <c r="T78" i="2"/>
  <c r="T78" i="4" s="1"/>
  <c r="T62" i="2"/>
  <c r="T62" i="4" s="1"/>
  <c r="T58" i="2"/>
  <c r="T58" i="4" s="1"/>
  <c r="T54" i="2"/>
  <c r="T54" i="4" s="1"/>
  <c r="T50" i="2"/>
  <c r="T50" i="4" s="1"/>
  <c r="T42" i="2"/>
  <c r="T42" i="4" s="1"/>
  <c r="T38" i="2"/>
  <c r="T38" i="4" s="1"/>
  <c r="T34" i="2"/>
  <c r="T34" i="4" s="1"/>
  <c r="T30" i="2"/>
  <c r="T30" i="4" s="1"/>
  <c r="T22" i="2"/>
  <c r="T22" i="4" s="1"/>
  <c r="T18" i="2"/>
  <c r="T18" i="4" s="1"/>
  <c r="T14" i="2"/>
  <c r="T14" i="4" s="1"/>
  <c r="T10" i="2"/>
  <c r="T10" i="4" s="1"/>
  <c r="T97" i="2"/>
  <c r="T97" i="4" s="1"/>
  <c r="T109" i="2"/>
  <c r="T109" i="4" s="1"/>
  <c r="T125" i="2"/>
  <c r="T125" i="4" s="1"/>
  <c r="T94" i="2"/>
  <c r="T94" i="4" s="1"/>
  <c r="T26" i="2"/>
  <c r="T26" i="4" s="1"/>
  <c r="T6" i="2"/>
  <c r="T6" i="4" s="1"/>
  <c r="T89" i="2"/>
  <c r="T89" i="4" s="1"/>
  <c r="T85" i="2"/>
  <c r="T85" i="4" s="1"/>
  <c r="T81" i="2"/>
  <c r="T81" i="4" s="1"/>
  <c r="T73" i="2"/>
  <c r="T73" i="4" s="1"/>
  <c r="T65" i="2"/>
  <c r="T65" i="4" s="1"/>
  <c r="T61" i="2"/>
  <c r="T61" i="4" s="1"/>
  <c r="T45" i="2"/>
  <c r="T45" i="4" s="1"/>
  <c r="T41" i="2"/>
  <c r="T41" i="4" s="1"/>
  <c r="T37" i="2"/>
  <c r="T37" i="4" s="1"/>
  <c r="T33" i="2"/>
  <c r="T33" i="4" s="1"/>
  <c r="T29" i="2"/>
  <c r="T29" i="4" s="1"/>
  <c r="T17" i="2"/>
  <c r="T17" i="4" s="1"/>
  <c r="T9" i="2"/>
  <c r="T9" i="4" s="1"/>
  <c r="T129" i="2"/>
  <c r="T129" i="4" s="1"/>
  <c r="T96" i="2"/>
  <c r="T96" i="4" s="1"/>
  <c r="T92" i="2"/>
  <c r="T92" i="4" s="1"/>
  <c r="T88" i="2"/>
  <c r="T88" i="4" s="1"/>
  <c r="T84" i="2"/>
  <c r="T84" i="4" s="1"/>
  <c r="T80" i="2"/>
  <c r="T80" i="4" s="1"/>
  <c r="T93" i="2"/>
  <c r="T93" i="4" s="1"/>
  <c r="T77" i="2"/>
  <c r="T77" i="4" s="1"/>
  <c r="T5" i="2"/>
  <c r="T5" i="4" s="1"/>
  <c r="T113" i="2"/>
  <c r="T113" i="4" s="1"/>
  <c r="T76" i="2"/>
  <c r="T76" i="4" s="1"/>
  <c r="T64" i="2"/>
  <c r="T64" i="4" s="1"/>
  <c r="T60" i="2"/>
  <c r="T60" i="4" s="1"/>
  <c r="T48" i="2"/>
  <c r="T48" i="4" s="1"/>
  <c r="T32" i="2"/>
  <c r="T32" i="4" s="1"/>
  <c r="T91" i="2"/>
  <c r="T91" i="4" s="1"/>
  <c r="T69" i="2"/>
  <c r="T69" i="4" s="1"/>
  <c r="T13" i="2"/>
  <c r="T13" i="4" s="1"/>
  <c r="T68" i="2"/>
  <c r="T68" i="4" s="1"/>
  <c r="T44" i="2"/>
  <c r="T44" i="4" s="1"/>
  <c r="T28" i="2"/>
  <c r="T28" i="4" s="1"/>
  <c r="T16" i="2"/>
  <c r="T16" i="4" s="1"/>
  <c r="T3" i="2"/>
  <c r="T3" i="4" s="1"/>
  <c r="T95" i="2"/>
  <c r="T95" i="4" s="1"/>
  <c r="T46" i="2"/>
  <c r="T46" i="4" s="1"/>
  <c r="T56" i="2"/>
  <c r="T56" i="4" s="1"/>
  <c r="T40" i="2"/>
  <c r="T40" i="4" s="1"/>
  <c r="T20" i="2"/>
  <c r="T20" i="4" s="1"/>
  <c r="T12" i="2"/>
  <c r="T12" i="4" s="1"/>
  <c r="T4" i="2"/>
  <c r="T4" i="4" s="1"/>
  <c r="T99" i="2"/>
  <c r="T99" i="4" s="1"/>
  <c r="T87" i="2"/>
  <c r="T87" i="4" s="1"/>
  <c r="T47" i="2"/>
  <c r="T47" i="4" s="1"/>
  <c r="T43" i="2"/>
  <c r="T43" i="4" s="1"/>
  <c r="T31" i="2"/>
  <c r="T31" i="4" s="1"/>
  <c r="T15" i="2"/>
  <c r="T15" i="4" s="1"/>
  <c r="T7" i="2"/>
  <c r="T7" i="4" s="1"/>
  <c r="T124" i="2"/>
  <c r="T124" i="4" s="1"/>
  <c r="T116" i="2"/>
  <c r="T116" i="4" s="1"/>
  <c r="T108" i="2"/>
  <c r="T108" i="4" s="1"/>
  <c r="T100" i="2"/>
  <c r="T100" i="4" s="1"/>
  <c r="T72" i="2"/>
  <c r="T72" i="4" s="1"/>
  <c r="T36" i="2"/>
  <c r="T36" i="4" s="1"/>
  <c r="T24" i="2"/>
  <c r="T24" i="4" s="1"/>
  <c r="T8" i="2"/>
  <c r="T8" i="4" s="1"/>
  <c r="T71" i="2"/>
  <c r="T71" i="4" s="1"/>
  <c r="T67" i="2"/>
  <c r="T67" i="4" s="1"/>
  <c r="T59" i="2"/>
  <c r="T59" i="4" s="1"/>
  <c r="T19" i="2"/>
  <c r="T19" i="4" s="1"/>
  <c r="T123" i="2"/>
  <c r="T123" i="4" s="1"/>
  <c r="T119" i="2"/>
  <c r="T119" i="4" s="1"/>
  <c r="T115" i="2"/>
  <c r="T115" i="4" s="1"/>
  <c r="T111" i="2"/>
  <c r="T111" i="4" s="1"/>
  <c r="T107" i="2"/>
  <c r="T107" i="4" s="1"/>
  <c r="T103" i="2"/>
  <c r="T103" i="4" s="1"/>
  <c r="T25" i="2"/>
  <c r="T25" i="4" s="1"/>
  <c r="T21" i="2"/>
  <c r="T21" i="4" s="1"/>
  <c r="T83" i="2"/>
  <c r="T83" i="4" s="1"/>
  <c r="T39" i="2"/>
  <c r="T39" i="4" s="1"/>
  <c r="T79" i="2"/>
  <c r="T79" i="4" s="1"/>
  <c r="T75" i="2"/>
  <c r="T75" i="4" s="1"/>
  <c r="T63" i="2"/>
  <c r="T63" i="4" s="1"/>
  <c r="T55" i="2"/>
  <c r="T55" i="4" s="1"/>
  <c r="T35" i="2"/>
  <c r="T35" i="4" s="1"/>
  <c r="T23" i="2"/>
  <c r="T23" i="4" s="1"/>
  <c r="T11" i="2"/>
  <c r="T11" i="4" s="1"/>
  <c r="T127" i="2"/>
  <c r="T127" i="4" s="1"/>
  <c r="T120" i="2"/>
  <c r="T120" i="4" s="1"/>
  <c r="T112" i="2"/>
  <c r="T112" i="4" s="1"/>
  <c r="T104" i="2"/>
  <c r="T104" i="4" s="1"/>
  <c r="T57" i="2"/>
  <c r="T57" i="4" s="1"/>
  <c r="T53" i="2"/>
  <c r="T53" i="4" s="1"/>
  <c r="T49" i="2"/>
  <c r="T49" i="4" s="1"/>
  <c r="T52" i="2"/>
  <c r="T52" i="4" s="1"/>
  <c r="T51" i="2"/>
  <c r="T51" i="4" s="1"/>
  <c r="T27" i="2"/>
  <c r="T27" i="4" s="1"/>
  <c r="V1" i="4" l="1"/>
  <c r="W2" i="4"/>
  <c r="V2" i="2"/>
  <c r="U87" i="2"/>
  <c r="U87" i="4" s="1"/>
  <c r="U130" i="2"/>
  <c r="U130" i="4" s="1"/>
  <c r="U102" i="2"/>
  <c r="U102" i="4" s="1"/>
  <c r="U99" i="2"/>
  <c r="U99" i="4" s="1"/>
  <c r="U118" i="2"/>
  <c r="U118" i="4" s="1"/>
  <c r="U91" i="2"/>
  <c r="U91" i="4" s="1"/>
  <c r="U90" i="2"/>
  <c r="U90" i="4" s="1"/>
  <c r="U86" i="2"/>
  <c r="U86" i="4" s="1"/>
  <c r="U82" i="2"/>
  <c r="U82" i="4" s="1"/>
  <c r="U74" i="2"/>
  <c r="U74" i="4" s="1"/>
  <c r="U66" i="2"/>
  <c r="U66" i="4" s="1"/>
  <c r="U62" i="2"/>
  <c r="U62" i="4" s="1"/>
  <c r="U58" i="2"/>
  <c r="U58" i="4" s="1"/>
  <c r="U54" i="2"/>
  <c r="U54" i="4" s="1"/>
  <c r="U50" i="2"/>
  <c r="U50" i="4" s="1"/>
  <c r="U42" i="2"/>
  <c r="U42" i="4" s="1"/>
  <c r="U38" i="2"/>
  <c r="U38" i="4" s="1"/>
  <c r="U30" i="2"/>
  <c r="U30" i="4" s="1"/>
  <c r="U22" i="2"/>
  <c r="U22" i="4" s="1"/>
  <c r="U14" i="2"/>
  <c r="U14" i="4" s="1"/>
  <c r="U10" i="2"/>
  <c r="U10" i="4" s="1"/>
  <c r="U6" i="2"/>
  <c r="U6" i="4" s="1"/>
  <c r="U122" i="2"/>
  <c r="U122" i="4" s="1"/>
  <c r="U106" i="2"/>
  <c r="U106" i="4" s="1"/>
  <c r="U98" i="2"/>
  <c r="U98" i="4" s="1"/>
  <c r="U94" i="2"/>
  <c r="U94" i="4" s="1"/>
  <c r="U46" i="2"/>
  <c r="U46" i="4" s="1"/>
  <c r="U34" i="2"/>
  <c r="U34" i="4" s="1"/>
  <c r="U26" i="2"/>
  <c r="U26" i="4" s="1"/>
  <c r="U70" i="2"/>
  <c r="U70" i="4" s="1"/>
  <c r="U110" i="2"/>
  <c r="U110" i="4" s="1"/>
  <c r="U89" i="2"/>
  <c r="U89" i="4" s="1"/>
  <c r="U85" i="2"/>
  <c r="U85" i="4" s="1"/>
  <c r="U81" i="2"/>
  <c r="U81" i="4" s="1"/>
  <c r="U73" i="2"/>
  <c r="U73" i="4" s="1"/>
  <c r="U69" i="2"/>
  <c r="U69" i="4" s="1"/>
  <c r="U65" i="2"/>
  <c r="U65" i="4" s="1"/>
  <c r="U57" i="2"/>
  <c r="U57" i="4" s="1"/>
  <c r="U53" i="2"/>
  <c r="U53" i="4" s="1"/>
  <c r="U49" i="2"/>
  <c r="U49" i="4" s="1"/>
  <c r="U45" i="2"/>
  <c r="U45" i="4" s="1"/>
  <c r="U41" i="2"/>
  <c r="U41" i="4" s="1"/>
  <c r="U37" i="2"/>
  <c r="U37" i="4" s="1"/>
  <c r="U33" i="2"/>
  <c r="U33" i="4" s="1"/>
  <c r="U25" i="2"/>
  <c r="U25" i="4" s="1"/>
  <c r="U21" i="2"/>
  <c r="U21" i="4" s="1"/>
  <c r="U17" i="2"/>
  <c r="U17" i="4" s="1"/>
  <c r="U5" i="2"/>
  <c r="U5" i="4" s="1"/>
  <c r="U96" i="2"/>
  <c r="U96" i="4" s="1"/>
  <c r="U92" i="2"/>
  <c r="U92" i="4" s="1"/>
  <c r="U88" i="2"/>
  <c r="U88" i="4" s="1"/>
  <c r="U84" i="2"/>
  <c r="U84" i="4" s="1"/>
  <c r="U80" i="2"/>
  <c r="U80" i="4" s="1"/>
  <c r="U76" i="2"/>
  <c r="U76" i="4" s="1"/>
  <c r="U129" i="2"/>
  <c r="U129" i="4" s="1"/>
  <c r="U125" i="2"/>
  <c r="U125" i="4" s="1"/>
  <c r="U121" i="2"/>
  <c r="U121" i="4" s="1"/>
  <c r="U117" i="2"/>
  <c r="U117" i="4" s="1"/>
  <c r="U113" i="2"/>
  <c r="U113" i="4" s="1"/>
  <c r="U109" i="2"/>
  <c r="U109" i="4" s="1"/>
  <c r="U105" i="2"/>
  <c r="U105" i="4" s="1"/>
  <c r="U101" i="2"/>
  <c r="U101" i="4" s="1"/>
  <c r="U97" i="2"/>
  <c r="U97" i="4" s="1"/>
  <c r="U77" i="2"/>
  <c r="U77" i="4" s="1"/>
  <c r="U114" i="2"/>
  <c r="U114" i="4" s="1"/>
  <c r="U64" i="2"/>
  <c r="U64" i="4" s="1"/>
  <c r="U60" i="2"/>
  <c r="U60" i="4" s="1"/>
  <c r="U48" i="2"/>
  <c r="U48" i="4" s="1"/>
  <c r="U28" i="2"/>
  <c r="U28" i="4" s="1"/>
  <c r="U123" i="2"/>
  <c r="U123" i="4" s="1"/>
  <c r="U107" i="2"/>
  <c r="U107" i="4" s="1"/>
  <c r="U78" i="2"/>
  <c r="U78" i="4" s="1"/>
  <c r="U18" i="2"/>
  <c r="U18" i="4" s="1"/>
  <c r="U126" i="2"/>
  <c r="U126" i="4" s="1"/>
  <c r="U93" i="2"/>
  <c r="U93" i="4" s="1"/>
  <c r="U61" i="2"/>
  <c r="U61" i="4" s="1"/>
  <c r="U29" i="2"/>
  <c r="U29" i="4" s="1"/>
  <c r="U13" i="2"/>
  <c r="U13" i="4" s="1"/>
  <c r="U9" i="2"/>
  <c r="U9" i="4" s="1"/>
  <c r="U68" i="2"/>
  <c r="U68" i="4" s="1"/>
  <c r="U36" i="2"/>
  <c r="U36" i="4" s="1"/>
  <c r="U32" i="2"/>
  <c r="U32" i="4" s="1"/>
  <c r="U8" i="2"/>
  <c r="U8" i="4" s="1"/>
  <c r="U127" i="2"/>
  <c r="U127" i="4" s="1"/>
  <c r="U111" i="2"/>
  <c r="U111" i="4" s="1"/>
  <c r="U3" i="2"/>
  <c r="U3" i="4" s="1"/>
  <c r="U12" i="2"/>
  <c r="U12" i="4" s="1"/>
  <c r="U4" i="2"/>
  <c r="U4" i="4" s="1"/>
  <c r="U63" i="2"/>
  <c r="U63" i="4" s="1"/>
  <c r="U59" i="2"/>
  <c r="U59" i="4" s="1"/>
  <c r="U47" i="2"/>
  <c r="U47" i="4" s="1"/>
  <c r="U31" i="2"/>
  <c r="U31" i="4" s="1"/>
  <c r="U15" i="2"/>
  <c r="U15" i="4" s="1"/>
  <c r="U7" i="2"/>
  <c r="U7" i="4" s="1"/>
  <c r="U83" i="2"/>
  <c r="U83" i="4" s="1"/>
  <c r="U72" i="2"/>
  <c r="U72" i="4" s="1"/>
  <c r="U56" i="2"/>
  <c r="U56" i="4" s="1"/>
  <c r="U52" i="2"/>
  <c r="U52" i="4" s="1"/>
  <c r="U44" i="2"/>
  <c r="U44" i="4" s="1"/>
  <c r="U103" i="2"/>
  <c r="U103" i="4" s="1"/>
  <c r="U71" i="2"/>
  <c r="U71" i="4" s="1"/>
  <c r="U67" i="2"/>
  <c r="U67" i="4" s="1"/>
  <c r="U43" i="2"/>
  <c r="U43" i="4" s="1"/>
  <c r="U19" i="2"/>
  <c r="U19" i="4" s="1"/>
  <c r="U124" i="2"/>
  <c r="U124" i="4" s="1"/>
  <c r="U120" i="2"/>
  <c r="U120" i="4" s="1"/>
  <c r="U116" i="2"/>
  <c r="U116" i="4" s="1"/>
  <c r="U112" i="2"/>
  <c r="U112" i="4" s="1"/>
  <c r="U108" i="2"/>
  <c r="U108" i="4" s="1"/>
  <c r="U104" i="2"/>
  <c r="U104" i="4" s="1"/>
  <c r="U100" i="2"/>
  <c r="U100" i="4" s="1"/>
  <c r="U16" i="2"/>
  <c r="U16" i="4" s="1"/>
  <c r="U51" i="2"/>
  <c r="U51" i="4" s="1"/>
  <c r="U11" i="2"/>
  <c r="U11" i="4" s="1"/>
  <c r="U128" i="2"/>
  <c r="U128" i="4" s="1"/>
  <c r="U20" i="2"/>
  <c r="U20" i="4" s="1"/>
  <c r="U115" i="2"/>
  <c r="U115" i="4" s="1"/>
  <c r="U75" i="2"/>
  <c r="U75" i="4" s="1"/>
  <c r="U55" i="2"/>
  <c r="U55" i="4" s="1"/>
  <c r="U35" i="2"/>
  <c r="U35" i="4" s="1"/>
  <c r="U23" i="2"/>
  <c r="U23" i="4" s="1"/>
  <c r="U95" i="2"/>
  <c r="U95" i="4" s="1"/>
  <c r="U79" i="2"/>
  <c r="U79" i="4" s="1"/>
  <c r="U40" i="2"/>
  <c r="U40" i="4" s="1"/>
  <c r="U24" i="2"/>
  <c r="U24" i="4" s="1"/>
  <c r="U119" i="2"/>
  <c r="U119" i="4" s="1"/>
  <c r="U39" i="2"/>
  <c r="U39" i="4" s="1"/>
  <c r="U27" i="2"/>
  <c r="U27" i="4" s="1"/>
  <c r="W1" i="4" l="1"/>
  <c r="X2" i="4"/>
  <c r="W2" i="2"/>
  <c r="V115" i="2"/>
  <c r="V115" i="4" s="1"/>
  <c r="V88" i="2"/>
  <c r="V88" i="4" s="1"/>
  <c r="V111" i="2"/>
  <c r="V111" i="4" s="1"/>
  <c r="V127" i="2"/>
  <c r="V127" i="4" s="1"/>
  <c r="V103" i="2"/>
  <c r="V103" i="4" s="1"/>
  <c r="V107" i="2"/>
  <c r="V107" i="4" s="1"/>
  <c r="V123" i="2"/>
  <c r="V123" i="4" s="1"/>
  <c r="V119" i="2"/>
  <c r="V119" i="4" s="1"/>
  <c r="V130" i="2"/>
  <c r="V130" i="4" s="1"/>
  <c r="V126" i="2"/>
  <c r="V126" i="4" s="1"/>
  <c r="V122" i="2"/>
  <c r="V122" i="4" s="1"/>
  <c r="V118" i="2"/>
  <c r="V118" i="4" s="1"/>
  <c r="V114" i="2"/>
  <c r="V114" i="4" s="1"/>
  <c r="V110" i="2"/>
  <c r="V110" i="4" s="1"/>
  <c r="V106" i="2"/>
  <c r="V106" i="4" s="1"/>
  <c r="V102" i="2"/>
  <c r="V102" i="4" s="1"/>
  <c r="V98" i="2"/>
  <c r="V98" i="4" s="1"/>
  <c r="V94" i="2"/>
  <c r="V94" i="4" s="1"/>
  <c r="V90" i="2"/>
  <c r="V90" i="4" s="1"/>
  <c r="V86" i="2"/>
  <c r="V86" i="4" s="1"/>
  <c r="V82" i="2"/>
  <c r="V82" i="4" s="1"/>
  <c r="V74" i="2"/>
  <c r="V74" i="4" s="1"/>
  <c r="V70" i="2"/>
  <c r="V70" i="4" s="1"/>
  <c r="V66" i="2"/>
  <c r="V66" i="4" s="1"/>
  <c r="V42" i="2"/>
  <c r="V42" i="4" s="1"/>
  <c r="V38" i="2"/>
  <c r="V38" i="4" s="1"/>
  <c r="V30" i="2"/>
  <c r="V30" i="4" s="1"/>
  <c r="V14" i="2"/>
  <c r="V14" i="4" s="1"/>
  <c r="V6" i="2"/>
  <c r="V6" i="4" s="1"/>
  <c r="V58" i="2"/>
  <c r="V58" i="4" s="1"/>
  <c r="V54" i="2"/>
  <c r="V54" i="4" s="1"/>
  <c r="V50" i="2"/>
  <c r="V50" i="4" s="1"/>
  <c r="V34" i="2"/>
  <c r="V34" i="4" s="1"/>
  <c r="V26" i="2"/>
  <c r="V26" i="4" s="1"/>
  <c r="V22" i="2"/>
  <c r="V22" i="4" s="1"/>
  <c r="V46" i="2"/>
  <c r="V46" i="4" s="1"/>
  <c r="V10" i="2"/>
  <c r="V10" i="4" s="1"/>
  <c r="V89" i="2"/>
  <c r="V89" i="4" s="1"/>
  <c r="V85" i="2"/>
  <c r="V85" i="4" s="1"/>
  <c r="V77" i="2"/>
  <c r="V77" i="4" s="1"/>
  <c r="V73" i="2"/>
  <c r="V73" i="4" s="1"/>
  <c r="V69" i="2"/>
  <c r="V69" i="4" s="1"/>
  <c r="V65" i="2"/>
  <c r="V65" i="4" s="1"/>
  <c r="V57" i="2"/>
  <c r="V57" i="4" s="1"/>
  <c r="V53" i="2"/>
  <c r="V53" i="4" s="1"/>
  <c r="V49" i="2"/>
  <c r="V49" i="4" s="1"/>
  <c r="V25" i="2"/>
  <c r="V25" i="4" s="1"/>
  <c r="V21" i="2"/>
  <c r="V21" i="4" s="1"/>
  <c r="V76" i="2"/>
  <c r="V76" i="4" s="1"/>
  <c r="V60" i="2"/>
  <c r="V60" i="4" s="1"/>
  <c r="V129" i="2"/>
  <c r="V129" i="4" s="1"/>
  <c r="V125" i="2"/>
  <c r="V125" i="4" s="1"/>
  <c r="V121" i="2"/>
  <c r="V121" i="4" s="1"/>
  <c r="V117" i="2"/>
  <c r="V117" i="4" s="1"/>
  <c r="V113" i="2"/>
  <c r="V113" i="4" s="1"/>
  <c r="V109" i="2"/>
  <c r="V109" i="4" s="1"/>
  <c r="V105" i="2"/>
  <c r="V105" i="4" s="1"/>
  <c r="V101" i="2"/>
  <c r="V101" i="4" s="1"/>
  <c r="V97" i="2"/>
  <c r="V97" i="4" s="1"/>
  <c r="V81" i="2"/>
  <c r="V81" i="4" s="1"/>
  <c r="V41" i="2"/>
  <c r="V41" i="4" s="1"/>
  <c r="V37" i="2"/>
  <c r="V37" i="4" s="1"/>
  <c r="V33" i="2"/>
  <c r="V33" i="4" s="1"/>
  <c r="V9" i="2"/>
  <c r="V9" i="4" s="1"/>
  <c r="V5" i="2"/>
  <c r="V5" i="4" s="1"/>
  <c r="V64" i="2"/>
  <c r="V64" i="4" s="1"/>
  <c r="V48" i="2"/>
  <c r="V48" i="4" s="1"/>
  <c r="V36" i="2"/>
  <c r="V36" i="4" s="1"/>
  <c r="V28" i="2"/>
  <c r="V28" i="4" s="1"/>
  <c r="V12" i="2"/>
  <c r="V12" i="4" s="1"/>
  <c r="V124" i="2"/>
  <c r="V124" i="4" s="1"/>
  <c r="V108" i="2"/>
  <c r="V108" i="4" s="1"/>
  <c r="V87" i="2"/>
  <c r="V87" i="4" s="1"/>
  <c r="V62" i="2"/>
  <c r="V62" i="4" s="1"/>
  <c r="V18" i="2"/>
  <c r="V18" i="4" s="1"/>
  <c r="V93" i="2"/>
  <c r="V93" i="4" s="1"/>
  <c r="V61" i="2"/>
  <c r="V61" i="4" s="1"/>
  <c r="V45" i="2"/>
  <c r="V45" i="4" s="1"/>
  <c r="V17" i="2"/>
  <c r="V17" i="4" s="1"/>
  <c r="V13" i="2"/>
  <c r="V13" i="4" s="1"/>
  <c r="V68" i="2"/>
  <c r="V68" i="4" s="1"/>
  <c r="V32" i="2"/>
  <c r="V32" i="4" s="1"/>
  <c r="V8" i="2"/>
  <c r="V8" i="4" s="1"/>
  <c r="V128" i="2"/>
  <c r="V128" i="4" s="1"/>
  <c r="V112" i="2"/>
  <c r="V112" i="4" s="1"/>
  <c r="V92" i="2"/>
  <c r="V92" i="4" s="1"/>
  <c r="V91" i="2"/>
  <c r="V91" i="4" s="1"/>
  <c r="V16" i="2"/>
  <c r="V16" i="4" s="1"/>
  <c r="V4" i="2"/>
  <c r="V4" i="4" s="1"/>
  <c r="V100" i="2"/>
  <c r="V100" i="4" s="1"/>
  <c r="V95" i="2"/>
  <c r="V95" i="4" s="1"/>
  <c r="V3" i="2"/>
  <c r="V3" i="4" s="1"/>
  <c r="V83" i="2"/>
  <c r="V83" i="4" s="1"/>
  <c r="V75" i="2"/>
  <c r="V75" i="4" s="1"/>
  <c r="V59" i="2"/>
  <c r="V59" i="4" s="1"/>
  <c r="V47" i="2"/>
  <c r="V47" i="4" s="1"/>
  <c r="V43" i="2"/>
  <c r="V43" i="4" s="1"/>
  <c r="V31" i="2"/>
  <c r="V31" i="4" s="1"/>
  <c r="V15" i="2"/>
  <c r="V15" i="4" s="1"/>
  <c r="V11" i="2"/>
  <c r="V11" i="4" s="1"/>
  <c r="V99" i="2"/>
  <c r="V99" i="4" s="1"/>
  <c r="V84" i="2"/>
  <c r="V84" i="4" s="1"/>
  <c r="V29" i="2"/>
  <c r="V29" i="4" s="1"/>
  <c r="V72" i="2"/>
  <c r="V72" i="4" s="1"/>
  <c r="V56" i="2"/>
  <c r="V56" i="4" s="1"/>
  <c r="V52" i="2"/>
  <c r="V52" i="4" s="1"/>
  <c r="V44" i="2"/>
  <c r="V44" i="4" s="1"/>
  <c r="V40" i="2"/>
  <c r="V40" i="4" s="1"/>
  <c r="V104" i="2"/>
  <c r="V104" i="4" s="1"/>
  <c r="V35" i="2"/>
  <c r="V35" i="4" s="1"/>
  <c r="V19" i="2"/>
  <c r="V19" i="4" s="1"/>
  <c r="V79" i="2"/>
  <c r="V79" i="4" s="1"/>
  <c r="V51" i="2"/>
  <c r="V51" i="4" s="1"/>
  <c r="V78" i="2"/>
  <c r="V78" i="4" s="1"/>
  <c r="V20" i="2"/>
  <c r="V20" i="4" s="1"/>
  <c r="V116" i="2"/>
  <c r="V116" i="4" s="1"/>
  <c r="V67" i="2"/>
  <c r="V67" i="4" s="1"/>
  <c r="V63" i="2"/>
  <c r="V63" i="4" s="1"/>
  <c r="V55" i="2"/>
  <c r="V55" i="4" s="1"/>
  <c r="V23" i="2"/>
  <c r="V23" i="4" s="1"/>
  <c r="V7" i="2"/>
  <c r="V7" i="4" s="1"/>
  <c r="V96" i="2"/>
  <c r="V96" i="4" s="1"/>
  <c r="V80" i="2"/>
  <c r="V80" i="4" s="1"/>
  <c r="V71" i="2"/>
  <c r="V71" i="4" s="1"/>
  <c r="V24" i="2"/>
  <c r="V24" i="4" s="1"/>
  <c r="V120" i="2"/>
  <c r="V120" i="4" s="1"/>
  <c r="V39" i="2"/>
  <c r="V39" i="4" s="1"/>
  <c r="V27" i="2"/>
  <c r="V27" i="4" s="1"/>
  <c r="X1" i="4" l="1"/>
  <c r="Y2" i="4"/>
  <c r="X2" i="2"/>
  <c r="W127" i="2"/>
  <c r="W127" i="4" s="1"/>
  <c r="W100" i="2"/>
  <c r="W100" i="4" s="1"/>
  <c r="W116" i="2"/>
  <c r="W116" i="4" s="1"/>
  <c r="W112" i="2"/>
  <c r="W112" i="4" s="1"/>
  <c r="W128" i="2"/>
  <c r="W128" i="4" s="1"/>
  <c r="W104" i="2"/>
  <c r="W104" i="4" s="1"/>
  <c r="W108" i="2"/>
  <c r="W108" i="4" s="1"/>
  <c r="W124" i="2"/>
  <c r="W124" i="4" s="1"/>
  <c r="W120" i="2"/>
  <c r="W120" i="4" s="1"/>
  <c r="W10" i="2"/>
  <c r="W10" i="4" s="1"/>
  <c r="W89" i="2"/>
  <c r="W89" i="4" s="1"/>
  <c r="W130" i="2"/>
  <c r="W130" i="4" s="1"/>
  <c r="W126" i="2"/>
  <c r="W126" i="4" s="1"/>
  <c r="W122" i="2"/>
  <c r="W122" i="4" s="1"/>
  <c r="W118" i="2"/>
  <c r="W118" i="4" s="1"/>
  <c r="W114" i="2"/>
  <c r="W114" i="4" s="1"/>
  <c r="W110" i="2"/>
  <c r="W110" i="4" s="1"/>
  <c r="W106" i="2"/>
  <c r="W106" i="4" s="1"/>
  <c r="W102" i="2"/>
  <c r="W102" i="4" s="1"/>
  <c r="W98" i="2"/>
  <c r="W98" i="4" s="1"/>
  <c r="W94" i="2"/>
  <c r="W94" i="4" s="1"/>
  <c r="W90" i="2"/>
  <c r="W90" i="4" s="1"/>
  <c r="W86" i="2"/>
  <c r="W86" i="4" s="1"/>
  <c r="W82" i="2"/>
  <c r="W82" i="4" s="1"/>
  <c r="W74" i="2"/>
  <c r="W74" i="4" s="1"/>
  <c r="W70" i="2"/>
  <c r="W70" i="4" s="1"/>
  <c r="W66" i="2"/>
  <c r="W66" i="4" s="1"/>
  <c r="W46" i="2"/>
  <c r="W46" i="4" s="1"/>
  <c r="W14" i="2"/>
  <c r="W14" i="4" s="1"/>
  <c r="W6" i="2"/>
  <c r="W6" i="4" s="1"/>
  <c r="W129" i="2"/>
  <c r="W129" i="4" s="1"/>
  <c r="W125" i="2"/>
  <c r="W125" i="4" s="1"/>
  <c r="W121" i="2"/>
  <c r="W121" i="4" s="1"/>
  <c r="W117" i="2"/>
  <c r="W117" i="4" s="1"/>
  <c r="W113" i="2"/>
  <c r="W113" i="4" s="1"/>
  <c r="W109" i="2"/>
  <c r="W109" i="4" s="1"/>
  <c r="W105" i="2"/>
  <c r="W105" i="4" s="1"/>
  <c r="W101" i="2"/>
  <c r="W101" i="4" s="1"/>
  <c r="W78" i="2"/>
  <c r="W78" i="4" s="1"/>
  <c r="W58" i="2"/>
  <c r="W58" i="4" s="1"/>
  <c r="W54" i="2"/>
  <c r="W54" i="4" s="1"/>
  <c r="W50" i="2"/>
  <c r="W50" i="4" s="1"/>
  <c r="W42" i="2"/>
  <c r="W42" i="4" s="1"/>
  <c r="W38" i="2"/>
  <c r="W38" i="4" s="1"/>
  <c r="W30" i="2"/>
  <c r="W30" i="4" s="1"/>
  <c r="W26" i="2"/>
  <c r="W26" i="4" s="1"/>
  <c r="W22" i="2"/>
  <c r="W22" i="4" s="1"/>
  <c r="W97" i="2"/>
  <c r="W97" i="4" s="1"/>
  <c r="W77" i="2"/>
  <c r="W77" i="4" s="1"/>
  <c r="W73" i="2"/>
  <c r="W73" i="4" s="1"/>
  <c r="W69" i="2"/>
  <c r="W69" i="4" s="1"/>
  <c r="W65" i="2"/>
  <c r="W65" i="4" s="1"/>
  <c r="W57" i="2"/>
  <c r="W57" i="4" s="1"/>
  <c r="W53" i="2"/>
  <c r="W53" i="4" s="1"/>
  <c r="W49" i="2"/>
  <c r="W49" i="4" s="1"/>
  <c r="W25" i="2"/>
  <c r="W25" i="4" s="1"/>
  <c r="W21" i="2"/>
  <c r="W21" i="4" s="1"/>
  <c r="W60" i="2"/>
  <c r="W60" i="4" s="1"/>
  <c r="W18" i="2"/>
  <c r="W18" i="4" s="1"/>
  <c r="W81" i="2"/>
  <c r="W81" i="4" s="1"/>
  <c r="W61" i="2"/>
  <c r="W61" i="4" s="1"/>
  <c r="W41" i="2"/>
  <c r="W41" i="4" s="1"/>
  <c r="W37" i="2"/>
  <c r="W37" i="4" s="1"/>
  <c r="W33" i="2"/>
  <c r="W33" i="4" s="1"/>
  <c r="W17" i="2"/>
  <c r="W17" i="4" s="1"/>
  <c r="W13" i="2"/>
  <c r="W13" i="4" s="1"/>
  <c r="W92" i="2"/>
  <c r="W92" i="4" s="1"/>
  <c r="W88" i="2"/>
  <c r="W88" i="4" s="1"/>
  <c r="W84" i="2"/>
  <c r="W84" i="4" s="1"/>
  <c r="W80" i="2"/>
  <c r="W80" i="4" s="1"/>
  <c r="W48" i="2"/>
  <c r="W48" i="4" s="1"/>
  <c r="W28" i="2"/>
  <c r="W28" i="4" s="1"/>
  <c r="W16" i="2"/>
  <c r="W16" i="4" s="1"/>
  <c r="W12" i="2"/>
  <c r="W12" i="4" s="1"/>
  <c r="W8" i="2"/>
  <c r="W8" i="4" s="1"/>
  <c r="W62" i="2"/>
  <c r="W62" i="4" s="1"/>
  <c r="W93" i="2"/>
  <c r="W93" i="4" s="1"/>
  <c r="W45" i="2"/>
  <c r="W45" i="4" s="1"/>
  <c r="W76" i="2"/>
  <c r="W76" i="4" s="1"/>
  <c r="W64" i="2"/>
  <c r="W64" i="4" s="1"/>
  <c r="W32" i="2"/>
  <c r="W32" i="4" s="1"/>
  <c r="W99" i="2"/>
  <c r="W99" i="4" s="1"/>
  <c r="W91" i="2"/>
  <c r="W91" i="4" s="1"/>
  <c r="W4" i="2"/>
  <c r="W4" i="4" s="1"/>
  <c r="W96" i="2"/>
  <c r="W96" i="4" s="1"/>
  <c r="W3" i="2"/>
  <c r="W3" i="4" s="1"/>
  <c r="W95" i="2"/>
  <c r="W95" i="4" s="1"/>
  <c r="W83" i="2"/>
  <c r="W83" i="4" s="1"/>
  <c r="W51" i="2"/>
  <c r="W51" i="4" s="1"/>
  <c r="W43" i="2"/>
  <c r="W43" i="4" s="1"/>
  <c r="W31" i="2"/>
  <c r="W31" i="4" s="1"/>
  <c r="W15" i="2"/>
  <c r="W15" i="4" s="1"/>
  <c r="W7" i="2"/>
  <c r="W7" i="4" s="1"/>
  <c r="W72" i="2"/>
  <c r="W72" i="4" s="1"/>
  <c r="W119" i="2"/>
  <c r="W119" i="4" s="1"/>
  <c r="W111" i="2"/>
  <c r="W111" i="4" s="1"/>
  <c r="W103" i="2"/>
  <c r="W103" i="4" s="1"/>
  <c r="W75" i="2"/>
  <c r="W75" i="4" s="1"/>
  <c r="W29" i="2"/>
  <c r="W29" i="4" s="1"/>
  <c r="W52" i="2"/>
  <c r="W52" i="4" s="1"/>
  <c r="W40" i="2"/>
  <c r="W40" i="4" s="1"/>
  <c r="W36" i="2"/>
  <c r="W36" i="4" s="1"/>
  <c r="W87" i="2"/>
  <c r="W87" i="4" s="1"/>
  <c r="W59" i="2"/>
  <c r="W59" i="4" s="1"/>
  <c r="W35" i="2"/>
  <c r="W35" i="4" s="1"/>
  <c r="W27" i="2"/>
  <c r="W27" i="4" s="1"/>
  <c r="W19" i="2"/>
  <c r="W19" i="4" s="1"/>
  <c r="W79" i="2"/>
  <c r="W79" i="4" s="1"/>
  <c r="W63" i="2"/>
  <c r="W63" i="4" s="1"/>
  <c r="W34" i="2"/>
  <c r="W34" i="4" s="1"/>
  <c r="W9" i="2"/>
  <c r="W9" i="4" s="1"/>
  <c r="W5" i="2"/>
  <c r="W5" i="4" s="1"/>
  <c r="W68" i="2"/>
  <c r="W68" i="4" s="1"/>
  <c r="W56" i="2"/>
  <c r="W56" i="4" s="1"/>
  <c r="W44" i="2"/>
  <c r="W44" i="4" s="1"/>
  <c r="W20" i="2"/>
  <c r="W20" i="4" s="1"/>
  <c r="W71" i="2"/>
  <c r="W71" i="4" s="1"/>
  <c r="W67" i="2"/>
  <c r="W67" i="4" s="1"/>
  <c r="W47" i="2"/>
  <c r="W47" i="4" s="1"/>
  <c r="W123" i="2"/>
  <c r="W123" i="4" s="1"/>
  <c r="W115" i="2"/>
  <c r="W115" i="4" s="1"/>
  <c r="W107" i="2"/>
  <c r="W107" i="4" s="1"/>
  <c r="W85" i="2"/>
  <c r="W85" i="4" s="1"/>
  <c r="W24" i="2"/>
  <c r="W24" i="4" s="1"/>
  <c r="W55" i="2"/>
  <c r="W55" i="4" s="1"/>
  <c r="W39" i="2"/>
  <c r="W39" i="4" s="1"/>
  <c r="W23" i="2"/>
  <c r="W23" i="4" s="1"/>
  <c r="W11" i="2"/>
  <c r="W11" i="4" s="1"/>
  <c r="Y1" i="4" l="1"/>
  <c r="Z2" i="4"/>
  <c r="Y2" i="2"/>
  <c r="X128" i="2"/>
  <c r="X128" i="4" s="1"/>
  <c r="X94" i="2"/>
  <c r="X94" i="4" s="1"/>
  <c r="X121" i="2"/>
  <c r="X121" i="4" s="1"/>
  <c r="X125" i="2"/>
  <c r="X125" i="4" s="1"/>
  <c r="X109" i="2"/>
  <c r="X109" i="4" s="1"/>
  <c r="X105" i="2"/>
  <c r="X105" i="4" s="1"/>
  <c r="X46" i="2"/>
  <c r="X46" i="4" s="1"/>
  <c r="X130" i="2"/>
  <c r="X130" i="4" s="1"/>
  <c r="X126" i="2"/>
  <c r="X126" i="4" s="1"/>
  <c r="X122" i="2"/>
  <c r="X122" i="4" s="1"/>
  <c r="X118" i="2"/>
  <c r="X118" i="4" s="1"/>
  <c r="X114" i="2"/>
  <c r="X114" i="4" s="1"/>
  <c r="X110" i="2"/>
  <c r="X110" i="4" s="1"/>
  <c r="X106" i="2"/>
  <c r="X106" i="4" s="1"/>
  <c r="X102" i="2"/>
  <c r="X102" i="4" s="1"/>
  <c r="X74" i="2"/>
  <c r="X74" i="4" s="1"/>
  <c r="X70" i="2"/>
  <c r="X70" i="4" s="1"/>
  <c r="X66" i="2"/>
  <c r="X66" i="4" s="1"/>
  <c r="X93" i="2"/>
  <c r="X93" i="4" s="1"/>
  <c r="X86" i="2"/>
  <c r="X86" i="4" s="1"/>
  <c r="X82" i="2"/>
  <c r="X82" i="4" s="1"/>
  <c r="X78" i="2"/>
  <c r="X78" i="4" s="1"/>
  <c r="X62" i="2"/>
  <c r="X62" i="4" s="1"/>
  <c r="X58" i="2"/>
  <c r="X58" i="4" s="1"/>
  <c r="X54" i="2"/>
  <c r="X54" i="4" s="1"/>
  <c r="X50" i="2"/>
  <c r="X50" i="4" s="1"/>
  <c r="X42" i="2"/>
  <c r="X42" i="4" s="1"/>
  <c r="X38" i="2"/>
  <c r="X38" i="4" s="1"/>
  <c r="X34" i="2"/>
  <c r="X34" i="4" s="1"/>
  <c r="X30" i="2"/>
  <c r="X30" i="4" s="1"/>
  <c r="X22" i="2"/>
  <c r="X22" i="4" s="1"/>
  <c r="X18" i="2"/>
  <c r="X18" i="4" s="1"/>
  <c r="X14" i="2"/>
  <c r="X14" i="4" s="1"/>
  <c r="X10" i="2"/>
  <c r="X10" i="4" s="1"/>
  <c r="X90" i="2"/>
  <c r="X90" i="4" s="1"/>
  <c r="X98" i="2"/>
  <c r="X98" i="4" s="1"/>
  <c r="X113" i="2"/>
  <c r="X113" i="4" s="1"/>
  <c r="X97" i="2"/>
  <c r="X97" i="4" s="1"/>
  <c r="X57" i="2"/>
  <c r="X57" i="4" s="1"/>
  <c r="X53" i="2"/>
  <c r="X53" i="4" s="1"/>
  <c r="X49" i="2"/>
  <c r="X49" i="4" s="1"/>
  <c r="X25" i="2"/>
  <c r="X25" i="4" s="1"/>
  <c r="X21" i="2"/>
  <c r="X21" i="4" s="1"/>
  <c r="X5" i="2"/>
  <c r="X5" i="4" s="1"/>
  <c r="X117" i="2"/>
  <c r="X117" i="4" s="1"/>
  <c r="X101" i="2"/>
  <c r="X101" i="4" s="1"/>
  <c r="X72" i="2"/>
  <c r="X72" i="4" s="1"/>
  <c r="X89" i="2"/>
  <c r="X89" i="4" s="1"/>
  <c r="X85" i="2"/>
  <c r="X85" i="4" s="1"/>
  <c r="X81" i="2"/>
  <c r="X81" i="4" s="1"/>
  <c r="X69" i="2"/>
  <c r="X69" i="4" s="1"/>
  <c r="X65" i="2"/>
  <c r="X65" i="4" s="1"/>
  <c r="X61" i="2"/>
  <c r="X61" i="4" s="1"/>
  <c r="X45" i="2"/>
  <c r="X45" i="4" s="1"/>
  <c r="X41" i="2"/>
  <c r="X41" i="4" s="1"/>
  <c r="X37" i="2"/>
  <c r="X37" i="4" s="1"/>
  <c r="X33" i="2"/>
  <c r="X33" i="4" s="1"/>
  <c r="X29" i="2"/>
  <c r="X29" i="4" s="1"/>
  <c r="X17" i="2"/>
  <c r="X17" i="4" s="1"/>
  <c r="X9" i="2"/>
  <c r="X9" i="4" s="1"/>
  <c r="X96" i="2"/>
  <c r="X96" i="4" s="1"/>
  <c r="X92" i="2"/>
  <c r="X92" i="4" s="1"/>
  <c r="X88" i="2"/>
  <c r="X88" i="4" s="1"/>
  <c r="X84" i="2"/>
  <c r="X84" i="4" s="1"/>
  <c r="X80" i="2"/>
  <c r="X80" i="4" s="1"/>
  <c r="X52" i="2"/>
  <c r="X52" i="4" s="1"/>
  <c r="X36" i="2"/>
  <c r="X36" i="4" s="1"/>
  <c r="X24" i="2"/>
  <c r="X24" i="4" s="1"/>
  <c r="X20" i="2"/>
  <c r="X20" i="4" s="1"/>
  <c r="X8" i="2"/>
  <c r="X8" i="4" s="1"/>
  <c r="X129" i="2"/>
  <c r="X129" i="4" s="1"/>
  <c r="X77" i="2"/>
  <c r="X77" i="4" s="1"/>
  <c r="X73" i="2"/>
  <c r="X73" i="4" s="1"/>
  <c r="X13" i="2"/>
  <c r="X13" i="4" s="1"/>
  <c r="X64" i="2"/>
  <c r="X64" i="4" s="1"/>
  <c r="X60" i="2"/>
  <c r="X60" i="4" s="1"/>
  <c r="X32" i="2"/>
  <c r="X32" i="4" s="1"/>
  <c r="X91" i="2"/>
  <c r="X91" i="4" s="1"/>
  <c r="X6" i="2"/>
  <c r="X6" i="4" s="1"/>
  <c r="X3" i="2"/>
  <c r="X3" i="4" s="1"/>
  <c r="X95" i="2"/>
  <c r="X95" i="4" s="1"/>
  <c r="X83" i="2"/>
  <c r="X83" i="4" s="1"/>
  <c r="X51" i="2"/>
  <c r="X51" i="4" s="1"/>
  <c r="X39" i="2"/>
  <c r="X39" i="4" s="1"/>
  <c r="X7" i="2"/>
  <c r="X7" i="4" s="1"/>
  <c r="X123" i="2"/>
  <c r="X123" i="4" s="1"/>
  <c r="X119" i="2"/>
  <c r="X119" i="4" s="1"/>
  <c r="X115" i="2"/>
  <c r="X115" i="4" s="1"/>
  <c r="X111" i="2"/>
  <c r="X111" i="4" s="1"/>
  <c r="X107" i="2"/>
  <c r="X107" i="4" s="1"/>
  <c r="X103" i="2"/>
  <c r="X103" i="4" s="1"/>
  <c r="X76" i="2"/>
  <c r="X76" i="4" s="1"/>
  <c r="X116" i="2"/>
  <c r="X116" i="4" s="1"/>
  <c r="X108" i="2"/>
  <c r="X108" i="4" s="1"/>
  <c r="X100" i="2"/>
  <c r="X100" i="4" s="1"/>
  <c r="X56" i="2"/>
  <c r="X56" i="4" s="1"/>
  <c r="X40" i="2"/>
  <c r="X40" i="4" s="1"/>
  <c r="X12" i="2"/>
  <c r="X12" i="4" s="1"/>
  <c r="X4" i="2"/>
  <c r="X4" i="4" s="1"/>
  <c r="X99" i="2"/>
  <c r="X99" i="4" s="1"/>
  <c r="X87" i="2"/>
  <c r="X87" i="4" s="1"/>
  <c r="X47" i="2"/>
  <c r="X47" i="4" s="1"/>
  <c r="X43" i="2"/>
  <c r="X43" i="4" s="1"/>
  <c r="X35" i="2"/>
  <c r="X35" i="4" s="1"/>
  <c r="X31" i="2"/>
  <c r="X31" i="4" s="1"/>
  <c r="X27" i="2"/>
  <c r="X27" i="4" s="1"/>
  <c r="X127" i="2"/>
  <c r="X127" i="4" s="1"/>
  <c r="X120" i="2"/>
  <c r="X120" i="4" s="1"/>
  <c r="X112" i="2"/>
  <c r="X112" i="4" s="1"/>
  <c r="X104" i="2"/>
  <c r="X104" i="4" s="1"/>
  <c r="X26" i="2"/>
  <c r="X26" i="4" s="1"/>
  <c r="X79" i="2"/>
  <c r="X79" i="4" s="1"/>
  <c r="X75" i="2"/>
  <c r="X75" i="4" s="1"/>
  <c r="X55" i="2"/>
  <c r="X55" i="4" s="1"/>
  <c r="X11" i="2"/>
  <c r="X11" i="4" s="1"/>
  <c r="X124" i="2"/>
  <c r="X124" i="4" s="1"/>
  <c r="X48" i="2"/>
  <c r="X48" i="4" s="1"/>
  <c r="X44" i="2"/>
  <c r="X44" i="4" s="1"/>
  <c r="X28" i="2"/>
  <c r="X28" i="4" s="1"/>
  <c r="X16" i="2"/>
  <c r="X16" i="4" s="1"/>
  <c r="X71" i="2"/>
  <c r="X71" i="4" s="1"/>
  <c r="X67" i="2"/>
  <c r="X67" i="4" s="1"/>
  <c r="X63" i="2"/>
  <c r="X63" i="4" s="1"/>
  <c r="X19" i="2"/>
  <c r="X19" i="4" s="1"/>
  <c r="X15" i="2"/>
  <c r="X15" i="4" s="1"/>
  <c r="X68" i="2"/>
  <c r="X68" i="4" s="1"/>
  <c r="X59" i="2"/>
  <c r="X59" i="4" s="1"/>
  <c r="X23" i="2"/>
  <c r="X23" i="4" s="1"/>
  <c r="Z1" i="4" l="1"/>
  <c r="AA2" i="4"/>
  <c r="Z2" i="2"/>
  <c r="Y122" i="2"/>
  <c r="Y122" i="4" s="1"/>
  <c r="Y91" i="2"/>
  <c r="Y91" i="4" s="1"/>
  <c r="Y95" i="2"/>
  <c r="Y95" i="4" s="1"/>
  <c r="Y106" i="2"/>
  <c r="Y106" i="4" s="1"/>
  <c r="Y18" i="2"/>
  <c r="Y18" i="4" s="1"/>
  <c r="Y126" i="2"/>
  <c r="Y126" i="4" s="1"/>
  <c r="Y110" i="2"/>
  <c r="Y110" i="4" s="1"/>
  <c r="Y129" i="2"/>
  <c r="Y129" i="4" s="1"/>
  <c r="Y125" i="2"/>
  <c r="Y125" i="4" s="1"/>
  <c r="Y121" i="2"/>
  <c r="Y121" i="4" s="1"/>
  <c r="Y117" i="2"/>
  <c r="Y117" i="4" s="1"/>
  <c r="Y113" i="2"/>
  <c r="Y113" i="4" s="1"/>
  <c r="Y109" i="2"/>
  <c r="Y109" i="4" s="1"/>
  <c r="Y105" i="2"/>
  <c r="Y105" i="4" s="1"/>
  <c r="Y101" i="2"/>
  <c r="Y101" i="4" s="1"/>
  <c r="Y97" i="2"/>
  <c r="Y97" i="4" s="1"/>
  <c r="Y90" i="2"/>
  <c r="Y90" i="4" s="1"/>
  <c r="Y86" i="2"/>
  <c r="Y86" i="4" s="1"/>
  <c r="Y82" i="2"/>
  <c r="Y82" i="4" s="1"/>
  <c r="Y74" i="2"/>
  <c r="Y74" i="4" s="1"/>
  <c r="Y70" i="2"/>
  <c r="Y70" i="4" s="1"/>
  <c r="Y66" i="2"/>
  <c r="Y66" i="4" s="1"/>
  <c r="Y62" i="2"/>
  <c r="Y62" i="4" s="1"/>
  <c r="Y58" i="2"/>
  <c r="Y58" i="4" s="1"/>
  <c r="Y54" i="2"/>
  <c r="Y54" i="4" s="1"/>
  <c r="Y50" i="2"/>
  <c r="Y50" i="4" s="1"/>
  <c r="Y42" i="2"/>
  <c r="Y42" i="4" s="1"/>
  <c r="Y38" i="2"/>
  <c r="Y38" i="4" s="1"/>
  <c r="Y30" i="2"/>
  <c r="Y30" i="4" s="1"/>
  <c r="Y22" i="2"/>
  <c r="Y22" i="4" s="1"/>
  <c r="Y14" i="2"/>
  <c r="Y14" i="4" s="1"/>
  <c r="Y10" i="2"/>
  <c r="Y10" i="4" s="1"/>
  <c r="Y6" i="2"/>
  <c r="Y6" i="4" s="1"/>
  <c r="Y98" i="2"/>
  <c r="Y98" i="4" s="1"/>
  <c r="Y94" i="2"/>
  <c r="Y94" i="4" s="1"/>
  <c r="Y78" i="2"/>
  <c r="Y78" i="4" s="1"/>
  <c r="Y34" i="2"/>
  <c r="Y34" i="4" s="1"/>
  <c r="Y114" i="2"/>
  <c r="Y114" i="4" s="1"/>
  <c r="Y77" i="2"/>
  <c r="Y77" i="4" s="1"/>
  <c r="Y118" i="2"/>
  <c r="Y118" i="4" s="1"/>
  <c r="Y102" i="2"/>
  <c r="Y102" i="4" s="1"/>
  <c r="Y72" i="2"/>
  <c r="Y72" i="4" s="1"/>
  <c r="Y60" i="2"/>
  <c r="Y60" i="4" s="1"/>
  <c r="Y56" i="2"/>
  <c r="Y56" i="4" s="1"/>
  <c r="Y89" i="2"/>
  <c r="Y89" i="4" s="1"/>
  <c r="Y85" i="2"/>
  <c r="Y85" i="4" s="1"/>
  <c r="Y81" i="2"/>
  <c r="Y81" i="4" s="1"/>
  <c r="Y73" i="2"/>
  <c r="Y73" i="4" s="1"/>
  <c r="Y69" i="2"/>
  <c r="Y69" i="4" s="1"/>
  <c r="Y65" i="2"/>
  <c r="Y65" i="4" s="1"/>
  <c r="Y57" i="2"/>
  <c r="Y57" i="4" s="1"/>
  <c r="Y53" i="2"/>
  <c r="Y53" i="4" s="1"/>
  <c r="Y45" i="2"/>
  <c r="Y45" i="4" s="1"/>
  <c r="Y41" i="2"/>
  <c r="Y41" i="4" s="1"/>
  <c r="Y37" i="2"/>
  <c r="Y37" i="4" s="1"/>
  <c r="Y33" i="2"/>
  <c r="Y33" i="4" s="1"/>
  <c r="Y25" i="2"/>
  <c r="Y25" i="4" s="1"/>
  <c r="Y17" i="2"/>
  <c r="Y17" i="4" s="1"/>
  <c r="Y5" i="2"/>
  <c r="Y5" i="4" s="1"/>
  <c r="Y96" i="2"/>
  <c r="Y96" i="4" s="1"/>
  <c r="Y92" i="2"/>
  <c r="Y92" i="4" s="1"/>
  <c r="Y88" i="2"/>
  <c r="Y88" i="4" s="1"/>
  <c r="Y84" i="2"/>
  <c r="Y84" i="4" s="1"/>
  <c r="Y80" i="2"/>
  <c r="Y80" i="4" s="1"/>
  <c r="Y76" i="2"/>
  <c r="Y76" i="4" s="1"/>
  <c r="Y52" i="2"/>
  <c r="Y52" i="4" s="1"/>
  <c r="Y40" i="2"/>
  <c r="Y40" i="4" s="1"/>
  <c r="Y36" i="2"/>
  <c r="Y36" i="4" s="1"/>
  <c r="Y24" i="2"/>
  <c r="Y24" i="4" s="1"/>
  <c r="Y127" i="2"/>
  <c r="Y127" i="4" s="1"/>
  <c r="Y111" i="2"/>
  <c r="Y111" i="4" s="1"/>
  <c r="Y130" i="2"/>
  <c r="Y130" i="4" s="1"/>
  <c r="Y61" i="2"/>
  <c r="Y61" i="4" s="1"/>
  <c r="Y49" i="2"/>
  <c r="Y49" i="4" s="1"/>
  <c r="Y21" i="2"/>
  <c r="Y21" i="4" s="1"/>
  <c r="Y64" i="2"/>
  <c r="Y64" i="4" s="1"/>
  <c r="Y48" i="2"/>
  <c r="Y48" i="4" s="1"/>
  <c r="Y115" i="2"/>
  <c r="Y115" i="4" s="1"/>
  <c r="Y79" i="2"/>
  <c r="Y79" i="4" s="1"/>
  <c r="Y29" i="2"/>
  <c r="Y29" i="4" s="1"/>
  <c r="Y16" i="2"/>
  <c r="Y16" i="4" s="1"/>
  <c r="Y103" i="2"/>
  <c r="Y103" i="4" s="1"/>
  <c r="Y3" i="2"/>
  <c r="Y3" i="4" s="1"/>
  <c r="Y51" i="2"/>
  <c r="Y51" i="4" s="1"/>
  <c r="Y39" i="2"/>
  <c r="Y39" i="4" s="1"/>
  <c r="Y27" i="2"/>
  <c r="Y27" i="4" s="1"/>
  <c r="Y11" i="2"/>
  <c r="Y11" i="4" s="1"/>
  <c r="Y124" i="2"/>
  <c r="Y124" i="4" s="1"/>
  <c r="Y120" i="2"/>
  <c r="Y120" i="4" s="1"/>
  <c r="Y116" i="2"/>
  <c r="Y116" i="4" s="1"/>
  <c r="Y112" i="2"/>
  <c r="Y112" i="4" s="1"/>
  <c r="Y108" i="2"/>
  <c r="Y108" i="4" s="1"/>
  <c r="Y104" i="2"/>
  <c r="Y104" i="4" s="1"/>
  <c r="Y100" i="2"/>
  <c r="Y100" i="4" s="1"/>
  <c r="Y87" i="2"/>
  <c r="Y87" i="4" s="1"/>
  <c r="Y26" i="2"/>
  <c r="Y26" i="4" s="1"/>
  <c r="Y93" i="2"/>
  <c r="Y93" i="4" s="1"/>
  <c r="Y44" i="2"/>
  <c r="Y44" i="4" s="1"/>
  <c r="Y12" i="2"/>
  <c r="Y12" i="4" s="1"/>
  <c r="Y4" i="2"/>
  <c r="Y4" i="4" s="1"/>
  <c r="Y107" i="2"/>
  <c r="Y107" i="4" s="1"/>
  <c r="Y63" i="2"/>
  <c r="Y63" i="4" s="1"/>
  <c r="Y59" i="2"/>
  <c r="Y59" i="4" s="1"/>
  <c r="Y47" i="2"/>
  <c r="Y47" i="4" s="1"/>
  <c r="Y31" i="2"/>
  <c r="Y31" i="4" s="1"/>
  <c r="Y15" i="2"/>
  <c r="Y15" i="4" s="1"/>
  <c r="Y7" i="2"/>
  <c r="Y7" i="4" s="1"/>
  <c r="Y75" i="2"/>
  <c r="Y75" i="4" s="1"/>
  <c r="Y55" i="2"/>
  <c r="Y55" i="4" s="1"/>
  <c r="Y46" i="2"/>
  <c r="Y46" i="4" s="1"/>
  <c r="Y9" i="2"/>
  <c r="Y9" i="4" s="1"/>
  <c r="Y32" i="2"/>
  <c r="Y32" i="4" s="1"/>
  <c r="Y28" i="2"/>
  <c r="Y28" i="4" s="1"/>
  <c r="Y119" i="2"/>
  <c r="Y119" i="4" s="1"/>
  <c r="Y71" i="2"/>
  <c r="Y71" i="4" s="1"/>
  <c r="Y67" i="2"/>
  <c r="Y67" i="4" s="1"/>
  <c r="Y43" i="2"/>
  <c r="Y43" i="4" s="1"/>
  <c r="Y128" i="2"/>
  <c r="Y128" i="4" s="1"/>
  <c r="Y99" i="2"/>
  <c r="Y99" i="4" s="1"/>
  <c r="Y83" i="2"/>
  <c r="Y83" i="4" s="1"/>
  <c r="Y13" i="2"/>
  <c r="Y13" i="4" s="1"/>
  <c r="Y68" i="2"/>
  <c r="Y68" i="4" s="1"/>
  <c r="Y20" i="2"/>
  <c r="Y20" i="4" s="1"/>
  <c r="Y8" i="2"/>
  <c r="Y8" i="4" s="1"/>
  <c r="Y123" i="2"/>
  <c r="Y123" i="4" s="1"/>
  <c r="Y35" i="2"/>
  <c r="Y35" i="4" s="1"/>
  <c r="Y23" i="2"/>
  <c r="Y23" i="4" s="1"/>
  <c r="Y19" i="2"/>
  <c r="Y19" i="4" s="1"/>
  <c r="AA1" i="4" l="1"/>
  <c r="AB2" i="4"/>
  <c r="AA2" i="2"/>
  <c r="Z103" i="2"/>
  <c r="Z103" i="4" s="1"/>
  <c r="Z119" i="2"/>
  <c r="Z119" i="4" s="1"/>
  <c r="Z92" i="2"/>
  <c r="Z92" i="4" s="1"/>
  <c r="Z115" i="2"/>
  <c r="Z115" i="4" s="1"/>
  <c r="Z123" i="2"/>
  <c r="Z123" i="4" s="1"/>
  <c r="Z111" i="2"/>
  <c r="Z111" i="4" s="1"/>
  <c r="Z127" i="2"/>
  <c r="Z127" i="4" s="1"/>
  <c r="Z96" i="2"/>
  <c r="Z96" i="4" s="1"/>
  <c r="Z107" i="2"/>
  <c r="Z107" i="4" s="1"/>
  <c r="Z18" i="2"/>
  <c r="Z18" i="4" s="1"/>
  <c r="Z10" i="2"/>
  <c r="Z10" i="4" s="1"/>
  <c r="Z130" i="2"/>
  <c r="Z130" i="4" s="1"/>
  <c r="Z78" i="2"/>
  <c r="Z78" i="4" s="1"/>
  <c r="Z129" i="2"/>
  <c r="Z129" i="4" s="1"/>
  <c r="Z125" i="2"/>
  <c r="Z125" i="4" s="1"/>
  <c r="Z121" i="2"/>
  <c r="Z121" i="4" s="1"/>
  <c r="Z117" i="2"/>
  <c r="Z117" i="4" s="1"/>
  <c r="Z113" i="2"/>
  <c r="Z113" i="4" s="1"/>
  <c r="Z109" i="2"/>
  <c r="Z109" i="4" s="1"/>
  <c r="Z105" i="2"/>
  <c r="Z105" i="4" s="1"/>
  <c r="Z101" i="2"/>
  <c r="Z101" i="4" s="1"/>
  <c r="Z97" i="2"/>
  <c r="Z97" i="4" s="1"/>
  <c r="Z126" i="2"/>
  <c r="Z126" i="4" s="1"/>
  <c r="Z122" i="2"/>
  <c r="Z122" i="4" s="1"/>
  <c r="Z118" i="2"/>
  <c r="Z118" i="4" s="1"/>
  <c r="Z114" i="2"/>
  <c r="Z114" i="4" s="1"/>
  <c r="Z110" i="2"/>
  <c r="Z110" i="4" s="1"/>
  <c r="Z106" i="2"/>
  <c r="Z106" i="4" s="1"/>
  <c r="Z102" i="2"/>
  <c r="Z102" i="4" s="1"/>
  <c r="Z98" i="2"/>
  <c r="Z98" i="4" s="1"/>
  <c r="Z94" i="2"/>
  <c r="Z94" i="4" s="1"/>
  <c r="Z90" i="2"/>
  <c r="Z90" i="4" s="1"/>
  <c r="Z86" i="2"/>
  <c r="Z86" i="4" s="1"/>
  <c r="Z82" i="2"/>
  <c r="Z82" i="4" s="1"/>
  <c r="Z74" i="2"/>
  <c r="Z74" i="4" s="1"/>
  <c r="Z70" i="2"/>
  <c r="Z70" i="4" s="1"/>
  <c r="Z66" i="2"/>
  <c r="Z66" i="4" s="1"/>
  <c r="Z58" i="2"/>
  <c r="Z58" i="4" s="1"/>
  <c r="Z54" i="2"/>
  <c r="Z54" i="4" s="1"/>
  <c r="Z42" i="2"/>
  <c r="Z42" i="4" s="1"/>
  <c r="Z38" i="2"/>
  <c r="Z38" i="4" s="1"/>
  <c r="Z30" i="2"/>
  <c r="Z30" i="4" s="1"/>
  <c r="Z26" i="2"/>
  <c r="Z26" i="4" s="1"/>
  <c r="Z14" i="2"/>
  <c r="Z14" i="4" s="1"/>
  <c r="Z6" i="2"/>
  <c r="Z6" i="4" s="1"/>
  <c r="Z50" i="2"/>
  <c r="Z50" i="4" s="1"/>
  <c r="Z34" i="2"/>
  <c r="Z34" i="4" s="1"/>
  <c r="Z22" i="2"/>
  <c r="Z22" i="4" s="1"/>
  <c r="Z61" i="2"/>
  <c r="Z61" i="4" s="1"/>
  <c r="Z37" i="2"/>
  <c r="Z37" i="4" s="1"/>
  <c r="Z72" i="2"/>
  <c r="Z72" i="4" s="1"/>
  <c r="Z56" i="2"/>
  <c r="Z56" i="4" s="1"/>
  <c r="Z89" i="2"/>
  <c r="Z89" i="4" s="1"/>
  <c r="Z85" i="2"/>
  <c r="Z85" i="4" s="1"/>
  <c r="Z77" i="2"/>
  <c r="Z77" i="4" s="1"/>
  <c r="Z73" i="2"/>
  <c r="Z73" i="4" s="1"/>
  <c r="Z69" i="2"/>
  <c r="Z69" i="4" s="1"/>
  <c r="Z65" i="2"/>
  <c r="Z65" i="4" s="1"/>
  <c r="Z57" i="2"/>
  <c r="Z57" i="4" s="1"/>
  <c r="Z53" i="2"/>
  <c r="Z53" i="4" s="1"/>
  <c r="Z49" i="2"/>
  <c r="Z49" i="4" s="1"/>
  <c r="Z41" i="2"/>
  <c r="Z41" i="4" s="1"/>
  <c r="Z33" i="2"/>
  <c r="Z33" i="4" s="1"/>
  <c r="Z25" i="2"/>
  <c r="Z25" i="4" s="1"/>
  <c r="Z21" i="2"/>
  <c r="Z21" i="4" s="1"/>
  <c r="Z76" i="2"/>
  <c r="Z76" i="4" s="1"/>
  <c r="Z60" i="2"/>
  <c r="Z60" i="4" s="1"/>
  <c r="Z52" i="2"/>
  <c r="Z52" i="4" s="1"/>
  <c r="Z40" i="2"/>
  <c r="Z40" i="4" s="1"/>
  <c r="Z24" i="2"/>
  <c r="Z24" i="4" s="1"/>
  <c r="Z128" i="2"/>
  <c r="Z128" i="4" s="1"/>
  <c r="Z112" i="2"/>
  <c r="Z112" i="4" s="1"/>
  <c r="Z62" i="2"/>
  <c r="Z62" i="4" s="1"/>
  <c r="Z46" i="2"/>
  <c r="Z46" i="4" s="1"/>
  <c r="Z81" i="2"/>
  <c r="Z81" i="4" s="1"/>
  <c r="Z45" i="2"/>
  <c r="Z45" i="4" s="1"/>
  <c r="Z29" i="2"/>
  <c r="Z29" i="4" s="1"/>
  <c r="Z17" i="2"/>
  <c r="Z17" i="4" s="1"/>
  <c r="Z5" i="2"/>
  <c r="Z5" i="4" s="1"/>
  <c r="Z64" i="2"/>
  <c r="Z64" i="4" s="1"/>
  <c r="Z48" i="2"/>
  <c r="Z48" i="4" s="1"/>
  <c r="Z28" i="2"/>
  <c r="Z28" i="4" s="1"/>
  <c r="Z12" i="2"/>
  <c r="Z12" i="4" s="1"/>
  <c r="Z116" i="2"/>
  <c r="Z116" i="4" s="1"/>
  <c r="Z100" i="2"/>
  <c r="Z100" i="4" s="1"/>
  <c r="Z80" i="2"/>
  <c r="Z80" i="4" s="1"/>
  <c r="Z87" i="2"/>
  <c r="Z87" i="4" s="1"/>
  <c r="Z9" i="2"/>
  <c r="Z9" i="4" s="1"/>
  <c r="Z32" i="2"/>
  <c r="Z32" i="4" s="1"/>
  <c r="Z8" i="2"/>
  <c r="Z8" i="4" s="1"/>
  <c r="Z104" i="2"/>
  <c r="Z104" i="4" s="1"/>
  <c r="Z91" i="2"/>
  <c r="Z91" i="4" s="1"/>
  <c r="Z79" i="2"/>
  <c r="Z79" i="4" s="1"/>
  <c r="Z51" i="2"/>
  <c r="Z51" i="4" s="1"/>
  <c r="Z39" i="2"/>
  <c r="Z39" i="4" s="1"/>
  <c r="Z27" i="2"/>
  <c r="Z27" i="4" s="1"/>
  <c r="Z88" i="2"/>
  <c r="Z88" i="4" s="1"/>
  <c r="Z93" i="2"/>
  <c r="Z93" i="4" s="1"/>
  <c r="Z36" i="2"/>
  <c r="Z36" i="4" s="1"/>
  <c r="Z16" i="2"/>
  <c r="Z16" i="4" s="1"/>
  <c r="Z4" i="2"/>
  <c r="Z4" i="4" s="1"/>
  <c r="Z108" i="2"/>
  <c r="Z108" i="4" s="1"/>
  <c r="Z99" i="2"/>
  <c r="Z99" i="4" s="1"/>
  <c r="Z83" i="2"/>
  <c r="Z83" i="4" s="1"/>
  <c r="Z75" i="2"/>
  <c r="Z75" i="4" s="1"/>
  <c r="Z59" i="2"/>
  <c r="Z59" i="4" s="1"/>
  <c r="Z47" i="2"/>
  <c r="Z47" i="4" s="1"/>
  <c r="Z43" i="2"/>
  <c r="Z43" i="4" s="1"/>
  <c r="Z31" i="2"/>
  <c r="Z31" i="4" s="1"/>
  <c r="Z15" i="2"/>
  <c r="Z15" i="4" s="1"/>
  <c r="Z68" i="2"/>
  <c r="Z68" i="4" s="1"/>
  <c r="Z71" i="2"/>
  <c r="Z71" i="4" s="1"/>
  <c r="Z55" i="2"/>
  <c r="Z55" i="4" s="1"/>
  <c r="Z23" i="2"/>
  <c r="Z23" i="4" s="1"/>
  <c r="Z7" i="2"/>
  <c r="Z7" i="4" s="1"/>
  <c r="Z95" i="2"/>
  <c r="Z95" i="4" s="1"/>
  <c r="Z13" i="2"/>
  <c r="Z13" i="4" s="1"/>
  <c r="Z44" i="2"/>
  <c r="Z44" i="4" s="1"/>
  <c r="Z120" i="2"/>
  <c r="Z120" i="4" s="1"/>
  <c r="Z67" i="2"/>
  <c r="Z67" i="4" s="1"/>
  <c r="Z35" i="2"/>
  <c r="Z35" i="4" s="1"/>
  <c r="Z19" i="2"/>
  <c r="Z19" i="4" s="1"/>
  <c r="Z84" i="2"/>
  <c r="Z84" i="4" s="1"/>
  <c r="Z20" i="2"/>
  <c r="Z20" i="4" s="1"/>
  <c r="Z124" i="2"/>
  <c r="Z124" i="4" s="1"/>
  <c r="Z3" i="2"/>
  <c r="Z3" i="4" s="1"/>
  <c r="Z63" i="2"/>
  <c r="Z63" i="4" s="1"/>
  <c r="Z11" i="2"/>
  <c r="Z11" i="4" s="1"/>
  <c r="AB1" i="4" l="1"/>
  <c r="AC2" i="4"/>
  <c r="AB2" i="2"/>
  <c r="AA127" i="2"/>
  <c r="AA127" i="4" s="1"/>
  <c r="AA104" i="2"/>
  <c r="AA104" i="4" s="1"/>
  <c r="AA120" i="2"/>
  <c r="AA120" i="4" s="1"/>
  <c r="AA100" i="2"/>
  <c r="AA100" i="4" s="1"/>
  <c r="AA116" i="2"/>
  <c r="AA116" i="4" s="1"/>
  <c r="AA124" i="2"/>
  <c r="AA124" i="4" s="1"/>
  <c r="AA112" i="2"/>
  <c r="AA112" i="4" s="1"/>
  <c r="AA128" i="2"/>
  <c r="AA128" i="4" s="1"/>
  <c r="AA108" i="2"/>
  <c r="AA108" i="4" s="1"/>
  <c r="AA97" i="2"/>
  <c r="AA97" i="4" s="1"/>
  <c r="AA18" i="2"/>
  <c r="AA18" i="4" s="1"/>
  <c r="AA93" i="2"/>
  <c r="AA93" i="4" s="1"/>
  <c r="AA62" i="2"/>
  <c r="AA62" i="4" s="1"/>
  <c r="AA38" i="2"/>
  <c r="AA38" i="4" s="1"/>
  <c r="AA10" i="2"/>
  <c r="AA10" i="4" s="1"/>
  <c r="AA130" i="2"/>
  <c r="AA130" i="4" s="1"/>
  <c r="AA126" i="2"/>
  <c r="AA126" i="4" s="1"/>
  <c r="AA122" i="2"/>
  <c r="AA122" i="4" s="1"/>
  <c r="AA118" i="2"/>
  <c r="AA118" i="4" s="1"/>
  <c r="AA114" i="2"/>
  <c r="AA114" i="4" s="1"/>
  <c r="AA110" i="2"/>
  <c r="AA110" i="4" s="1"/>
  <c r="AA106" i="2"/>
  <c r="AA106" i="4" s="1"/>
  <c r="AA102" i="2"/>
  <c r="AA102" i="4" s="1"/>
  <c r="AA98" i="2"/>
  <c r="AA98" i="4" s="1"/>
  <c r="AA94" i="2"/>
  <c r="AA94" i="4" s="1"/>
  <c r="AA90" i="2"/>
  <c r="AA90" i="4" s="1"/>
  <c r="AA86" i="2"/>
  <c r="AA86" i="4" s="1"/>
  <c r="AA82" i="2"/>
  <c r="AA82" i="4" s="1"/>
  <c r="AA74" i="2"/>
  <c r="AA74" i="4" s="1"/>
  <c r="AA70" i="2"/>
  <c r="AA70" i="4" s="1"/>
  <c r="AA66" i="2"/>
  <c r="AA66" i="4" s="1"/>
  <c r="AA46" i="2"/>
  <c r="AA46" i="4" s="1"/>
  <c r="AA42" i="2"/>
  <c r="AA42" i="4" s="1"/>
  <c r="AA34" i="2"/>
  <c r="AA34" i="4" s="1"/>
  <c r="AA30" i="2"/>
  <c r="AA30" i="4" s="1"/>
  <c r="AA14" i="2"/>
  <c r="AA14" i="4" s="1"/>
  <c r="AA6" i="2"/>
  <c r="AA6" i="4" s="1"/>
  <c r="AA129" i="2"/>
  <c r="AA129" i="4" s="1"/>
  <c r="AA125" i="2"/>
  <c r="AA125" i="4" s="1"/>
  <c r="AA121" i="2"/>
  <c r="AA121" i="4" s="1"/>
  <c r="AA117" i="2"/>
  <c r="AA117" i="4" s="1"/>
  <c r="AA113" i="2"/>
  <c r="AA113" i="4" s="1"/>
  <c r="AA109" i="2"/>
  <c r="AA109" i="4" s="1"/>
  <c r="AA105" i="2"/>
  <c r="AA105" i="4" s="1"/>
  <c r="AA101" i="2"/>
  <c r="AA101" i="4" s="1"/>
  <c r="AA29" i="2"/>
  <c r="AA29" i="4" s="1"/>
  <c r="AA5" i="2"/>
  <c r="AA5" i="4" s="1"/>
  <c r="AA72" i="2"/>
  <c r="AA72" i="4" s="1"/>
  <c r="AA77" i="2"/>
  <c r="AA77" i="4" s="1"/>
  <c r="AA73" i="2"/>
  <c r="AA73" i="4" s="1"/>
  <c r="AA69" i="2"/>
  <c r="AA69" i="4" s="1"/>
  <c r="AA65" i="2"/>
  <c r="AA65" i="4" s="1"/>
  <c r="AA57" i="2"/>
  <c r="AA57" i="4" s="1"/>
  <c r="AA53" i="2"/>
  <c r="AA53" i="4" s="1"/>
  <c r="AA49" i="2"/>
  <c r="AA49" i="4" s="1"/>
  <c r="AA45" i="2"/>
  <c r="AA45" i="4" s="1"/>
  <c r="AA25" i="2"/>
  <c r="AA25" i="4" s="1"/>
  <c r="AA21" i="2"/>
  <c r="AA21" i="4" s="1"/>
  <c r="AA9" i="2"/>
  <c r="AA9" i="4" s="1"/>
  <c r="AA60" i="2"/>
  <c r="AA60" i="4" s="1"/>
  <c r="AA52" i="2"/>
  <c r="AA52" i="4" s="1"/>
  <c r="AA40" i="2"/>
  <c r="AA40" i="4" s="1"/>
  <c r="AA36" i="2"/>
  <c r="AA36" i="4" s="1"/>
  <c r="AA24" i="2"/>
  <c r="AA24" i="4" s="1"/>
  <c r="AA81" i="2"/>
  <c r="AA81" i="4" s="1"/>
  <c r="AA61" i="2"/>
  <c r="AA61" i="4" s="1"/>
  <c r="AA41" i="2"/>
  <c r="AA41" i="4" s="1"/>
  <c r="AA37" i="2"/>
  <c r="AA37" i="4" s="1"/>
  <c r="AA33" i="2"/>
  <c r="AA33" i="4" s="1"/>
  <c r="AA17" i="2"/>
  <c r="AA17" i="4" s="1"/>
  <c r="AA13" i="2"/>
  <c r="AA13" i="4" s="1"/>
  <c r="AA92" i="2"/>
  <c r="AA92" i="4" s="1"/>
  <c r="AA88" i="2"/>
  <c r="AA88" i="4" s="1"/>
  <c r="AA84" i="2"/>
  <c r="AA84" i="4" s="1"/>
  <c r="AA80" i="2"/>
  <c r="AA80" i="4" s="1"/>
  <c r="AA76" i="2"/>
  <c r="AA76" i="4" s="1"/>
  <c r="AA64" i="2"/>
  <c r="AA64" i="4" s="1"/>
  <c r="AA48" i="2"/>
  <c r="AA48" i="4" s="1"/>
  <c r="AA28" i="2"/>
  <c r="AA28" i="4" s="1"/>
  <c r="AA16" i="2"/>
  <c r="AA16" i="4" s="1"/>
  <c r="AA8" i="2"/>
  <c r="AA8" i="4" s="1"/>
  <c r="AA89" i="2"/>
  <c r="AA89" i="4" s="1"/>
  <c r="AA85" i="2"/>
  <c r="AA85" i="4" s="1"/>
  <c r="AA68" i="2"/>
  <c r="AA68" i="4" s="1"/>
  <c r="AA32" i="2"/>
  <c r="AA32" i="4" s="1"/>
  <c r="AA99" i="2"/>
  <c r="AA99" i="4" s="1"/>
  <c r="AA91" i="2"/>
  <c r="AA91" i="4" s="1"/>
  <c r="AA79" i="2"/>
  <c r="AA79" i="4" s="1"/>
  <c r="AA39" i="2"/>
  <c r="AA39" i="4" s="1"/>
  <c r="AA23" i="2"/>
  <c r="AA23" i="4" s="1"/>
  <c r="AA12" i="2"/>
  <c r="AA12" i="4" s="1"/>
  <c r="AA3" i="2"/>
  <c r="AA3" i="4" s="1"/>
  <c r="AA95" i="2"/>
  <c r="AA95" i="4" s="1"/>
  <c r="AA83" i="2"/>
  <c r="AA83" i="4" s="1"/>
  <c r="AA75" i="2"/>
  <c r="AA75" i="4" s="1"/>
  <c r="AA63" i="2"/>
  <c r="AA63" i="4" s="1"/>
  <c r="AA51" i="2"/>
  <c r="AA51" i="4" s="1"/>
  <c r="AA47" i="2"/>
  <c r="AA47" i="4" s="1"/>
  <c r="AA43" i="2"/>
  <c r="AA43" i="4" s="1"/>
  <c r="AA31" i="2"/>
  <c r="AA31" i="4" s="1"/>
  <c r="AA27" i="2"/>
  <c r="AA27" i="4" s="1"/>
  <c r="AA15" i="2"/>
  <c r="AA15" i="4" s="1"/>
  <c r="AA11" i="2"/>
  <c r="AA11" i="4" s="1"/>
  <c r="AA7" i="2"/>
  <c r="AA7" i="4" s="1"/>
  <c r="AA123" i="2"/>
  <c r="AA123" i="4" s="1"/>
  <c r="AA115" i="2"/>
  <c r="AA115" i="4" s="1"/>
  <c r="AA107" i="2"/>
  <c r="AA107" i="4" s="1"/>
  <c r="AA44" i="2"/>
  <c r="AA44" i="4" s="1"/>
  <c r="AA71" i="2"/>
  <c r="AA71" i="4" s="1"/>
  <c r="AA119" i="2"/>
  <c r="AA119" i="4" s="1"/>
  <c r="AA103" i="2"/>
  <c r="AA103" i="4" s="1"/>
  <c r="AA96" i="2"/>
  <c r="AA96" i="4" s="1"/>
  <c r="AA78" i="2"/>
  <c r="AA78" i="4" s="1"/>
  <c r="AA58" i="2"/>
  <c r="AA58" i="4" s="1"/>
  <c r="AA54" i="2"/>
  <c r="AA54" i="4" s="1"/>
  <c r="AA50" i="2"/>
  <c r="AA50" i="4" s="1"/>
  <c r="AA26" i="2"/>
  <c r="AA26" i="4" s="1"/>
  <c r="AA22" i="2"/>
  <c r="AA22" i="4" s="1"/>
  <c r="AA87" i="2"/>
  <c r="AA87" i="4" s="1"/>
  <c r="AA59" i="2"/>
  <c r="AA59" i="4" s="1"/>
  <c r="AA35" i="2"/>
  <c r="AA35" i="4" s="1"/>
  <c r="AA19" i="2"/>
  <c r="AA19" i="4" s="1"/>
  <c r="AA56" i="2"/>
  <c r="AA56" i="4" s="1"/>
  <c r="AA20" i="2"/>
  <c r="AA20" i="4" s="1"/>
  <c r="AA4" i="2"/>
  <c r="AA4" i="4" s="1"/>
  <c r="AA67" i="2"/>
  <c r="AA67" i="4" s="1"/>
  <c r="AA55" i="2"/>
  <c r="AA55" i="4" s="1"/>
  <c r="AA111" i="2"/>
  <c r="AA111" i="4" s="1"/>
  <c r="AC1" i="4" l="1"/>
  <c r="AD2" i="4"/>
  <c r="AC2" i="2"/>
  <c r="AB128" i="2"/>
  <c r="AB128" i="4" s="1"/>
  <c r="AB125" i="2"/>
  <c r="AB125" i="4" s="1"/>
  <c r="AB98" i="2"/>
  <c r="AB98" i="4" s="1"/>
  <c r="AB26" i="2"/>
  <c r="AB26" i="4" s="1"/>
  <c r="AB109" i="2"/>
  <c r="AB109" i="4" s="1"/>
  <c r="AB129" i="2"/>
  <c r="AB129" i="4" s="1"/>
  <c r="AB113" i="2"/>
  <c r="AB113" i="4" s="1"/>
  <c r="AB46" i="2"/>
  <c r="AB46" i="4" s="1"/>
  <c r="AB34" i="2"/>
  <c r="AB34" i="4" s="1"/>
  <c r="AB89" i="2"/>
  <c r="AB89" i="4" s="1"/>
  <c r="AB85" i="2"/>
  <c r="AB85" i="4" s="1"/>
  <c r="AB81" i="2"/>
  <c r="AB81" i="4" s="1"/>
  <c r="AB130" i="2"/>
  <c r="AB130" i="4" s="1"/>
  <c r="AB126" i="2"/>
  <c r="AB126" i="4" s="1"/>
  <c r="AB122" i="2"/>
  <c r="AB122" i="4" s="1"/>
  <c r="AB118" i="2"/>
  <c r="AB118" i="4" s="1"/>
  <c r="AB114" i="2"/>
  <c r="AB114" i="4" s="1"/>
  <c r="AB110" i="2"/>
  <c r="AB110" i="4" s="1"/>
  <c r="AB106" i="2"/>
  <c r="AB106" i="4" s="1"/>
  <c r="AB102" i="2"/>
  <c r="AB102" i="4" s="1"/>
  <c r="AB90" i="2"/>
  <c r="AB90" i="4" s="1"/>
  <c r="AB86" i="2"/>
  <c r="AB86" i="4" s="1"/>
  <c r="AB82" i="2"/>
  <c r="AB82" i="4" s="1"/>
  <c r="AB74" i="2"/>
  <c r="AB74" i="4" s="1"/>
  <c r="AB70" i="2"/>
  <c r="AB70" i="4" s="1"/>
  <c r="AB66" i="2"/>
  <c r="AB66" i="4" s="1"/>
  <c r="AB97" i="2"/>
  <c r="AB97" i="4" s="1"/>
  <c r="AB93" i="2"/>
  <c r="AB93" i="4" s="1"/>
  <c r="AB94" i="2"/>
  <c r="AB94" i="4" s="1"/>
  <c r="AB121" i="2"/>
  <c r="AB121" i="4" s="1"/>
  <c r="AB105" i="2"/>
  <c r="AB105" i="4" s="1"/>
  <c r="AB68" i="2"/>
  <c r="AB68" i="4" s="1"/>
  <c r="AB78" i="2"/>
  <c r="AB78" i="4" s="1"/>
  <c r="AB6" i="2"/>
  <c r="AB6" i="4" s="1"/>
  <c r="AB117" i="2"/>
  <c r="AB117" i="4" s="1"/>
  <c r="AB73" i="2"/>
  <c r="AB73" i="4" s="1"/>
  <c r="AB69" i="2"/>
  <c r="AB69" i="4" s="1"/>
  <c r="AB65" i="2"/>
  <c r="AB65" i="4" s="1"/>
  <c r="AB57" i="2"/>
  <c r="AB57" i="4" s="1"/>
  <c r="AB53" i="2"/>
  <c r="AB53" i="4" s="1"/>
  <c r="AB49" i="2"/>
  <c r="AB49" i="4" s="1"/>
  <c r="AB25" i="2"/>
  <c r="AB25" i="4" s="1"/>
  <c r="AB21" i="2"/>
  <c r="AB21" i="4" s="1"/>
  <c r="AB72" i="2"/>
  <c r="AB72" i="4" s="1"/>
  <c r="AB40" i="2"/>
  <c r="AB40" i="4" s="1"/>
  <c r="AB12" i="2"/>
  <c r="AB12" i="4" s="1"/>
  <c r="AB4" i="2"/>
  <c r="AB4" i="4" s="1"/>
  <c r="AB99" i="2"/>
  <c r="AB99" i="4" s="1"/>
  <c r="AB77" i="2"/>
  <c r="AB77" i="4" s="1"/>
  <c r="AB61" i="2"/>
  <c r="AB61" i="4" s="1"/>
  <c r="AB45" i="2"/>
  <c r="AB45" i="4" s="1"/>
  <c r="AB41" i="2"/>
  <c r="AB41" i="4" s="1"/>
  <c r="AB37" i="2"/>
  <c r="AB37" i="4" s="1"/>
  <c r="AB33" i="2"/>
  <c r="AB33" i="4" s="1"/>
  <c r="AB29" i="2"/>
  <c r="AB29" i="4" s="1"/>
  <c r="AB17" i="2"/>
  <c r="AB17" i="4" s="1"/>
  <c r="AB9" i="2"/>
  <c r="AB9" i="4" s="1"/>
  <c r="AB5" i="2"/>
  <c r="AB5" i="4" s="1"/>
  <c r="AB96" i="2"/>
  <c r="AB96" i="4" s="1"/>
  <c r="AB92" i="2"/>
  <c r="AB92" i="4" s="1"/>
  <c r="AB88" i="2"/>
  <c r="AB88" i="4" s="1"/>
  <c r="AB84" i="2"/>
  <c r="AB84" i="4" s="1"/>
  <c r="AB80" i="2"/>
  <c r="AB80" i="4" s="1"/>
  <c r="AB76" i="2"/>
  <c r="AB76" i="4" s="1"/>
  <c r="AB60" i="2"/>
  <c r="AB60" i="4" s="1"/>
  <c r="AB52" i="2"/>
  <c r="AB52" i="4" s="1"/>
  <c r="AB48" i="2"/>
  <c r="AB48" i="4" s="1"/>
  <c r="AB36" i="2"/>
  <c r="AB36" i="4" s="1"/>
  <c r="AB24" i="2"/>
  <c r="AB24" i="4" s="1"/>
  <c r="AB8" i="2"/>
  <c r="AB8" i="4" s="1"/>
  <c r="AB58" i="2"/>
  <c r="AB58" i="4" s="1"/>
  <c r="AB54" i="2"/>
  <c r="AB54" i="4" s="1"/>
  <c r="AB50" i="2"/>
  <c r="AB50" i="4" s="1"/>
  <c r="AB22" i="2"/>
  <c r="AB22" i="4" s="1"/>
  <c r="AB32" i="2"/>
  <c r="AB32" i="4" s="1"/>
  <c r="AB91" i="2"/>
  <c r="AB91" i="4" s="1"/>
  <c r="AB79" i="2"/>
  <c r="AB79" i="4" s="1"/>
  <c r="AB75" i="2"/>
  <c r="AB75" i="4" s="1"/>
  <c r="AB55" i="2"/>
  <c r="AB55" i="4" s="1"/>
  <c r="AB23" i="2"/>
  <c r="AB23" i="4" s="1"/>
  <c r="AB11" i="2"/>
  <c r="AB11" i="4" s="1"/>
  <c r="AB127" i="2"/>
  <c r="AB127" i="4" s="1"/>
  <c r="AB120" i="2"/>
  <c r="AB120" i="4" s="1"/>
  <c r="AB112" i="2"/>
  <c r="AB112" i="4" s="1"/>
  <c r="AB104" i="2"/>
  <c r="AB104" i="4" s="1"/>
  <c r="AB111" i="2"/>
  <c r="AB111" i="4" s="1"/>
  <c r="AB101" i="2"/>
  <c r="AB101" i="4" s="1"/>
  <c r="AB13" i="2"/>
  <c r="AB13" i="4" s="1"/>
  <c r="AB64" i="2"/>
  <c r="AB64" i="4" s="1"/>
  <c r="AB56" i="2"/>
  <c r="AB56" i="4" s="1"/>
  <c r="AB20" i="2"/>
  <c r="AB20" i="4" s="1"/>
  <c r="AB3" i="2"/>
  <c r="AB3" i="4" s="1"/>
  <c r="AB95" i="2"/>
  <c r="AB95" i="4" s="1"/>
  <c r="AB83" i="2"/>
  <c r="AB83" i="4" s="1"/>
  <c r="AB51" i="2"/>
  <c r="AB51" i="4" s="1"/>
  <c r="AB31" i="2"/>
  <c r="AB31" i="4" s="1"/>
  <c r="AB19" i="2"/>
  <c r="AB19" i="4" s="1"/>
  <c r="AB15" i="2"/>
  <c r="AB15" i="4" s="1"/>
  <c r="AB44" i="2"/>
  <c r="AB44" i="4" s="1"/>
  <c r="AB16" i="2"/>
  <c r="AB16" i="4" s="1"/>
  <c r="AB39" i="2"/>
  <c r="AB39" i="4" s="1"/>
  <c r="AB35" i="2"/>
  <c r="AB35" i="4" s="1"/>
  <c r="AB27" i="2"/>
  <c r="AB27" i="4" s="1"/>
  <c r="AB123" i="2"/>
  <c r="AB123" i="4" s="1"/>
  <c r="AB103" i="2"/>
  <c r="AB103" i="4" s="1"/>
  <c r="AB62" i="2"/>
  <c r="AB62" i="4" s="1"/>
  <c r="AB42" i="2"/>
  <c r="AB42" i="4" s="1"/>
  <c r="AB38" i="2"/>
  <c r="AB38" i="4" s="1"/>
  <c r="AB30" i="2"/>
  <c r="AB30" i="4" s="1"/>
  <c r="AB18" i="2"/>
  <c r="AB18" i="4" s="1"/>
  <c r="AB14" i="2"/>
  <c r="AB14" i="4" s="1"/>
  <c r="AB10" i="2"/>
  <c r="AB10" i="4" s="1"/>
  <c r="AB28" i="2"/>
  <c r="AB28" i="4" s="1"/>
  <c r="AB87" i="2"/>
  <c r="AB87" i="4" s="1"/>
  <c r="AB59" i="2"/>
  <c r="AB59" i="4" s="1"/>
  <c r="AB47" i="2"/>
  <c r="AB47" i="4" s="1"/>
  <c r="AB43" i="2"/>
  <c r="AB43" i="4" s="1"/>
  <c r="AB124" i="2"/>
  <c r="AB124" i="4" s="1"/>
  <c r="AB116" i="2"/>
  <c r="AB116" i="4" s="1"/>
  <c r="AB108" i="2"/>
  <c r="AB108" i="4" s="1"/>
  <c r="AB100" i="2"/>
  <c r="AB100" i="4" s="1"/>
  <c r="AB71" i="2"/>
  <c r="AB71" i="4" s="1"/>
  <c r="AB67" i="2"/>
  <c r="AB67" i="4" s="1"/>
  <c r="AB63" i="2"/>
  <c r="AB63" i="4" s="1"/>
  <c r="AB7" i="2"/>
  <c r="AB7" i="4" s="1"/>
  <c r="AB119" i="2"/>
  <c r="AB119" i="4" s="1"/>
  <c r="AB115" i="2"/>
  <c r="AB115" i="4" s="1"/>
  <c r="AB107" i="2"/>
  <c r="AB107" i="4" s="1"/>
  <c r="AD1" i="4" l="1"/>
  <c r="AE2" i="4"/>
  <c r="AD2" i="2"/>
  <c r="AC79" i="2"/>
  <c r="AC79" i="4" s="1"/>
  <c r="AC99" i="2"/>
  <c r="AC99" i="4" s="1"/>
  <c r="AC110" i="2"/>
  <c r="AC110" i="4" s="1"/>
  <c r="AC126" i="2"/>
  <c r="AC126" i="4" s="1"/>
  <c r="AC78" i="2"/>
  <c r="AC78" i="4" s="1"/>
  <c r="AC46" i="2"/>
  <c r="AC46" i="4" s="1"/>
  <c r="AC34" i="2"/>
  <c r="AC34" i="4" s="1"/>
  <c r="AC26" i="2"/>
  <c r="AC26" i="4" s="1"/>
  <c r="AC18" i="2"/>
  <c r="AC18" i="4" s="1"/>
  <c r="AC93" i="2"/>
  <c r="AC93" i="4" s="1"/>
  <c r="AC89" i="2"/>
  <c r="AC89" i="4" s="1"/>
  <c r="AC85" i="2"/>
  <c r="AC85" i="4" s="1"/>
  <c r="AC81" i="2"/>
  <c r="AC81" i="4" s="1"/>
  <c r="AC130" i="2"/>
  <c r="AC130" i="4" s="1"/>
  <c r="AC114" i="2"/>
  <c r="AC114" i="4" s="1"/>
  <c r="AC74" i="2"/>
  <c r="AC74" i="4" s="1"/>
  <c r="AC70" i="2"/>
  <c r="AC70" i="4" s="1"/>
  <c r="AC66" i="2"/>
  <c r="AC66" i="4" s="1"/>
  <c r="AC129" i="2"/>
  <c r="AC129" i="4" s="1"/>
  <c r="AC125" i="2"/>
  <c r="AC125" i="4" s="1"/>
  <c r="AC121" i="2"/>
  <c r="AC121" i="4" s="1"/>
  <c r="AC117" i="2"/>
  <c r="AC117" i="4" s="1"/>
  <c r="AC113" i="2"/>
  <c r="AC113" i="4" s="1"/>
  <c r="AC109" i="2"/>
  <c r="AC109" i="4" s="1"/>
  <c r="AC105" i="2"/>
  <c r="AC105" i="4" s="1"/>
  <c r="AC101" i="2"/>
  <c r="AC101" i="4" s="1"/>
  <c r="AC97" i="2"/>
  <c r="AC97" i="4" s="1"/>
  <c r="AC98" i="2"/>
  <c r="AC98" i="4" s="1"/>
  <c r="AC94" i="2"/>
  <c r="AC94" i="4" s="1"/>
  <c r="AC29" i="2"/>
  <c r="AC29" i="4" s="1"/>
  <c r="AC9" i="2"/>
  <c r="AC9" i="4" s="1"/>
  <c r="AC122" i="2"/>
  <c r="AC122" i="4" s="1"/>
  <c r="AC106" i="2"/>
  <c r="AC106" i="4" s="1"/>
  <c r="AC68" i="2"/>
  <c r="AC68" i="4" s="1"/>
  <c r="AC90" i="2"/>
  <c r="AC90" i="4" s="1"/>
  <c r="AC118" i="2"/>
  <c r="AC118" i="4" s="1"/>
  <c r="AC57" i="2"/>
  <c r="AC57" i="4" s="1"/>
  <c r="AC49" i="2"/>
  <c r="AC49" i="4" s="1"/>
  <c r="AC21" i="2"/>
  <c r="AC21" i="4" s="1"/>
  <c r="AC72" i="2"/>
  <c r="AC72" i="4" s="1"/>
  <c r="AC56" i="2"/>
  <c r="AC56" i="4" s="1"/>
  <c r="AC44" i="2"/>
  <c r="AC44" i="4" s="1"/>
  <c r="AC28" i="2"/>
  <c r="AC28" i="4" s="1"/>
  <c r="AC20" i="2"/>
  <c r="AC20" i="4" s="1"/>
  <c r="AC12" i="2"/>
  <c r="AC12" i="4" s="1"/>
  <c r="AC4" i="2"/>
  <c r="AC4" i="4" s="1"/>
  <c r="AC115" i="2"/>
  <c r="AC115" i="4" s="1"/>
  <c r="AC77" i="2"/>
  <c r="AC77" i="4" s="1"/>
  <c r="AC73" i="2"/>
  <c r="AC73" i="4" s="1"/>
  <c r="AC69" i="2"/>
  <c r="AC69" i="4" s="1"/>
  <c r="AC65" i="2"/>
  <c r="AC65" i="4" s="1"/>
  <c r="AC53" i="2"/>
  <c r="AC53" i="4" s="1"/>
  <c r="AC45" i="2"/>
  <c r="AC45" i="4" s="1"/>
  <c r="AC41" i="2"/>
  <c r="AC41" i="4" s="1"/>
  <c r="AC37" i="2"/>
  <c r="AC37" i="4" s="1"/>
  <c r="AC33" i="2"/>
  <c r="AC33" i="4" s="1"/>
  <c r="AC25" i="2"/>
  <c r="AC25" i="4" s="1"/>
  <c r="AC17" i="2"/>
  <c r="AC17" i="4" s="1"/>
  <c r="AC13" i="2"/>
  <c r="AC13" i="4" s="1"/>
  <c r="AC5" i="2"/>
  <c r="AC5" i="4" s="1"/>
  <c r="AC96" i="2"/>
  <c r="AC96" i="4" s="1"/>
  <c r="AC92" i="2"/>
  <c r="AC92" i="4" s="1"/>
  <c r="AC88" i="2"/>
  <c r="AC88" i="4" s="1"/>
  <c r="AC84" i="2"/>
  <c r="AC84" i="4" s="1"/>
  <c r="AC80" i="2"/>
  <c r="AC80" i="4" s="1"/>
  <c r="AC76" i="2"/>
  <c r="AC76" i="4" s="1"/>
  <c r="AC60" i="2"/>
  <c r="AC60" i="4" s="1"/>
  <c r="AC52" i="2"/>
  <c r="AC52" i="4" s="1"/>
  <c r="AC24" i="2"/>
  <c r="AC24" i="4" s="1"/>
  <c r="AC119" i="2"/>
  <c r="AC119" i="4" s="1"/>
  <c r="AC103" i="2"/>
  <c r="AC103" i="4" s="1"/>
  <c r="AC62" i="2"/>
  <c r="AC62" i="4" s="1"/>
  <c r="AC42" i="2"/>
  <c r="AC42" i="4" s="1"/>
  <c r="AC38" i="2"/>
  <c r="AC38" i="4" s="1"/>
  <c r="AC30" i="2"/>
  <c r="AC30" i="4" s="1"/>
  <c r="AC14" i="2"/>
  <c r="AC14" i="4" s="1"/>
  <c r="AC10" i="2"/>
  <c r="AC10" i="4" s="1"/>
  <c r="AC102" i="2"/>
  <c r="AC102" i="4" s="1"/>
  <c r="AC48" i="2"/>
  <c r="AC48" i="4" s="1"/>
  <c r="AC36" i="2"/>
  <c r="AC36" i="4" s="1"/>
  <c r="AC16" i="2"/>
  <c r="AC16" i="4" s="1"/>
  <c r="AC8" i="2"/>
  <c r="AC8" i="4" s="1"/>
  <c r="AC107" i="2"/>
  <c r="AC107" i="4" s="1"/>
  <c r="AC75" i="2"/>
  <c r="AC75" i="4" s="1"/>
  <c r="AC55" i="2"/>
  <c r="AC55" i="4" s="1"/>
  <c r="AC23" i="2"/>
  <c r="AC23" i="4" s="1"/>
  <c r="AC91" i="2"/>
  <c r="AC91" i="4" s="1"/>
  <c r="AC116" i="2"/>
  <c r="AC116" i="4" s="1"/>
  <c r="AC108" i="2"/>
  <c r="AC108" i="4" s="1"/>
  <c r="AC104" i="2"/>
  <c r="AC104" i="4" s="1"/>
  <c r="AC64" i="2"/>
  <c r="AC64" i="4" s="1"/>
  <c r="AC40" i="2"/>
  <c r="AC40" i="4" s="1"/>
  <c r="AC111" i="2"/>
  <c r="AC111" i="4" s="1"/>
  <c r="AC3" i="2"/>
  <c r="AC3" i="4" s="1"/>
  <c r="AC51" i="2"/>
  <c r="AC51" i="4" s="1"/>
  <c r="AC39" i="2"/>
  <c r="AC39" i="4" s="1"/>
  <c r="AC27" i="2"/>
  <c r="AC27" i="4" s="1"/>
  <c r="AC11" i="2"/>
  <c r="AC11" i="4" s="1"/>
  <c r="AC128" i="2"/>
  <c r="AC128" i="4" s="1"/>
  <c r="AC95" i="2"/>
  <c r="AC95" i="4" s="1"/>
  <c r="AC127" i="2"/>
  <c r="AC127" i="4" s="1"/>
  <c r="AC35" i="2"/>
  <c r="AC35" i="4" s="1"/>
  <c r="AC120" i="2"/>
  <c r="AC120" i="4" s="1"/>
  <c r="AC112" i="2"/>
  <c r="AC112" i="4" s="1"/>
  <c r="AC86" i="2"/>
  <c r="AC86" i="4" s="1"/>
  <c r="AC82" i="2"/>
  <c r="AC82" i="4" s="1"/>
  <c r="AC58" i="2"/>
  <c r="AC58" i="4" s="1"/>
  <c r="AC54" i="2"/>
  <c r="AC54" i="4" s="1"/>
  <c r="AC50" i="2"/>
  <c r="AC50" i="4" s="1"/>
  <c r="AC22" i="2"/>
  <c r="AC22" i="4" s="1"/>
  <c r="AC6" i="2"/>
  <c r="AC6" i="4" s="1"/>
  <c r="AC32" i="2"/>
  <c r="AC32" i="4" s="1"/>
  <c r="AC123" i="2"/>
  <c r="AC123" i="4" s="1"/>
  <c r="AC83" i="2"/>
  <c r="AC83" i="4" s="1"/>
  <c r="AC63" i="2"/>
  <c r="AC63" i="4" s="1"/>
  <c r="AC59" i="2"/>
  <c r="AC59" i="4" s="1"/>
  <c r="AC47" i="2"/>
  <c r="AC47" i="4" s="1"/>
  <c r="AC31" i="2"/>
  <c r="AC31" i="4" s="1"/>
  <c r="AC19" i="2"/>
  <c r="AC19" i="4" s="1"/>
  <c r="AC15" i="2"/>
  <c r="AC15" i="4" s="1"/>
  <c r="AC7" i="2"/>
  <c r="AC7" i="4" s="1"/>
  <c r="AC87" i="2"/>
  <c r="AC87" i="4" s="1"/>
  <c r="AC61" i="2"/>
  <c r="AC61" i="4" s="1"/>
  <c r="AC71" i="2"/>
  <c r="AC71" i="4" s="1"/>
  <c r="AC67" i="2"/>
  <c r="AC67" i="4" s="1"/>
  <c r="AC43" i="2"/>
  <c r="AC43" i="4" s="1"/>
  <c r="AC124" i="2"/>
  <c r="AC124" i="4" s="1"/>
  <c r="AC100" i="2"/>
  <c r="AC100" i="4" s="1"/>
  <c r="AE1" i="4" l="1"/>
  <c r="AF2" i="4"/>
  <c r="AE2" i="2"/>
  <c r="AD80" i="2"/>
  <c r="AD80" i="4" s="1"/>
  <c r="AD107" i="2"/>
  <c r="AD107" i="4" s="1"/>
  <c r="AD123" i="2"/>
  <c r="AD123" i="4" s="1"/>
  <c r="AD127" i="2"/>
  <c r="AD127" i="4" s="1"/>
  <c r="AD103" i="2"/>
  <c r="AD103" i="4" s="1"/>
  <c r="AD119" i="2"/>
  <c r="AD119" i="4" s="1"/>
  <c r="AD115" i="2"/>
  <c r="AD115" i="4" s="1"/>
  <c r="AD111" i="2"/>
  <c r="AD111" i="4" s="1"/>
  <c r="AD78" i="2"/>
  <c r="AD78" i="4" s="1"/>
  <c r="AD62" i="2"/>
  <c r="AD62" i="4" s="1"/>
  <c r="AD34" i="2"/>
  <c r="AD34" i="4" s="1"/>
  <c r="AD26" i="2"/>
  <c r="AD26" i="4" s="1"/>
  <c r="AD18" i="2"/>
  <c r="AD18" i="4" s="1"/>
  <c r="AD10" i="2"/>
  <c r="AD10" i="4" s="1"/>
  <c r="AD93" i="2"/>
  <c r="AD93" i="4" s="1"/>
  <c r="AD89" i="2"/>
  <c r="AD89" i="4" s="1"/>
  <c r="AD85" i="2"/>
  <c r="AD85" i="4" s="1"/>
  <c r="AD81" i="2"/>
  <c r="AD81" i="4" s="1"/>
  <c r="AD130" i="2"/>
  <c r="AD130" i="4" s="1"/>
  <c r="AD58" i="2"/>
  <c r="AD58" i="4" s="1"/>
  <c r="AD129" i="2"/>
  <c r="AD129" i="4" s="1"/>
  <c r="AD125" i="2"/>
  <c r="AD125" i="4" s="1"/>
  <c r="AD121" i="2"/>
  <c r="AD121" i="4" s="1"/>
  <c r="AD117" i="2"/>
  <c r="AD117" i="4" s="1"/>
  <c r="AD113" i="2"/>
  <c r="AD113" i="4" s="1"/>
  <c r="AD109" i="2"/>
  <c r="AD109" i="4" s="1"/>
  <c r="AD105" i="2"/>
  <c r="AD105" i="4" s="1"/>
  <c r="AD101" i="2"/>
  <c r="AD101" i="4" s="1"/>
  <c r="AD97" i="2"/>
  <c r="AD97" i="4" s="1"/>
  <c r="AD54" i="2"/>
  <c r="AD54" i="4" s="1"/>
  <c r="AD46" i="2"/>
  <c r="AD46" i="4" s="1"/>
  <c r="AD41" i="2"/>
  <c r="AD41" i="4" s="1"/>
  <c r="AD29" i="2"/>
  <c r="AD29" i="4" s="1"/>
  <c r="AD13" i="2"/>
  <c r="AD13" i="4" s="1"/>
  <c r="AD68" i="2"/>
  <c r="AD68" i="4" s="1"/>
  <c r="AD126" i="2"/>
  <c r="AD126" i="4" s="1"/>
  <c r="AD122" i="2"/>
  <c r="AD122" i="4" s="1"/>
  <c r="AD118" i="2"/>
  <c r="AD118" i="4" s="1"/>
  <c r="AD114" i="2"/>
  <c r="AD114" i="4" s="1"/>
  <c r="AD110" i="2"/>
  <c r="AD110" i="4" s="1"/>
  <c r="AD106" i="2"/>
  <c r="AD106" i="4" s="1"/>
  <c r="AD102" i="2"/>
  <c r="AD102" i="4" s="1"/>
  <c r="AD98" i="2"/>
  <c r="AD98" i="4" s="1"/>
  <c r="AD94" i="2"/>
  <c r="AD94" i="4" s="1"/>
  <c r="AD90" i="2"/>
  <c r="AD90" i="4" s="1"/>
  <c r="AD33" i="2"/>
  <c r="AD33" i="4" s="1"/>
  <c r="AD72" i="2"/>
  <c r="AD72" i="4" s="1"/>
  <c r="AD56" i="2"/>
  <c r="AD56" i="4" s="1"/>
  <c r="AD44" i="2"/>
  <c r="AD44" i="4" s="1"/>
  <c r="AD20" i="2"/>
  <c r="AD20" i="4" s="1"/>
  <c r="AD16" i="2"/>
  <c r="AD16" i="4" s="1"/>
  <c r="AD4" i="2"/>
  <c r="AD4" i="4" s="1"/>
  <c r="AD116" i="2"/>
  <c r="AD116" i="4" s="1"/>
  <c r="AD100" i="2"/>
  <c r="AD100" i="4" s="1"/>
  <c r="AD50" i="2"/>
  <c r="AD50" i="4" s="1"/>
  <c r="AD22" i="2"/>
  <c r="AD22" i="4" s="1"/>
  <c r="AD77" i="2"/>
  <c r="AD77" i="4" s="1"/>
  <c r="AD73" i="2"/>
  <c r="AD73" i="4" s="1"/>
  <c r="AD69" i="2"/>
  <c r="AD69" i="4" s="1"/>
  <c r="AD65" i="2"/>
  <c r="AD65" i="4" s="1"/>
  <c r="AD57" i="2"/>
  <c r="AD57" i="4" s="1"/>
  <c r="AD53" i="2"/>
  <c r="AD53" i="4" s="1"/>
  <c r="AD49" i="2"/>
  <c r="AD49" i="4" s="1"/>
  <c r="AD37" i="2"/>
  <c r="AD37" i="4" s="1"/>
  <c r="AD25" i="2"/>
  <c r="AD25" i="4" s="1"/>
  <c r="AD21" i="2"/>
  <c r="AD21" i="4" s="1"/>
  <c r="AD17" i="2"/>
  <c r="AD17" i="4" s="1"/>
  <c r="AD9" i="2"/>
  <c r="AD9" i="4" s="1"/>
  <c r="AD76" i="2"/>
  <c r="AD76" i="4" s="1"/>
  <c r="AD60" i="2"/>
  <c r="AD60" i="4" s="1"/>
  <c r="AD52" i="2"/>
  <c r="AD52" i="4" s="1"/>
  <c r="AD40" i="2"/>
  <c r="AD40" i="4" s="1"/>
  <c r="AD36" i="2"/>
  <c r="AD36" i="4" s="1"/>
  <c r="AD24" i="2"/>
  <c r="AD24" i="4" s="1"/>
  <c r="AD120" i="2"/>
  <c r="AD120" i="4" s="1"/>
  <c r="AD104" i="2"/>
  <c r="AD104" i="4" s="1"/>
  <c r="AD95" i="2"/>
  <c r="AD95" i="4" s="1"/>
  <c r="AD86" i="2"/>
  <c r="AD86" i="4" s="1"/>
  <c r="AD82" i="2"/>
  <c r="AD82" i="4" s="1"/>
  <c r="AD6" i="2"/>
  <c r="AD6" i="4" s="1"/>
  <c r="AD48" i="2"/>
  <c r="AD48" i="4" s="1"/>
  <c r="AD28" i="2"/>
  <c r="AD28" i="4" s="1"/>
  <c r="AD8" i="2"/>
  <c r="AD8" i="4" s="1"/>
  <c r="AD108" i="2"/>
  <c r="AD108" i="4" s="1"/>
  <c r="AD87" i="2"/>
  <c r="AD87" i="4" s="1"/>
  <c r="AD63" i="2"/>
  <c r="AD63" i="4" s="1"/>
  <c r="AD55" i="2"/>
  <c r="AD55" i="4" s="1"/>
  <c r="AD23" i="2"/>
  <c r="AD23" i="4" s="1"/>
  <c r="AD11" i="2"/>
  <c r="AD11" i="4" s="1"/>
  <c r="AD7" i="2"/>
  <c r="AD7" i="4" s="1"/>
  <c r="AD92" i="2"/>
  <c r="AD92" i="4" s="1"/>
  <c r="AD99" i="2"/>
  <c r="AD99" i="4" s="1"/>
  <c r="AD5" i="2"/>
  <c r="AD5" i="4" s="1"/>
  <c r="AD64" i="2"/>
  <c r="AD64" i="4" s="1"/>
  <c r="AD32" i="2"/>
  <c r="AD32" i="4" s="1"/>
  <c r="AD112" i="2"/>
  <c r="AD112" i="4" s="1"/>
  <c r="AD91" i="2"/>
  <c r="AD91" i="4" s="1"/>
  <c r="AD79" i="2"/>
  <c r="AD79" i="4" s="1"/>
  <c r="AD75" i="2"/>
  <c r="AD75" i="4" s="1"/>
  <c r="AD51" i="2"/>
  <c r="AD51" i="4" s="1"/>
  <c r="AD39" i="2"/>
  <c r="AD39" i="4" s="1"/>
  <c r="AD27" i="2"/>
  <c r="AD27" i="4" s="1"/>
  <c r="AD96" i="2"/>
  <c r="AD96" i="4" s="1"/>
  <c r="AD61" i="2"/>
  <c r="AD61" i="4" s="1"/>
  <c r="AD128" i="2"/>
  <c r="AD128" i="4" s="1"/>
  <c r="AD3" i="2"/>
  <c r="AD3" i="4" s="1"/>
  <c r="AD71" i="2"/>
  <c r="AD71" i="4" s="1"/>
  <c r="AD35" i="2"/>
  <c r="AD35" i="4" s="1"/>
  <c r="AD19" i="2"/>
  <c r="AD19" i="4" s="1"/>
  <c r="AD74" i="2"/>
  <c r="AD74" i="4" s="1"/>
  <c r="AD70" i="2"/>
  <c r="AD70" i="4" s="1"/>
  <c r="AD66" i="2"/>
  <c r="AD66" i="4" s="1"/>
  <c r="AD42" i="2"/>
  <c r="AD42" i="4" s="1"/>
  <c r="AD38" i="2"/>
  <c r="AD38" i="4" s="1"/>
  <c r="AD30" i="2"/>
  <c r="AD30" i="4" s="1"/>
  <c r="AD14" i="2"/>
  <c r="AD14" i="4" s="1"/>
  <c r="AD12" i="2"/>
  <c r="AD12" i="4" s="1"/>
  <c r="AD124" i="2"/>
  <c r="AD124" i="4" s="1"/>
  <c r="AD84" i="2"/>
  <c r="AD84" i="4" s="1"/>
  <c r="AD83" i="2"/>
  <c r="AD83" i="4" s="1"/>
  <c r="AD67" i="2"/>
  <c r="AD67" i="4" s="1"/>
  <c r="AD59" i="2"/>
  <c r="AD59" i="4" s="1"/>
  <c r="AD47" i="2"/>
  <c r="AD47" i="4" s="1"/>
  <c r="AD43" i="2"/>
  <c r="AD43" i="4" s="1"/>
  <c r="AD31" i="2"/>
  <c r="AD31" i="4" s="1"/>
  <c r="AD15" i="2"/>
  <c r="AD15" i="4" s="1"/>
  <c r="AD88" i="2"/>
  <c r="AD88" i="4" s="1"/>
  <c r="AD45" i="2"/>
  <c r="AD45" i="4" s="1"/>
  <c r="AF1" i="4" l="1"/>
  <c r="AG2" i="4"/>
  <c r="AF2" i="2"/>
  <c r="AE127" i="2"/>
  <c r="AE127" i="4" s="1"/>
  <c r="AE108" i="2"/>
  <c r="AE108" i="4" s="1"/>
  <c r="AE124" i="2"/>
  <c r="AE124" i="4" s="1"/>
  <c r="AE104" i="2"/>
  <c r="AE104" i="4" s="1"/>
  <c r="AE120" i="2"/>
  <c r="AE120" i="4" s="1"/>
  <c r="AE128" i="2"/>
  <c r="AE128" i="4" s="1"/>
  <c r="AE100" i="2"/>
  <c r="AE100" i="4" s="1"/>
  <c r="AE116" i="2"/>
  <c r="AE116" i="4" s="1"/>
  <c r="AE112" i="2"/>
  <c r="AE112" i="4" s="1"/>
  <c r="AE78" i="2"/>
  <c r="AE78" i="4" s="1"/>
  <c r="AE62" i="2"/>
  <c r="AE62" i="4" s="1"/>
  <c r="AE58" i="2"/>
  <c r="AE58" i="4" s="1"/>
  <c r="AE54" i="2"/>
  <c r="AE54" i="4" s="1"/>
  <c r="AE50" i="2"/>
  <c r="AE50" i="4" s="1"/>
  <c r="AE26" i="2"/>
  <c r="AE26" i="4" s="1"/>
  <c r="AE22" i="2"/>
  <c r="AE22" i="4" s="1"/>
  <c r="AE42" i="2"/>
  <c r="AE42" i="4" s="1"/>
  <c r="AE30" i="2"/>
  <c r="AE30" i="4" s="1"/>
  <c r="AE18" i="2"/>
  <c r="AE18" i="4" s="1"/>
  <c r="AE38" i="2"/>
  <c r="AE38" i="4" s="1"/>
  <c r="AE34" i="2"/>
  <c r="AE34" i="4" s="1"/>
  <c r="AE14" i="2"/>
  <c r="AE14" i="4" s="1"/>
  <c r="AE10" i="2"/>
  <c r="AE10" i="4" s="1"/>
  <c r="AE85" i="2"/>
  <c r="AE85" i="4" s="1"/>
  <c r="AE46" i="2"/>
  <c r="AE46" i="4" s="1"/>
  <c r="AE6" i="2"/>
  <c r="AE6" i="4" s="1"/>
  <c r="AE97" i="2"/>
  <c r="AE97" i="4" s="1"/>
  <c r="AE9" i="2"/>
  <c r="AE9" i="4" s="1"/>
  <c r="AE72" i="2"/>
  <c r="AE72" i="4" s="1"/>
  <c r="AE130" i="2"/>
  <c r="AE130" i="4" s="1"/>
  <c r="AE126" i="2"/>
  <c r="AE126" i="4" s="1"/>
  <c r="AE122" i="2"/>
  <c r="AE122" i="4" s="1"/>
  <c r="AE118" i="2"/>
  <c r="AE118" i="4" s="1"/>
  <c r="AE114" i="2"/>
  <c r="AE114" i="4" s="1"/>
  <c r="AE110" i="2"/>
  <c r="AE110" i="4" s="1"/>
  <c r="AE106" i="2"/>
  <c r="AE106" i="4" s="1"/>
  <c r="AE102" i="2"/>
  <c r="AE102" i="4" s="1"/>
  <c r="AE98" i="2"/>
  <c r="AE98" i="4" s="1"/>
  <c r="AE94" i="2"/>
  <c r="AE94" i="4" s="1"/>
  <c r="AE90" i="2"/>
  <c r="AE90" i="4" s="1"/>
  <c r="AE74" i="2"/>
  <c r="AE74" i="4" s="1"/>
  <c r="AE93" i="2"/>
  <c r="AE93" i="4" s="1"/>
  <c r="AE81" i="2"/>
  <c r="AE81" i="4" s="1"/>
  <c r="AE29" i="2"/>
  <c r="AE29" i="4" s="1"/>
  <c r="AE5" i="2"/>
  <c r="AE5" i="4" s="1"/>
  <c r="AE56" i="2"/>
  <c r="AE56" i="4" s="1"/>
  <c r="AE44" i="2"/>
  <c r="AE44" i="4" s="1"/>
  <c r="AE20" i="2"/>
  <c r="AE20" i="4" s="1"/>
  <c r="AE12" i="2"/>
  <c r="AE12" i="4" s="1"/>
  <c r="AE64" i="2"/>
  <c r="AE64" i="4" s="1"/>
  <c r="AE3" i="2"/>
  <c r="AE3" i="4" s="1"/>
  <c r="AE95" i="2"/>
  <c r="AE95" i="4" s="1"/>
  <c r="AE129" i="2"/>
  <c r="AE129" i="4" s="1"/>
  <c r="AE125" i="2"/>
  <c r="AE125" i="4" s="1"/>
  <c r="AE121" i="2"/>
  <c r="AE121" i="4" s="1"/>
  <c r="AE117" i="2"/>
  <c r="AE117" i="4" s="1"/>
  <c r="AE113" i="2"/>
  <c r="AE113" i="4" s="1"/>
  <c r="AE109" i="2"/>
  <c r="AE109" i="4" s="1"/>
  <c r="AE105" i="2"/>
  <c r="AE105" i="4" s="1"/>
  <c r="AE101" i="2"/>
  <c r="AE101" i="4" s="1"/>
  <c r="AE77" i="2"/>
  <c r="AE77" i="4" s="1"/>
  <c r="AE73" i="2"/>
  <c r="AE73" i="4" s="1"/>
  <c r="AE69" i="2"/>
  <c r="AE69" i="4" s="1"/>
  <c r="AE65" i="2"/>
  <c r="AE65" i="4" s="1"/>
  <c r="AE57" i="2"/>
  <c r="AE57" i="4" s="1"/>
  <c r="AE53" i="2"/>
  <c r="AE53" i="4" s="1"/>
  <c r="AE49" i="2"/>
  <c r="AE49" i="4" s="1"/>
  <c r="AE25" i="2"/>
  <c r="AE25" i="4" s="1"/>
  <c r="AE21" i="2"/>
  <c r="AE21" i="4" s="1"/>
  <c r="AE60" i="2"/>
  <c r="AE60" i="4" s="1"/>
  <c r="AE52" i="2"/>
  <c r="AE52" i="4" s="1"/>
  <c r="AE40" i="2"/>
  <c r="AE40" i="4" s="1"/>
  <c r="AE36" i="2"/>
  <c r="AE36" i="4" s="1"/>
  <c r="AE24" i="2"/>
  <c r="AE24" i="4" s="1"/>
  <c r="AE96" i="2"/>
  <c r="AE96" i="4" s="1"/>
  <c r="AE70" i="2"/>
  <c r="AE70" i="4" s="1"/>
  <c r="AE66" i="2"/>
  <c r="AE66" i="4" s="1"/>
  <c r="AE61" i="2"/>
  <c r="AE61" i="4" s="1"/>
  <c r="AE41" i="2"/>
  <c r="AE41" i="4" s="1"/>
  <c r="AE37" i="2"/>
  <c r="AE37" i="4" s="1"/>
  <c r="AE33" i="2"/>
  <c r="AE33" i="4" s="1"/>
  <c r="AE17" i="2"/>
  <c r="AE17" i="4" s="1"/>
  <c r="AE13" i="2"/>
  <c r="AE13" i="4" s="1"/>
  <c r="AE48" i="2"/>
  <c r="AE48" i="4" s="1"/>
  <c r="AE28" i="2"/>
  <c r="AE28" i="4" s="1"/>
  <c r="AE16" i="2"/>
  <c r="AE16" i="4" s="1"/>
  <c r="AE71" i="2"/>
  <c r="AE71" i="4" s="1"/>
  <c r="AE67" i="2"/>
  <c r="AE67" i="4" s="1"/>
  <c r="AE63" i="2"/>
  <c r="AE63" i="4" s="1"/>
  <c r="AE55" i="2"/>
  <c r="AE55" i="4" s="1"/>
  <c r="AE51" i="2"/>
  <c r="AE51" i="4" s="1"/>
  <c r="AE11" i="2"/>
  <c r="AE11" i="4" s="1"/>
  <c r="AE123" i="2"/>
  <c r="AE123" i="4" s="1"/>
  <c r="AE115" i="2"/>
  <c r="AE115" i="4" s="1"/>
  <c r="AE107" i="2"/>
  <c r="AE107" i="4" s="1"/>
  <c r="AE23" i="2"/>
  <c r="AE23" i="4" s="1"/>
  <c r="AE89" i="2"/>
  <c r="AE89" i="4" s="1"/>
  <c r="AE76" i="2"/>
  <c r="AE76" i="4" s="1"/>
  <c r="AE32" i="2"/>
  <c r="AE32" i="4" s="1"/>
  <c r="AE99" i="2"/>
  <c r="AE99" i="4" s="1"/>
  <c r="AE91" i="2"/>
  <c r="AE91" i="4" s="1"/>
  <c r="AE79" i="2"/>
  <c r="AE79" i="4" s="1"/>
  <c r="AE47" i="2"/>
  <c r="AE47" i="4" s="1"/>
  <c r="AE39" i="2"/>
  <c r="AE39" i="4" s="1"/>
  <c r="AE45" i="2"/>
  <c r="AE45" i="4" s="1"/>
  <c r="AE4" i="2"/>
  <c r="AE4" i="4" s="1"/>
  <c r="AE19" i="2"/>
  <c r="AE19" i="4" s="1"/>
  <c r="AE86" i="2"/>
  <c r="AE86" i="4" s="1"/>
  <c r="AE82" i="2"/>
  <c r="AE82" i="4" s="1"/>
  <c r="AE92" i="2"/>
  <c r="AE92" i="4" s="1"/>
  <c r="AE88" i="2"/>
  <c r="AE88" i="4" s="1"/>
  <c r="AE84" i="2"/>
  <c r="AE84" i="4" s="1"/>
  <c r="AE80" i="2"/>
  <c r="AE80" i="4" s="1"/>
  <c r="AE68" i="2"/>
  <c r="AE68" i="4" s="1"/>
  <c r="AE8" i="2"/>
  <c r="AE8" i="4" s="1"/>
  <c r="AE83" i="2"/>
  <c r="AE83" i="4" s="1"/>
  <c r="AE59" i="2"/>
  <c r="AE59" i="4" s="1"/>
  <c r="AE43" i="2"/>
  <c r="AE43" i="4" s="1"/>
  <c r="AE31" i="2"/>
  <c r="AE31" i="4" s="1"/>
  <c r="AE27" i="2"/>
  <c r="AE27" i="4" s="1"/>
  <c r="AE15" i="2"/>
  <c r="AE15" i="4" s="1"/>
  <c r="AE7" i="2"/>
  <c r="AE7" i="4" s="1"/>
  <c r="AE75" i="2"/>
  <c r="AE75" i="4" s="1"/>
  <c r="AE119" i="2"/>
  <c r="AE119" i="4" s="1"/>
  <c r="AE111" i="2"/>
  <c r="AE111" i="4" s="1"/>
  <c r="AE103" i="2"/>
  <c r="AE103" i="4" s="1"/>
  <c r="AE87" i="2"/>
  <c r="AE87" i="4" s="1"/>
  <c r="AE35" i="2"/>
  <c r="AE35" i="4" s="1"/>
  <c r="AG1" i="4" l="1"/>
  <c r="AH2" i="4"/>
  <c r="AG2" i="2"/>
  <c r="AF128" i="2"/>
  <c r="AF128" i="4" s="1"/>
  <c r="AF129" i="2"/>
  <c r="AF129" i="4" s="1"/>
  <c r="AF113" i="2"/>
  <c r="AF113" i="4" s="1"/>
  <c r="AF98" i="2"/>
  <c r="AF98" i="4" s="1"/>
  <c r="AF78" i="2"/>
  <c r="AF78" i="4" s="1"/>
  <c r="AF62" i="2"/>
  <c r="AF62" i="4" s="1"/>
  <c r="AF58" i="2"/>
  <c r="AF58" i="4" s="1"/>
  <c r="AF54" i="2"/>
  <c r="AF54" i="4" s="1"/>
  <c r="AF50" i="2"/>
  <c r="AF50" i="4" s="1"/>
  <c r="AF42" i="2"/>
  <c r="AF42" i="4" s="1"/>
  <c r="AF38" i="2"/>
  <c r="AF38" i="4" s="1"/>
  <c r="AF34" i="2"/>
  <c r="AF34" i="4" s="1"/>
  <c r="AF30" i="2"/>
  <c r="AF30" i="4" s="1"/>
  <c r="AF22" i="2"/>
  <c r="AF22" i="4" s="1"/>
  <c r="AF18" i="2"/>
  <c r="AF18" i="4" s="1"/>
  <c r="AF14" i="2"/>
  <c r="AF14" i="4" s="1"/>
  <c r="AF10" i="2"/>
  <c r="AF10" i="4" s="1"/>
  <c r="AF86" i="2"/>
  <c r="AF86" i="4" s="1"/>
  <c r="AF26" i="2"/>
  <c r="AF26" i="4" s="1"/>
  <c r="AF121" i="2"/>
  <c r="AF121" i="4" s="1"/>
  <c r="AF105" i="2"/>
  <c r="AF105" i="4" s="1"/>
  <c r="AF117" i="2"/>
  <c r="AF117" i="4" s="1"/>
  <c r="AF101" i="2"/>
  <c r="AF101" i="4" s="1"/>
  <c r="AF90" i="2"/>
  <c r="AF90" i="4" s="1"/>
  <c r="AF82" i="2"/>
  <c r="AF82" i="4" s="1"/>
  <c r="AF46" i="2"/>
  <c r="AF46" i="4" s="1"/>
  <c r="AF89" i="2"/>
  <c r="AF89" i="4" s="1"/>
  <c r="AF85" i="2"/>
  <c r="AF85" i="4" s="1"/>
  <c r="AF81" i="2"/>
  <c r="AF81" i="4" s="1"/>
  <c r="AF13" i="2"/>
  <c r="AF13" i="4" s="1"/>
  <c r="AF125" i="2"/>
  <c r="AF125" i="4" s="1"/>
  <c r="AF109" i="2"/>
  <c r="AF109" i="4" s="1"/>
  <c r="AF64" i="2"/>
  <c r="AF64" i="4" s="1"/>
  <c r="AF130" i="2"/>
  <c r="AF130" i="4" s="1"/>
  <c r="AF126" i="2"/>
  <c r="AF126" i="4" s="1"/>
  <c r="AF122" i="2"/>
  <c r="AF122" i="4" s="1"/>
  <c r="AF118" i="2"/>
  <c r="AF118" i="4" s="1"/>
  <c r="AF114" i="2"/>
  <c r="AF114" i="4" s="1"/>
  <c r="AF110" i="2"/>
  <c r="AF110" i="4" s="1"/>
  <c r="AF106" i="2"/>
  <c r="AF106" i="4" s="1"/>
  <c r="AF102" i="2"/>
  <c r="AF102" i="4" s="1"/>
  <c r="AF74" i="2"/>
  <c r="AF74" i="4" s="1"/>
  <c r="AF6" i="2"/>
  <c r="AF6" i="4" s="1"/>
  <c r="AF97" i="2"/>
  <c r="AF97" i="4" s="1"/>
  <c r="AF73" i="2"/>
  <c r="AF73" i="4" s="1"/>
  <c r="AF69" i="2"/>
  <c r="AF69" i="4" s="1"/>
  <c r="AF94" i="2"/>
  <c r="AF94" i="4" s="1"/>
  <c r="AF68" i="2"/>
  <c r="AF68" i="4" s="1"/>
  <c r="AF56" i="2"/>
  <c r="AF56" i="4" s="1"/>
  <c r="AF52" i="2"/>
  <c r="AF52" i="4" s="1"/>
  <c r="AF44" i="2"/>
  <c r="AF44" i="4" s="1"/>
  <c r="AF24" i="2"/>
  <c r="AF24" i="4" s="1"/>
  <c r="AF16" i="2"/>
  <c r="AF16" i="4" s="1"/>
  <c r="AF12" i="2"/>
  <c r="AF12" i="4" s="1"/>
  <c r="AF3" i="2"/>
  <c r="AF3" i="4" s="1"/>
  <c r="AF95" i="2"/>
  <c r="AF95" i="4" s="1"/>
  <c r="AF93" i="2"/>
  <c r="AF93" i="4" s="1"/>
  <c r="AF57" i="2"/>
  <c r="AF57" i="4" s="1"/>
  <c r="AF53" i="2"/>
  <c r="AF53" i="4" s="1"/>
  <c r="AF49" i="2"/>
  <c r="AF49" i="4" s="1"/>
  <c r="AF25" i="2"/>
  <c r="AF25" i="4" s="1"/>
  <c r="AF21" i="2"/>
  <c r="AF21" i="4" s="1"/>
  <c r="AF5" i="2"/>
  <c r="AF5" i="4" s="1"/>
  <c r="AF72" i="2"/>
  <c r="AF72" i="4" s="1"/>
  <c r="AF48" i="2"/>
  <c r="AF48" i="4" s="1"/>
  <c r="AF40" i="2"/>
  <c r="AF40" i="4" s="1"/>
  <c r="AF4" i="2"/>
  <c r="AF4" i="4" s="1"/>
  <c r="AF99" i="2"/>
  <c r="AF99" i="4" s="1"/>
  <c r="AF61" i="2"/>
  <c r="AF61" i="4" s="1"/>
  <c r="AF45" i="2"/>
  <c r="AF45" i="4" s="1"/>
  <c r="AF41" i="2"/>
  <c r="AF41" i="4" s="1"/>
  <c r="AF37" i="2"/>
  <c r="AF37" i="4" s="1"/>
  <c r="AF33" i="2"/>
  <c r="AF33" i="4" s="1"/>
  <c r="AF17" i="2"/>
  <c r="AF17" i="4" s="1"/>
  <c r="AF9" i="2"/>
  <c r="AF9" i="4" s="1"/>
  <c r="AF71" i="2"/>
  <c r="AF71" i="4" s="1"/>
  <c r="AF67" i="2"/>
  <c r="AF67" i="4" s="1"/>
  <c r="AF39" i="2"/>
  <c r="AF39" i="4" s="1"/>
  <c r="AF31" i="2"/>
  <c r="AF31" i="4" s="1"/>
  <c r="AF29" i="2"/>
  <c r="AF29" i="4" s="1"/>
  <c r="AF32" i="2"/>
  <c r="AF32" i="4" s="1"/>
  <c r="AF20" i="2"/>
  <c r="AF20" i="4" s="1"/>
  <c r="AF91" i="2"/>
  <c r="AF91" i="4" s="1"/>
  <c r="AF79" i="2"/>
  <c r="AF79" i="4" s="1"/>
  <c r="AF75" i="2"/>
  <c r="AF75" i="4" s="1"/>
  <c r="AF55" i="2"/>
  <c r="AF55" i="4" s="1"/>
  <c r="AF43" i="2"/>
  <c r="AF43" i="4" s="1"/>
  <c r="AF35" i="2"/>
  <c r="AF35" i="4" s="1"/>
  <c r="AF23" i="2"/>
  <c r="AF23" i="4" s="1"/>
  <c r="AF15" i="2"/>
  <c r="AF15" i="4" s="1"/>
  <c r="AF11" i="2"/>
  <c r="AF11" i="4" s="1"/>
  <c r="AF7" i="2"/>
  <c r="AF7" i="4" s="1"/>
  <c r="AF124" i="2"/>
  <c r="AF124" i="4" s="1"/>
  <c r="AF116" i="2"/>
  <c r="AF116" i="4" s="1"/>
  <c r="AF108" i="2"/>
  <c r="AF108" i="4" s="1"/>
  <c r="AF100" i="2"/>
  <c r="AF100" i="4" s="1"/>
  <c r="AF59" i="2"/>
  <c r="AF59" i="4" s="1"/>
  <c r="AF127" i="2"/>
  <c r="AF127" i="4" s="1"/>
  <c r="AF112" i="2"/>
  <c r="AF112" i="4" s="1"/>
  <c r="AF104" i="2"/>
  <c r="AF104" i="4" s="1"/>
  <c r="AF70" i="2"/>
  <c r="AF70" i="4" s="1"/>
  <c r="AF66" i="2"/>
  <c r="AF66" i="4" s="1"/>
  <c r="AF65" i="2"/>
  <c r="AF65" i="4" s="1"/>
  <c r="AF96" i="2"/>
  <c r="AF96" i="4" s="1"/>
  <c r="AF92" i="2"/>
  <c r="AF92" i="4" s="1"/>
  <c r="AF88" i="2"/>
  <c r="AF88" i="4" s="1"/>
  <c r="AF84" i="2"/>
  <c r="AF84" i="4" s="1"/>
  <c r="AF80" i="2"/>
  <c r="AF80" i="4" s="1"/>
  <c r="AF60" i="2"/>
  <c r="AF60" i="4" s="1"/>
  <c r="AF36" i="2"/>
  <c r="AF36" i="4" s="1"/>
  <c r="AF8" i="2"/>
  <c r="AF8" i="4" s="1"/>
  <c r="AF83" i="2"/>
  <c r="AF83" i="4" s="1"/>
  <c r="AF51" i="2"/>
  <c r="AF51" i="4" s="1"/>
  <c r="AF27" i="2"/>
  <c r="AF27" i="4" s="1"/>
  <c r="AF123" i="2"/>
  <c r="AF123" i="4" s="1"/>
  <c r="AF119" i="2"/>
  <c r="AF119" i="4" s="1"/>
  <c r="AF115" i="2"/>
  <c r="AF115" i="4" s="1"/>
  <c r="AF111" i="2"/>
  <c r="AF111" i="4" s="1"/>
  <c r="AF107" i="2"/>
  <c r="AF107" i="4" s="1"/>
  <c r="AF103" i="2"/>
  <c r="AF103" i="4" s="1"/>
  <c r="AF76" i="2"/>
  <c r="AF76" i="4" s="1"/>
  <c r="AF77" i="2"/>
  <c r="AF77" i="4" s="1"/>
  <c r="AF28" i="2"/>
  <c r="AF28" i="4" s="1"/>
  <c r="AF87" i="2"/>
  <c r="AF87" i="4" s="1"/>
  <c r="AF63" i="2"/>
  <c r="AF63" i="4" s="1"/>
  <c r="AF47" i="2"/>
  <c r="AF47" i="4" s="1"/>
  <c r="AF19" i="2"/>
  <c r="AF19" i="4" s="1"/>
  <c r="AF120" i="2"/>
  <c r="AF120" i="4" s="1"/>
  <c r="AH1" i="4" l="1"/>
  <c r="AI2" i="4"/>
  <c r="AH2" i="2"/>
  <c r="AG83" i="2"/>
  <c r="AG83" i="4" s="1"/>
  <c r="AG95" i="2"/>
  <c r="AG95" i="4" s="1"/>
  <c r="AG114" i="2"/>
  <c r="AG114" i="4" s="1"/>
  <c r="AG130" i="2"/>
  <c r="AG130" i="4" s="1"/>
  <c r="AG98" i="2"/>
  <c r="AG98" i="4" s="1"/>
  <c r="AG94" i="2"/>
  <c r="AG94" i="4" s="1"/>
  <c r="AG90" i="2"/>
  <c r="AG90" i="4" s="1"/>
  <c r="AG86" i="2"/>
  <c r="AG86" i="4" s="1"/>
  <c r="AG82" i="2"/>
  <c r="AG82" i="4" s="1"/>
  <c r="AG78" i="2"/>
  <c r="AG78" i="4" s="1"/>
  <c r="AG74" i="2"/>
  <c r="AG74" i="4" s="1"/>
  <c r="AG62" i="2"/>
  <c r="AG62" i="4" s="1"/>
  <c r="AG58" i="2"/>
  <c r="AG58" i="4" s="1"/>
  <c r="AG54" i="2"/>
  <c r="AG54" i="4" s="1"/>
  <c r="AG50" i="2"/>
  <c r="AG50" i="4" s="1"/>
  <c r="AG42" i="2"/>
  <c r="AG42" i="4" s="1"/>
  <c r="AG38" i="2"/>
  <c r="AG38" i="4" s="1"/>
  <c r="AG30" i="2"/>
  <c r="AG30" i="4" s="1"/>
  <c r="AG22" i="2"/>
  <c r="AG22" i="4" s="1"/>
  <c r="AG14" i="2"/>
  <c r="AG14" i="4" s="1"/>
  <c r="AG10" i="2"/>
  <c r="AG10" i="4" s="1"/>
  <c r="AG6" i="2"/>
  <c r="AG6" i="4" s="1"/>
  <c r="AG46" i="2"/>
  <c r="AG46" i="4" s="1"/>
  <c r="AG34" i="2"/>
  <c r="AG34" i="4" s="1"/>
  <c r="AG26" i="2"/>
  <c r="AG26" i="4" s="1"/>
  <c r="AG122" i="2"/>
  <c r="AG122" i="4" s="1"/>
  <c r="AG106" i="2"/>
  <c r="AG106" i="4" s="1"/>
  <c r="AG70" i="2"/>
  <c r="AG70" i="4" s="1"/>
  <c r="AG66" i="2"/>
  <c r="AG66" i="4" s="1"/>
  <c r="AG18" i="2"/>
  <c r="AG18" i="4" s="1"/>
  <c r="AG93" i="2"/>
  <c r="AG93" i="4" s="1"/>
  <c r="AG89" i="2"/>
  <c r="AG89" i="4" s="1"/>
  <c r="AG85" i="2"/>
  <c r="AG85" i="4" s="1"/>
  <c r="AG81" i="2"/>
  <c r="AG81" i="4" s="1"/>
  <c r="AG102" i="2"/>
  <c r="AG102" i="4" s="1"/>
  <c r="AG77" i="2"/>
  <c r="AG77" i="4" s="1"/>
  <c r="AG13" i="2"/>
  <c r="AG13" i="4" s="1"/>
  <c r="AG126" i="2"/>
  <c r="AG126" i="4" s="1"/>
  <c r="AG110" i="2"/>
  <c r="AG110" i="4" s="1"/>
  <c r="AG64" i="2"/>
  <c r="AG64" i="4" s="1"/>
  <c r="AG60" i="2"/>
  <c r="AG60" i="4" s="1"/>
  <c r="AG118" i="2"/>
  <c r="AG118" i="4" s="1"/>
  <c r="AG53" i="2"/>
  <c r="AG53" i="4" s="1"/>
  <c r="AG49" i="2"/>
  <c r="AG49" i="4" s="1"/>
  <c r="AG29" i="2"/>
  <c r="AG29" i="4" s="1"/>
  <c r="AG25" i="2"/>
  <c r="AG25" i="4" s="1"/>
  <c r="AG21" i="2"/>
  <c r="AG21" i="4" s="1"/>
  <c r="AG9" i="2"/>
  <c r="AG9" i="4" s="1"/>
  <c r="AG68" i="2"/>
  <c r="AG68" i="4" s="1"/>
  <c r="AG44" i="2"/>
  <c r="AG44" i="4" s="1"/>
  <c r="AG40" i="2"/>
  <c r="AG40" i="4" s="1"/>
  <c r="AG119" i="2"/>
  <c r="AG119" i="4" s="1"/>
  <c r="AG103" i="2"/>
  <c r="AG103" i="4" s="1"/>
  <c r="AG3" i="2"/>
  <c r="AG3" i="4" s="1"/>
  <c r="AG129" i="2"/>
  <c r="AG129" i="4" s="1"/>
  <c r="AG125" i="2"/>
  <c r="AG125" i="4" s="1"/>
  <c r="AG121" i="2"/>
  <c r="AG121" i="4" s="1"/>
  <c r="AG117" i="2"/>
  <c r="AG117" i="4" s="1"/>
  <c r="AG113" i="2"/>
  <c r="AG113" i="4" s="1"/>
  <c r="AG109" i="2"/>
  <c r="AG109" i="4" s="1"/>
  <c r="AG105" i="2"/>
  <c r="AG105" i="4" s="1"/>
  <c r="AG101" i="2"/>
  <c r="AG101" i="4" s="1"/>
  <c r="AG97" i="2"/>
  <c r="AG97" i="4" s="1"/>
  <c r="AG57" i="2"/>
  <c r="AG57" i="4" s="1"/>
  <c r="AG72" i="2"/>
  <c r="AG72" i="4" s="1"/>
  <c r="AG56" i="2"/>
  <c r="AG56" i="4" s="1"/>
  <c r="AG32" i="2"/>
  <c r="AG32" i="4" s="1"/>
  <c r="AG20" i="2"/>
  <c r="AG20" i="4" s="1"/>
  <c r="AG12" i="2"/>
  <c r="AG12" i="4" s="1"/>
  <c r="AG4" i="2"/>
  <c r="AG4" i="4" s="1"/>
  <c r="AG123" i="2"/>
  <c r="AG123" i="4" s="1"/>
  <c r="AG107" i="2"/>
  <c r="AG107" i="4" s="1"/>
  <c r="AG73" i="2"/>
  <c r="AG73" i="4" s="1"/>
  <c r="AG69" i="2"/>
  <c r="AG69" i="4" s="1"/>
  <c r="AG65" i="2"/>
  <c r="AG65" i="4" s="1"/>
  <c r="AG45" i="2"/>
  <c r="AG45" i="4" s="1"/>
  <c r="AG41" i="2"/>
  <c r="AG41" i="4" s="1"/>
  <c r="AG37" i="2"/>
  <c r="AG37" i="4" s="1"/>
  <c r="AG33" i="2"/>
  <c r="AG33" i="4" s="1"/>
  <c r="AG17" i="2"/>
  <c r="AG17" i="4" s="1"/>
  <c r="AG5" i="2"/>
  <c r="AG5" i="4" s="1"/>
  <c r="AG36" i="2"/>
  <c r="AG36" i="4" s="1"/>
  <c r="AG24" i="2"/>
  <c r="AG24" i="4" s="1"/>
  <c r="AG16" i="2"/>
  <c r="AG16" i="4" s="1"/>
  <c r="AG111" i="2"/>
  <c r="AG111" i="4" s="1"/>
  <c r="AG71" i="2"/>
  <c r="AG71" i="4" s="1"/>
  <c r="AG67" i="2"/>
  <c r="AG67" i="4" s="1"/>
  <c r="AG43" i="2"/>
  <c r="AG43" i="4" s="1"/>
  <c r="AG35" i="2"/>
  <c r="AG35" i="4" s="1"/>
  <c r="AG19" i="2"/>
  <c r="AG19" i="4" s="1"/>
  <c r="AG128" i="2"/>
  <c r="AG128" i="4" s="1"/>
  <c r="AG79" i="2"/>
  <c r="AG79" i="4" s="1"/>
  <c r="AG48" i="2"/>
  <c r="AG48" i="4" s="1"/>
  <c r="AG8" i="2"/>
  <c r="AG8" i="4" s="1"/>
  <c r="AG115" i="2"/>
  <c r="AG115" i="4" s="1"/>
  <c r="AG75" i="2"/>
  <c r="AG75" i="4" s="1"/>
  <c r="AG55" i="2"/>
  <c r="AG55" i="4" s="1"/>
  <c r="AG23" i="2"/>
  <c r="AG23" i="4" s="1"/>
  <c r="AG99" i="2"/>
  <c r="AG99" i="4" s="1"/>
  <c r="AG15" i="2"/>
  <c r="AG15" i="4" s="1"/>
  <c r="AG96" i="2"/>
  <c r="AG96" i="4" s="1"/>
  <c r="AG92" i="2"/>
  <c r="AG92" i="4" s="1"/>
  <c r="AG88" i="2"/>
  <c r="AG88" i="4" s="1"/>
  <c r="AG84" i="2"/>
  <c r="AG84" i="4" s="1"/>
  <c r="AG80" i="2"/>
  <c r="AG80" i="4" s="1"/>
  <c r="AG76" i="2"/>
  <c r="AG76" i="4" s="1"/>
  <c r="AG52" i="2"/>
  <c r="AG52" i="4" s="1"/>
  <c r="AG127" i="2"/>
  <c r="AG127" i="4" s="1"/>
  <c r="AG51" i="2"/>
  <c r="AG51" i="4" s="1"/>
  <c r="AG39" i="2"/>
  <c r="AG39" i="4" s="1"/>
  <c r="AG27" i="2"/>
  <c r="AG27" i="4" s="1"/>
  <c r="AG11" i="2"/>
  <c r="AG11" i="4" s="1"/>
  <c r="AG7" i="2"/>
  <c r="AG7" i="4" s="1"/>
  <c r="AG124" i="2"/>
  <c r="AG124" i="4" s="1"/>
  <c r="AG120" i="2"/>
  <c r="AG120" i="4" s="1"/>
  <c r="AG116" i="2"/>
  <c r="AG116" i="4" s="1"/>
  <c r="AG112" i="2"/>
  <c r="AG112" i="4" s="1"/>
  <c r="AG108" i="2"/>
  <c r="AG108" i="4" s="1"/>
  <c r="AG104" i="2"/>
  <c r="AG104" i="4" s="1"/>
  <c r="AG100" i="2"/>
  <c r="AG100" i="4" s="1"/>
  <c r="AG91" i="2"/>
  <c r="AG91" i="4" s="1"/>
  <c r="AG61" i="2"/>
  <c r="AG61" i="4" s="1"/>
  <c r="AG28" i="2"/>
  <c r="AG28" i="4" s="1"/>
  <c r="AG87" i="2"/>
  <c r="AG87" i="4" s="1"/>
  <c r="AG63" i="2"/>
  <c r="AG63" i="4" s="1"/>
  <c r="AG59" i="2"/>
  <c r="AG59" i="4" s="1"/>
  <c r="AG47" i="2"/>
  <c r="AG47" i="4" s="1"/>
  <c r="AG31" i="2"/>
  <c r="AG31" i="4" s="1"/>
  <c r="AI1" i="4" l="1"/>
  <c r="AJ2" i="4"/>
  <c r="AI2" i="2"/>
  <c r="AH84" i="2"/>
  <c r="AH84" i="4" s="1"/>
  <c r="AH96" i="2"/>
  <c r="AH96" i="4" s="1"/>
  <c r="AH111" i="2"/>
  <c r="AH111" i="4" s="1"/>
  <c r="AH127" i="2"/>
  <c r="AH127" i="4" s="1"/>
  <c r="AH107" i="2"/>
  <c r="AH107" i="4" s="1"/>
  <c r="AH123" i="2"/>
  <c r="AH123" i="4" s="1"/>
  <c r="AH115" i="2"/>
  <c r="AH115" i="4" s="1"/>
  <c r="AH103" i="2"/>
  <c r="AH103" i="4" s="1"/>
  <c r="AH119" i="2"/>
  <c r="AH119" i="4" s="1"/>
  <c r="AH126" i="2"/>
  <c r="AH126" i="4" s="1"/>
  <c r="AH122" i="2"/>
  <c r="AH122" i="4" s="1"/>
  <c r="AH118" i="2"/>
  <c r="AH118" i="4" s="1"/>
  <c r="AH114" i="2"/>
  <c r="AH114" i="4" s="1"/>
  <c r="AH110" i="2"/>
  <c r="AH110" i="4" s="1"/>
  <c r="AH106" i="2"/>
  <c r="AH106" i="4" s="1"/>
  <c r="AH102" i="2"/>
  <c r="AH102" i="4" s="1"/>
  <c r="AH98" i="2"/>
  <c r="AH98" i="4" s="1"/>
  <c r="AH94" i="2"/>
  <c r="AH94" i="4" s="1"/>
  <c r="AH90" i="2"/>
  <c r="AH90" i="4" s="1"/>
  <c r="AH86" i="2"/>
  <c r="AH86" i="4" s="1"/>
  <c r="AH82" i="2"/>
  <c r="AH82" i="4" s="1"/>
  <c r="AH74" i="2"/>
  <c r="AH74" i="4" s="1"/>
  <c r="AH70" i="2"/>
  <c r="AH70" i="4" s="1"/>
  <c r="AH66" i="2"/>
  <c r="AH66" i="4" s="1"/>
  <c r="AH62" i="2"/>
  <c r="AH62" i="4" s="1"/>
  <c r="AH42" i="2"/>
  <c r="AH42" i="4" s="1"/>
  <c r="AH38" i="2"/>
  <c r="AH38" i="4" s="1"/>
  <c r="AH30" i="2"/>
  <c r="AH30" i="4" s="1"/>
  <c r="AH26" i="2"/>
  <c r="AH26" i="4" s="1"/>
  <c r="AH14" i="2"/>
  <c r="AH14" i="4" s="1"/>
  <c r="AH6" i="2"/>
  <c r="AH6" i="4" s="1"/>
  <c r="AH34" i="2"/>
  <c r="AH34" i="4" s="1"/>
  <c r="AH67" i="2"/>
  <c r="AH67" i="4" s="1"/>
  <c r="AH78" i="2"/>
  <c r="AH78" i="4" s="1"/>
  <c r="AH18" i="2"/>
  <c r="AH18" i="4" s="1"/>
  <c r="AH10" i="2"/>
  <c r="AH10" i="4" s="1"/>
  <c r="AH93" i="2"/>
  <c r="AH93" i="4" s="1"/>
  <c r="AH89" i="2"/>
  <c r="AH89" i="4" s="1"/>
  <c r="AH85" i="2"/>
  <c r="AH85" i="4" s="1"/>
  <c r="AH130" i="2"/>
  <c r="AH130" i="4" s="1"/>
  <c r="AH58" i="2"/>
  <c r="AH58" i="4" s="1"/>
  <c r="AH50" i="2"/>
  <c r="AH50" i="4" s="1"/>
  <c r="AH22" i="2"/>
  <c r="AH22" i="4" s="1"/>
  <c r="AH61" i="2"/>
  <c r="AH61" i="4" s="1"/>
  <c r="AH33" i="2"/>
  <c r="AH33" i="4" s="1"/>
  <c r="AH29" i="2"/>
  <c r="AH29" i="4" s="1"/>
  <c r="AH5" i="2"/>
  <c r="AH5" i="4" s="1"/>
  <c r="AH64" i="2"/>
  <c r="AH64" i="4" s="1"/>
  <c r="AH13" i="2"/>
  <c r="AH13" i="4" s="1"/>
  <c r="AH9" i="2"/>
  <c r="AH9" i="4" s="1"/>
  <c r="AH68" i="2"/>
  <c r="AH68" i="4" s="1"/>
  <c r="AH36" i="2"/>
  <c r="AH36" i="4" s="1"/>
  <c r="AH32" i="2"/>
  <c r="AH32" i="4" s="1"/>
  <c r="AH120" i="2"/>
  <c r="AH120" i="4" s="1"/>
  <c r="AH104" i="2"/>
  <c r="AH104" i="4" s="1"/>
  <c r="AH91" i="2"/>
  <c r="AH91" i="4" s="1"/>
  <c r="AH54" i="2"/>
  <c r="AH54" i="4" s="1"/>
  <c r="AH46" i="2"/>
  <c r="AH46" i="4" s="1"/>
  <c r="AH129" i="2"/>
  <c r="AH129" i="4" s="1"/>
  <c r="AH125" i="2"/>
  <c r="AH125" i="4" s="1"/>
  <c r="AH121" i="2"/>
  <c r="AH121" i="4" s="1"/>
  <c r="AH117" i="2"/>
  <c r="AH117" i="4" s="1"/>
  <c r="AH113" i="2"/>
  <c r="AH113" i="4" s="1"/>
  <c r="AH109" i="2"/>
  <c r="AH109" i="4" s="1"/>
  <c r="AH105" i="2"/>
  <c r="AH105" i="4" s="1"/>
  <c r="AH101" i="2"/>
  <c r="AH101" i="4" s="1"/>
  <c r="AH97" i="2"/>
  <c r="AH97" i="4" s="1"/>
  <c r="AH41" i="2"/>
  <c r="AH41" i="4" s="1"/>
  <c r="AH37" i="2"/>
  <c r="AH37" i="4" s="1"/>
  <c r="AH17" i="2"/>
  <c r="AH17" i="4" s="1"/>
  <c r="AH72" i="2"/>
  <c r="AH72" i="4" s="1"/>
  <c r="AH56" i="2"/>
  <c r="AH56" i="4" s="1"/>
  <c r="AH44" i="2"/>
  <c r="AH44" i="4" s="1"/>
  <c r="AH20" i="2"/>
  <c r="AH20" i="4" s="1"/>
  <c r="AH16" i="2"/>
  <c r="AH16" i="4" s="1"/>
  <c r="AH4" i="2"/>
  <c r="AH4" i="4" s="1"/>
  <c r="AH124" i="2"/>
  <c r="AH124" i="4" s="1"/>
  <c r="AH108" i="2"/>
  <c r="AH108" i="4" s="1"/>
  <c r="AH81" i="2"/>
  <c r="AH81" i="4" s="1"/>
  <c r="AH77" i="2"/>
  <c r="AH77" i="4" s="1"/>
  <c r="AH73" i="2"/>
  <c r="AH73" i="4" s="1"/>
  <c r="AH69" i="2"/>
  <c r="AH69" i="4" s="1"/>
  <c r="AH65" i="2"/>
  <c r="AH65" i="4" s="1"/>
  <c r="AH57" i="2"/>
  <c r="AH57" i="4" s="1"/>
  <c r="AH53" i="2"/>
  <c r="AH53" i="4" s="1"/>
  <c r="AH49" i="2"/>
  <c r="AH49" i="4" s="1"/>
  <c r="AH25" i="2"/>
  <c r="AH25" i="4" s="1"/>
  <c r="AH21" i="2"/>
  <c r="AH21" i="4" s="1"/>
  <c r="AH24" i="2"/>
  <c r="AH24" i="4" s="1"/>
  <c r="AH112" i="2"/>
  <c r="AH112" i="4" s="1"/>
  <c r="AH99" i="2"/>
  <c r="AH99" i="4" s="1"/>
  <c r="AH35" i="2"/>
  <c r="AH35" i="4" s="1"/>
  <c r="AH19" i="2"/>
  <c r="AH19" i="4" s="1"/>
  <c r="AH48" i="2"/>
  <c r="AH48" i="4" s="1"/>
  <c r="AH28" i="2"/>
  <c r="AH28" i="4" s="1"/>
  <c r="AH8" i="2"/>
  <c r="AH8" i="4" s="1"/>
  <c r="AH116" i="2"/>
  <c r="AH116" i="4" s="1"/>
  <c r="AH87" i="2"/>
  <c r="AH87" i="4" s="1"/>
  <c r="AH63" i="2"/>
  <c r="AH63" i="4" s="1"/>
  <c r="AH55" i="2"/>
  <c r="AH55" i="4" s="1"/>
  <c r="AH23" i="2"/>
  <c r="AH23" i="4" s="1"/>
  <c r="AH11" i="2"/>
  <c r="AH11" i="4" s="1"/>
  <c r="AH7" i="2"/>
  <c r="AH7" i="4" s="1"/>
  <c r="AH60" i="2"/>
  <c r="AH60" i="4" s="1"/>
  <c r="AH100" i="2"/>
  <c r="AH100" i="4" s="1"/>
  <c r="AH88" i="2"/>
  <c r="AH88" i="4" s="1"/>
  <c r="AH71" i="2"/>
  <c r="AH71" i="4" s="1"/>
  <c r="AH76" i="2"/>
  <c r="AH76" i="4" s="1"/>
  <c r="AH52" i="2"/>
  <c r="AH52" i="4" s="1"/>
  <c r="AH40" i="2"/>
  <c r="AH40" i="4" s="1"/>
  <c r="AH128" i="2"/>
  <c r="AH128" i="4" s="1"/>
  <c r="AH79" i="2"/>
  <c r="AH79" i="4" s="1"/>
  <c r="AH75" i="2"/>
  <c r="AH75" i="4" s="1"/>
  <c r="AH51" i="2"/>
  <c r="AH51" i="4" s="1"/>
  <c r="AH39" i="2"/>
  <c r="AH39" i="4" s="1"/>
  <c r="AH27" i="2"/>
  <c r="AH27" i="4" s="1"/>
  <c r="AH92" i="2"/>
  <c r="AH92" i="4" s="1"/>
  <c r="AH95" i="2"/>
  <c r="AH95" i="4" s="1"/>
  <c r="AH45" i="2"/>
  <c r="AH45" i="4" s="1"/>
  <c r="AH12" i="2"/>
  <c r="AH12" i="4" s="1"/>
  <c r="AH3" i="2"/>
  <c r="AH3" i="4" s="1"/>
  <c r="AH83" i="2"/>
  <c r="AH83" i="4" s="1"/>
  <c r="AH59" i="2"/>
  <c r="AH59" i="4" s="1"/>
  <c r="AH47" i="2"/>
  <c r="AH47" i="4" s="1"/>
  <c r="AH43" i="2"/>
  <c r="AH43" i="4" s="1"/>
  <c r="AH31" i="2"/>
  <c r="AH31" i="4" s="1"/>
  <c r="AH15" i="2"/>
  <c r="AH15" i="4" s="1"/>
  <c r="AH80" i="2"/>
  <c r="AH80" i="4" s="1"/>
  <c r="AJ1" i="4" l="1"/>
  <c r="AK2" i="4"/>
  <c r="AJ2" i="2"/>
  <c r="AI127" i="2"/>
  <c r="AI127" i="4" s="1"/>
  <c r="AI112" i="2"/>
  <c r="AI112" i="4" s="1"/>
  <c r="AI128" i="2"/>
  <c r="AI128" i="4" s="1"/>
  <c r="AI108" i="2"/>
  <c r="AI108" i="4" s="1"/>
  <c r="AI124" i="2"/>
  <c r="AI124" i="4" s="1"/>
  <c r="AI100" i="2"/>
  <c r="AI100" i="4" s="1"/>
  <c r="AI116" i="2"/>
  <c r="AI116" i="4" s="1"/>
  <c r="AI104" i="2"/>
  <c r="AI104" i="4" s="1"/>
  <c r="AI120" i="2"/>
  <c r="AI120" i="4" s="1"/>
  <c r="AI130" i="2"/>
  <c r="AI130" i="4" s="1"/>
  <c r="AI126" i="2"/>
  <c r="AI126" i="4" s="1"/>
  <c r="AI122" i="2"/>
  <c r="AI122" i="4" s="1"/>
  <c r="AI118" i="2"/>
  <c r="AI118" i="4" s="1"/>
  <c r="AI114" i="2"/>
  <c r="AI114" i="4" s="1"/>
  <c r="AI110" i="2"/>
  <c r="AI110" i="4" s="1"/>
  <c r="AI106" i="2"/>
  <c r="AI106" i="4" s="1"/>
  <c r="AI102" i="2"/>
  <c r="AI102" i="4" s="1"/>
  <c r="AI98" i="2"/>
  <c r="AI98" i="4" s="1"/>
  <c r="AI94" i="2"/>
  <c r="AI94" i="4" s="1"/>
  <c r="AI90" i="2"/>
  <c r="AI90" i="4" s="1"/>
  <c r="AI86" i="2"/>
  <c r="AI86" i="4" s="1"/>
  <c r="AI82" i="2"/>
  <c r="AI82" i="4" s="1"/>
  <c r="AI74" i="2"/>
  <c r="AI74" i="4" s="1"/>
  <c r="AI70" i="2"/>
  <c r="AI70" i="4" s="1"/>
  <c r="AI66" i="2"/>
  <c r="AI66" i="4" s="1"/>
  <c r="AI46" i="2"/>
  <c r="AI46" i="4" s="1"/>
  <c r="AI78" i="2"/>
  <c r="AI78" i="4" s="1"/>
  <c r="AI62" i="2"/>
  <c r="AI62" i="4" s="1"/>
  <c r="AI58" i="2"/>
  <c r="AI58" i="4" s="1"/>
  <c r="AI54" i="2"/>
  <c r="AI54" i="4" s="1"/>
  <c r="AI50" i="2"/>
  <c r="AI50" i="4" s="1"/>
  <c r="AI26" i="2"/>
  <c r="AI26" i="4" s="1"/>
  <c r="AI22" i="2"/>
  <c r="AI22" i="4" s="1"/>
  <c r="AI18" i="2"/>
  <c r="AI18" i="4" s="1"/>
  <c r="AI93" i="2"/>
  <c r="AI93" i="4" s="1"/>
  <c r="AI89" i="2"/>
  <c r="AI89" i="4" s="1"/>
  <c r="AI85" i="2"/>
  <c r="AI85" i="4" s="1"/>
  <c r="AI42" i="2"/>
  <c r="AI42" i="4" s="1"/>
  <c r="AI38" i="2"/>
  <c r="AI38" i="4" s="1"/>
  <c r="AI30" i="2"/>
  <c r="AI30" i="4" s="1"/>
  <c r="AI14" i="2"/>
  <c r="AI14" i="4" s="1"/>
  <c r="AI61" i="2"/>
  <c r="AI61" i="4" s="1"/>
  <c r="AI45" i="2"/>
  <c r="AI45" i="4" s="1"/>
  <c r="AI41" i="2"/>
  <c r="AI41" i="4" s="1"/>
  <c r="AI37" i="2"/>
  <c r="AI37" i="4" s="1"/>
  <c r="AI33" i="2"/>
  <c r="AI33" i="4" s="1"/>
  <c r="AI17" i="2"/>
  <c r="AI17" i="4" s="1"/>
  <c r="AI13" i="2"/>
  <c r="AI13" i="4" s="1"/>
  <c r="AI92" i="2"/>
  <c r="AI92" i="4" s="1"/>
  <c r="AI88" i="2"/>
  <c r="AI88" i="4" s="1"/>
  <c r="AI84" i="2"/>
  <c r="AI84" i="4" s="1"/>
  <c r="AI80" i="2"/>
  <c r="AI80" i="4" s="1"/>
  <c r="AI72" i="2"/>
  <c r="AI72" i="4" s="1"/>
  <c r="AI6" i="2"/>
  <c r="AI6" i="4" s="1"/>
  <c r="AI81" i="2"/>
  <c r="AI81" i="4" s="1"/>
  <c r="AI97" i="2"/>
  <c r="AI97" i="4" s="1"/>
  <c r="AI32" i="2"/>
  <c r="AI32" i="4" s="1"/>
  <c r="AI99" i="2"/>
  <c r="AI99" i="4" s="1"/>
  <c r="AI91" i="2"/>
  <c r="AI91" i="4" s="1"/>
  <c r="AI29" i="2"/>
  <c r="AI29" i="4" s="1"/>
  <c r="AI9" i="2"/>
  <c r="AI9" i="4" s="1"/>
  <c r="AI5" i="2"/>
  <c r="AI5" i="4" s="1"/>
  <c r="AI64" i="2"/>
  <c r="AI64" i="4" s="1"/>
  <c r="AI56" i="2"/>
  <c r="AI56" i="4" s="1"/>
  <c r="AI44" i="2"/>
  <c r="AI44" i="4" s="1"/>
  <c r="AI20" i="2"/>
  <c r="AI20" i="4" s="1"/>
  <c r="AI12" i="2"/>
  <c r="AI12" i="4" s="1"/>
  <c r="AI68" i="2"/>
  <c r="AI68" i="4" s="1"/>
  <c r="AI3" i="2"/>
  <c r="AI3" i="4" s="1"/>
  <c r="AI95" i="2"/>
  <c r="AI95" i="4" s="1"/>
  <c r="AI10" i="2"/>
  <c r="AI10" i="4" s="1"/>
  <c r="AI129" i="2"/>
  <c r="AI129" i="4" s="1"/>
  <c r="AI125" i="2"/>
  <c r="AI125" i="4" s="1"/>
  <c r="AI121" i="2"/>
  <c r="AI121" i="4" s="1"/>
  <c r="AI117" i="2"/>
  <c r="AI117" i="4" s="1"/>
  <c r="AI113" i="2"/>
  <c r="AI113" i="4" s="1"/>
  <c r="AI109" i="2"/>
  <c r="AI109" i="4" s="1"/>
  <c r="AI105" i="2"/>
  <c r="AI105" i="4" s="1"/>
  <c r="AI101" i="2"/>
  <c r="AI101" i="4" s="1"/>
  <c r="AI77" i="2"/>
  <c r="AI77" i="4" s="1"/>
  <c r="AI73" i="2"/>
  <c r="AI73" i="4" s="1"/>
  <c r="AI69" i="2"/>
  <c r="AI69" i="4" s="1"/>
  <c r="AI65" i="2"/>
  <c r="AI65" i="4" s="1"/>
  <c r="AI57" i="2"/>
  <c r="AI57" i="4" s="1"/>
  <c r="AI53" i="2"/>
  <c r="AI53" i="4" s="1"/>
  <c r="AI49" i="2"/>
  <c r="AI49" i="4" s="1"/>
  <c r="AI25" i="2"/>
  <c r="AI25" i="4" s="1"/>
  <c r="AI21" i="2"/>
  <c r="AI21" i="4" s="1"/>
  <c r="AI24" i="2"/>
  <c r="AI24" i="4" s="1"/>
  <c r="AI87" i="2"/>
  <c r="AI87" i="4" s="1"/>
  <c r="AI51" i="2"/>
  <c r="AI51" i="4" s="1"/>
  <c r="AI35" i="2"/>
  <c r="AI35" i="4" s="1"/>
  <c r="AI19" i="2"/>
  <c r="AI19" i="4" s="1"/>
  <c r="AI7" i="2"/>
  <c r="AI7" i="4" s="1"/>
  <c r="AI76" i="2"/>
  <c r="AI76" i="4" s="1"/>
  <c r="AI48" i="2"/>
  <c r="AI48" i="4" s="1"/>
  <c r="AI28" i="2"/>
  <c r="AI28" i="4" s="1"/>
  <c r="AI16" i="2"/>
  <c r="AI16" i="4" s="1"/>
  <c r="AI71" i="2"/>
  <c r="AI71" i="4" s="1"/>
  <c r="AI67" i="2"/>
  <c r="AI67" i="4" s="1"/>
  <c r="AI47" i="2"/>
  <c r="AI47" i="4" s="1"/>
  <c r="AI11" i="2"/>
  <c r="AI11" i="4" s="1"/>
  <c r="AI119" i="2"/>
  <c r="AI119" i="4" s="1"/>
  <c r="AI111" i="2"/>
  <c r="AI111" i="4" s="1"/>
  <c r="AI103" i="2"/>
  <c r="AI103" i="4" s="1"/>
  <c r="AI60" i="2"/>
  <c r="AI60" i="4" s="1"/>
  <c r="AI8" i="2"/>
  <c r="AI8" i="4" s="1"/>
  <c r="AI59" i="2"/>
  <c r="AI59" i="4" s="1"/>
  <c r="AI15" i="2"/>
  <c r="AI15" i="4" s="1"/>
  <c r="AI123" i="2"/>
  <c r="AI123" i="4" s="1"/>
  <c r="AI52" i="2"/>
  <c r="AI52" i="4" s="1"/>
  <c r="AI40" i="2"/>
  <c r="AI40" i="4" s="1"/>
  <c r="AI36" i="2"/>
  <c r="AI36" i="4" s="1"/>
  <c r="AI79" i="2"/>
  <c r="AI79" i="4" s="1"/>
  <c r="AI75" i="2"/>
  <c r="AI75" i="4" s="1"/>
  <c r="AI63" i="2"/>
  <c r="AI63" i="4" s="1"/>
  <c r="AI39" i="2"/>
  <c r="AI39" i="4" s="1"/>
  <c r="AI27" i="2"/>
  <c r="AI27" i="4" s="1"/>
  <c r="AI96" i="2"/>
  <c r="AI96" i="4" s="1"/>
  <c r="AI34" i="2"/>
  <c r="AI34" i="4" s="1"/>
  <c r="AI4" i="2"/>
  <c r="AI4" i="4" s="1"/>
  <c r="AI83" i="2"/>
  <c r="AI83" i="4" s="1"/>
  <c r="AI55" i="2"/>
  <c r="AI55" i="4" s="1"/>
  <c r="AI43" i="2"/>
  <c r="AI43" i="4" s="1"/>
  <c r="AI31" i="2"/>
  <c r="AI31" i="4" s="1"/>
  <c r="AI23" i="2"/>
  <c r="AI23" i="4" s="1"/>
  <c r="AI115" i="2"/>
  <c r="AI115" i="4" s="1"/>
  <c r="AI107" i="2"/>
  <c r="AI107" i="4" s="1"/>
  <c r="AK1" i="4" l="1"/>
  <c r="AL2" i="4"/>
  <c r="AK2" i="2"/>
  <c r="AJ128" i="2"/>
  <c r="AJ128" i="4" s="1"/>
  <c r="AJ117" i="2"/>
  <c r="AJ117" i="4" s="1"/>
  <c r="AJ130" i="2"/>
  <c r="AJ130" i="4" s="1"/>
  <c r="AJ126" i="2"/>
  <c r="AJ126" i="4" s="1"/>
  <c r="AJ122" i="2"/>
  <c r="AJ122" i="4" s="1"/>
  <c r="AJ118" i="2"/>
  <c r="AJ118" i="4" s="1"/>
  <c r="AJ114" i="2"/>
  <c r="AJ114" i="4" s="1"/>
  <c r="AJ110" i="2"/>
  <c r="AJ110" i="4" s="1"/>
  <c r="AJ106" i="2"/>
  <c r="AJ106" i="4" s="1"/>
  <c r="AJ102" i="2"/>
  <c r="AJ102" i="4" s="1"/>
  <c r="AJ94" i="2"/>
  <c r="AJ94" i="4" s="1"/>
  <c r="AJ74" i="2"/>
  <c r="AJ74" i="4" s="1"/>
  <c r="AJ70" i="2"/>
  <c r="AJ70" i="4" s="1"/>
  <c r="AJ66" i="2"/>
  <c r="AJ66" i="4" s="1"/>
  <c r="AJ78" i="2"/>
  <c r="AJ78" i="4" s="1"/>
  <c r="AJ62" i="2"/>
  <c r="AJ62" i="4" s="1"/>
  <c r="AJ58" i="2"/>
  <c r="AJ58" i="4" s="1"/>
  <c r="AJ54" i="2"/>
  <c r="AJ54" i="4" s="1"/>
  <c r="AJ50" i="2"/>
  <c r="AJ50" i="4" s="1"/>
  <c r="AJ42" i="2"/>
  <c r="AJ42" i="4" s="1"/>
  <c r="AJ38" i="2"/>
  <c r="AJ38" i="4" s="1"/>
  <c r="AJ30" i="2"/>
  <c r="AJ30" i="4" s="1"/>
  <c r="AJ22" i="2"/>
  <c r="AJ22" i="4" s="1"/>
  <c r="AJ18" i="2"/>
  <c r="AJ18" i="4" s="1"/>
  <c r="AJ14" i="2"/>
  <c r="AJ14" i="4" s="1"/>
  <c r="AJ10" i="2"/>
  <c r="AJ10" i="4" s="1"/>
  <c r="AJ101" i="2"/>
  <c r="AJ101" i="4" s="1"/>
  <c r="AJ90" i="2"/>
  <c r="AJ90" i="4" s="1"/>
  <c r="AJ86" i="2"/>
  <c r="AJ86" i="4" s="1"/>
  <c r="AJ82" i="2"/>
  <c r="AJ82" i="4" s="1"/>
  <c r="AJ34" i="2"/>
  <c r="AJ34" i="4" s="1"/>
  <c r="AJ26" i="2"/>
  <c r="AJ26" i="4" s="1"/>
  <c r="AJ125" i="2"/>
  <c r="AJ125" i="4" s="1"/>
  <c r="AJ109" i="2"/>
  <c r="AJ109" i="4" s="1"/>
  <c r="AJ46" i="2"/>
  <c r="AJ46" i="4" s="1"/>
  <c r="AJ97" i="2"/>
  <c r="AJ97" i="4" s="1"/>
  <c r="AJ61" i="2"/>
  <c r="AJ61" i="4" s="1"/>
  <c r="AJ45" i="2"/>
  <c r="AJ45" i="4" s="1"/>
  <c r="AJ41" i="2"/>
  <c r="AJ41" i="4" s="1"/>
  <c r="AJ37" i="2"/>
  <c r="AJ37" i="4" s="1"/>
  <c r="AJ33" i="2"/>
  <c r="AJ33" i="4" s="1"/>
  <c r="AJ29" i="2"/>
  <c r="AJ29" i="4" s="1"/>
  <c r="AJ17" i="2"/>
  <c r="AJ17" i="4" s="1"/>
  <c r="AJ9" i="2"/>
  <c r="AJ9" i="4" s="1"/>
  <c r="AJ113" i="2"/>
  <c r="AJ113" i="4" s="1"/>
  <c r="AJ96" i="2"/>
  <c r="AJ96" i="4" s="1"/>
  <c r="AJ92" i="2"/>
  <c r="AJ92" i="4" s="1"/>
  <c r="AJ88" i="2"/>
  <c r="AJ88" i="4" s="1"/>
  <c r="AJ84" i="2"/>
  <c r="AJ84" i="4" s="1"/>
  <c r="AJ80" i="2"/>
  <c r="AJ80" i="4" s="1"/>
  <c r="AJ6" i="2"/>
  <c r="AJ6" i="4" s="1"/>
  <c r="AJ73" i="2"/>
  <c r="AJ73" i="4" s="1"/>
  <c r="AJ65" i="2"/>
  <c r="AJ65" i="4" s="1"/>
  <c r="AJ13" i="2"/>
  <c r="AJ13" i="4" s="1"/>
  <c r="AJ98" i="2"/>
  <c r="AJ98" i="4" s="1"/>
  <c r="AJ64" i="2"/>
  <c r="AJ64" i="4" s="1"/>
  <c r="AJ52" i="2"/>
  <c r="AJ52" i="4" s="1"/>
  <c r="AJ32" i="2"/>
  <c r="AJ32" i="4" s="1"/>
  <c r="AJ24" i="2"/>
  <c r="AJ24" i="4" s="1"/>
  <c r="AJ91" i="2"/>
  <c r="AJ91" i="4" s="1"/>
  <c r="AJ105" i="2"/>
  <c r="AJ105" i="4" s="1"/>
  <c r="AJ89" i="2"/>
  <c r="AJ89" i="4" s="1"/>
  <c r="AJ85" i="2"/>
  <c r="AJ85" i="4" s="1"/>
  <c r="AJ81" i="2"/>
  <c r="AJ81" i="4" s="1"/>
  <c r="AJ69" i="2"/>
  <c r="AJ69" i="4" s="1"/>
  <c r="AJ5" i="2"/>
  <c r="AJ5" i="4" s="1"/>
  <c r="AJ68" i="2"/>
  <c r="AJ68" i="4" s="1"/>
  <c r="AJ48" i="2"/>
  <c r="AJ48" i="4" s="1"/>
  <c r="AJ44" i="2"/>
  <c r="AJ44" i="4" s="1"/>
  <c r="AJ16" i="2"/>
  <c r="AJ16" i="4" s="1"/>
  <c r="AJ12" i="2"/>
  <c r="AJ12" i="4" s="1"/>
  <c r="AJ3" i="2"/>
  <c r="AJ3" i="4" s="1"/>
  <c r="AJ95" i="2"/>
  <c r="AJ95" i="4" s="1"/>
  <c r="AJ57" i="2"/>
  <c r="AJ57" i="4" s="1"/>
  <c r="AJ53" i="2"/>
  <c r="AJ53" i="4" s="1"/>
  <c r="AJ49" i="2"/>
  <c r="AJ49" i="4" s="1"/>
  <c r="AJ25" i="2"/>
  <c r="AJ25" i="4" s="1"/>
  <c r="AJ21" i="2"/>
  <c r="AJ21" i="4" s="1"/>
  <c r="AJ129" i="2"/>
  <c r="AJ129" i="4" s="1"/>
  <c r="AJ87" i="2"/>
  <c r="AJ87" i="4" s="1"/>
  <c r="AJ47" i="2"/>
  <c r="AJ47" i="4" s="1"/>
  <c r="AJ39" i="2"/>
  <c r="AJ39" i="4" s="1"/>
  <c r="AJ35" i="2"/>
  <c r="AJ35" i="4" s="1"/>
  <c r="AJ124" i="2"/>
  <c r="AJ124" i="4" s="1"/>
  <c r="AJ116" i="2"/>
  <c r="AJ116" i="4" s="1"/>
  <c r="AJ108" i="2"/>
  <c r="AJ108" i="4" s="1"/>
  <c r="AJ100" i="2"/>
  <c r="AJ100" i="4" s="1"/>
  <c r="AJ76" i="2"/>
  <c r="AJ76" i="4" s="1"/>
  <c r="AJ56" i="2"/>
  <c r="AJ56" i="4" s="1"/>
  <c r="AJ20" i="2"/>
  <c r="AJ20" i="4" s="1"/>
  <c r="AJ71" i="2"/>
  <c r="AJ71" i="4" s="1"/>
  <c r="AJ67" i="2"/>
  <c r="AJ67" i="4" s="1"/>
  <c r="AJ43" i="2"/>
  <c r="AJ43" i="4" s="1"/>
  <c r="AJ31" i="2"/>
  <c r="AJ31" i="4" s="1"/>
  <c r="AJ27" i="2"/>
  <c r="AJ27" i="4" s="1"/>
  <c r="AJ19" i="2"/>
  <c r="AJ19" i="4" s="1"/>
  <c r="AJ15" i="2"/>
  <c r="AJ15" i="4" s="1"/>
  <c r="AJ11" i="2"/>
  <c r="AJ11" i="4" s="1"/>
  <c r="AJ123" i="2"/>
  <c r="AJ123" i="4" s="1"/>
  <c r="AJ119" i="2"/>
  <c r="AJ119" i="4" s="1"/>
  <c r="AJ115" i="2"/>
  <c r="AJ115" i="4" s="1"/>
  <c r="AJ111" i="2"/>
  <c r="AJ111" i="4" s="1"/>
  <c r="AJ107" i="2"/>
  <c r="AJ107" i="4" s="1"/>
  <c r="AJ103" i="2"/>
  <c r="AJ103" i="4" s="1"/>
  <c r="AJ36" i="2"/>
  <c r="AJ36" i="4" s="1"/>
  <c r="AJ8" i="2"/>
  <c r="AJ8" i="4" s="1"/>
  <c r="AJ63" i="2"/>
  <c r="AJ63" i="4" s="1"/>
  <c r="AJ59" i="2"/>
  <c r="AJ59" i="4" s="1"/>
  <c r="AJ51" i="2"/>
  <c r="AJ51" i="4" s="1"/>
  <c r="AJ7" i="2"/>
  <c r="AJ7" i="4" s="1"/>
  <c r="AJ121" i="2"/>
  <c r="AJ121" i="4" s="1"/>
  <c r="AJ93" i="2"/>
  <c r="AJ93" i="4" s="1"/>
  <c r="AJ72" i="2"/>
  <c r="AJ72" i="4" s="1"/>
  <c r="AJ60" i="2"/>
  <c r="AJ60" i="4" s="1"/>
  <c r="AJ40" i="2"/>
  <c r="AJ40" i="4" s="1"/>
  <c r="AJ4" i="2"/>
  <c r="AJ4" i="4" s="1"/>
  <c r="AJ99" i="2"/>
  <c r="AJ99" i="4" s="1"/>
  <c r="AJ79" i="2"/>
  <c r="AJ79" i="4" s="1"/>
  <c r="AJ75" i="2"/>
  <c r="AJ75" i="4" s="1"/>
  <c r="AJ55" i="2"/>
  <c r="AJ55" i="4" s="1"/>
  <c r="AJ23" i="2"/>
  <c r="AJ23" i="4" s="1"/>
  <c r="AJ127" i="2"/>
  <c r="AJ127" i="4" s="1"/>
  <c r="AJ120" i="2"/>
  <c r="AJ120" i="4" s="1"/>
  <c r="AJ112" i="2"/>
  <c r="AJ112" i="4" s="1"/>
  <c r="AJ104" i="2"/>
  <c r="AJ104" i="4" s="1"/>
  <c r="AJ77" i="2"/>
  <c r="AJ77" i="4" s="1"/>
  <c r="AJ28" i="2"/>
  <c r="AJ28" i="4" s="1"/>
  <c r="AJ83" i="2"/>
  <c r="AJ83" i="4" s="1"/>
  <c r="AL1" i="4" l="1"/>
  <c r="AM2" i="4"/>
  <c r="AL2" i="2"/>
  <c r="AK87" i="2"/>
  <c r="AK87" i="4" s="1"/>
  <c r="AK99" i="2"/>
  <c r="AK99" i="4" s="1"/>
  <c r="AK130" i="2"/>
  <c r="AK130" i="4" s="1"/>
  <c r="AK118" i="2"/>
  <c r="AK118" i="4" s="1"/>
  <c r="AK102" i="2"/>
  <c r="AK102" i="4" s="1"/>
  <c r="AK122" i="2"/>
  <c r="AK122" i="4" s="1"/>
  <c r="AK106" i="2"/>
  <c r="AK106" i="4" s="1"/>
  <c r="AK98" i="2"/>
  <c r="AK98" i="4" s="1"/>
  <c r="AK94" i="2"/>
  <c r="AK94" i="4" s="1"/>
  <c r="AK90" i="2"/>
  <c r="AK90" i="4" s="1"/>
  <c r="AK86" i="2"/>
  <c r="AK86" i="4" s="1"/>
  <c r="AK82" i="2"/>
  <c r="AK82" i="4" s="1"/>
  <c r="AK78" i="2"/>
  <c r="AK78" i="4" s="1"/>
  <c r="AK62" i="2"/>
  <c r="AK62" i="4" s="1"/>
  <c r="AK58" i="2"/>
  <c r="AK58" i="4" s="1"/>
  <c r="AK54" i="2"/>
  <c r="AK54" i="4" s="1"/>
  <c r="AK50" i="2"/>
  <c r="AK50" i="4" s="1"/>
  <c r="AK42" i="2"/>
  <c r="AK42" i="4" s="1"/>
  <c r="AK38" i="2"/>
  <c r="AK38" i="4" s="1"/>
  <c r="AK30" i="2"/>
  <c r="AK30" i="4" s="1"/>
  <c r="AK22" i="2"/>
  <c r="AK22" i="4" s="1"/>
  <c r="AK14" i="2"/>
  <c r="AK14" i="4" s="1"/>
  <c r="AK10" i="2"/>
  <c r="AK10" i="4" s="1"/>
  <c r="AK6" i="2"/>
  <c r="AK6" i="4" s="1"/>
  <c r="AK74" i="2"/>
  <c r="AK74" i="4" s="1"/>
  <c r="AK70" i="2"/>
  <c r="AK70" i="4" s="1"/>
  <c r="AK66" i="2"/>
  <c r="AK66" i="4" s="1"/>
  <c r="AK46" i="2"/>
  <c r="AK46" i="4" s="1"/>
  <c r="AK34" i="2"/>
  <c r="AK34" i="4" s="1"/>
  <c r="AK26" i="2"/>
  <c r="AK26" i="4" s="1"/>
  <c r="AK126" i="2"/>
  <c r="AK126" i="4" s="1"/>
  <c r="AK110" i="2"/>
  <c r="AK110" i="4" s="1"/>
  <c r="AK93" i="2"/>
  <c r="AK93" i="4" s="1"/>
  <c r="AK73" i="2"/>
  <c r="AK73" i="4" s="1"/>
  <c r="AK69" i="2"/>
  <c r="AK69" i="4" s="1"/>
  <c r="AK65" i="2"/>
  <c r="AK65" i="4" s="1"/>
  <c r="AK61" i="2"/>
  <c r="AK61" i="4" s="1"/>
  <c r="AK45" i="2"/>
  <c r="AK45" i="4" s="1"/>
  <c r="AK41" i="2"/>
  <c r="AK41" i="4" s="1"/>
  <c r="AK37" i="2"/>
  <c r="AK37" i="4" s="1"/>
  <c r="AK33" i="2"/>
  <c r="AK33" i="4" s="1"/>
  <c r="AK17" i="2"/>
  <c r="AK17" i="4" s="1"/>
  <c r="AK5" i="2"/>
  <c r="AK5" i="4" s="1"/>
  <c r="AK114" i="2"/>
  <c r="AK114" i="4" s="1"/>
  <c r="AK96" i="2"/>
  <c r="AK96" i="4" s="1"/>
  <c r="AK92" i="2"/>
  <c r="AK92" i="4" s="1"/>
  <c r="AK88" i="2"/>
  <c r="AK88" i="4" s="1"/>
  <c r="AK84" i="2"/>
  <c r="AK84" i="4" s="1"/>
  <c r="AK80" i="2"/>
  <c r="AK80" i="4" s="1"/>
  <c r="AK76" i="2"/>
  <c r="AK76" i="4" s="1"/>
  <c r="AK57" i="2"/>
  <c r="AK57" i="4" s="1"/>
  <c r="AK53" i="2"/>
  <c r="AK53" i="4" s="1"/>
  <c r="AK49" i="2"/>
  <c r="AK49" i="4" s="1"/>
  <c r="AK25" i="2"/>
  <c r="AK25" i="4" s="1"/>
  <c r="AK21" i="2"/>
  <c r="AK21" i="4" s="1"/>
  <c r="AK13" i="2"/>
  <c r="AK13" i="4" s="1"/>
  <c r="AK64" i="2"/>
  <c r="AK64" i="4" s="1"/>
  <c r="AK48" i="2"/>
  <c r="AK48" i="4" s="1"/>
  <c r="AK40" i="2"/>
  <c r="AK40" i="4" s="1"/>
  <c r="AK123" i="2"/>
  <c r="AK123" i="4" s="1"/>
  <c r="AK107" i="2"/>
  <c r="AK107" i="4" s="1"/>
  <c r="AK91" i="2"/>
  <c r="AK91" i="4" s="1"/>
  <c r="AK89" i="2"/>
  <c r="AK89" i="4" s="1"/>
  <c r="AK85" i="2"/>
  <c r="AK85" i="4" s="1"/>
  <c r="AK81" i="2"/>
  <c r="AK81" i="4" s="1"/>
  <c r="AK29" i="2"/>
  <c r="AK29" i="4" s="1"/>
  <c r="AK9" i="2"/>
  <c r="AK9" i="4" s="1"/>
  <c r="AK68" i="2"/>
  <c r="AK68" i="4" s="1"/>
  <c r="AK44" i="2"/>
  <c r="AK44" i="4" s="1"/>
  <c r="AK16" i="2"/>
  <c r="AK16" i="4" s="1"/>
  <c r="AK12" i="2"/>
  <c r="AK12" i="4" s="1"/>
  <c r="AK127" i="2"/>
  <c r="AK127" i="4" s="1"/>
  <c r="AK111" i="2"/>
  <c r="AK111" i="4" s="1"/>
  <c r="AK3" i="2"/>
  <c r="AK3" i="4" s="1"/>
  <c r="AK18" i="2"/>
  <c r="AK18" i="4" s="1"/>
  <c r="AK129" i="2"/>
  <c r="AK129" i="4" s="1"/>
  <c r="AK125" i="2"/>
  <c r="AK125" i="4" s="1"/>
  <c r="AK121" i="2"/>
  <c r="AK121" i="4" s="1"/>
  <c r="AK117" i="2"/>
  <c r="AK117" i="4" s="1"/>
  <c r="AK113" i="2"/>
  <c r="AK113" i="4" s="1"/>
  <c r="AK109" i="2"/>
  <c r="AK109" i="4" s="1"/>
  <c r="AK105" i="2"/>
  <c r="AK105" i="4" s="1"/>
  <c r="AK101" i="2"/>
  <c r="AK101" i="4" s="1"/>
  <c r="AK97" i="2"/>
  <c r="AK97" i="4" s="1"/>
  <c r="AK28" i="2"/>
  <c r="AK28" i="4" s="1"/>
  <c r="AK20" i="2"/>
  <c r="AK20" i="4" s="1"/>
  <c r="AK115" i="2"/>
  <c r="AK115" i="4" s="1"/>
  <c r="AK63" i="2"/>
  <c r="AK63" i="4" s="1"/>
  <c r="AK59" i="2"/>
  <c r="AK59" i="4" s="1"/>
  <c r="AK47" i="2"/>
  <c r="AK47" i="4" s="1"/>
  <c r="AK35" i="2"/>
  <c r="AK35" i="4" s="1"/>
  <c r="AK31" i="2"/>
  <c r="AK31" i="4" s="1"/>
  <c r="AK15" i="2"/>
  <c r="AK15" i="4" s="1"/>
  <c r="AK95" i="2"/>
  <c r="AK95" i="4" s="1"/>
  <c r="AK36" i="2"/>
  <c r="AK36" i="4" s="1"/>
  <c r="AK24" i="2"/>
  <c r="AK24" i="4" s="1"/>
  <c r="AK8" i="2"/>
  <c r="AK8" i="4" s="1"/>
  <c r="AK119" i="2"/>
  <c r="AK119" i="4" s="1"/>
  <c r="AK71" i="2"/>
  <c r="AK71" i="4" s="1"/>
  <c r="AK67" i="2"/>
  <c r="AK67" i="4" s="1"/>
  <c r="AK43" i="2"/>
  <c r="AK43" i="4" s="1"/>
  <c r="AK7" i="2"/>
  <c r="AK7" i="4" s="1"/>
  <c r="AK124" i="2"/>
  <c r="AK124" i="4" s="1"/>
  <c r="AK120" i="2"/>
  <c r="AK120" i="4" s="1"/>
  <c r="AK116" i="2"/>
  <c r="AK116" i="4" s="1"/>
  <c r="AK112" i="2"/>
  <c r="AK112" i="4" s="1"/>
  <c r="AK108" i="2"/>
  <c r="AK108" i="4" s="1"/>
  <c r="AK104" i="2"/>
  <c r="AK104" i="4" s="1"/>
  <c r="AK100" i="2"/>
  <c r="AK100" i="4" s="1"/>
  <c r="AK79" i="2"/>
  <c r="AK79" i="4" s="1"/>
  <c r="AK77" i="2"/>
  <c r="AK77" i="4" s="1"/>
  <c r="AK103" i="2"/>
  <c r="AK103" i="4" s="1"/>
  <c r="AK39" i="2"/>
  <c r="AK39" i="4" s="1"/>
  <c r="AK27" i="2"/>
  <c r="AK27" i="4" s="1"/>
  <c r="AK72" i="2"/>
  <c r="AK72" i="4" s="1"/>
  <c r="AK60" i="2"/>
  <c r="AK60" i="4" s="1"/>
  <c r="AK56" i="2"/>
  <c r="AK56" i="4" s="1"/>
  <c r="AK32" i="2"/>
  <c r="AK32" i="4" s="1"/>
  <c r="AK4" i="2"/>
  <c r="AK4" i="4" s="1"/>
  <c r="AK75" i="2"/>
  <c r="AK75" i="4" s="1"/>
  <c r="AK55" i="2"/>
  <c r="AK55" i="4" s="1"/>
  <c r="AK23" i="2"/>
  <c r="AK23" i="4" s="1"/>
  <c r="AK52" i="2"/>
  <c r="AK52" i="4" s="1"/>
  <c r="AK51" i="2"/>
  <c r="AK51" i="4" s="1"/>
  <c r="AK19" i="2"/>
  <c r="AK19" i="4" s="1"/>
  <c r="AK11" i="2"/>
  <c r="AK11" i="4" s="1"/>
  <c r="AK128" i="2"/>
  <c r="AK128" i="4" s="1"/>
  <c r="AK83" i="2"/>
  <c r="AK83" i="4" s="1"/>
  <c r="AM1" i="4" l="1"/>
  <c r="AN2" i="4"/>
  <c r="AM2" i="2"/>
  <c r="AL115" i="2"/>
  <c r="AL115" i="4" s="1"/>
  <c r="AL111" i="2"/>
  <c r="AL111" i="4" s="1"/>
  <c r="AL127" i="2"/>
  <c r="AL127" i="4" s="1"/>
  <c r="AL119" i="2"/>
  <c r="AL119" i="4" s="1"/>
  <c r="AL88" i="2"/>
  <c r="AL88" i="4" s="1"/>
  <c r="AL107" i="2"/>
  <c r="AL107" i="4" s="1"/>
  <c r="AL123" i="2"/>
  <c r="AL123" i="4" s="1"/>
  <c r="AL103" i="2"/>
  <c r="AL103" i="4" s="1"/>
  <c r="AL130" i="2"/>
  <c r="AL130" i="4" s="1"/>
  <c r="AL71" i="2"/>
  <c r="AL71" i="4" s="1"/>
  <c r="AL126" i="2"/>
  <c r="AL126" i="4" s="1"/>
  <c r="AL122" i="2"/>
  <c r="AL122" i="4" s="1"/>
  <c r="AL118" i="2"/>
  <c r="AL118" i="4" s="1"/>
  <c r="AL114" i="2"/>
  <c r="AL114" i="4" s="1"/>
  <c r="AL110" i="2"/>
  <c r="AL110" i="4" s="1"/>
  <c r="AL106" i="2"/>
  <c r="AL106" i="4" s="1"/>
  <c r="AL102" i="2"/>
  <c r="AL102" i="4" s="1"/>
  <c r="AL98" i="2"/>
  <c r="AL98" i="4" s="1"/>
  <c r="AL94" i="2"/>
  <c r="AL94" i="4" s="1"/>
  <c r="AL90" i="2"/>
  <c r="AL90" i="4" s="1"/>
  <c r="AL86" i="2"/>
  <c r="AL86" i="4" s="1"/>
  <c r="AL82" i="2"/>
  <c r="AL82" i="4" s="1"/>
  <c r="AL78" i="2"/>
  <c r="AL78" i="4" s="1"/>
  <c r="AL74" i="2"/>
  <c r="AL74" i="4" s="1"/>
  <c r="AL70" i="2"/>
  <c r="AL70" i="4" s="1"/>
  <c r="AL66" i="2"/>
  <c r="AL66" i="4" s="1"/>
  <c r="AL62" i="2"/>
  <c r="AL62" i="4" s="1"/>
  <c r="AL46" i="2"/>
  <c r="AL46" i="4" s="1"/>
  <c r="AL42" i="2"/>
  <c r="AL42" i="4" s="1"/>
  <c r="AL38" i="2"/>
  <c r="AL38" i="4" s="1"/>
  <c r="AL30" i="2"/>
  <c r="AL30" i="4" s="1"/>
  <c r="AL14" i="2"/>
  <c r="AL14" i="4" s="1"/>
  <c r="AL6" i="2"/>
  <c r="AL6" i="4" s="1"/>
  <c r="AL34" i="2"/>
  <c r="AL34" i="4" s="1"/>
  <c r="AL54" i="2"/>
  <c r="AL54" i="4" s="1"/>
  <c r="AL93" i="2"/>
  <c r="AL93" i="4" s="1"/>
  <c r="AL81" i="2"/>
  <c r="AL81" i="4" s="1"/>
  <c r="AL77" i="2"/>
  <c r="AL77" i="4" s="1"/>
  <c r="AL73" i="2"/>
  <c r="AL73" i="4" s="1"/>
  <c r="AL69" i="2"/>
  <c r="AL69" i="4" s="1"/>
  <c r="AL65" i="2"/>
  <c r="AL65" i="4" s="1"/>
  <c r="AL61" i="2"/>
  <c r="AL61" i="4" s="1"/>
  <c r="AL57" i="2"/>
  <c r="AL57" i="4" s="1"/>
  <c r="AL53" i="2"/>
  <c r="AL53" i="4" s="1"/>
  <c r="AL49" i="2"/>
  <c r="AL49" i="4" s="1"/>
  <c r="AL45" i="2"/>
  <c r="AL45" i="4" s="1"/>
  <c r="AL29" i="2"/>
  <c r="AL29" i="4" s="1"/>
  <c r="AL25" i="2"/>
  <c r="AL25" i="4" s="1"/>
  <c r="AL21" i="2"/>
  <c r="AL21" i="4" s="1"/>
  <c r="AL76" i="2"/>
  <c r="AL76" i="4" s="1"/>
  <c r="AL60" i="2"/>
  <c r="AL60" i="4" s="1"/>
  <c r="AL26" i="2"/>
  <c r="AL26" i="4" s="1"/>
  <c r="AL10" i="2"/>
  <c r="AL10" i="4" s="1"/>
  <c r="AL17" i="2"/>
  <c r="AL17" i="4" s="1"/>
  <c r="AL13" i="2"/>
  <c r="AL13" i="4" s="1"/>
  <c r="AL5" i="2"/>
  <c r="AL5" i="4" s="1"/>
  <c r="AL64" i="2"/>
  <c r="AL64" i="4" s="1"/>
  <c r="AL48" i="2"/>
  <c r="AL48" i="4" s="1"/>
  <c r="AL28" i="2"/>
  <c r="AL28" i="4" s="1"/>
  <c r="AL12" i="2"/>
  <c r="AL12" i="4" s="1"/>
  <c r="AL124" i="2"/>
  <c r="AL124" i="4" s="1"/>
  <c r="AL108" i="2"/>
  <c r="AL108" i="4" s="1"/>
  <c r="AL95" i="2"/>
  <c r="AL95" i="4" s="1"/>
  <c r="AL92" i="2"/>
  <c r="AL92" i="4" s="1"/>
  <c r="AL87" i="2"/>
  <c r="AL87" i="4" s="1"/>
  <c r="AL58" i="2"/>
  <c r="AL58" i="4" s="1"/>
  <c r="AL50" i="2"/>
  <c r="AL50" i="4" s="1"/>
  <c r="AL22" i="2"/>
  <c r="AL22" i="4" s="1"/>
  <c r="AL89" i="2"/>
  <c r="AL89" i="4" s="1"/>
  <c r="AL85" i="2"/>
  <c r="AL85" i="4" s="1"/>
  <c r="AL41" i="2"/>
  <c r="AL41" i="4" s="1"/>
  <c r="AL37" i="2"/>
  <c r="AL37" i="4" s="1"/>
  <c r="AL33" i="2"/>
  <c r="AL33" i="4" s="1"/>
  <c r="AL68" i="2"/>
  <c r="AL68" i="4" s="1"/>
  <c r="AL44" i="2"/>
  <c r="AL44" i="4" s="1"/>
  <c r="AL32" i="2"/>
  <c r="AL32" i="4" s="1"/>
  <c r="AL128" i="2"/>
  <c r="AL128" i="4" s="1"/>
  <c r="AL112" i="2"/>
  <c r="AL112" i="4" s="1"/>
  <c r="AL91" i="2"/>
  <c r="AL91" i="4" s="1"/>
  <c r="AL129" i="2"/>
  <c r="AL129" i="4" s="1"/>
  <c r="AL125" i="2"/>
  <c r="AL125" i="4" s="1"/>
  <c r="AL121" i="2"/>
  <c r="AL121" i="4" s="1"/>
  <c r="AL117" i="2"/>
  <c r="AL117" i="4" s="1"/>
  <c r="AL113" i="2"/>
  <c r="AL113" i="4" s="1"/>
  <c r="AL109" i="2"/>
  <c r="AL109" i="4" s="1"/>
  <c r="AL105" i="2"/>
  <c r="AL105" i="4" s="1"/>
  <c r="AL101" i="2"/>
  <c r="AL101" i="4" s="1"/>
  <c r="AL97" i="2"/>
  <c r="AL97" i="4" s="1"/>
  <c r="AL9" i="2"/>
  <c r="AL9" i="4" s="1"/>
  <c r="AL36" i="2"/>
  <c r="AL36" i="4" s="1"/>
  <c r="AL20" i="2"/>
  <c r="AL20" i="4" s="1"/>
  <c r="AL116" i="2"/>
  <c r="AL116" i="4" s="1"/>
  <c r="AL83" i="2"/>
  <c r="AL83" i="4" s="1"/>
  <c r="AL59" i="2"/>
  <c r="AL59" i="4" s="1"/>
  <c r="AL47" i="2"/>
  <c r="AL47" i="4" s="1"/>
  <c r="AL43" i="2"/>
  <c r="AL43" i="4" s="1"/>
  <c r="AL31" i="2"/>
  <c r="AL31" i="4" s="1"/>
  <c r="AL15" i="2"/>
  <c r="AL15" i="4" s="1"/>
  <c r="AL96" i="2"/>
  <c r="AL96" i="4" s="1"/>
  <c r="AL24" i="2"/>
  <c r="AL24" i="4" s="1"/>
  <c r="AL8" i="2"/>
  <c r="AL8" i="4" s="1"/>
  <c r="AL120" i="2"/>
  <c r="AL120" i="4" s="1"/>
  <c r="AL35" i="2"/>
  <c r="AL35" i="4" s="1"/>
  <c r="AL19" i="2"/>
  <c r="AL19" i="4" s="1"/>
  <c r="AL80" i="2"/>
  <c r="AL80" i="4" s="1"/>
  <c r="AL104" i="2"/>
  <c r="AL104" i="4" s="1"/>
  <c r="AL67" i="2"/>
  <c r="AL67" i="4" s="1"/>
  <c r="AL39" i="2"/>
  <c r="AL39" i="4" s="1"/>
  <c r="AL27" i="2"/>
  <c r="AL27" i="4" s="1"/>
  <c r="AL18" i="2"/>
  <c r="AL18" i="4" s="1"/>
  <c r="AL72" i="2"/>
  <c r="AL72" i="4" s="1"/>
  <c r="AL56" i="2"/>
  <c r="AL56" i="4" s="1"/>
  <c r="AL16" i="2"/>
  <c r="AL16" i="4" s="1"/>
  <c r="AL4" i="2"/>
  <c r="AL4" i="4" s="1"/>
  <c r="AL100" i="2"/>
  <c r="AL100" i="4" s="1"/>
  <c r="AL3" i="2"/>
  <c r="AL3" i="4" s="1"/>
  <c r="AL75" i="2"/>
  <c r="AL75" i="4" s="1"/>
  <c r="AL63" i="2"/>
  <c r="AL63" i="4" s="1"/>
  <c r="AL55" i="2"/>
  <c r="AL55" i="4" s="1"/>
  <c r="AL23" i="2"/>
  <c r="AL23" i="4" s="1"/>
  <c r="AL7" i="2"/>
  <c r="AL7" i="4" s="1"/>
  <c r="AL99" i="2"/>
  <c r="AL99" i="4" s="1"/>
  <c r="AL52" i="2"/>
  <c r="AL52" i="4" s="1"/>
  <c r="AL40" i="2"/>
  <c r="AL40" i="4" s="1"/>
  <c r="AL79" i="2"/>
  <c r="AL79" i="4" s="1"/>
  <c r="AL51" i="2"/>
  <c r="AL51" i="4" s="1"/>
  <c r="AL11" i="2"/>
  <c r="AL11" i="4" s="1"/>
  <c r="AL84" i="2"/>
  <c r="AL84" i="4" s="1"/>
  <c r="AN1" i="4" l="1"/>
  <c r="AO2" i="4"/>
  <c r="AN2" i="2"/>
  <c r="AM127" i="2"/>
  <c r="AM127" i="4" s="1"/>
  <c r="AM100" i="2"/>
  <c r="AM100" i="4" s="1"/>
  <c r="AM116" i="2"/>
  <c r="AM116" i="4" s="1"/>
  <c r="AM112" i="2"/>
  <c r="AM112" i="4" s="1"/>
  <c r="AM128" i="2"/>
  <c r="AM128" i="4" s="1"/>
  <c r="AM120" i="2"/>
  <c r="AM120" i="4" s="1"/>
  <c r="AM108" i="2"/>
  <c r="AM108" i="4" s="1"/>
  <c r="AM124" i="2"/>
  <c r="AM124" i="4" s="1"/>
  <c r="AM104" i="2"/>
  <c r="AM104" i="4" s="1"/>
  <c r="AM18" i="2"/>
  <c r="AM18" i="4" s="1"/>
  <c r="AM130" i="2"/>
  <c r="AM130" i="4" s="1"/>
  <c r="AM126" i="2"/>
  <c r="AM126" i="4" s="1"/>
  <c r="AM122" i="2"/>
  <c r="AM122" i="4" s="1"/>
  <c r="AM118" i="2"/>
  <c r="AM118" i="4" s="1"/>
  <c r="AM114" i="2"/>
  <c r="AM114" i="4" s="1"/>
  <c r="AM110" i="2"/>
  <c r="AM110" i="4" s="1"/>
  <c r="AM106" i="2"/>
  <c r="AM106" i="4" s="1"/>
  <c r="AM102" i="2"/>
  <c r="AM102" i="4" s="1"/>
  <c r="AM98" i="2"/>
  <c r="AM98" i="4" s="1"/>
  <c r="AM94" i="2"/>
  <c r="AM94" i="4" s="1"/>
  <c r="AM90" i="2"/>
  <c r="AM90" i="4" s="1"/>
  <c r="AM86" i="2"/>
  <c r="AM86" i="4" s="1"/>
  <c r="AM82" i="2"/>
  <c r="AM82" i="4" s="1"/>
  <c r="AM74" i="2"/>
  <c r="AM74" i="4" s="1"/>
  <c r="AM70" i="2"/>
  <c r="AM70" i="4" s="1"/>
  <c r="AM66" i="2"/>
  <c r="AM66" i="4" s="1"/>
  <c r="AM62" i="2"/>
  <c r="AM62" i="4" s="1"/>
  <c r="AM46" i="2"/>
  <c r="AM46" i="4" s="1"/>
  <c r="AM6" i="2"/>
  <c r="AM6" i="4" s="1"/>
  <c r="AM129" i="2"/>
  <c r="AM129" i="4" s="1"/>
  <c r="AM125" i="2"/>
  <c r="AM125" i="4" s="1"/>
  <c r="AM121" i="2"/>
  <c r="AM121" i="4" s="1"/>
  <c r="AM117" i="2"/>
  <c r="AM117" i="4" s="1"/>
  <c r="AM113" i="2"/>
  <c r="AM113" i="4" s="1"/>
  <c r="AM109" i="2"/>
  <c r="AM109" i="4" s="1"/>
  <c r="AM105" i="2"/>
  <c r="AM105" i="4" s="1"/>
  <c r="AM101" i="2"/>
  <c r="AM101" i="4" s="1"/>
  <c r="AM85" i="2"/>
  <c r="AM85" i="4" s="1"/>
  <c r="AM89" i="2"/>
  <c r="AM89" i="4" s="1"/>
  <c r="AM78" i="2"/>
  <c r="AM78" i="4" s="1"/>
  <c r="AM58" i="2"/>
  <c r="AM58" i="4" s="1"/>
  <c r="AM54" i="2"/>
  <c r="AM54" i="4" s="1"/>
  <c r="AM50" i="2"/>
  <c r="AM50" i="4" s="1"/>
  <c r="AM34" i="2"/>
  <c r="AM34" i="4" s="1"/>
  <c r="AM26" i="2"/>
  <c r="AM26" i="4" s="1"/>
  <c r="AM22" i="2"/>
  <c r="AM22" i="4" s="1"/>
  <c r="AM42" i="2"/>
  <c r="AM42" i="4" s="1"/>
  <c r="AM30" i="2"/>
  <c r="AM30" i="4" s="1"/>
  <c r="AM77" i="2"/>
  <c r="AM77" i="4" s="1"/>
  <c r="AM73" i="2"/>
  <c r="AM73" i="4" s="1"/>
  <c r="AM69" i="2"/>
  <c r="AM69" i="4" s="1"/>
  <c r="AM65" i="2"/>
  <c r="AM65" i="4" s="1"/>
  <c r="AM57" i="2"/>
  <c r="AM57" i="4" s="1"/>
  <c r="AM53" i="2"/>
  <c r="AM53" i="4" s="1"/>
  <c r="AM49" i="2"/>
  <c r="AM49" i="4" s="1"/>
  <c r="AM45" i="2"/>
  <c r="AM45" i="4" s="1"/>
  <c r="AM25" i="2"/>
  <c r="AM25" i="4" s="1"/>
  <c r="AM21" i="2"/>
  <c r="AM21" i="4" s="1"/>
  <c r="AM76" i="2"/>
  <c r="AM76" i="4" s="1"/>
  <c r="AM68" i="2"/>
  <c r="AM68" i="4" s="1"/>
  <c r="AM60" i="2"/>
  <c r="AM60" i="4" s="1"/>
  <c r="AM14" i="2"/>
  <c r="AM14" i="4" s="1"/>
  <c r="AM97" i="2"/>
  <c r="AM97" i="4" s="1"/>
  <c r="AM61" i="2"/>
  <c r="AM61" i="4" s="1"/>
  <c r="AM41" i="2"/>
  <c r="AM41" i="4" s="1"/>
  <c r="AM37" i="2"/>
  <c r="AM37" i="4" s="1"/>
  <c r="AM33" i="2"/>
  <c r="AM33" i="4" s="1"/>
  <c r="AM17" i="2"/>
  <c r="AM17" i="4" s="1"/>
  <c r="AM13" i="2"/>
  <c r="AM13" i="4" s="1"/>
  <c r="AM9" i="2"/>
  <c r="AM9" i="4" s="1"/>
  <c r="AM92" i="2"/>
  <c r="AM92" i="4" s="1"/>
  <c r="AM88" i="2"/>
  <c r="AM88" i="4" s="1"/>
  <c r="AM84" i="2"/>
  <c r="AM84" i="4" s="1"/>
  <c r="AM80" i="2"/>
  <c r="AM80" i="4" s="1"/>
  <c r="AM48" i="2"/>
  <c r="AM48" i="4" s="1"/>
  <c r="AM28" i="2"/>
  <c r="AM28" i="4" s="1"/>
  <c r="AM16" i="2"/>
  <c r="AM16" i="4" s="1"/>
  <c r="AM8" i="2"/>
  <c r="AM8" i="4" s="1"/>
  <c r="AM96" i="2"/>
  <c r="AM96" i="4" s="1"/>
  <c r="AM75" i="2"/>
  <c r="AM75" i="4" s="1"/>
  <c r="AM38" i="2"/>
  <c r="AM38" i="4" s="1"/>
  <c r="AM10" i="2"/>
  <c r="AM10" i="4" s="1"/>
  <c r="AM81" i="2"/>
  <c r="AM81" i="4" s="1"/>
  <c r="AM32" i="2"/>
  <c r="AM32" i="4" s="1"/>
  <c r="AM99" i="2"/>
  <c r="AM99" i="4" s="1"/>
  <c r="AM91" i="2"/>
  <c r="AM91" i="4" s="1"/>
  <c r="AM56" i="2"/>
  <c r="AM56" i="4" s="1"/>
  <c r="AM44" i="2"/>
  <c r="AM44" i="4" s="1"/>
  <c r="AM20" i="2"/>
  <c r="AM20" i="4" s="1"/>
  <c r="AM83" i="2"/>
  <c r="AM83" i="4" s="1"/>
  <c r="AM55" i="2"/>
  <c r="AM55" i="4" s="1"/>
  <c r="AM47" i="2"/>
  <c r="AM47" i="4" s="1"/>
  <c r="AM43" i="2"/>
  <c r="AM43" i="4" s="1"/>
  <c r="AM31" i="2"/>
  <c r="AM31" i="4" s="1"/>
  <c r="AM23" i="2"/>
  <c r="AM23" i="4" s="1"/>
  <c r="AM15" i="2"/>
  <c r="AM15" i="4" s="1"/>
  <c r="AM7" i="2"/>
  <c r="AM7" i="4" s="1"/>
  <c r="AM119" i="2"/>
  <c r="AM119" i="4" s="1"/>
  <c r="AM111" i="2"/>
  <c r="AM111" i="4" s="1"/>
  <c r="AM103" i="2"/>
  <c r="AM103" i="4" s="1"/>
  <c r="AM24" i="2"/>
  <c r="AM24" i="4" s="1"/>
  <c r="AM87" i="2"/>
  <c r="AM87" i="4" s="1"/>
  <c r="AM63" i="2"/>
  <c r="AM63" i="4" s="1"/>
  <c r="AM51" i="2"/>
  <c r="AM51" i="4" s="1"/>
  <c r="AM35" i="2"/>
  <c r="AM35" i="4" s="1"/>
  <c r="AM19" i="2"/>
  <c r="AM19" i="4" s="1"/>
  <c r="AM93" i="2"/>
  <c r="AM93" i="4" s="1"/>
  <c r="AM5" i="2"/>
  <c r="AM5" i="4" s="1"/>
  <c r="AM36" i="2"/>
  <c r="AM36" i="4" s="1"/>
  <c r="AM59" i="2"/>
  <c r="AM59" i="4" s="1"/>
  <c r="AM39" i="2"/>
  <c r="AM39" i="4" s="1"/>
  <c r="AM29" i="2"/>
  <c r="AM29" i="4" s="1"/>
  <c r="AM64" i="2"/>
  <c r="AM64" i="4" s="1"/>
  <c r="AM4" i="2"/>
  <c r="AM4" i="4" s="1"/>
  <c r="AM72" i="2"/>
  <c r="AM72" i="4" s="1"/>
  <c r="AM3" i="2"/>
  <c r="AM3" i="4" s="1"/>
  <c r="AM95" i="2"/>
  <c r="AM95" i="4" s="1"/>
  <c r="AM71" i="2"/>
  <c r="AM71" i="4" s="1"/>
  <c r="AM67" i="2"/>
  <c r="AM67" i="4" s="1"/>
  <c r="AM11" i="2"/>
  <c r="AM11" i="4" s="1"/>
  <c r="AM123" i="2"/>
  <c r="AM123" i="4" s="1"/>
  <c r="AM115" i="2"/>
  <c r="AM115" i="4" s="1"/>
  <c r="AM107" i="2"/>
  <c r="AM107" i="4" s="1"/>
  <c r="AM52" i="2"/>
  <c r="AM52" i="4" s="1"/>
  <c r="AM40" i="2"/>
  <c r="AM40" i="4" s="1"/>
  <c r="AM12" i="2"/>
  <c r="AM12" i="4" s="1"/>
  <c r="AM79" i="2"/>
  <c r="AM79" i="4" s="1"/>
  <c r="AM27" i="2"/>
  <c r="AM27" i="4" s="1"/>
  <c r="AO1" i="4" l="1"/>
  <c r="AP2" i="4"/>
  <c r="AO2" i="2"/>
  <c r="AN128" i="2"/>
  <c r="AN128" i="4" s="1"/>
  <c r="AN121" i="2"/>
  <c r="AN121" i="4" s="1"/>
  <c r="AN46" i="2"/>
  <c r="AN46" i="4" s="1"/>
  <c r="AN105" i="2"/>
  <c r="AN105" i="4" s="1"/>
  <c r="AN130" i="2"/>
  <c r="AN130" i="4" s="1"/>
  <c r="AN126" i="2"/>
  <c r="AN126" i="4" s="1"/>
  <c r="AN122" i="2"/>
  <c r="AN122" i="4" s="1"/>
  <c r="AN118" i="2"/>
  <c r="AN118" i="4" s="1"/>
  <c r="AN114" i="2"/>
  <c r="AN114" i="4" s="1"/>
  <c r="AN110" i="2"/>
  <c r="AN110" i="4" s="1"/>
  <c r="AN106" i="2"/>
  <c r="AN106" i="4" s="1"/>
  <c r="AN102" i="2"/>
  <c r="AN102" i="4" s="1"/>
  <c r="AN98" i="2"/>
  <c r="AN98" i="4" s="1"/>
  <c r="AN74" i="2"/>
  <c r="AN74" i="4" s="1"/>
  <c r="AN70" i="2"/>
  <c r="AN70" i="4" s="1"/>
  <c r="AN66" i="2"/>
  <c r="AN66" i="4" s="1"/>
  <c r="AN34" i="2"/>
  <c r="AN34" i="4" s="1"/>
  <c r="AN97" i="2"/>
  <c r="AN97" i="4" s="1"/>
  <c r="AN93" i="2"/>
  <c r="AN93" i="4" s="1"/>
  <c r="AN90" i="2"/>
  <c r="AN90" i="4" s="1"/>
  <c r="AN78" i="2"/>
  <c r="AN78" i="4" s="1"/>
  <c r="AN62" i="2"/>
  <c r="AN62" i="4" s="1"/>
  <c r="AN58" i="2"/>
  <c r="AN58" i="4" s="1"/>
  <c r="AN54" i="2"/>
  <c r="AN54" i="4" s="1"/>
  <c r="AN50" i="2"/>
  <c r="AN50" i="4" s="1"/>
  <c r="AN42" i="2"/>
  <c r="AN42" i="4" s="1"/>
  <c r="AN38" i="2"/>
  <c r="AN38" i="4" s="1"/>
  <c r="AN30" i="2"/>
  <c r="AN30" i="4" s="1"/>
  <c r="AN22" i="2"/>
  <c r="AN22" i="4" s="1"/>
  <c r="AN18" i="2"/>
  <c r="AN18" i="4" s="1"/>
  <c r="AN14" i="2"/>
  <c r="AN14" i="4" s="1"/>
  <c r="AN10" i="2"/>
  <c r="AN10" i="4" s="1"/>
  <c r="AN129" i="2"/>
  <c r="AN129" i="4" s="1"/>
  <c r="AN113" i="2"/>
  <c r="AN113" i="4" s="1"/>
  <c r="AN94" i="2"/>
  <c r="AN94" i="4" s="1"/>
  <c r="AN82" i="2"/>
  <c r="AN82" i="4" s="1"/>
  <c r="AN26" i="2"/>
  <c r="AN26" i="4" s="1"/>
  <c r="AN77" i="2"/>
  <c r="AN77" i="4" s="1"/>
  <c r="AN57" i="2"/>
  <c r="AN57" i="4" s="1"/>
  <c r="AN53" i="2"/>
  <c r="AN53" i="4" s="1"/>
  <c r="AN49" i="2"/>
  <c r="AN49" i="4" s="1"/>
  <c r="AN25" i="2"/>
  <c r="AN25" i="4" s="1"/>
  <c r="AN21" i="2"/>
  <c r="AN21" i="4" s="1"/>
  <c r="AN13" i="2"/>
  <c r="AN13" i="4" s="1"/>
  <c r="AN5" i="2"/>
  <c r="AN5" i="4" s="1"/>
  <c r="AN72" i="2"/>
  <c r="AN72" i="4" s="1"/>
  <c r="AN60" i="2"/>
  <c r="AN60" i="4" s="1"/>
  <c r="AN61" i="2"/>
  <c r="AN61" i="4" s="1"/>
  <c r="AN45" i="2"/>
  <c r="AN45" i="4" s="1"/>
  <c r="AN41" i="2"/>
  <c r="AN41" i="4" s="1"/>
  <c r="AN37" i="2"/>
  <c r="AN37" i="4" s="1"/>
  <c r="AN33" i="2"/>
  <c r="AN33" i="4" s="1"/>
  <c r="AN29" i="2"/>
  <c r="AN29" i="4" s="1"/>
  <c r="AN17" i="2"/>
  <c r="AN17" i="4" s="1"/>
  <c r="AN9" i="2"/>
  <c r="AN9" i="4" s="1"/>
  <c r="AN96" i="2"/>
  <c r="AN96" i="4" s="1"/>
  <c r="AN92" i="2"/>
  <c r="AN92" i="4" s="1"/>
  <c r="AN88" i="2"/>
  <c r="AN88" i="4" s="1"/>
  <c r="AN84" i="2"/>
  <c r="AN84" i="4" s="1"/>
  <c r="AN80" i="2"/>
  <c r="AN80" i="4" s="1"/>
  <c r="AN56" i="2"/>
  <c r="AN56" i="4" s="1"/>
  <c r="AN48" i="2"/>
  <c r="AN48" i="4" s="1"/>
  <c r="AN36" i="2"/>
  <c r="AN36" i="4" s="1"/>
  <c r="AN28" i="2"/>
  <c r="AN28" i="4" s="1"/>
  <c r="AN8" i="2"/>
  <c r="AN8" i="4" s="1"/>
  <c r="AN76" i="2"/>
  <c r="AN76" i="4" s="1"/>
  <c r="AN109" i="2"/>
  <c r="AN109" i="4" s="1"/>
  <c r="AN86" i="2"/>
  <c r="AN86" i="4" s="1"/>
  <c r="AN73" i="2"/>
  <c r="AN73" i="4" s="1"/>
  <c r="AN69" i="2"/>
  <c r="AN69" i="4" s="1"/>
  <c r="AN65" i="2"/>
  <c r="AN65" i="4" s="1"/>
  <c r="AN64" i="2"/>
  <c r="AN64" i="4" s="1"/>
  <c r="AN52" i="2"/>
  <c r="AN52" i="4" s="1"/>
  <c r="AN32" i="2"/>
  <c r="AN32" i="4" s="1"/>
  <c r="AN24" i="2"/>
  <c r="AN24" i="4" s="1"/>
  <c r="AN91" i="2"/>
  <c r="AN91" i="4" s="1"/>
  <c r="AN85" i="2"/>
  <c r="AN85" i="4" s="1"/>
  <c r="AN81" i="2"/>
  <c r="AN81" i="4" s="1"/>
  <c r="AN68" i="2"/>
  <c r="AN68" i="4" s="1"/>
  <c r="AN44" i="2"/>
  <c r="AN44" i="4" s="1"/>
  <c r="AN16" i="2"/>
  <c r="AN16" i="4" s="1"/>
  <c r="AN83" i="2"/>
  <c r="AN83" i="4" s="1"/>
  <c r="AN63" i="2"/>
  <c r="AN63" i="4" s="1"/>
  <c r="AN51" i="2"/>
  <c r="AN51" i="4" s="1"/>
  <c r="AN19" i="2"/>
  <c r="AN19" i="4" s="1"/>
  <c r="AN123" i="2"/>
  <c r="AN123" i="4" s="1"/>
  <c r="AN119" i="2"/>
  <c r="AN119" i="4" s="1"/>
  <c r="AN115" i="2"/>
  <c r="AN115" i="4" s="1"/>
  <c r="AN111" i="2"/>
  <c r="AN111" i="4" s="1"/>
  <c r="AN107" i="2"/>
  <c r="AN107" i="4" s="1"/>
  <c r="AN103" i="2"/>
  <c r="AN103" i="4" s="1"/>
  <c r="AN125" i="2"/>
  <c r="AN125" i="4" s="1"/>
  <c r="AN6" i="2"/>
  <c r="AN6" i="4" s="1"/>
  <c r="AN89" i="2"/>
  <c r="AN89" i="4" s="1"/>
  <c r="AN87" i="2"/>
  <c r="AN87" i="4" s="1"/>
  <c r="AN47" i="2"/>
  <c r="AN47" i="4" s="1"/>
  <c r="AN39" i="2"/>
  <c r="AN39" i="4" s="1"/>
  <c r="AN35" i="2"/>
  <c r="AN35" i="4" s="1"/>
  <c r="AN15" i="2"/>
  <c r="AN15" i="4" s="1"/>
  <c r="AN127" i="2"/>
  <c r="AN127" i="4" s="1"/>
  <c r="AN120" i="2"/>
  <c r="AN120" i="4" s="1"/>
  <c r="AN112" i="2"/>
  <c r="AN112" i="4" s="1"/>
  <c r="AN104" i="2"/>
  <c r="AN104" i="4" s="1"/>
  <c r="AN117" i="2"/>
  <c r="AN117" i="4" s="1"/>
  <c r="AN101" i="2"/>
  <c r="AN101" i="4" s="1"/>
  <c r="AN4" i="2"/>
  <c r="AN4" i="4" s="1"/>
  <c r="AN99" i="2"/>
  <c r="AN99" i="4" s="1"/>
  <c r="AN79" i="2"/>
  <c r="AN79" i="4" s="1"/>
  <c r="AN75" i="2"/>
  <c r="AN75" i="4" s="1"/>
  <c r="AN23" i="2"/>
  <c r="AN23" i="4" s="1"/>
  <c r="AN116" i="2"/>
  <c r="AN116" i="4" s="1"/>
  <c r="AN100" i="2"/>
  <c r="AN100" i="4" s="1"/>
  <c r="AN20" i="2"/>
  <c r="AN20" i="4" s="1"/>
  <c r="AN12" i="2"/>
  <c r="AN12" i="4" s="1"/>
  <c r="AN3" i="2"/>
  <c r="AN3" i="4" s="1"/>
  <c r="AN95" i="2"/>
  <c r="AN95" i="4" s="1"/>
  <c r="AN71" i="2"/>
  <c r="AN71" i="4" s="1"/>
  <c r="AN67" i="2"/>
  <c r="AN67" i="4" s="1"/>
  <c r="AN43" i="2"/>
  <c r="AN43" i="4" s="1"/>
  <c r="AN31" i="2"/>
  <c r="AN31" i="4" s="1"/>
  <c r="AN11" i="2"/>
  <c r="AN11" i="4" s="1"/>
  <c r="AN7" i="2"/>
  <c r="AN7" i="4" s="1"/>
  <c r="AN40" i="2"/>
  <c r="AN40" i="4" s="1"/>
  <c r="AN55" i="2"/>
  <c r="AN55" i="4" s="1"/>
  <c r="AN27" i="2"/>
  <c r="AN27" i="4" s="1"/>
  <c r="AN59" i="2"/>
  <c r="AN59" i="4" s="1"/>
  <c r="AN124" i="2"/>
  <c r="AN124" i="4" s="1"/>
  <c r="AN108" i="2"/>
  <c r="AN108" i="4" s="1"/>
  <c r="AP1" i="4" l="1"/>
  <c r="AQ2" i="4"/>
  <c r="AP2" i="2"/>
  <c r="AO95" i="2"/>
  <c r="AO95" i="4" s="1"/>
  <c r="AO106" i="2"/>
  <c r="AO106" i="4" s="1"/>
  <c r="AO91" i="2"/>
  <c r="AO91" i="4" s="1"/>
  <c r="AO122" i="2"/>
  <c r="AO122" i="4" s="1"/>
  <c r="AO126" i="2"/>
  <c r="AO126" i="4" s="1"/>
  <c r="AO110" i="2"/>
  <c r="AO110" i="4" s="1"/>
  <c r="AO18" i="2"/>
  <c r="AO18" i="4" s="1"/>
  <c r="AO98" i="2"/>
  <c r="AO98" i="4" s="1"/>
  <c r="AO94" i="2"/>
  <c r="AO94" i="4" s="1"/>
  <c r="AO78" i="2"/>
  <c r="AO78" i="4" s="1"/>
  <c r="AO129" i="2"/>
  <c r="AO129" i="4" s="1"/>
  <c r="AO125" i="2"/>
  <c r="AO125" i="4" s="1"/>
  <c r="AO121" i="2"/>
  <c r="AO121" i="4" s="1"/>
  <c r="AO117" i="2"/>
  <c r="AO117" i="4" s="1"/>
  <c r="AO113" i="2"/>
  <c r="AO113" i="4" s="1"/>
  <c r="AO109" i="2"/>
  <c r="AO109" i="4" s="1"/>
  <c r="AO105" i="2"/>
  <c r="AO105" i="4" s="1"/>
  <c r="AO101" i="2"/>
  <c r="AO101" i="4" s="1"/>
  <c r="AO97" i="2"/>
  <c r="AO97" i="4" s="1"/>
  <c r="AO90" i="2"/>
  <c r="AO90" i="4" s="1"/>
  <c r="AO86" i="2"/>
  <c r="AO86" i="4" s="1"/>
  <c r="AO82" i="2"/>
  <c r="AO82" i="4" s="1"/>
  <c r="AO62" i="2"/>
  <c r="AO62" i="4" s="1"/>
  <c r="AO58" i="2"/>
  <c r="AO58" i="4" s="1"/>
  <c r="AO54" i="2"/>
  <c r="AO54" i="4" s="1"/>
  <c r="AO50" i="2"/>
  <c r="AO50" i="4" s="1"/>
  <c r="AO42" i="2"/>
  <c r="AO42" i="4" s="1"/>
  <c r="AO38" i="2"/>
  <c r="AO38" i="4" s="1"/>
  <c r="AO30" i="2"/>
  <c r="AO30" i="4" s="1"/>
  <c r="AO22" i="2"/>
  <c r="AO22" i="4" s="1"/>
  <c r="AO14" i="2"/>
  <c r="AO14" i="4" s="1"/>
  <c r="AO10" i="2"/>
  <c r="AO10" i="4" s="1"/>
  <c r="AO6" i="2"/>
  <c r="AO6" i="4" s="1"/>
  <c r="AO130" i="2"/>
  <c r="AO130" i="4" s="1"/>
  <c r="AO114" i="2"/>
  <c r="AO114" i="4" s="1"/>
  <c r="AO66" i="2"/>
  <c r="AO66" i="4" s="1"/>
  <c r="AO46" i="2"/>
  <c r="AO46" i="4" s="1"/>
  <c r="AO26" i="2"/>
  <c r="AO26" i="4" s="1"/>
  <c r="AO77" i="2"/>
  <c r="AO77" i="4" s="1"/>
  <c r="AO61" i="2"/>
  <c r="AO61" i="4" s="1"/>
  <c r="AO49" i="2"/>
  <c r="AO49" i="4" s="1"/>
  <c r="AO21" i="2"/>
  <c r="AO21" i="4" s="1"/>
  <c r="AO72" i="2"/>
  <c r="AO72" i="4" s="1"/>
  <c r="AO56" i="2"/>
  <c r="AO56" i="4" s="1"/>
  <c r="AO74" i="2"/>
  <c r="AO74" i="4" s="1"/>
  <c r="AO34" i="2"/>
  <c r="AO34" i="4" s="1"/>
  <c r="AO93" i="2"/>
  <c r="AO93" i="4" s="1"/>
  <c r="AO73" i="2"/>
  <c r="AO73" i="4" s="1"/>
  <c r="AO69" i="2"/>
  <c r="AO69" i="4" s="1"/>
  <c r="AO65" i="2"/>
  <c r="AO65" i="4" s="1"/>
  <c r="AO45" i="2"/>
  <c r="AO45" i="4" s="1"/>
  <c r="AO41" i="2"/>
  <c r="AO41" i="4" s="1"/>
  <c r="AO37" i="2"/>
  <c r="AO37" i="4" s="1"/>
  <c r="AO33" i="2"/>
  <c r="AO33" i="4" s="1"/>
  <c r="AO17" i="2"/>
  <c r="AO17" i="4" s="1"/>
  <c r="AO5" i="2"/>
  <c r="AO5" i="4" s="1"/>
  <c r="AO96" i="2"/>
  <c r="AO96" i="4" s="1"/>
  <c r="AO92" i="2"/>
  <c r="AO92" i="4" s="1"/>
  <c r="AO88" i="2"/>
  <c r="AO88" i="4" s="1"/>
  <c r="AO84" i="2"/>
  <c r="AO84" i="4" s="1"/>
  <c r="AO80" i="2"/>
  <c r="AO80" i="4" s="1"/>
  <c r="AO76" i="2"/>
  <c r="AO76" i="4" s="1"/>
  <c r="AO52" i="2"/>
  <c r="AO52" i="4" s="1"/>
  <c r="AO36" i="2"/>
  <c r="AO36" i="4" s="1"/>
  <c r="AO28" i="2"/>
  <c r="AO28" i="4" s="1"/>
  <c r="AO24" i="2"/>
  <c r="AO24" i="4" s="1"/>
  <c r="AO8" i="2"/>
  <c r="AO8" i="4" s="1"/>
  <c r="AO127" i="2"/>
  <c r="AO127" i="4" s="1"/>
  <c r="AO111" i="2"/>
  <c r="AO111" i="4" s="1"/>
  <c r="AO79" i="2"/>
  <c r="AO79" i="4" s="1"/>
  <c r="AO70" i="2"/>
  <c r="AO70" i="4" s="1"/>
  <c r="AO57" i="2"/>
  <c r="AO57" i="4" s="1"/>
  <c r="AO53" i="2"/>
  <c r="AO53" i="4" s="1"/>
  <c r="AO25" i="2"/>
  <c r="AO25" i="4" s="1"/>
  <c r="AO13" i="2"/>
  <c r="AO13" i="4" s="1"/>
  <c r="AO64" i="2"/>
  <c r="AO64" i="4" s="1"/>
  <c r="AO48" i="2"/>
  <c r="AO48" i="4" s="1"/>
  <c r="AO44" i="2"/>
  <c r="AO44" i="4" s="1"/>
  <c r="AO40" i="2"/>
  <c r="AO40" i="4" s="1"/>
  <c r="AO115" i="2"/>
  <c r="AO115" i="4" s="1"/>
  <c r="AO85" i="2"/>
  <c r="AO85" i="4" s="1"/>
  <c r="AO81" i="2"/>
  <c r="AO81" i="4" s="1"/>
  <c r="AO68" i="2"/>
  <c r="AO68" i="4" s="1"/>
  <c r="AO119" i="2"/>
  <c r="AO119" i="4" s="1"/>
  <c r="AO51" i="2"/>
  <c r="AO51" i="4" s="1"/>
  <c r="AO39" i="2"/>
  <c r="AO39" i="4" s="1"/>
  <c r="AO27" i="2"/>
  <c r="AO27" i="4" s="1"/>
  <c r="AO11" i="2"/>
  <c r="AO11" i="4" s="1"/>
  <c r="AO124" i="2"/>
  <c r="AO124" i="4" s="1"/>
  <c r="AO120" i="2"/>
  <c r="AO120" i="4" s="1"/>
  <c r="AO116" i="2"/>
  <c r="AO116" i="4" s="1"/>
  <c r="AO112" i="2"/>
  <c r="AO112" i="4" s="1"/>
  <c r="AO108" i="2"/>
  <c r="AO108" i="4" s="1"/>
  <c r="AO104" i="2"/>
  <c r="AO104" i="4" s="1"/>
  <c r="AO100" i="2"/>
  <c r="AO100" i="4" s="1"/>
  <c r="AO99" i="2"/>
  <c r="AO99" i="4" s="1"/>
  <c r="AO89" i="2"/>
  <c r="AO89" i="4" s="1"/>
  <c r="AO29" i="2"/>
  <c r="AO29" i="4" s="1"/>
  <c r="AO118" i="2"/>
  <c r="AO118" i="4" s="1"/>
  <c r="AO102" i="2"/>
  <c r="AO102" i="4" s="1"/>
  <c r="AO20" i="2"/>
  <c r="AO20" i="4" s="1"/>
  <c r="AO16" i="2"/>
  <c r="AO16" i="4" s="1"/>
  <c r="AO123" i="2"/>
  <c r="AO123" i="4" s="1"/>
  <c r="AO63" i="2"/>
  <c r="AO63" i="4" s="1"/>
  <c r="AO59" i="2"/>
  <c r="AO59" i="4" s="1"/>
  <c r="AO47" i="2"/>
  <c r="AO47" i="4" s="1"/>
  <c r="AO35" i="2"/>
  <c r="AO35" i="4" s="1"/>
  <c r="AO31" i="2"/>
  <c r="AO31" i="4" s="1"/>
  <c r="AO19" i="2"/>
  <c r="AO19" i="4" s="1"/>
  <c r="AO15" i="2"/>
  <c r="AO15" i="4" s="1"/>
  <c r="AO83" i="2"/>
  <c r="AO83" i="4" s="1"/>
  <c r="AO32" i="2"/>
  <c r="AO32" i="4" s="1"/>
  <c r="AO4" i="2"/>
  <c r="AO4" i="4" s="1"/>
  <c r="AO107" i="2"/>
  <c r="AO107" i="4" s="1"/>
  <c r="AO23" i="2"/>
  <c r="AO23" i="4" s="1"/>
  <c r="AO7" i="2"/>
  <c r="AO7" i="4" s="1"/>
  <c r="AO87" i="2"/>
  <c r="AO87" i="4" s="1"/>
  <c r="AO12" i="2"/>
  <c r="AO12" i="4" s="1"/>
  <c r="AO103" i="2"/>
  <c r="AO103" i="4" s="1"/>
  <c r="AO3" i="2"/>
  <c r="AO3" i="4" s="1"/>
  <c r="AO71" i="2"/>
  <c r="AO71" i="4" s="1"/>
  <c r="AO67" i="2"/>
  <c r="AO67" i="4" s="1"/>
  <c r="AO43" i="2"/>
  <c r="AO43" i="4" s="1"/>
  <c r="AO128" i="2"/>
  <c r="AO128" i="4" s="1"/>
  <c r="AO60" i="2"/>
  <c r="AO60" i="4" s="1"/>
  <c r="AO9" i="2"/>
  <c r="AO9" i="4" s="1"/>
  <c r="AO75" i="2"/>
  <c r="AO75" i="4" s="1"/>
  <c r="AO55" i="2"/>
  <c r="AO55" i="4" s="1"/>
  <c r="AQ1" i="4" l="1"/>
  <c r="AR2" i="4"/>
  <c r="AQ2" i="2"/>
  <c r="AP103" i="2"/>
  <c r="AP103" i="4" s="1"/>
  <c r="AP119" i="2"/>
  <c r="AP119" i="4" s="1"/>
  <c r="AP96" i="2"/>
  <c r="AP96" i="4" s="1"/>
  <c r="AP115" i="2"/>
  <c r="AP115" i="4" s="1"/>
  <c r="AP107" i="2"/>
  <c r="AP107" i="4" s="1"/>
  <c r="AP92" i="2"/>
  <c r="AP92" i="4" s="1"/>
  <c r="AP111" i="2"/>
  <c r="AP111" i="4" s="1"/>
  <c r="AP127" i="2"/>
  <c r="AP127" i="4" s="1"/>
  <c r="AP123" i="2"/>
  <c r="AP123" i="4" s="1"/>
  <c r="AP46" i="2"/>
  <c r="AP46" i="4" s="1"/>
  <c r="AP18" i="2"/>
  <c r="AP18" i="4" s="1"/>
  <c r="AP10" i="2"/>
  <c r="AP10" i="4" s="1"/>
  <c r="AP130" i="2"/>
  <c r="AP130" i="4" s="1"/>
  <c r="AP62" i="2"/>
  <c r="AP62" i="4" s="1"/>
  <c r="AP50" i="2"/>
  <c r="AP50" i="4" s="1"/>
  <c r="AP22" i="2"/>
  <c r="AP22" i="4" s="1"/>
  <c r="AP129" i="2"/>
  <c r="AP129" i="4" s="1"/>
  <c r="AP125" i="2"/>
  <c r="AP125" i="4" s="1"/>
  <c r="AP121" i="2"/>
  <c r="AP121" i="4" s="1"/>
  <c r="AP117" i="2"/>
  <c r="AP117" i="4" s="1"/>
  <c r="AP113" i="2"/>
  <c r="AP113" i="4" s="1"/>
  <c r="AP109" i="2"/>
  <c r="AP109" i="4" s="1"/>
  <c r="AP105" i="2"/>
  <c r="AP105" i="4" s="1"/>
  <c r="AP101" i="2"/>
  <c r="AP101" i="4" s="1"/>
  <c r="AP97" i="2"/>
  <c r="AP97" i="4" s="1"/>
  <c r="AP126" i="2"/>
  <c r="AP126" i="4" s="1"/>
  <c r="AP122" i="2"/>
  <c r="AP122" i="4" s="1"/>
  <c r="AP118" i="2"/>
  <c r="AP118" i="4" s="1"/>
  <c r="AP114" i="2"/>
  <c r="AP114" i="4" s="1"/>
  <c r="AP110" i="2"/>
  <c r="AP110" i="4" s="1"/>
  <c r="AP106" i="2"/>
  <c r="AP106" i="4" s="1"/>
  <c r="AP102" i="2"/>
  <c r="AP102" i="4" s="1"/>
  <c r="AP98" i="2"/>
  <c r="AP98" i="4" s="1"/>
  <c r="AP94" i="2"/>
  <c r="AP94" i="4" s="1"/>
  <c r="AP90" i="2"/>
  <c r="AP90" i="4" s="1"/>
  <c r="AP86" i="2"/>
  <c r="AP86" i="4" s="1"/>
  <c r="AP82" i="2"/>
  <c r="AP82" i="4" s="1"/>
  <c r="AP78" i="2"/>
  <c r="AP78" i="4" s="1"/>
  <c r="AP74" i="2"/>
  <c r="AP74" i="4" s="1"/>
  <c r="AP70" i="2"/>
  <c r="AP70" i="4" s="1"/>
  <c r="AP66" i="2"/>
  <c r="AP66" i="4" s="1"/>
  <c r="AP42" i="2"/>
  <c r="AP42" i="4" s="1"/>
  <c r="AP38" i="2"/>
  <c r="AP38" i="4" s="1"/>
  <c r="AP30" i="2"/>
  <c r="AP30" i="4" s="1"/>
  <c r="AP14" i="2"/>
  <c r="AP14" i="4" s="1"/>
  <c r="AP6" i="2"/>
  <c r="AP6" i="4" s="1"/>
  <c r="AP58" i="2"/>
  <c r="AP58" i="4" s="1"/>
  <c r="AP26" i="2"/>
  <c r="AP26" i="4" s="1"/>
  <c r="AP45" i="2"/>
  <c r="AP45" i="4" s="1"/>
  <c r="AP9" i="2"/>
  <c r="AP9" i="4" s="1"/>
  <c r="AP72" i="2"/>
  <c r="AP72" i="4" s="1"/>
  <c r="AP56" i="2"/>
  <c r="AP56" i="4" s="1"/>
  <c r="AP34" i="2"/>
  <c r="AP34" i="4" s="1"/>
  <c r="AP93" i="2"/>
  <c r="AP93" i="4" s="1"/>
  <c r="AP81" i="2"/>
  <c r="AP81" i="4" s="1"/>
  <c r="AP77" i="2"/>
  <c r="AP77" i="4" s="1"/>
  <c r="AP73" i="2"/>
  <c r="AP73" i="4" s="1"/>
  <c r="AP69" i="2"/>
  <c r="AP69" i="4" s="1"/>
  <c r="AP65" i="2"/>
  <c r="AP65" i="4" s="1"/>
  <c r="AP61" i="2"/>
  <c r="AP61" i="4" s="1"/>
  <c r="AP57" i="2"/>
  <c r="AP57" i="4" s="1"/>
  <c r="AP53" i="2"/>
  <c r="AP53" i="4" s="1"/>
  <c r="AP49" i="2"/>
  <c r="AP49" i="4" s="1"/>
  <c r="AP25" i="2"/>
  <c r="AP25" i="4" s="1"/>
  <c r="AP21" i="2"/>
  <c r="AP21" i="4" s="1"/>
  <c r="AP76" i="2"/>
  <c r="AP76" i="4" s="1"/>
  <c r="AP60" i="2"/>
  <c r="AP60" i="4" s="1"/>
  <c r="AP52" i="2"/>
  <c r="AP52" i="4" s="1"/>
  <c r="AP40" i="2"/>
  <c r="AP40" i="4" s="1"/>
  <c r="AP24" i="2"/>
  <c r="AP24" i="4" s="1"/>
  <c r="AP8" i="2"/>
  <c r="AP8" i="4" s="1"/>
  <c r="AP128" i="2"/>
  <c r="AP128" i="4" s="1"/>
  <c r="AP112" i="2"/>
  <c r="AP112" i="4" s="1"/>
  <c r="AP80" i="2"/>
  <c r="AP80" i="4" s="1"/>
  <c r="AP3" i="2"/>
  <c r="AP3" i="4" s="1"/>
  <c r="AP54" i="2"/>
  <c r="AP54" i="4" s="1"/>
  <c r="AP41" i="2"/>
  <c r="AP41" i="4" s="1"/>
  <c r="AP33" i="2"/>
  <c r="AP33" i="4" s="1"/>
  <c r="AP13" i="2"/>
  <c r="AP13" i="4" s="1"/>
  <c r="AP5" i="2"/>
  <c r="AP5" i="4" s="1"/>
  <c r="AP64" i="2"/>
  <c r="AP64" i="4" s="1"/>
  <c r="AP48" i="2"/>
  <c r="AP48" i="4" s="1"/>
  <c r="AP36" i="2"/>
  <c r="AP36" i="4" s="1"/>
  <c r="AP28" i="2"/>
  <c r="AP28" i="4" s="1"/>
  <c r="AP12" i="2"/>
  <c r="AP12" i="4" s="1"/>
  <c r="AP116" i="2"/>
  <c r="AP116" i="4" s="1"/>
  <c r="AP100" i="2"/>
  <c r="AP100" i="4" s="1"/>
  <c r="AP99" i="2"/>
  <c r="AP99" i="4" s="1"/>
  <c r="AP87" i="2"/>
  <c r="AP87" i="4" s="1"/>
  <c r="AP85" i="2"/>
  <c r="AP85" i="4" s="1"/>
  <c r="AP68" i="2"/>
  <c r="AP68" i="4" s="1"/>
  <c r="AP120" i="2"/>
  <c r="AP120" i="4" s="1"/>
  <c r="AP79" i="2"/>
  <c r="AP79" i="4" s="1"/>
  <c r="AP71" i="2"/>
  <c r="AP71" i="4" s="1"/>
  <c r="AP51" i="2"/>
  <c r="AP51" i="4" s="1"/>
  <c r="AP39" i="2"/>
  <c r="AP39" i="4" s="1"/>
  <c r="AP27" i="2"/>
  <c r="AP27" i="4" s="1"/>
  <c r="AP89" i="2"/>
  <c r="AP89" i="4" s="1"/>
  <c r="AP20" i="2"/>
  <c r="AP20" i="4" s="1"/>
  <c r="AP124" i="2"/>
  <c r="AP124" i="4" s="1"/>
  <c r="AP83" i="2"/>
  <c r="AP83" i="4" s="1"/>
  <c r="AP59" i="2"/>
  <c r="AP59" i="4" s="1"/>
  <c r="AP47" i="2"/>
  <c r="AP47" i="4" s="1"/>
  <c r="AP43" i="2"/>
  <c r="AP43" i="4" s="1"/>
  <c r="AP31" i="2"/>
  <c r="AP31" i="4" s="1"/>
  <c r="AP15" i="2"/>
  <c r="AP15" i="4" s="1"/>
  <c r="AP84" i="2"/>
  <c r="AP84" i="4" s="1"/>
  <c r="AP95" i="2"/>
  <c r="AP95" i="4" s="1"/>
  <c r="AP17" i="2"/>
  <c r="AP17" i="4" s="1"/>
  <c r="AP16" i="2"/>
  <c r="AP16" i="4" s="1"/>
  <c r="AP4" i="2"/>
  <c r="AP4" i="4" s="1"/>
  <c r="AP108" i="2"/>
  <c r="AP108" i="4" s="1"/>
  <c r="AP67" i="2"/>
  <c r="AP67" i="4" s="1"/>
  <c r="AP63" i="2"/>
  <c r="AP63" i="4" s="1"/>
  <c r="AP55" i="2"/>
  <c r="AP55" i="4" s="1"/>
  <c r="AP37" i="2"/>
  <c r="AP37" i="4" s="1"/>
  <c r="AP44" i="2"/>
  <c r="AP44" i="4" s="1"/>
  <c r="AP32" i="2"/>
  <c r="AP32" i="4" s="1"/>
  <c r="AP104" i="2"/>
  <c r="AP104" i="4" s="1"/>
  <c r="AP91" i="2"/>
  <c r="AP91" i="4" s="1"/>
  <c r="AP35" i="2"/>
  <c r="AP35" i="4" s="1"/>
  <c r="AP19" i="2"/>
  <c r="AP19" i="4" s="1"/>
  <c r="AP11" i="2"/>
  <c r="AP11" i="4" s="1"/>
  <c r="AP29" i="2"/>
  <c r="AP29" i="4" s="1"/>
  <c r="AP75" i="2"/>
  <c r="AP75" i="4" s="1"/>
  <c r="AP23" i="2"/>
  <c r="AP23" i="4" s="1"/>
  <c r="AP7" i="2"/>
  <c r="AP7" i="4" s="1"/>
  <c r="AP88" i="2"/>
  <c r="AP88" i="4" s="1"/>
  <c r="AR1" i="4" l="1"/>
  <c r="AS2" i="4"/>
  <c r="AR2" i="2"/>
  <c r="AQ127" i="2"/>
  <c r="AQ127" i="4" s="1"/>
  <c r="AQ104" i="2"/>
  <c r="AQ104" i="4" s="1"/>
  <c r="AQ120" i="2"/>
  <c r="AQ120" i="4" s="1"/>
  <c r="AQ100" i="2"/>
  <c r="AQ100" i="4" s="1"/>
  <c r="AQ116" i="2"/>
  <c r="AQ116" i="4" s="1"/>
  <c r="AQ108" i="2"/>
  <c r="AQ108" i="4" s="1"/>
  <c r="AQ112" i="2"/>
  <c r="AQ112" i="4" s="1"/>
  <c r="AQ128" i="2"/>
  <c r="AQ128" i="4" s="1"/>
  <c r="AQ124" i="2"/>
  <c r="AQ124" i="4" s="1"/>
  <c r="AQ34" i="2"/>
  <c r="AQ34" i="4" s="1"/>
  <c r="AQ18" i="2"/>
  <c r="AQ18" i="4" s="1"/>
  <c r="AQ89" i="2"/>
  <c r="AQ89" i="4" s="1"/>
  <c r="AQ85" i="2"/>
  <c r="AQ85" i="4" s="1"/>
  <c r="AQ130" i="2"/>
  <c r="AQ130" i="4" s="1"/>
  <c r="AQ126" i="2"/>
  <c r="AQ126" i="4" s="1"/>
  <c r="AQ122" i="2"/>
  <c r="AQ122" i="4" s="1"/>
  <c r="AQ118" i="2"/>
  <c r="AQ118" i="4" s="1"/>
  <c r="AQ114" i="2"/>
  <c r="AQ114" i="4" s="1"/>
  <c r="AQ110" i="2"/>
  <c r="AQ110" i="4" s="1"/>
  <c r="AQ106" i="2"/>
  <c r="AQ106" i="4" s="1"/>
  <c r="AQ102" i="2"/>
  <c r="AQ102" i="4" s="1"/>
  <c r="AQ98" i="2"/>
  <c r="AQ98" i="4" s="1"/>
  <c r="AQ94" i="2"/>
  <c r="AQ94" i="4" s="1"/>
  <c r="AQ90" i="2"/>
  <c r="AQ90" i="4" s="1"/>
  <c r="AQ86" i="2"/>
  <c r="AQ86" i="4" s="1"/>
  <c r="AQ82" i="2"/>
  <c r="AQ82" i="4" s="1"/>
  <c r="AQ74" i="2"/>
  <c r="AQ74" i="4" s="1"/>
  <c r="AQ70" i="2"/>
  <c r="AQ70" i="4" s="1"/>
  <c r="AQ66" i="2"/>
  <c r="AQ66" i="4" s="1"/>
  <c r="AQ62" i="2"/>
  <c r="AQ62" i="4" s="1"/>
  <c r="AQ46" i="2"/>
  <c r="AQ46" i="4" s="1"/>
  <c r="AQ10" i="2"/>
  <c r="AQ10" i="4" s="1"/>
  <c r="AQ6" i="2"/>
  <c r="AQ6" i="4" s="1"/>
  <c r="AQ129" i="2"/>
  <c r="AQ129" i="4" s="1"/>
  <c r="AQ125" i="2"/>
  <c r="AQ125" i="4" s="1"/>
  <c r="AQ121" i="2"/>
  <c r="AQ121" i="4" s="1"/>
  <c r="AQ117" i="2"/>
  <c r="AQ117" i="4" s="1"/>
  <c r="AQ113" i="2"/>
  <c r="AQ113" i="4" s="1"/>
  <c r="AQ109" i="2"/>
  <c r="AQ109" i="4" s="1"/>
  <c r="AQ105" i="2"/>
  <c r="AQ105" i="4" s="1"/>
  <c r="AQ101" i="2"/>
  <c r="AQ101" i="4" s="1"/>
  <c r="AQ78" i="2"/>
  <c r="AQ78" i="4" s="1"/>
  <c r="AQ58" i="2"/>
  <c r="AQ58" i="4" s="1"/>
  <c r="AQ54" i="2"/>
  <c r="AQ54" i="4" s="1"/>
  <c r="AQ50" i="2"/>
  <c r="AQ50" i="4" s="1"/>
  <c r="AQ26" i="2"/>
  <c r="AQ26" i="4" s="1"/>
  <c r="AQ22" i="2"/>
  <c r="AQ22" i="4" s="1"/>
  <c r="AQ29" i="2"/>
  <c r="AQ29" i="4" s="1"/>
  <c r="AQ5" i="2"/>
  <c r="AQ5" i="4" s="1"/>
  <c r="AQ76" i="2"/>
  <c r="AQ76" i="4" s="1"/>
  <c r="AQ68" i="2"/>
  <c r="AQ68" i="4" s="1"/>
  <c r="AQ93" i="2"/>
  <c r="AQ93" i="4" s="1"/>
  <c r="AQ38" i="2"/>
  <c r="AQ38" i="4" s="1"/>
  <c r="AQ77" i="2"/>
  <c r="AQ77" i="4" s="1"/>
  <c r="AQ73" i="2"/>
  <c r="AQ73" i="4" s="1"/>
  <c r="AQ69" i="2"/>
  <c r="AQ69" i="4" s="1"/>
  <c r="AQ65" i="2"/>
  <c r="AQ65" i="4" s="1"/>
  <c r="AQ57" i="2"/>
  <c r="AQ57" i="4" s="1"/>
  <c r="AQ53" i="2"/>
  <c r="AQ53" i="4" s="1"/>
  <c r="AQ49" i="2"/>
  <c r="AQ49" i="4" s="1"/>
  <c r="AQ45" i="2"/>
  <c r="AQ45" i="4" s="1"/>
  <c r="AQ25" i="2"/>
  <c r="AQ25" i="4" s="1"/>
  <c r="AQ21" i="2"/>
  <c r="AQ21" i="4" s="1"/>
  <c r="AQ72" i="2"/>
  <c r="AQ72" i="4" s="1"/>
  <c r="AQ60" i="2"/>
  <c r="AQ60" i="4" s="1"/>
  <c r="AQ52" i="2"/>
  <c r="AQ52" i="4" s="1"/>
  <c r="AQ40" i="2"/>
  <c r="AQ40" i="4" s="1"/>
  <c r="AQ36" i="2"/>
  <c r="AQ36" i="4" s="1"/>
  <c r="AQ24" i="2"/>
  <c r="AQ24" i="4" s="1"/>
  <c r="AQ4" i="2"/>
  <c r="AQ4" i="4" s="1"/>
  <c r="AQ42" i="2"/>
  <c r="AQ42" i="4" s="1"/>
  <c r="AQ30" i="2"/>
  <c r="AQ30" i="4" s="1"/>
  <c r="AQ14" i="2"/>
  <c r="AQ14" i="4" s="1"/>
  <c r="AQ97" i="2"/>
  <c r="AQ97" i="4" s="1"/>
  <c r="AQ61" i="2"/>
  <c r="AQ61" i="4" s="1"/>
  <c r="AQ41" i="2"/>
  <c r="AQ41" i="4" s="1"/>
  <c r="AQ37" i="2"/>
  <c r="AQ37" i="4" s="1"/>
  <c r="AQ33" i="2"/>
  <c r="AQ33" i="4" s="1"/>
  <c r="AQ17" i="2"/>
  <c r="AQ17" i="4" s="1"/>
  <c r="AQ13" i="2"/>
  <c r="AQ13" i="4" s="1"/>
  <c r="AQ92" i="2"/>
  <c r="AQ92" i="4" s="1"/>
  <c r="AQ88" i="2"/>
  <c r="AQ88" i="4" s="1"/>
  <c r="AQ84" i="2"/>
  <c r="AQ84" i="4" s="1"/>
  <c r="AQ80" i="2"/>
  <c r="AQ80" i="4" s="1"/>
  <c r="AQ48" i="2"/>
  <c r="AQ48" i="4" s="1"/>
  <c r="AQ28" i="2"/>
  <c r="AQ28" i="4" s="1"/>
  <c r="AQ16" i="2"/>
  <c r="AQ16" i="4" s="1"/>
  <c r="AQ8" i="2"/>
  <c r="AQ8" i="4" s="1"/>
  <c r="AQ81" i="2"/>
  <c r="AQ81" i="4" s="1"/>
  <c r="AQ64" i="2"/>
  <c r="AQ64" i="4" s="1"/>
  <c r="AQ79" i="2"/>
  <c r="AQ79" i="4" s="1"/>
  <c r="AQ59" i="2"/>
  <c r="AQ59" i="4" s="1"/>
  <c r="AQ55" i="2"/>
  <c r="AQ55" i="4" s="1"/>
  <c r="AQ39" i="2"/>
  <c r="AQ39" i="4" s="1"/>
  <c r="AQ111" i="2"/>
  <c r="AQ111" i="4" s="1"/>
  <c r="AQ103" i="2"/>
  <c r="AQ103" i="4" s="1"/>
  <c r="AQ56" i="2"/>
  <c r="AQ56" i="4" s="1"/>
  <c r="AQ44" i="2"/>
  <c r="AQ44" i="4" s="1"/>
  <c r="AQ20" i="2"/>
  <c r="AQ20" i="4" s="1"/>
  <c r="AQ83" i="2"/>
  <c r="AQ83" i="4" s="1"/>
  <c r="AQ43" i="2"/>
  <c r="AQ43" i="4" s="1"/>
  <c r="AQ31" i="2"/>
  <c r="AQ31" i="4" s="1"/>
  <c r="AQ15" i="2"/>
  <c r="AQ15" i="4" s="1"/>
  <c r="AQ11" i="2"/>
  <c r="AQ11" i="4" s="1"/>
  <c r="AQ7" i="2"/>
  <c r="AQ7" i="4" s="1"/>
  <c r="AQ123" i="2"/>
  <c r="AQ123" i="4" s="1"/>
  <c r="AQ115" i="2"/>
  <c r="AQ115" i="4" s="1"/>
  <c r="AQ107" i="2"/>
  <c r="AQ107" i="4" s="1"/>
  <c r="AQ96" i="2"/>
  <c r="AQ96" i="4" s="1"/>
  <c r="AQ3" i="2"/>
  <c r="AQ3" i="4" s="1"/>
  <c r="AQ75" i="2"/>
  <c r="AQ75" i="4" s="1"/>
  <c r="AQ71" i="2"/>
  <c r="AQ71" i="4" s="1"/>
  <c r="AQ67" i="2"/>
  <c r="AQ67" i="4" s="1"/>
  <c r="AQ63" i="2"/>
  <c r="AQ63" i="4" s="1"/>
  <c r="AQ9" i="2"/>
  <c r="AQ9" i="4" s="1"/>
  <c r="AQ32" i="2"/>
  <c r="AQ32" i="4" s="1"/>
  <c r="AQ12" i="2"/>
  <c r="AQ12" i="4" s="1"/>
  <c r="AQ99" i="2"/>
  <c r="AQ99" i="4" s="1"/>
  <c r="AQ91" i="2"/>
  <c r="AQ91" i="4" s="1"/>
  <c r="AQ87" i="2"/>
  <c r="AQ87" i="4" s="1"/>
  <c r="AQ47" i="2"/>
  <c r="AQ47" i="4" s="1"/>
  <c r="AQ35" i="2"/>
  <c r="AQ35" i="4" s="1"/>
  <c r="AQ23" i="2"/>
  <c r="AQ23" i="4" s="1"/>
  <c r="AQ19" i="2"/>
  <c r="AQ19" i="4" s="1"/>
  <c r="AQ95" i="2"/>
  <c r="AQ95" i="4" s="1"/>
  <c r="AQ51" i="2"/>
  <c r="AQ51" i="4" s="1"/>
  <c r="AQ27" i="2"/>
  <c r="AQ27" i="4" s="1"/>
  <c r="AQ119" i="2"/>
  <c r="AQ119" i="4" s="1"/>
  <c r="AS1" i="4" l="1"/>
  <c r="AT2" i="4"/>
  <c r="AS2" i="2"/>
  <c r="AR128" i="2"/>
  <c r="AR128" i="4" s="1"/>
  <c r="AR125" i="2"/>
  <c r="AR125" i="4" s="1"/>
  <c r="AR109" i="2"/>
  <c r="AR109" i="4" s="1"/>
  <c r="AR39" i="2"/>
  <c r="AR39" i="4" s="1"/>
  <c r="AR129" i="2"/>
  <c r="AR129" i="4" s="1"/>
  <c r="AR113" i="2"/>
  <c r="AR113" i="4" s="1"/>
  <c r="AR26" i="2"/>
  <c r="AR26" i="4" s="1"/>
  <c r="AR94" i="2"/>
  <c r="AR94" i="4" s="1"/>
  <c r="AR46" i="2"/>
  <c r="AR46" i="4" s="1"/>
  <c r="AR89" i="2"/>
  <c r="AR89" i="4" s="1"/>
  <c r="AR85" i="2"/>
  <c r="AR85" i="4" s="1"/>
  <c r="AR81" i="2"/>
  <c r="AR81" i="4" s="1"/>
  <c r="AR130" i="2"/>
  <c r="AR130" i="4" s="1"/>
  <c r="AR126" i="2"/>
  <c r="AR126" i="4" s="1"/>
  <c r="AR122" i="2"/>
  <c r="AR122" i="4" s="1"/>
  <c r="AR118" i="2"/>
  <c r="AR118" i="4" s="1"/>
  <c r="AR114" i="2"/>
  <c r="AR114" i="4" s="1"/>
  <c r="AR110" i="2"/>
  <c r="AR110" i="4" s="1"/>
  <c r="AR106" i="2"/>
  <c r="AR106" i="4" s="1"/>
  <c r="AR102" i="2"/>
  <c r="AR102" i="4" s="1"/>
  <c r="AR74" i="2"/>
  <c r="AR74" i="4" s="1"/>
  <c r="AR70" i="2"/>
  <c r="AR70" i="4" s="1"/>
  <c r="AR66" i="2"/>
  <c r="AR66" i="4" s="1"/>
  <c r="AR93" i="2"/>
  <c r="AR93" i="4" s="1"/>
  <c r="AR90" i="2"/>
  <c r="AR90" i="4" s="1"/>
  <c r="AR86" i="2"/>
  <c r="AR86" i="4" s="1"/>
  <c r="AR62" i="2"/>
  <c r="AR62" i="4" s="1"/>
  <c r="AR58" i="2"/>
  <c r="AR58" i="4" s="1"/>
  <c r="AR54" i="2"/>
  <c r="AR54" i="4" s="1"/>
  <c r="AR50" i="2"/>
  <c r="AR50" i="4" s="1"/>
  <c r="AR42" i="2"/>
  <c r="AR42" i="4" s="1"/>
  <c r="AR38" i="2"/>
  <c r="AR38" i="4" s="1"/>
  <c r="AR30" i="2"/>
  <c r="AR30" i="4" s="1"/>
  <c r="AR22" i="2"/>
  <c r="AR22" i="4" s="1"/>
  <c r="AR18" i="2"/>
  <c r="AR18" i="4" s="1"/>
  <c r="AR14" i="2"/>
  <c r="AR14" i="4" s="1"/>
  <c r="AR10" i="2"/>
  <c r="AR10" i="4" s="1"/>
  <c r="AR117" i="2"/>
  <c r="AR117" i="4" s="1"/>
  <c r="AR98" i="2"/>
  <c r="AR98" i="4" s="1"/>
  <c r="AR77" i="2"/>
  <c r="AR77" i="4" s="1"/>
  <c r="AR76" i="2"/>
  <c r="AR76" i="4" s="1"/>
  <c r="AR68" i="2"/>
  <c r="AR68" i="4" s="1"/>
  <c r="AR60" i="2"/>
  <c r="AR60" i="4" s="1"/>
  <c r="AR6" i="2"/>
  <c r="AR6" i="4" s="1"/>
  <c r="AR97" i="2"/>
  <c r="AR97" i="4" s="1"/>
  <c r="AR57" i="2"/>
  <c r="AR57" i="4" s="1"/>
  <c r="AR53" i="2"/>
  <c r="AR53" i="4" s="1"/>
  <c r="AR49" i="2"/>
  <c r="AR49" i="4" s="1"/>
  <c r="AR25" i="2"/>
  <c r="AR25" i="4" s="1"/>
  <c r="AR21" i="2"/>
  <c r="AR21" i="4" s="1"/>
  <c r="AR72" i="2"/>
  <c r="AR72" i="4" s="1"/>
  <c r="AR56" i="2"/>
  <c r="AR56" i="4" s="1"/>
  <c r="AR40" i="2"/>
  <c r="AR40" i="4" s="1"/>
  <c r="AR28" i="2"/>
  <c r="AR28" i="4" s="1"/>
  <c r="AR20" i="2"/>
  <c r="AR20" i="4" s="1"/>
  <c r="AR4" i="2"/>
  <c r="AR4" i="4" s="1"/>
  <c r="AR99" i="2"/>
  <c r="AR99" i="4" s="1"/>
  <c r="AR78" i="2"/>
  <c r="AR78" i="4" s="1"/>
  <c r="AR101" i="2"/>
  <c r="AR101" i="4" s="1"/>
  <c r="AR73" i="2"/>
  <c r="AR73" i="4" s="1"/>
  <c r="AR69" i="2"/>
  <c r="AR69" i="4" s="1"/>
  <c r="AR65" i="2"/>
  <c r="AR65" i="4" s="1"/>
  <c r="AR61" i="2"/>
  <c r="AR61" i="4" s="1"/>
  <c r="AR45" i="2"/>
  <c r="AR45" i="4" s="1"/>
  <c r="AR41" i="2"/>
  <c r="AR41" i="4" s="1"/>
  <c r="AR37" i="2"/>
  <c r="AR37" i="4" s="1"/>
  <c r="AR33" i="2"/>
  <c r="AR33" i="4" s="1"/>
  <c r="AR29" i="2"/>
  <c r="AR29" i="4" s="1"/>
  <c r="AR17" i="2"/>
  <c r="AR17" i="4" s="1"/>
  <c r="AR13" i="2"/>
  <c r="AR13" i="4" s="1"/>
  <c r="AR9" i="2"/>
  <c r="AR9" i="4" s="1"/>
  <c r="AR96" i="2"/>
  <c r="AR96" i="4" s="1"/>
  <c r="AR92" i="2"/>
  <c r="AR92" i="4" s="1"/>
  <c r="AR88" i="2"/>
  <c r="AR88" i="4" s="1"/>
  <c r="AR84" i="2"/>
  <c r="AR84" i="4" s="1"/>
  <c r="AR80" i="2"/>
  <c r="AR80" i="4" s="1"/>
  <c r="AR36" i="2"/>
  <c r="AR36" i="4" s="1"/>
  <c r="AR12" i="2"/>
  <c r="AR12" i="4" s="1"/>
  <c r="AR8" i="2"/>
  <c r="AR8" i="4" s="1"/>
  <c r="AR34" i="2"/>
  <c r="AR34" i="4" s="1"/>
  <c r="AR79" i="2"/>
  <c r="AR79" i="4" s="1"/>
  <c r="AR75" i="2"/>
  <c r="AR75" i="4" s="1"/>
  <c r="AR59" i="2"/>
  <c r="AR59" i="4" s="1"/>
  <c r="AR55" i="2"/>
  <c r="AR55" i="4" s="1"/>
  <c r="AR27" i="2"/>
  <c r="AR27" i="4" s="1"/>
  <c r="AR23" i="2"/>
  <c r="AR23" i="4" s="1"/>
  <c r="AR7" i="2"/>
  <c r="AR7" i="4" s="1"/>
  <c r="AR127" i="2"/>
  <c r="AR127" i="4" s="1"/>
  <c r="AR120" i="2"/>
  <c r="AR120" i="4" s="1"/>
  <c r="AR112" i="2"/>
  <c r="AR112" i="4" s="1"/>
  <c r="AR104" i="2"/>
  <c r="AR104" i="4" s="1"/>
  <c r="AR123" i="2"/>
  <c r="AR123" i="4" s="1"/>
  <c r="AR82" i="2"/>
  <c r="AR82" i="4" s="1"/>
  <c r="AR52" i="2"/>
  <c r="AR52" i="4" s="1"/>
  <c r="AR44" i="2"/>
  <c r="AR44" i="4" s="1"/>
  <c r="AR16" i="2"/>
  <c r="AR16" i="4" s="1"/>
  <c r="AR83" i="2"/>
  <c r="AR83" i="4" s="1"/>
  <c r="AR51" i="2"/>
  <c r="AR51" i="4" s="1"/>
  <c r="AR35" i="2"/>
  <c r="AR35" i="4" s="1"/>
  <c r="AR63" i="2"/>
  <c r="AR63" i="4" s="1"/>
  <c r="AR24" i="2"/>
  <c r="AR24" i="4" s="1"/>
  <c r="AR3" i="2"/>
  <c r="AR3" i="4" s="1"/>
  <c r="AR71" i="2"/>
  <c r="AR71" i="4" s="1"/>
  <c r="AR67" i="2"/>
  <c r="AR67" i="4" s="1"/>
  <c r="AR11" i="2"/>
  <c r="AR11" i="4" s="1"/>
  <c r="AR119" i="2"/>
  <c r="AR119" i="4" s="1"/>
  <c r="AR115" i="2"/>
  <c r="AR115" i="4" s="1"/>
  <c r="AR107" i="2"/>
  <c r="AR107" i="4" s="1"/>
  <c r="AR64" i="2"/>
  <c r="AR64" i="4" s="1"/>
  <c r="AR48" i="2"/>
  <c r="AR48" i="4" s="1"/>
  <c r="AR32" i="2"/>
  <c r="AR32" i="4" s="1"/>
  <c r="AR91" i="2"/>
  <c r="AR91" i="4" s="1"/>
  <c r="AR87" i="2"/>
  <c r="AR87" i="4" s="1"/>
  <c r="AR47" i="2"/>
  <c r="AR47" i="4" s="1"/>
  <c r="AR31" i="2"/>
  <c r="AR31" i="4" s="1"/>
  <c r="AR19" i="2"/>
  <c r="AR19" i="4" s="1"/>
  <c r="AR15" i="2"/>
  <c r="AR15" i="4" s="1"/>
  <c r="AR124" i="2"/>
  <c r="AR124" i="4" s="1"/>
  <c r="AR116" i="2"/>
  <c r="AR116" i="4" s="1"/>
  <c r="AR108" i="2"/>
  <c r="AR108" i="4" s="1"/>
  <c r="AR100" i="2"/>
  <c r="AR100" i="4" s="1"/>
  <c r="AR5" i="2"/>
  <c r="AR5" i="4" s="1"/>
  <c r="AR121" i="2"/>
  <c r="AR121" i="4" s="1"/>
  <c r="AR105" i="2"/>
  <c r="AR105" i="4" s="1"/>
  <c r="AR95" i="2"/>
  <c r="AR95" i="4" s="1"/>
  <c r="AR43" i="2"/>
  <c r="AR43" i="4" s="1"/>
  <c r="AR111" i="2"/>
  <c r="AR111" i="4" s="1"/>
  <c r="AR103" i="2"/>
  <c r="AR103" i="4" s="1"/>
  <c r="AT1" i="4" l="1"/>
  <c r="AU2" i="4"/>
  <c r="AT2" i="2"/>
  <c r="AS79" i="2"/>
  <c r="AS79" i="4" s="1"/>
  <c r="AS99" i="2"/>
  <c r="AS99" i="4" s="1"/>
  <c r="AS110" i="2"/>
  <c r="AS110" i="4" s="1"/>
  <c r="AS126" i="2"/>
  <c r="AS126" i="4" s="1"/>
  <c r="AS46" i="2"/>
  <c r="AS46" i="4" s="1"/>
  <c r="AS34" i="2"/>
  <c r="AS34" i="4" s="1"/>
  <c r="AS26" i="2"/>
  <c r="AS26" i="4" s="1"/>
  <c r="AS130" i="2"/>
  <c r="AS130" i="4" s="1"/>
  <c r="AS114" i="2"/>
  <c r="AS114" i="4" s="1"/>
  <c r="AS98" i="2"/>
  <c r="AS98" i="4" s="1"/>
  <c r="AS94" i="2"/>
  <c r="AS94" i="4" s="1"/>
  <c r="AS18" i="2"/>
  <c r="AS18" i="4" s="1"/>
  <c r="AS93" i="2"/>
  <c r="AS93" i="4" s="1"/>
  <c r="AS89" i="2"/>
  <c r="AS89" i="4" s="1"/>
  <c r="AS85" i="2"/>
  <c r="AS85" i="4" s="1"/>
  <c r="AS81" i="2"/>
  <c r="AS81" i="4" s="1"/>
  <c r="AS78" i="2"/>
  <c r="AS78" i="4" s="1"/>
  <c r="AS129" i="2"/>
  <c r="AS129" i="4" s="1"/>
  <c r="AS125" i="2"/>
  <c r="AS125" i="4" s="1"/>
  <c r="AS121" i="2"/>
  <c r="AS121" i="4" s="1"/>
  <c r="AS117" i="2"/>
  <c r="AS117" i="4" s="1"/>
  <c r="AS113" i="2"/>
  <c r="AS113" i="4" s="1"/>
  <c r="AS109" i="2"/>
  <c r="AS109" i="4" s="1"/>
  <c r="AS105" i="2"/>
  <c r="AS105" i="4" s="1"/>
  <c r="AS101" i="2"/>
  <c r="AS101" i="4" s="1"/>
  <c r="AS97" i="2"/>
  <c r="AS97" i="4" s="1"/>
  <c r="AS86" i="2"/>
  <c r="AS86" i="4" s="1"/>
  <c r="AS82" i="2"/>
  <c r="AS82" i="4" s="1"/>
  <c r="AS74" i="2"/>
  <c r="AS74" i="4" s="1"/>
  <c r="AS70" i="2"/>
  <c r="AS70" i="4" s="1"/>
  <c r="AS62" i="2"/>
  <c r="AS62" i="4" s="1"/>
  <c r="AS58" i="2"/>
  <c r="AS58" i="4" s="1"/>
  <c r="AS54" i="2"/>
  <c r="AS54" i="4" s="1"/>
  <c r="AS50" i="2"/>
  <c r="AS50" i="4" s="1"/>
  <c r="AS42" i="2"/>
  <c r="AS42" i="4" s="1"/>
  <c r="AS38" i="2"/>
  <c r="AS38" i="4" s="1"/>
  <c r="AS30" i="2"/>
  <c r="AS30" i="4" s="1"/>
  <c r="AS22" i="2"/>
  <c r="AS22" i="4" s="1"/>
  <c r="AS14" i="2"/>
  <c r="AS14" i="4" s="1"/>
  <c r="AS10" i="2"/>
  <c r="AS10" i="4" s="1"/>
  <c r="AS6" i="2"/>
  <c r="AS6" i="4" s="1"/>
  <c r="AS118" i="2"/>
  <c r="AS118" i="4" s="1"/>
  <c r="AS77" i="2"/>
  <c r="AS77" i="4" s="1"/>
  <c r="AS53" i="2"/>
  <c r="AS53" i="4" s="1"/>
  <c r="AS29" i="2"/>
  <c r="AS29" i="4" s="1"/>
  <c r="AS25" i="2"/>
  <c r="AS25" i="4" s="1"/>
  <c r="AS9" i="2"/>
  <c r="AS9" i="4" s="1"/>
  <c r="AS68" i="2"/>
  <c r="AS68" i="4" s="1"/>
  <c r="AS60" i="2"/>
  <c r="AS60" i="4" s="1"/>
  <c r="AS61" i="2"/>
  <c r="AS61" i="4" s="1"/>
  <c r="AS72" i="2"/>
  <c r="AS72" i="4" s="1"/>
  <c r="AS56" i="2"/>
  <c r="AS56" i="4" s="1"/>
  <c r="AS36" i="2"/>
  <c r="AS36" i="4" s="1"/>
  <c r="AS20" i="2"/>
  <c r="AS20" i="4" s="1"/>
  <c r="AS8" i="2"/>
  <c r="AS8" i="4" s="1"/>
  <c r="AS4" i="2"/>
  <c r="AS4" i="4" s="1"/>
  <c r="AS115" i="2"/>
  <c r="AS115" i="4" s="1"/>
  <c r="AS90" i="2"/>
  <c r="AS90" i="4" s="1"/>
  <c r="AS66" i="2"/>
  <c r="AS66" i="4" s="1"/>
  <c r="AS102" i="2"/>
  <c r="AS102" i="4" s="1"/>
  <c r="AS73" i="2"/>
  <c r="AS73" i="4" s="1"/>
  <c r="AS69" i="2"/>
  <c r="AS69" i="4" s="1"/>
  <c r="AS65" i="2"/>
  <c r="AS65" i="4" s="1"/>
  <c r="AS57" i="2"/>
  <c r="AS57" i="4" s="1"/>
  <c r="AS49" i="2"/>
  <c r="AS49" i="4" s="1"/>
  <c r="AS45" i="2"/>
  <c r="AS45" i="4" s="1"/>
  <c r="AS41" i="2"/>
  <c r="AS41" i="4" s="1"/>
  <c r="AS37" i="2"/>
  <c r="AS37" i="4" s="1"/>
  <c r="AS33" i="2"/>
  <c r="AS33" i="4" s="1"/>
  <c r="AS21" i="2"/>
  <c r="AS21" i="4" s="1"/>
  <c r="AS17" i="2"/>
  <c r="AS17" i="4" s="1"/>
  <c r="AS5" i="2"/>
  <c r="AS5" i="4" s="1"/>
  <c r="AS96" i="2"/>
  <c r="AS96" i="4" s="1"/>
  <c r="AS92" i="2"/>
  <c r="AS92" i="4" s="1"/>
  <c r="AS88" i="2"/>
  <c r="AS88" i="4" s="1"/>
  <c r="AS84" i="2"/>
  <c r="AS84" i="4" s="1"/>
  <c r="AS80" i="2"/>
  <c r="AS80" i="4" s="1"/>
  <c r="AS76" i="2"/>
  <c r="AS76" i="4" s="1"/>
  <c r="AS52" i="2"/>
  <c r="AS52" i="4" s="1"/>
  <c r="AS40" i="2"/>
  <c r="AS40" i="4" s="1"/>
  <c r="AS28" i="2"/>
  <c r="AS28" i="4" s="1"/>
  <c r="AS24" i="2"/>
  <c r="AS24" i="4" s="1"/>
  <c r="AS119" i="2"/>
  <c r="AS119" i="4" s="1"/>
  <c r="AS103" i="2"/>
  <c r="AS103" i="4" s="1"/>
  <c r="AS83" i="2"/>
  <c r="AS83" i="4" s="1"/>
  <c r="AS123" i="2"/>
  <c r="AS123" i="4" s="1"/>
  <c r="AS75" i="2"/>
  <c r="AS75" i="4" s="1"/>
  <c r="AS55" i="2"/>
  <c r="AS55" i="4" s="1"/>
  <c r="AS23" i="2"/>
  <c r="AS23" i="4" s="1"/>
  <c r="AS19" i="2"/>
  <c r="AS19" i="4" s="1"/>
  <c r="AS122" i="2"/>
  <c r="AS122" i="4" s="1"/>
  <c r="AS106" i="2"/>
  <c r="AS106" i="4" s="1"/>
  <c r="AS16" i="2"/>
  <c r="AS16" i="4" s="1"/>
  <c r="AS127" i="2"/>
  <c r="AS127" i="4" s="1"/>
  <c r="AS51" i="2"/>
  <c r="AS51" i="4" s="1"/>
  <c r="AS39" i="2"/>
  <c r="AS39" i="4" s="1"/>
  <c r="AS35" i="2"/>
  <c r="AS35" i="4" s="1"/>
  <c r="AS27" i="2"/>
  <c r="AS27" i="4" s="1"/>
  <c r="AS11" i="2"/>
  <c r="AS11" i="4" s="1"/>
  <c r="AS128" i="2"/>
  <c r="AS128" i="4" s="1"/>
  <c r="AS87" i="2"/>
  <c r="AS87" i="4" s="1"/>
  <c r="AS111" i="2"/>
  <c r="AS111" i="4" s="1"/>
  <c r="AS3" i="2"/>
  <c r="AS3" i="4" s="1"/>
  <c r="AS71" i="2"/>
  <c r="AS71" i="4" s="1"/>
  <c r="AS67" i="2"/>
  <c r="AS67" i="4" s="1"/>
  <c r="AS43" i="2"/>
  <c r="AS43" i="4" s="1"/>
  <c r="AS124" i="2"/>
  <c r="AS124" i="4" s="1"/>
  <c r="AS116" i="2"/>
  <c r="AS116" i="4" s="1"/>
  <c r="AS108" i="2"/>
  <c r="AS108" i="4" s="1"/>
  <c r="AS100" i="2"/>
  <c r="AS100" i="4" s="1"/>
  <c r="AS95" i="2"/>
  <c r="AS95" i="4" s="1"/>
  <c r="AS64" i="2"/>
  <c r="AS64" i="4" s="1"/>
  <c r="AS48" i="2"/>
  <c r="AS48" i="4" s="1"/>
  <c r="AS44" i="2"/>
  <c r="AS44" i="4" s="1"/>
  <c r="AS107" i="2"/>
  <c r="AS107" i="4" s="1"/>
  <c r="AS63" i="2"/>
  <c r="AS63" i="4" s="1"/>
  <c r="AS59" i="2"/>
  <c r="AS59" i="4" s="1"/>
  <c r="AS47" i="2"/>
  <c r="AS47" i="4" s="1"/>
  <c r="AS31" i="2"/>
  <c r="AS31" i="4" s="1"/>
  <c r="AS15" i="2"/>
  <c r="AS15" i="4" s="1"/>
  <c r="AS13" i="2"/>
  <c r="AS13" i="4" s="1"/>
  <c r="AS32" i="2"/>
  <c r="AS32" i="4" s="1"/>
  <c r="AS12" i="2"/>
  <c r="AS12" i="4" s="1"/>
  <c r="AS7" i="2"/>
  <c r="AS7" i="4" s="1"/>
  <c r="AS120" i="2"/>
  <c r="AS120" i="4" s="1"/>
  <c r="AS112" i="2"/>
  <c r="AS112" i="4" s="1"/>
  <c r="AS104" i="2"/>
  <c r="AS104" i="4" s="1"/>
  <c r="AS91" i="2"/>
  <c r="AS91" i="4" s="1"/>
  <c r="AU1" i="4" l="1"/>
  <c r="AV2" i="4"/>
  <c r="AU2" i="2"/>
  <c r="AT80" i="2"/>
  <c r="AT80" i="4" s="1"/>
  <c r="AT107" i="2"/>
  <c r="AT107" i="4" s="1"/>
  <c r="AT123" i="2"/>
  <c r="AT123" i="4" s="1"/>
  <c r="AT103" i="2"/>
  <c r="AT103" i="4" s="1"/>
  <c r="AT119" i="2"/>
  <c r="AT119" i="4" s="1"/>
  <c r="AT111" i="2"/>
  <c r="AT111" i="4" s="1"/>
  <c r="AT115" i="2"/>
  <c r="AT115" i="4" s="1"/>
  <c r="AT127" i="2"/>
  <c r="AT127" i="4" s="1"/>
  <c r="AT50" i="2"/>
  <c r="AT50" i="4" s="1"/>
  <c r="AT46" i="2"/>
  <c r="AT46" i="4" s="1"/>
  <c r="AT34" i="2"/>
  <c r="AT34" i="4" s="1"/>
  <c r="AT22" i="2"/>
  <c r="AT22" i="4" s="1"/>
  <c r="AT54" i="2"/>
  <c r="AT54" i="4" s="1"/>
  <c r="AT18" i="2"/>
  <c r="AT18" i="4" s="1"/>
  <c r="AT10" i="2"/>
  <c r="AT10" i="4" s="1"/>
  <c r="AT93" i="2"/>
  <c r="AT93" i="4" s="1"/>
  <c r="AT89" i="2"/>
  <c r="AT89" i="4" s="1"/>
  <c r="AT85" i="2"/>
  <c r="AT85" i="4" s="1"/>
  <c r="AT130" i="2"/>
  <c r="AT130" i="4" s="1"/>
  <c r="AT78" i="2"/>
  <c r="AT78" i="4" s="1"/>
  <c r="AT62" i="2"/>
  <c r="AT62" i="4" s="1"/>
  <c r="AT129" i="2"/>
  <c r="AT129" i="4" s="1"/>
  <c r="AT125" i="2"/>
  <c r="AT125" i="4" s="1"/>
  <c r="AT121" i="2"/>
  <c r="AT121" i="4" s="1"/>
  <c r="AT117" i="2"/>
  <c r="AT117" i="4" s="1"/>
  <c r="AT113" i="2"/>
  <c r="AT113" i="4" s="1"/>
  <c r="AT109" i="2"/>
  <c r="AT109" i="4" s="1"/>
  <c r="AT105" i="2"/>
  <c r="AT105" i="4" s="1"/>
  <c r="AT101" i="2"/>
  <c r="AT101" i="4" s="1"/>
  <c r="AT97" i="2"/>
  <c r="AT97" i="4" s="1"/>
  <c r="AT86" i="2"/>
  <c r="AT86" i="4" s="1"/>
  <c r="AT82" i="2"/>
  <c r="AT82" i="4" s="1"/>
  <c r="AT74" i="2"/>
  <c r="AT74" i="4" s="1"/>
  <c r="AT70" i="2"/>
  <c r="AT70" i="4" s="1"/>
  <c r="AT66" i="2"/>
  <c r="AT66" i="4" s="1"/>
  <c r="AT42" i="2"/>
  <c r="AT42" i="4" s="1"/>
  <c r="AT38" i="2"/>
  <c r="AT38" i="4" s="1"/>
  <c r="AT30" i="2"/>
  <c r="AT30" i="4" s="1"/>
  <c r="AT26" i="2"/>
  <c r="AT26" i="4" s="1"/>
  <c r="AT14" i="2"/>
  <c r="AT14" i="4" s="1"/>
  <c r="AT6" i="2"/>
  <c r="AT6" i="4" s="1"/>
  <c r="AT41" i="2"/>
  <c r="AT41" i="4" s="1"/>
  <c r="AT9" i="2"/>
  <c r="AT9" i="4" s="1"/>
  <c r="AT68" i="2"/>
  <c r="AT68" i="4" s="1"/>
  <c r="AT61" i="2"/>
  <c r="AT61" i="4" s="1"/>
  <c r="AT45" i="2"/>
  <c r="AT45" i="4" s="1"/>
  <c r="AT72" i="2"/>
  <c r="AT72" i="4" s="1"/>
  <c r="AT56" i="2"/>
  <c r="AT56" i="4" s="1"/>
  <c r="AT20" i="2"/>
  <c r="AT20" i="4" s="1"/>
  <c r="AT16" i="2"/>
  <c r="AT16" i="4" s="1"/>
  <c r="AT8" i="2"/>
  <c r="AT8" i="4" s="1"/>
  <c r="AT4" i="2"/>
  <c r="AT4" i="4" s="1"/>
  <c r="AT116" i="2"/>
  <c r="AT116" i="4" s="1"/>
  <c r="AT100" i="2"/>
  <c r="AT100" i="4" s="1"/>
  <c r="AT3" i="2"/>
  <c r="AT3" i="4" s="1"/>
  <c r="AT126" i="2"/>
  <c r="AT126" i="4" s="1"/>
  <c r="AT122" i="2"/>
  <c r="AT122" i="4" s="1"/>
  <c r="AT118" i="2"/>
  <c r="AT118" i="4" s="1"/>
  <c r="AT114" i="2"/>
  <c r="AT114" i="4" s="1"/>
  <c r="AT110" i="2"/>
  <c r="AT110" i="4" s="1"/>
  <c r="AT106" i="2"/>
  <c r="AT106" i="4" s="1"/>
  <c r="AT102" i="2"/>
  <c r="AT102" i="4" s="1"/>
  <c r="AT98" i="2"/>
  <c r="AT98" i="4" s="1"/>
  <c r="AT94" i="2"/>
  <c r="AT94" i="4" s="1"/>
  <c r="AT90" i="2"/>
  <c r="AT90" i="4" s="1"/>
  <c r="AT58" i="2"/>
  <c r="AT58" i="4" s="1"/>
  <c r="AT81" i="2"/>
  <c r="AT81" i="4" s="1"/>
  <c r="AT77" i="2"/>
  <c r="AT77" i="4" s="1"/>
  <c r="AT73" i="2"/>
  <c r="AT73" i="4" s="1"/>
  <c r="AT69" i="2"/>
  <c r="AT69" i="4" s="1"/>
  <c r="AT65" i="2"/>
  <c r="AT65" i="4" s="1"/>
  <c r="AT57" i="2"/>
  <c r="AT57" i="4" s="1"/>
  <c r="AT53" i="2"/>
  <c r="AT53" i="4" s="1"/>
  <c r="AT49" i="2"/>
  <c r="AT49" i="4" s="1"/>
  <c r="AT33" i="2"/>
  <c r="AT33" i="4" s="1"/>
  <c r="AT29" i="2"/>
  <c r="AT29" i="4" s="1"/>
  <c r="AT25" i="2"/>
  <c r="AT25" i="4" s="1"/>
  <c r="AT21" i="2"/>
  <c r="AT21" i="4" s="1"/>
  <c r="AT76" i="2"/>
  <c r="AT76" i="4" s="1"/>
  <c r="AT60" i="2"/>
  <c r="AT60" i="4" s="1"/>
  <c r="AT52" i="2"/>
  <c r="AT52" i="4" s="1"/>
  <c r="AT40" i="2"/>
  <c r="AT40" i="4" s="1"/>
  <c r="AT24" i="2"/>
  <c r="AT24" i="4" s="1"/>
  <c r="AT120" i="2"/>
  <c r="AT120" i="4" s="1"/>
  <c r="AT104" i="2"/>
  <c r="AT104" i="4" s="1"/>
  <c r="AT84" i="2"/>
  <c r="AT84" i="4" s="1"/>
  <c r="AT13" i="2"/>
  <c r="AT13" i="4" s="1"/>
  <c r="AT12" i="2"/>
  <c r="AT12" i="4" s="1"/>
  <c r="AT124" i="2"/>
  <c r="AT124" i="4" s="1"/>
  <c r="AT71" i="2"/>
  <c r="AT71" i="4" s="1"/>
  <c r="AT63" i="2"/>
  <c r="AT63" i="4" s="1"/>
  <c r="AT55" i="2"/>
  <c r="AT55" i="4" s="1"/>
  <c r="AT23" i="2"/>
  <c r="AT23" i="4" s="1"/>
  <c r="AT7" i="2"/>
  <c r="AT7" i="4" s="1"/>
  <c r="AT17" i="2"/>
  <c r="AT17" i="4" s="1"/>
  <c r="AT36" i="2"/>
  <c r="AT36" i="4" s="1"/>
  <c r="AT128" i="2"/>
  <c r="AT128" i="4" s="1"/>
  <c r="AT79" i="2"/>
  <c r="AT79" i="4" s="1"/>
  <c r="AT51" i="2"/>
  <c r="AT51" i="4" s="1"/>
  <c r="AT39" i="2"/>
  <c r="AT39" i="4" s="1"/>
  <c r="AT27" i="2"/>
  <c r="AT27" i="4" s="1"/>
  <c r="AT88" i="2"/>
  <c r="AT88" i="4" s="1"/>
  <c r="AT99" i="2"/>
  <c r="AT99" i="4" s="1"/>
  <c r="AT37" i="2"/>
  <c r="AT37" i="4" s="1"/>
  <c r="AT32" i="2"/>
  <c r="AT32" i="4" s="1"/>
  <c r="AT112" i="2"/>
  <c r="AT112" i="4" s="1"/>
  <c r="AT67" i="2"/>
  <c r="AT67" i="4" s="1"/>
  <c r="AT19" i="2"/>
  <c r="AT19" i="4" s="1"/>
  <c r="AT96" i="2"/>
  <c r="AT96" i="4" s="1"/>
  <c r="AT92" i="2"/>
  <c r="AT92" i="4" s="1"/>
  <c r="AT5" i="2"/>
  <c r="AT5" i="4" s="1"/>
  <c r="AT64" i="2"/>
  <c r="AT64" i="4" s="1"/>
  <c r="AT48" i="2"/>
  <c r="AT48" i="4" s="1"/>
  <c r="AT44" i="2"/>
  <c r="AT44" i="4" s="1"/>
  <c r="AT28" i="2"/>
  <c r="AT28" i="4" s="1"/>
  <c r="AT108" i="2"/>
  <c r="AT108" i="4" s="1"/>
  <c r="AT87" i="2"/>
  <c r="AT87" i="4" s="1"/>
  <c r="AT83" i="2"/>
  <c r="AT83" i="4" s="1"/>
  <c r="AT59" i="2"/>
  <c r="AT59" i="4" s="1"/>
  <c r="AT47" i="2"/>
  <c r="AT47" i="4" s="1"/>
  <c r="AT43" i="2"/>
  <c r="AT43" i="4" s="1"/>
  <c r="AT31" i="2"/>
  <c r="AT31" i="4" s="1"/>
  <c r="AT15" i="2"/>
  <c r="AT15" i="4" s="1"/>
  <c r="AT95" i="2"/>
  <c r="AT95" i="4" s="1"/>
  <c r="AT91" i="2"/>
  <c r="AT91" i="4" s="1"/>
  <c r="AT75" i="2"/>
  <c r="AT75" i="4" s="1"/>
  <c r="AT35" i="2"/>
  <c r="AT35" i="4" s="1"/>
  <c r="AT11" i="2"/>
  <c r="AT11" i="4" s="1"/>
  <c r="AV1" i="4" l="1"/>
  <c r="AW2" i="4"/>
  <c r="AU109" i="4"/>
  <c r="AV2" i="2"/>
  <c r="AU127" i="2"/>
  <c r="AU127" i="4" s="1"/>
  <c r="AU64" i="2"/>
  <c r="AU64" i="4" s="1"/>
  <c r="AU75" i="2"/>
  <c r="AU75" i="4" s="1"/>
  <c r="AU108" i="2"/>
  <c r="AU108" i="4" s="1"/>
  <c r="AU124" i="2"/>
  <c r="AU124" i="4" s="1"/>
  <c r="AU104" i="2"/>
  <c r="AU104" i="4" s="1"/>
  <c r="AU120" i="2"/>
  <c r="AU120" i="4" s="1"/>
  <c r="AU112" i="2"/>
  <c r="AU112" i="4" s="1"/>
  <c r="AU100" i="2"/>
  <c r="AU100" i="4" s="1"/>
  <c r="AU116" i="2"/>
  <c r="AU116" i="4" s="1"/>
  <c r="AU128" i="2"/>
  <c r="AU128" i="4" s="1"/>
  <c r="AU78" i="2"/>
  <c r="AU78" i="4" s="1"/>
  <c r="AU58" i="2"/>
  <c r="AU58" i="4" s="1"/>
  <c r="AU54" i="2"/>
  <c r="AU54" i="4" s="1"/>
  <c r="AU50" i="2"/>
  <c r="AU50" i="4" s="1"/>
  <c r="AU26" i="2"/>
  <c r="AU26" i="4" s="1"/>
  <c r="AU22" i="2"/>
  <c r="AU22" i="4" s="1"/>
  <c r="AU97" i="2"/>
  <c r="AU97" i="4" s="1"/>
  <c r="AU93" i="2"/>
  <c r="AU93" i="4" s="1"/>
  <c r="AU89" i="2"/>
  <c r="AU89" i="4" s="1"/>
  <c r="AU62" i="2"/>
  <c r="AU62" i="4" s="1"/>
  <c r="AU18" i="2"/>
  <c r="AU18" i="4" s="1"/>
  <c r="AU86" i="2"/>
  <c r="AU86" i="4" s="1"/>
  <c r="AU82" i="2"/>
  <c r="AU82" i="4" s="1"/>
  <c r="AU70" i="2"/>
  <c r="AU70" i="4" s="1"/>
  <c r="AU66" i="2"/>
  <c r="AU66" i="4" s="1"/>
  <c r="AU14" i="2"/>
  <c r="AU14" i="4" s="1"/>
  <c r="AU10" i="2"/>
  <c r="AU10" i="4" s="1"/>
  <c r="AU129" i="2"/>
  <c r="AU129" i="4" s="1"/>
  <c r="AU125" i="2"/>
  <c r="AU125" i="4" s="1"/>
  <c r="AU121" i="2"/>
  <c r="AU121" i="4" s="1"/>
  <c r="AU117" i="2"/>
  <c r="AU117" i="4" s="1"/>
  <c r="AU113" i="2"/>
  <c r="AU113" i="4" s="1"/>
  <c r="AU109" i="2"/>
  <c r="AU105" i="2"/>
  <c r="AU105" i="4" s="1"/>
  <c r="AU101" i="2"/>
  <c r="AU101" i="4" s="1"/>
  <c r="AU68" i="2"/>
  <c r="AU68" i="4" s="1"/>
  <c r="AU46" i="2"/>
  <c r="AU46" i="4" s="1"/>
  <c r="AU42" i="2"/>
  <c r="AU42" i="4" s="1"/>
  <c r="AU30" i="2"/>
  <c r="AU30" i="4" s="1"/>
  <c r="AU45" i="2"/>
  <c r="AU45" i="4" s="1"/>
  <c r="AU29" i="2"/>
  <c r="AU29" i="4" s="1"/>
  <c r="AU5" i="2"/>
  <c r="AU5" i="4" s="1"/>
  <c r="AU76" i="2"/>
  <c r="AU76" i="4" s="1"/>
  <c r="AU72" i="2"/>
  <c r="AU72" i="4" s="1"/>
  <c r="AU56" i="2"/>
  <c r="AU56" i="4" s="1"/>
  <c r="AU44" i="2"/>
  <c r="AU44" i="4" s="1"/>
  <c r="AU20" i="2"/>
  <c r="AU20" i="4" s="1"/>
  <c r="AU4" i="2"/>
  <c r="AU4" i="4" s="1"/>
  <c r="AU3" i="2"/>
  <c r="AU3" i="4" s="1"/>
  <c r="AU95" i="2"/>
  <c r="AU95" i="4" s="1"/>
  <c r="AU130" i="2"/>
  <c r="AU130" i="4" s="1"/>
  <c r="AU126" i="2"/>
  <c r="AU126" i="4" s="1"/>
  <c r="AU122" i="2"/>
  <c r="AU122" i="4" s="1"/>
  <c r="AU118" i="2"/>
  <c r="AU118" i="4" s="1"/>
  <c r="AU114" i="2"/>
  <c r="AU114" i="4" s="1"/>
  <c r="AU110" i="2"/>
  <c r="AU110" i="4" s="1"/>
  <c r="AU106" i="2"/>
  <c r="AU106" i="4" s="1"/>
  <c r="AU102" i="2"/>
  <c r="AU102" i="4" s="1"/>
  <c r="AU98" i="2"/>
  <c r="AU98" i="4" s="1"/>
  <c r="AU94" i="2"/>
  <c r="AU94" i="4" s="1"/>
  <c r="AU90" i="2"/>
  <c r="AU90" i="4" s="1"/>
  <c r="AU74" i="2"/>
  <c r="AU74" i="4" s="1"/>
  <c r="AU38" i="2"/>
  <c r="AU38" i="4" s="1"/>
  <c r="AU34" i="2"/>
  <c r="AU34" i="4" s="1"/>
  <c r="AU6" i="2"/>
  <c r="AU6" i="4" s="1"/>
  <c r="AU85" i="2"/>
  <c r="AU85" i="4" s="1"/>
  <c r="AU81" i="2"/>
  <c r="AU81" i="4" s="1"/>
  <c r="AU77" i="2"/>
  <c r="AU77" i="4" s="1"/>
  <c r="AU73" i="2"/>
  <c r="AU73" i="4" s="1"/>
  <c r="AU69" i="2"/>
  <c r="AU69" i="4" s="1"/>
  <c r="AU65" i="2"/>
  <c r="AU65" i="4" s="1"/>
  <c r="AU57" i="2"/>
  <c r="AU57" i="4" s="1"/>
  <c r="AU53" i="2"/>
  <c r="AU53" i="4" s="1"/>
  <c r="AU49" i="2"/>
  <c r="AU49" i="4" s="1"/>
  <c r="AU25" i="2"/>
  <c r="AU25" i="4" s="1"/>
  <c r="AU21" i="2"/>
  <c r="AU21" i="4" s="1"/>
  <c r="AU9" i="2"/>
  <c r="AU9" i="4" s="1"/>
  <c r="AU60" i="2"/>
  <c r="AU60" i="4" s="1"/>
  <c r="AU52" i="2"/>
  <c r="AU52" i="4" s="1"/>
  <c r="AU40" i="2"/>
  <c r="AU40" i="4" s="1"/>
  <c r="AU36" i="2"/>
  <c r="AU36" i="4" s="1"/>
  <c r="AU24" i="2"/>
  <c r="AU24" i="4" s="1"/>
  <c r="AU8" i="2"/>
  <c r="AU8" i="4" s="1"/>
  <c r="AU71" i="2"/>
  <c r="AU71" i="4" s="1"/>
  <c r="AU67" i="2"/>
  <c r="AU67" i="4" s="1"/>
  <c r="AU59" i="2"/>
  <c r="AU59" i="4" s="1"/>
  <c r="AU27" i="2"/>
  <c r="AU27" i="4" s="1"/>
  <c r="AU23" i="2"/>
  <c r="AU23" i="4" s="1"/>
  <c r="AU123" i="2"/>
  <c r="AU123" i="4" s="1"/>
  <c r="AU115" i="2"/>
  <c r="AU115" i="4" s="1"/>
  <c r="AU107" i="2"/>
  <c r="AU107" i="4" s="1"/>
  <c r="AU61" i="2"/>
  <c r="AU61" i="4" s="1"/>
  <c r="AU41" i="2"/>
  <c r="AU41" i="4" s="1"/>
  <c r="AU37" i="2"/>
  <c r="AU37" i="4" s="1"/>
  <c r="AU33" i="2"/>
  <c r="AU33" i="4" s="1"/>
  <c r="AU17" i="2"/>
  <c r="AU17" i="4" s="1"/>
  <c r="AU13" i="2"/>
  <c r="AU13" i="4" s="1"/>
  <c r="AU79" i="2"/>
  <c r="AU79" i="4" s="1"/>
  <c r="AU51" i="2"/>
  <c r="AU51" i="4" s="1"/>
  <c r="AU39" i="2"/>
  <c r="AU39" i="4" s="1"/>
  <c r="AU92" i="2"/>
  <c r="AU92" i="4" s="1"/>
  <c r="AU88" i="2"/>
  <c r="AU88" i="4" s="1"/>
  <c r="AU84" i="2"/>
  <c r="AU84" i="4" s="1"/>
  <c r="AU32" i="2"/>
  <c r="AU32" i="4" s="1"/>
  <c r="AU12" i="2"/>
  <c r="AU12" i="4" s="1"/>
  <c r="AU99" i="2"/>
  <c r="AU99" i="4" s="1"/>
  <c r="AU87" i="2"/>
  <c r="AU87" i="4" s="1"/>
  <c r="AU35" i="2"/>
  <c r="AU35" i="4" s="1"/>
  <c r="AU11" i="2"/>
  <c r="AU11" i="4" s="1"/>
  <c r="AU48" i="2"/>
  <c r="AU48" i="4" s="1"/>
  <c r="AU28" i="2"/>
  <c r="AU28" i="4" s="1"/>
  <c r="AU16" i="2"/>
  <c r="AU16" i="4" s="1"/>
  <c r="AU83" i="2"/>
  <c r="AU83" i="4" s="1"/>
  <c r="AU63" i="2"/>
  <c r="AU63" i="4" s="1"/>
  <c r="AU55" i="2"/>
  <c r="AU55" i="4" s="1"/>
  <c r="AU47" i="2"/>
  <c r="AU47" i="4" s="1"/>
  <c r="AU43" i="2"/>
  <c r="AU43" i="4" s="1"/>
  <c r="AU31" i="2"/>
  <c r="AU31" i="4" s="1"/>
  <c r="AU15" i="2"/>
  <c r="AU15" i="4" s="1"/>
  <c r="AU7" i="2"/>
  <c r="AU7" i="4" s="1"/>
  <c r="AU119" i="2"/>
  <c r="AU119" i="4" s="1"/>
  <c r="AU111" i="2"/>
  <c r="AU111" i="4" s="1"/>
  <c r="AU103" i="2"/>
  <c r="AU103" i="4" s="1"/>
  <c r="AU80" i="2"/>
  <c r="AU80" i="4" s="1"/>
  <c r="AU96" i="2"/>
  <c r="AU96" i="4" s="1"/>
  <c r="AU91" i="2"/>
  <c r="AU91" i="4" s="1"/>
  <c r="AU19" i="2"/>
  <c r="AU19" i="4" s="1"/>
  <c r="AW1" i="4" l="1"/>
  <c r="AX2" i="4"/>
  <c r="AW2" i="2"/>
  <c r="AV128" i="2"/>
  <c r="AV128" i="4" s="1"/>
  <c r="AV76" i="2"/>
  <c r="AV76" i="4" s="1"/>
  <c r="AV113" i="2"/>
  <c r="AV113" i="4" s="1"/>
  <c r="AV129" i="2"/>
  <c r="AV129" i="4" s="1"/>
  <c r="AV78" i="2"/>
  <c r="AV78" i="4" s="1"/>
  <c r="AV62" i="2"/>
  <c r="AV62" i="4" s="1"/>
  <c r="AV58" i="2"/>
  <c r="AV58" i="4" s="1"/>
  <c r="AV54" i="2"/>
  <c r="AV54" i="4" s="1"/>
  <c r="AV50" i="2"/>
  <c r="AV50" i="4" s="1"/>
  <c r="AV42" i="2"/>
  <c r="AV42" i="4" s="1"/>
  <c r="AV38" i="2"/>
  <c r="AV38" i="4" s="1"/>
  <c r="AV30" i="2"/>
  <c r="AV30" i="4" s="1"/>
  <c r="AV22" i="2"/>
  <c r="AV22" i="4" s="1"/>
  <c r="AV18" i="2"/>
  <c r="AV18" i="4" s="1"/>
  <c r="AV14" i="2"/>
  <c r="AV14" i="4" s="1"/>
  <c r="AV10" i="2"/>
  <c r="AV10" i="4" s="1"/>
  <c r="AV117" i="2"/>
  <c r="AV117" i="4" s="1"/>
  <c r="AV101" i="2"/>
  <c r="AV101" i="4" s="1"/>
  <c r="AV94" i="2"/>
  <c r="AV94" i="4" s="1"/>
  <c r="AV26" i="2"/>
  <c r="AV26" i="4" s="1"/>
  <c r="AV6" i="2"/>
  <c r="AV6" i="4" s="1"/>
  <c r="AV98" i="2"/>
  <c r="AV98" i="4" s="1"/>
  <c r="AV86" i="2"/>
  <c r="AV86" i="4" s="1"/>
  <c r="AV82" i="2"/>
  <c r="AV82" i="4" s="1"/>
  <c r="AV46" i="2"/>
  <c r="AV46" i="4" s="1"/>
  <c r="AV34" i="2"/>
  <c r="AV34" i="4" s="1"/>
  <c r="AV97" i="2"/>
  <c r="AV97" i="4" s="1"/>
  <c r="AV89" i="2"/>
  <c r="AV89" i="4" s="1"/>
  <c r="AV85" i="2"/>
  <c r="AV85" i="4" s="1"/>
  <c r="AV81" i="2"/>
  <c r="AV81" i="4" s="1"/>
  <c r="AV70" i="2"/>
  <c r="AV70" i="4" s="1"/>
  <c r="AV66" i="2"/>
  <c r="AV66" i="4" s="1"/>
  <c r="AV93" i="2"/>
  <c r="AV93" i="4" s="1"/>
  <c r="AV9" i="2"/>
  <c r="AV9" i="4" s="1"/>
  <c r="AV64" i="2"/>
  <c r="AV64" i="4" s="1"/>
  <c r="AV121" i="2"/>
  <c r="AV121" i="4" s="1"/>
  <c r="AV77" i="2"/>
  <c r="AV77" i="4" s="1"/>
  <c r="AV65" i="2"/>
  <c r="AV65" i="4" s="1"/>
  <c r="AV68" i="2"/>
  <c r="AV68" i="4" s="1"/>
  <c r="AV60" i="2"/>
  <c r="AV60" i="4" s="1"/>
  <c r="AV44" i="2"/>
  <c r="AV44" i="4" s="1"/>
  <c r="AV20" i="2"/>
  <c r="AV20" i="4" s="1"/>
  <c r="AV16" i="2"/>
  <c r="AV16" i="4" s="1"/>
  <c r="AV3" i="2"/>
  <c r="AV3" i="4" s="1"/>
  <c r="AV95" i="2"/>
  <c r="AV95" i="4" s="1"/>
  <c r="AV130" i="2"/>
  <c r="AV130" i="4" s="1"/>
  <c r="AV126" i="2"/>
  <c r="AV126" i="4" s="1"/>
  <c r="AV122" i="2"/>
  <c r="AV122" i="4" s="1"/>
  <c r="AV118" i="2"/>
  <c r="AV118" i="4" s="1"/>
  <c r="AV114" i="2"/>
  <c r="AV114" i="4" s="1"/>
  <c r="AV110" i="2"/>
  <c r="AV110" i="4" s="1"/>
  <c r="AV106" i="2"/>
  <c r="AV106" i="4" s="1"/>
  <c r="AV102" i="2"/>
  <c r="AV102" i="4" s="1"/>
  <c r="AV90" i="2"/>
  <c r="AV90" i="4" s="1"/>
  <c r="AV74" i="2"/>
  <c r="AV74" i="4" s="1"/>
  <c r="AV73" i="2"/>
  <c r="AV73" i="4" s="1"/>
  <c r="AV69" i="2"/>
  <c r="AV69" i="4" s="1"/>
  <c r="AV57" i="2"/>
  <c r="AV57" i="4" s="1"/>
  <c r="AV53" i="2"/>
  <c r="AV53" i="4" s="1"/>
  <c r="AV49" i="2"/>
  <c r="AV49" i="4" s="1"/>
  <c r="AV25" i="2"/>
  <c r="AV25" i="4" s="1"/>
  <c r="AV21" i="2"/>
  <c r="AV21" i="4" s="1"/>
  <c r="AV72" i="2"/>
  <c r="AV72" i="4" s="1"/>
  <c r="AV52" i="2"/>
  <c r="AV52" i="4" s="1"/>
  <c r="AV40" i="2"/>
  <c r="AV40" i="4" s="1"/>
  <c r="AV28" i="2"/>
  <c r="AV28" i="4" s="1"/>
  <c r="AV24" i="2"/>
  <c r="AV24" i="4" s="1"/>
  <c r="AV4" i="2"/>
  <c r="AV4" i="4" s="1"/>
  <c r="AV99" i="2"/>
  <c r="AV99" i="4" s="1"/>
  <c r="AV36" i="2"/>
  <c r="AV36" i="4" s="1"/>
  <c r="AV8" i="2"/>
  <c r="AV8" i="4" s="1"/>
  <c r="AV71" i="2"/>
  <c r="AV71" i="4" s="1"/>
  <c r="AV67" i="2"/>
  <c r="AV67" i="4" s="1"/>
  <c r="AV59" i="2"/>
  <c r="AV59" i="4" s="1"/>
  <c r="AV27" i="2"/>
  <c r="AV27" i="4" s="1"/>
  <c r="AV43" i="2"/>
  <c r="AV43" i="4" s="1"/>
  <c r="AV112" i="2"/>
  <c r="AV112" i="4" s="1"/>
  <c r="AV61" i="2"/>
  <c r="AV61" i="4" s="1"/>
  <c r="AV45" i="2"/>
  <c r="AV45" i="4" s="1"/>
  <c r="AV41" i="2"/>
  <c r="AV41" i="4" s="1"/>
  <c r="AV37" i="2"/>
  <c r="AV37" i="4" s="1"/>
  <c r="AV33" i="2"/>
  <c r="AV33" i="4" s="1"/>
  <c r="AV17" i="2"/>
  <c r="AV17" i="4" s="1"/>
  <c r="AV79" i="2"/>
  <c r="AV79" i="4" s="1"/>
  <c r="AV75" i="2"/>
  <c r="AV75" i="4" s="1"/>
  <c r="AV63" i="2"/>
  <c r="AV63" i="4" s="1"/>
  <c r="AV55" i="2"/>
  <c r="AV55" i="4" s="1"/>
  <c r="AV39" i="2"/>
  <c r="AV39" i="4" s="1"/>
  <c r="AV23" i="2"/>
  <c r="AV23" i="4" s="1"/>
  <c r="AV19" i="2"/>
  <c r="AV19" i="4" s="1"/>
  <c r="AV124" i="2"/>
  <c r="AV124" i="4" s="1"/>
  <c r="AV116" i="2"/>
  <c r="AV116" i="4" s="1"/>
  <c r="AV108" i="2"/>
  <c r="AV108" i="4" s="1"/>
  <c r="AV100" i="2"/>
  <c r="AV100" i="4" s="1"/>
  <c r="AV105" i="2"/>
  <c r="AV105" i="4" s="1"/>
  <c r="AV5" i="2"/>
  <c r="AV5" i="4" s="1"/>
  <c r="AV125" i="2"/>
  <c r="AV125" i="4" s="1"/>
  <c r="AV109" i="2"/>
  <c r="AV109" i="4" s="1"/>
  <c r="AV96" i="2"/>
  <c r="AV96" i="4" s="1"/>
  <c r="AV92" i="2"/>
  <c r="AV92" i="4" s="1"/>
  <c r="AV88" i="2"/>
  <c r="AV88" i="4" s="1"/>
  <c r="AV84" i="2"/>
  <c r="AV84" i="4" s="1"/>
  <c r="AV32" i="2"/>
  <c r="AV32" i="4" s="1"/>
  <c r="AV91" i="2"/>
  <c r="AV91" i="4" s="1"/>
  <c r="AV87" i="2"/>
  <c r="AV87" i="4" s="1"/>
  <c r="AV47" i="2"/>
  <c r="AV47" i="4" s="1"/>
  <c r="AV7" i="2"/>
  <c r="AV7" i="4" s="1"/>
  <c r="AV120" i="2"/>
  <c r="AV120" i="4" s="1"/>
  <c r="AV29" i="2"/>
  <c r="AV29" i="4" s="1"/>
  <c r="AV56" i="2"/>
  <c r="AV56" i="4" s="1"/>
  <c r="AV48" i="2"/>
  <c r="AV48" i="4" s="1"/>
  <c r="AV83" i="2"/>
  <c r="AV83" i="4" s="1"/>
  <c r="AV51" i="2"/>
  <c r="AV51" i="4" s="1"/>
  <c r="AV35" i="2"/>
  <c r="AV35" i="4" s="1"/>
  <c r="AV31" i="2"/>
  <c r="AV31" i="4" s="1"/>
  <c r="AV15" i="2"/>
  <c r="AV15" i="4" s="1"/>
  <c r="AV11" i="2"/>
  <c r="AV11" i="4" s="1"/>
  <c r="AV123" i="2"/>
  <c r="AV123" i="4" s="1"/>
  <c r="AV119" i="2"/>
  <c r="AV119" i="4" s="1"/>
  <c r="AV115" i="2"/>
  <c r="AV115" i="4" s="1"/>
  <c r="AV111" i="2"/>
  <c r="AV111" i="4" s="1"/>
  <c r="AV107" i="2"/>
  <c r="AV107" i="4" s="1"/>
  <c r="AV103" i="2"/>
  <c r="AV103" i="4" s="1"/>
  <c r="AV13" i="2"/>
  <c r="AV13" i="4" s="1"/>
  <c r="AV80" i="2"/>
  <c r="AV80" i="4" s="1"/>
  <c r="AV12" i="2"/>
  <c r="AV12" i="4" s="1"/>
  <c r="AV127" i="2"/>
  <c r="AV127" i="4" s="1"/>
  <c r="AV104" i="2"/>
  <c r="AV104" i="4" s="1"/>
  <c r="AX1" i="4" l="1"/>
  <c r="AY2" i="4"/>
  <c r="AX2" i="2"/>
  <c r="AW83" i="2"/>
  <c r="AW83" i="4" s="1"/>
  <c r="AW95" i="2"/>
  <c r="AW95" i="4" s="1"/>
  <c r="AW114" i="2"/>
  <c r="AW114" i="4" s="1"/>
  <c r="AW130" i="2"/>
  <c r="AW130" i="4" s="1"/>
  <c r="AW90" i="2"/>
  <c r="AW90" i="4" s="1"/>
  <c r="AW86" i="2"/>
  <c r="AW86" i="4" s="1"/>
  <c r="AW82" i="2"/>
  <c r="AW82" i="4" s="1"/>
  <c r="AW62" i="2"/>
  <c r="AW62" i="4" s="1"/>
  <c r="AW58" i="2"/>
  <c r="AW58" i="4" s="1"/>
  <c r="AW54" i="2"/>
  <c r="AW54" i="4" s="1"/>
  <c r="AW50" i="2"/>
  <c r="AW50" i="4" s="1"/>
  <c r="AW42" i="2"/>
  <c r="AW42" i="4" s="1"/>
  <c r="AW38" i="2"/>
  <c r="AW38" i="4" s="1"/>
  <c r="AW30" i="2"/>
  <c r="AW30" i="4" s="1"/>
  <c r="AW22" i="2"/>
  <c r="AW22" i="4" s="1"/>
  <c r="AW14" i="2"/>
  <c r="AW14" i="4" s="1"/>
  <c r="AW10" i="2"/>
  <c r="AW10" i="4" s="1"/>
  <c r="AW6" i="2"/>
  <c r="AW6" i="4" s="1"/>
  <c r="AW74" i="2"/>
  <c r="AW74" i="4" s="1"/>
  <c r="AW66" i="2"/>
  <c r="AW66" i="4" s="1"/>
  <c r="AW46" i="2"/>
  <c r="AW46" i="4" s="1"/>
  <c r="AW34" i="2"/>
  <c r="AW34" i="4" s="1"/>
  <c r="AW26" i="2"/>
  <c r="AW26" i="4" s="1"/>
  <c r="AW118" i="2"/>
  <c r="AW118" i="4" s="1"/>
  <c r="AW102" i="2"/>
  <c r="AW102" i="4" s="1"/>
  <c r="AW98" i="2"/>
  <c r="AW98" i="4" s="1"/>
  <c r="AW94" i="2"/>
  <c r="AW94" i="4" s="1"/>
  <c r="AW78" i="2"/>
  <c r="AW78" i="4" s="1"/>
  <c r="AW18" i="2"/>
  <c r="AW18" i="4" s="1"/>
  <c r="AW93" i="2"/>
  <c r="AW93" i="4" s="1"/>
  <c r="AW89" i="2"/>
  <c r="AW89" i="4" s="1"/>
  <c r="AW85" i="2"/>
  <c r="AW85" i="4" s="1"/>
  <c r="AW81" i="2"/>
  <c r="AW81" i="4" s="1"/>
  <c r="AW129" i="2"/>
  <c r="AW129" i="4" s="1"/>
  <c r="AW125" i="2"/>
  <c r="AW125" i="4" s="1"/>
  <c r="AW121" i="2"/>
  <c r="AW121" i="4" s="1"/>
  <c r="AW117" i="2"/>
  <c r="AW117" i="4" s="1"/>
  <c r="AW113" i="2"/>
  <c r="AW113" i="4" s="1"/>
  <c r="AW109" i="2"/>
  <c r="AW109" i="4" s="1"/>
  <c r="AW105" i="2"/>
  <c r="AW105" i="4" s="1"/>
  <c r="AW101" i="2"/>
  <c r="AW101" i="4" s="1"/>
  <c r="AW97" i="2"/>
  <c r="AW97" i="4" s="1"/>
  <c r="AW57" i="2"/>
  <c r="AW57" i="4" s="1"/>
  <c r="AW64" i="2"/>
  <c r="AW64" i="4" s="1"/>
  <c r="AW122" i="2"/>
  <c r="AW122" i="4" s="1"/>
  <c r="AW77" i="2"/>
  <c r="AW77" i="4" s="1"/>
  <c r="AW61" i="2"/>
  <c r="AW61" i="4" s="1"/>
  <c r="AW29" i="2"/>
  <c r="AW29" i="4" s="1"/>
  <c r="AW9" i="2"/>
  <c r="AW9" i="4" s="1"/>
  <c r="AW68" i="2"/>
  <c r="AW68" i="4" s="1"/>
  <c r="AW60" i="2"/>
  <c r="AW60" i="4" s="1"/>
  <c r="AW8" i="2"/>
  <c r="AW8" i="4" s="1"/>
  <c r="AW119" i="2"/>
  <c r="AW119" i="4" s="1"/>
  <c r="AW103" i="2"/>
  <c r="AW103" i="4" s="1"/>
  <c r="AW3" i="2"/>
  <c r="AW3" i="4" s="1"/>
  <c r="AW70" i="2"/>
  <c r="AW70" i="4" s="1"/>
  <c r="AW53" i="2"/>
  <c r="AW53" i="4" s="1"/>
  <c r="AW49" i="2"/>
  <c r="AW49" i="4" s="1"/>
  <c r="AW25" i="2"/>
  <c r="AW25" i="4" s="1"/>
  <c r="AW21" i="2"/>
  <c r="AW21" i="4" s="1"/>
  <c r="AW72" i="2"/>
  <c r="AW72" i="4" s="1"/>
  <c r="AW56" i="2"/>
  <c r="AW56" i="4" s="1"/>
  <c r="AW40" i="2"/>
  <c r="AW40" i="4" s="1"/>
  <c r="AW28" i="2"/>
  <c r="AW28" i="4" s="1"/>
  <c r="AW20" i="2"/>
  <c r="AW20" i="4" s="1"/>
  <c r="AW4" i="2"/>
  <c r="AW4" i="4" s="1"/>
  <c r="AW123" i="2"/>
  <c r="AW123" i="4" s="1"/>
  <c r="AW107" i="2"/>
  <c r="AW107" i="4" s="1"/>
  <c r="AW52" i="2"/>
  <c r="AW52" i="4" s="1"/>
  <c r="AW127" i="2"/>
  <c r="AW127" i="4" s="1"/>
  <c r="AW71" i="2"/>
  <c r="AW71" i="4" s="1"/>
  <c r="AW67" i="2"/>
  <c r="AW67" i="4" s="1"/>
  <c r="AW43" i="2"/>
  <c r="AW43" i="4" s="1"/>
  <c r="AW7" i="2"/>
  <c r="AW7" i="4" s="1"/>
  <c r="AW128" i="2"/>
  <c r="AW128" i="4" s="1"/>
  <c r="AW73" i="2"/>
  <c r="AW73" i="4" s="1"/>
  <c r="AW69" i="2"/>
  <c r="AW69" i="4" s="1"/>
  <c r="AW65" i="2"/>
  <c r="AW65" i="4" s="1"/>
  <c r="AW45" i="2"/>
  <c r="AW45" i="4" s="1"/>
  <c r="AW41" i="2"/>
  <c r="AW41" i="4" s="1"/>
  <c r="AW37" i="2"/>
  <c r="AW37" i="4" s="1"/>
  <c r="AW33" i="2"/>
  <c r="AW33" i="4" s="1"/>
  <c r="AW17" i="2"/>
  <c r="AW17" i="4" s="1"/>
  <c r="AW5" i="2"/>
  <c r="AW5" i="4" s="1"/>
  <c r="AW126" i="2"/>
  <c r="AW126" i="4" s="1"/>
  <c r="AW110" i="2"/>
  <c r="AW110" i="4" s="1"/>
  <c r="AW32" i="2"/>
  <c r="AW32" i="4" s="1"/>
  <c r="AW16" i="2"/>
  <c r="AW16" i="4" s="1"/>
  <c r="AW75" i="2"/>
  <c r="AW75" i="4" s="1"/>
  <c r="AW55" i="2"/>
  <c r="AW55" i="4" s="1"/>
  <c r="AW23" i="2"/>
  <c r="AW23" i="4" s="1"/>
  <c r="AW91" i="2"/>
  <c r="AW91" i="4" s="1"/>
  <c r="AW96" i="2"/>
  <c r="AW96" i="4" s="1"/>
  <c r="AW92" i="2"/>
  <c r="AW92" i="4" s="1"/>
  <c r="AW88" i="2"/>
  <c r="AW88" i="4" s="1"/>
  <c r="AW84" i="2"/>
  <c r="AW84" i="4" s="1"/>
  <c r="AW36" i="2"/>
  <c r="AW36" i="4" s="1"/>
  <c r="AW115" i="2"/>
  <c r="AW115" i="4" s="1"/>
  <c r="AW63" i="2"/>
  <c r="AW63" i="4" s="1"/>
  <c r="AW59" i="2"/>
  <c r="AW59" i="4" s="1"/>
  <c r="AW47" i="2"/>
  <c r="AW47" i="4" s="1"/>
  <c r="AW31" i="2"/>
  <c r="AW31" i="4" s="1"/>
  <c r="AW106" i="2"/>
  <c r="AW106" i="4" s="1"/>
  <c r="AW13" i="2"/>
  <c r="AW13" i="4" s="1"/>
  <c r="AW44" i="2"/>
  <c r="AW44" i="4" s="1"/>
  <c r="AW24" i="2"/>
  <c r="AW24" i="4" s="1"/>
  <c r="AW12" i="2"/>
  <c r="AW12" i="4" s="1"/>
  <c r="AW111" i="2"/>
  <c r="AW111" i="4" s="1"/>
  <c r="AW87" i="2"/>
  <c r="AW87" i="4" s="1"/>
  <c r="AW51" i="2"/>
  <c r="AW51" i="4" s="1"/>
  <c r="AW39" i="2"/>
  <c r="AW39" i="4" s="1"/>
  <c r="AW35" i="2"/>
  <c r="AW35" i="4" s="1"/>
  <c r="AW27" i="2"/>
  <c r="AW27" i="4" s="1"/>
  <c r="AW19" i="2"/>
  <c r="AW19" i="4" s="1"/>
  <c r="AW11" i="2"/>
  <c r="AW11" i="4" s="1"/>
  <c r="AW124" i="2"/>
  <c r="AW124" i="4" s="1"/>
  <c r="AW120" i="2"/>
  <c r="AW120" i="4" s="1"/>
  <c r="AW116" i="2"/>
  <c r="AW116" i="4" s="1"/>
  <c r="AW112" i="2"/>
  <c r="AW112" i="4" s="1"/>
  <c r="AW108" i="2"/>
  <c r="AW108" i="4" s="1"/>
  <c r="AW104" i="2"/>
  <c r="AW104" i="4" s="1"/>
  <c r="AW100" i="2"/>
  <c r="AW100" i="4" s="1"/>
  <c r="AW79" i="2"/>
  <c r="AW79" i="4" s="1"/>
  <c r="AW80" i="2"/>
  <c r="AW80" i="4" s="1"/>
  <c r="AW76" i="2"/>
  <c r="AW76" i="4" s="1"/>
  <c r="AW48" i="2"/>
  <c r="AW48" i="4" s="1"/>
  <c r="AW15" i="2"/>
  <c r="AW15" i="4" s="1"/>
  <c r="AW99" i="2"/>
  <c r="AW99" i="4" s="1"/>
  <c r="AY1" i="4" l="1"/>
  <c r="AZ2" i="4"/>
  <c r="AY2" i="2"/>
  <c r="AX84" i="2"/>
  <c r="AX84" i="4" s="1"/>
  <c r="AX67" i="2"/>
  <c r="AX67" i="4" s="1"/>
  <c r="AX111" i="2"/>
  <c r="AX111" i="4" s="1"/>
  <c r="AX127" i="2"/>
  <c r="AX127" i="4" s="1"/>
  <c r="AX107" i="2"/>
  <c r="AX107" i="4" s="1"/>
  <c r="AX123" i="2"/>
  <c r="AX123" i="4" s="1"/>
  <c r="AX96" i="2"/>
  <c r="AX96" i="4" s="1"/>
  <c r="AX103" i="2"/>
  <c r="AX103" i="4" s="1"/>
  <c r="AX119" i="2"/>
  <c r="AX119" i="4" s="1"/>
  <c r="AX115" i="2"/>
  <c r="AX115" i="4" s="1"/>
  <c r="AX126" i="2"/>
  <c r="AX126" i="4" s="1"/>
  <c r="AX122" i="2"/>
  <c r="AX122" i="4" s="1"/>
  <c r="AX118" i="2"/>
  <c r="AX118" i="4" s="1"/>
  <c r="AX114" i="2"/>
  <c r="AX114" i="4" s="1"/>
  <c r="AX110" i="2"/>
  <c r="AX110" i="4" s="1"/>
  <c r="AX106" i="2"/>
  <c r="AX106" i="4" s="1"/>
  <c r="AX102" i="2"/>
  <c r="AX102" i="4" s="1"/>
  <c r="AX98" i="2"/>
  <c r="AX98" i="4" s="1"/>
  <c r="AX94" i="2"/>
  <c r="AX94" i="4" s="1"/>
  <c r="AX90" i="2"/>
  <c r="AX90" i="4" s="1"/>
  <c r="AX86" i="2"/>
  <c r="AX86" i="4" s="1"/>
  <c r="AX82" i="2"/>
  <c r="AX82" i="4" s="1"/>
  <c r="AX74" i="2"/>
  <c r="AX74" i="4" s="1"/>
  <c r="AX70" i="2"/>
  <c r="AX70" i="4" s="1"/>
  <c r="AX66" i="2"/>
  <c r="AX66" i="4" s="1"/>
  <c r="AX54" i="2"/>
  <c r="AX54" i="4" s="1"/>
  <c r="AX50" i="2"/>
  <c r="AX50" i="4" s="1"/>
  <c r="AX46" i="2"/>
  <c r="AX46" i="4" s="1"/>
  <c r="AX42" i="2"/>
  <c r="AX42" i="4" s="1"/>
  <c r="AX38" i="2"/>
  <c r="AX38" i="4" s="1"/>
  <c r="AX30" i="2"/>
  <c r="AX30" i="4" s="1"/>
  <c r="AX22" i="2"/>
  <c r="AX22" i="4" s="1"/>
  <c r="AX14" i="2"/>
  <c r="AX14" i="4" s="1"/>
  <c r="AX6" i="2"/>
  <c r="AX6" i="4" s="1"/>
  <c r="AX58" i="2"/>
  <c r="AX58" i="4" s="1"/>
  <c r="AX34" i="2"/>
  <c r="AX34" i="4" s="1"/>
  <c r="AX26" i="2"/>
  <c r="AX26" i="4" s="1"/>
  <c r="AX62" i="2"/>
  <c r="AX62" i="4" s="1"/>
  <c r="AX18" i="2"/>
  <c r="AX18" i="4" s="1"/>
  <c r="AX10" i="2"/>
  <c r="AX10" i="4" s="1"/>
  <c r="AX93" i="2"/>
  <c r="AX93" i="4" s="1"/>
  <c r="AX89" i="2"/>
  <c r="AX89" i="4" s="1"/>
  <c r="AX85" i="2"/>
  <c r="AX85" i="4" s="1"/>
  <c r="AX129" i="2"/>
  <c r="AX129" i="4" s="1"/>
  <c r="AX125" i="2"/>
  <c r="AX125" i="4" s="1"/>
  <c r="AX121" i="2"/>
  <c r="AX121" i="4" s="1"/>
  <c r="AX117" i="2"/>
  <c r="AX117" i="4" s="1"/>
  <c r="AX113" i="2"/>
  <c r="AX113" i="4" s="1"/>
  <c r="AX109" i="2"/>
  <c r="AX109" i="4" s="1"/>
  <c r="AX105" i="2"/>
  <c r="AX105" i="4" s="1"/>
  <c r="AX101" i="2"/>
  <c r="AX101" i="4" s="1"/>
  <c r="AX97" i="2"/>
  <c r="AX97" i="4" s="1"/>
  <c r="AX9" i="2"/>
  <c r="AX9" i="4" s="1"/>
  <c r="AX5" i="2"/>
  <c r="AX5" i="4" s="1"/>
  <c r="AX64" i="2"/>
  <c r="AX64" i="4" s="1"/>
  <c r="AX130" i="2"/>
  <c r="AX130" i="4" s="1"/>
  <c r="AX61" i="2"/>
  <c r="AX61" i="4" s="1"/>
  <c r="AX45" i="2"/>
  <c r="AX45" i="4" s="1"/>
  <c r="AX29" i="2"/>
  <c r="AX29" i="4" s="1"/>
  <c r="AX13" i="2"/>
  <c r="AX13" i="4" s="1"/>
  <c r="AX68" i="2"/>
  <c r="AX68" i="4" s="1"/>
  <c r="AX32" i="2"/>
  <c r="AX32" i="4" s="1"/>
  <c r="AX120" i="2"/>
  <c r="AX120" i="4" s="1"/>
  <c r="AX104" i="2"/>
  <c r="AX104" i="4" s="1"/>
  <c r="AX99" i="2"/>
  <c r="AX99" i="4" s="1"/>
  <c r="AX3" i="2"/>
  <c r="AX3" i="4" s="1"/>
  <c r="AX91" i="2"/>
  <c r="AX91" i="4" s="1"/>
  <c r="AX33" i="2"/>
  <c r="AX33" i="4" s="1"/>
  <c r="AX72" i="2"/>
  <c r="AX72" i="4" s="1"/>
  <c r="AX56" i="2"/>
  <c r="AX56" i="4" s="1"/>
  <c r="AX20" i="2"/>
  <c r="AX20" i="4" s="1"/>
  <c r="AX16" i="2"/>
  <c r="AX16" i="4" s="1"/>
  <c r="AX8" i="2"/>
  <c r="AX8" i="4" s="1"/>
  <c r="AX4" i="2"/>
  <c r="AX4" i="4" s="1"/>
  <c r="AX124" i="2"/>
  <c r="AX124" i="4" s="1"/>
  <c r="AX108" i="2"/>
  <c r="AX108" i="4" s="1"/>
  <c r="AX60" i="2"/>
  <c r="AX60" i="4" s="1"/>
  <c r="AX52" i="2"/>
  <c r="AX52" i="4" s="1"/>
  <c r="AX44" i="2"/>
  <c r="AX44" i="4" s="1"/>
  <c r="AX40" i="2"/>
  <c r="AX40" i="4" s="1"/>
  <c r="AX128" i="2"/>
  <c r="AX128" i="4" s="1"/>
  <c r="AX75" i="2"/>
  <c r="AX75" i="4" s="1"/>
  <c r="AX71" i="2"/>
  <c r="AX71" i="4" s="1"/>
  <c r="AX35" i="2"/>
  <c r="AX35" i="4" s="1"/>
  <c r="AX19" i="2"/>
  <c r="AX19" i="4" s="1"/>
  <c r="AX11" i="2"/>
  <c r="AX11" i="4" s="1"/>
  <c r="AX95" i="2"/>
  <c r="AX95" i="4" s="1"/>
  <c r="AX78" i="2"/>
  <c r="AX78" i="4" s="1"/>
  <c r="AX81" i="2"/>
  <c r="AX81" i="4" s="1"/>
  <c r="AX77" i="2"/>
  <c r="AX77" i="4" s="1"/>
  <c r="AX73" i="2"/>
  <c r="AX73" i="4" s="1"/>
  <c r="AX69" i="2"/>
  <c r="AX69" i="4" s="1"/>
  <c r="AX65" i="2"/>
  <c r="AX65" i="4" s="1"/>
  <c r="AX57" i="2"/>
  <c r="AX57" i="4" s="1"/>
  <c r="AX53" i="2"/>
  <c r="AX53" i="4" s="1"/>
  <c r="AX49" i="2"/>
  <c r="AX49" i="4" s="1"/>
  <c r="AX37" i="2"/>
  <c r="AX37" i="4" s="1"/>
  <c r="AX25" i="2"/>
  <c r="AX25" i="4" s="1"/>
  <c r="AX21" i="2"/>
  <c r="AX21" i="4" s="1"/>
  <c r="AX12" i="2"/>
  <c r="AX12" i="4" s="1"/>
  <c r="AX100" i="2"/>
  <c r="AX100" i="4" s="1"/>
  <c r="AX63" i="2"/>
  <c r="AX63" i="4" s="1"/>
  <c r="AX55" i="2"/>
  <c r="AX55" i="4" s="1"/>
  <c r="AX23" i="2"/>
  <c r="AX23" i="4" s="1"/>
  <c r="AX7" i="2"/>
  <c r="AX7" i="4" s="1"/>
  <c r="AX92" i="2"/>
  <c r="AX92" i="4" s="1"/>
  <c r="AX41" i="2"/>
  <c r="AX41" i="4" s="1"/>
  <c r="AX28" i="2"/>
  <c r="AX28" i="4" s="1"/>
  <c r="AX116" i="2"/>
  <c r="AX116" i="4" s="1"/>
  <c r="AX83" i="2"/>
  <c r="AX83" i="4" s="1"/>
  <c r="AX59" i="2"/>
  <c r="AX59" i="4" s="1"/>
  <c r="AX47" i="2"/>
  <c r="AX47" i="4" s="1"/>
  <c r="AX43" i="2"/>
  <c r="AX43" i="4" s="1"/>
  <c r="AX31" i="2"/>
  <c r="AX31" i="4" s="1"/>
  <c r="AX15" i="2"/>
  <c r="AX15" i="4" s="1"/>
  <c r="AX36" i="2"/>
  <c r="AX36" i="4" s="1"/>
  <c r="AX24" i="2"/>
  <c r="AX24" i="4" s="1"/>
  <c r="AX112" i="2"/>
  <c r="AX112" i="4" s="1"/>
  <c r="AX88" i="2"/>
  <c r="AX88" i="4" s="1"/>
  <c r="AX79" i="2"/>
  <c r="AX79" i="4" s="1"/>
  <c r="AX51" i="2"/>
  <c r="AX51" i="4" s="1"/>
  <c r="AX39" i="2"/>
  <c r="AX39" i="4" s="1"/>
  <c r="AX27" i="2"/>
  <c r="AX27" i="4" s="1"/>
  <c r="AX80" i="2"/>
  <c r="AX80" i="4" s="1"/>
  <c r="AX17" i="2"/>
  <c r="AX17" i="4" s="1"/>
  <c r="AX76" i="2"/>
  <c r="AX76" i="4" s="1"/>
  <c r="AX48" i="2"/>
  <c r="AX48" i="4" s="1"/>
  <c r="AX87" i="2"/>
  <c r="AX87" i="4" s="1"/>
  <c r="AZ1" i="4" l="1"/>
  <c r="BA2" i="4"/>
  <c r="AZ2" i="2"/>
  <c r="AY127" i="2"/>
  <c r="AY127" i="4" s="1"/>
  <c r="AY68" i="2"/>
  <c r="AY68" i="4" s="1"/>
  <c r="AY112" i="2"/>
  <c r="AY112" i="4" s="1"/>
  <c r="AY128" i="2"/>
  <c r="AY128" i="4" s="1"/>
  <c r="AY108" i="2"/>
  <c r="AY108" i="4" s="1"/>
  <c r="AY124" i="2"/>
  <c r="AY124" i="4" s="1"/>
  <c r="AY104" i="2"/>
  <c r="AY104" i="4" s="1"/>
  <c r="AY120" i="2"/>
  <c r="AY120" i="4" s="1"/>
  <c r="AY100" i="2"/>
  <c r="AY100" i="4" s="1"/>
  <c r="AY116" i="2"/>
  <c r="AY116" i="4" s="1"/>
  <c r="AY130" i="2"/>
  <c r="AY130" i="4" s="1"/>
  <c r="AY126" i="2"/>
  <c r="AY126" i="4" s="1"/>
  <c r="AY122" i="2"/>
  <c r="AY122" i="4" s="1"/>
  <c r="AY118" i="2"/>
  <c r="AY118" i="4" s="1"/>
  <c r="AY114" i="2"/>
  <c r="AY114" i="4" s="1"/>
  <c r="AY110" i="2"/>
  <c r="AY110" i="4" s="1"/>
  <c r="AY106" i="2"/>
  <c r="AY106" i="4" s="1"/>
  <c r="AY102" i="2"/>
  <c r="AY102" i="4" s="1"/>
  <c r="AY98" i="2"/>
  <c r="AY98" i="4" s="1"/>
  <c r="AY94" i="2"/>
  <c r="AY94" i="4" s="1"/>
  <c r="AY90" i="2"/>
  <c r="AY90" i="4" s="1"/>
  <c r="AY86" i="2"/>
  <c r="AY86" i="4" s="1"/>
  <c r="AY82" i="2"/>
  <c r="AY82" i="4" s="1"/>
  <c r="AY74" i="2"/>
  <c r="AY74" i="4" s="1"/>
  <c r="AY70" i="2"/>
  <c r="AY70" i="4" s="1"/>
  <c r="AY66" i="2"/>
  <c r="AY66" i="4" s="1"/>
  <c r="AY46" i="2"/>
  <c r="AY46" i="4" s="1"/>
  <c r="AY10" i="2"/>
  <c r="AY10" i="4" s="1"/>
  <c r="AY97" i="2"/>
  <c r="AY97" i="4" s="1"/>
  <c r="AY78" i="2"/>
  <c r="AY78" i="4" s="1"/>
  <c r="AY58" i="2"/>
  <c r="AY58" i="4" s="1"/>
  <c r="AY54" i="2"/>
  <c r="AY54" i="4" s="1"/>
  <c r="AY50" i="2"/>
  <c r="AY50" i="4" s="1"/>
  <c r="AY34" i="2"/>
  <c r="AY34" i="4" s="1"/>
  <c r="AY26" i="2"/>
  <c r="AY26" i="4" s="1"/>
  <c r="AY22" i="2"/>
  <c r="AY22" i="4" s="1"/>
  <c r="AY85" i="2"/>
  <c r="AY85" i="4" s="1"/>
  <c r="AY62" i="2"/>
  <c r="AY62" i="4" s="1"/>
  <c r="AY18" i="2"/>
  <c r="AY18" i="4" s="1"/>
  <c r="AY93" i="2"/>
  <c r="AY93" i="4" s="1"/>
  <c r="AY89" i="2"/>
  <c r="AY89" i="4" s="1"/>
  <c r="AY38" i="2"/>
  <c r="AY38" i="4" s="1"/>
  <c r="AY61" i="2"/>
  <c r="AY61" i="4" s="1"/>
  <c r="AY41" i="2"/>
  <c r="AY41" i="4" s="1"/>
  <c r="AY37" i="2"/>
  <c r="AY37" i="4" s="1"/>
  <c r="AY33" i="2"/>
  <c r="AY33" i="4" s="1"/>
  <c r="AY17" i="2"/>
  <c r="AY17" i="4" s="1"/>
  <c r="AY13" i="2"/>
  <c r="AY13" i="4" s="1"/>
  <c r="AY92" i="2"/>
  <c r="AY92" i="4" s="1"/>
  <c r="AY88" i="2"/>
  <c r="AY88" i="4" s="1"/>
  <c r="AY84" i="2"/>
  <c r="AY84" i="4" s="1"/>
  <c r="AY80" i="2"/>
  <c r="AY80" i="4" s="1"/>
  <c r="AY129" i="2"/>
  <c r="AY129" i="4" s="1"/>
  <c r="AY125" i="2"/>
  <c r="AY125" i="4" s="1"/>
  <c r="AY121" i="2"/>
  <c r="AY121" i="4" s="1"/>
  <c r="AY117" i="2"/>
  <c r="AY117" i="4" s="1"/>
  <c r="AY113" i="2"/>
  <c r="AY113" i="4" s="1"/>
  <c r="AY109" i="2"/>
  <c r="AY109" i="4" s="1"/>
  <c r="AY105" i="2"/>
  <c r="AY105" i="4" s="1"/>
  <c r="AY101" i="2"/>
  <c r="AY101" i="4" s="1"/>
  <c r="AY45" i="2"/>
  <c r="AY45" i="4" s="1"/>
  <c r="AY9" i="2"/>
  <c r="AY9" i="4" s="1"/>
  <c r="AY76" i="2"/>
  <c r="AY76" i="4" s="1"/>
  <c r="AY72" i="2"/>
  <c r="AY72" i="4" s="1"/>
  <c r="AY32" i="2"/>
  <c r="AY32" i="4" s="1"/>
  <c r="AY12" i="2"/>
  <c r="AY12" i="4" s="1"/>
  <c r="AY4" i="2"/>
  <c r="AY4" i="4" s="1"/>
  <c r="AY99" i="2"/>
  <c r="AY99" i="4" s="1"/>
  <c r="AY91" i="2"/>
  <c r="AY91" i="4" s="1"/>
  <c r="AY42" i="2"/>
  <c r="AY42" i="4" s="1"/>
  <c r="AY30" i="2"/>
  <c r="AY30" i="4" s="1"/>
  <c r="AY14" i="2"/>
  <c r="AY14" i="4" s="1"/>
  <c r="AY81" i="2"/>
  <c r="AY81" i="4" s="1"/>
  <c r="AY29" i="2"/>
  <c r="AY29" i="4" s="1"/>
  <c r="AY5" i="2"/>
  <c r="AY5" i="4" s="1"/>
  <c r="AY56" i="2"/>
  <c r="AY56" i="4" s="1"/>
  <c r="AY44" i="2"/>
  <c r="AY44" i="4" s="1"/>
  <c r="AY20" i="2"/>
  <c r="AY20" i="4" s="1"/>
  <c r="AY3" i="2"/>
  <c r="AY3" i="4" s="1"/>
  <c r="AY95" i="2"/>
  <c r="AY95" i="4" s="1"/>
  <c r="AY64" i="2"/>
  <c r="AY64" i="4" s="1"/>
  <c r="AY60" i="2"/>
  <c r="AY60" i="4" s="1"/>
  <c r="AY52" i="2"/>
  <c r="AY52" i="4" s="1"/>
  <c r="AY40" i="2"/>
  <c r="AY40" i="4" s="1"/>
  <c r="AY36" i="2"/>
  <c r="AY36" i="4" s="1"/>
  <c r="AY87" i="2"/>
  <c r="AY87" i="4" s="1"/>
  <c r="AY75" i="2"/>
  <c r="AY75" i="4" s="1"/>
  <c r="AY63" i="2"/>
  <c r="AY63" i="4" s="1"/>
  <c r="AY55" i="2"/>
  <c r="AY55" i="4" s="1"/>
  <c r="AY35" i="2"/>
  <c r="AY35" i="4" s="1"/>
  <c r="AY27" i="2"/>
  <c r="AY27" i="4" s="1"/>
  <c r="AY23" i="2"/>
  <c r="AY23" i="4" s="1"/>
  <c r="AY19" i="2"/>
  <c r="AY19" i="4" s="1"/>
  <c r="AY11" i="2"/>
  <c r="AY11" i="4" s="1"/>
  <c r="AY96" i="2"/>
  <c r="AY96" i="4" s="1"/>
  <c r="AY115" i="2"/>
  <c r="AY115" i="4" s="1"/>
  <c r="AY107" i="2"/>
  <c r="AY107" i="4" s="1"/>
  <c r="AY77" i="2"/>
  <c r="AY77" i="4" s="1"/>
  <c r="AY73" i="2"/>
  <c r="AY73" i="4" s="1"/>
  <c r="AY69" i="2"/>
  <c r="AY69" i="4" s="1"/>
  <c r="AY65" i="2"/>
  <c r="AY65" i="4" s="1"/>
  <c r="AY57" i="2"/>
  <c r="AY57" i="4" s="1"/>
  <c r="AY53" i="2"/>
  <c r="AY53" i="4" s="1"/>
  <c r="AY49" i="2"/>
  <c r="AY49" i="4" s="1"/>
  <c r="AY25" i="2"/>
  <c r="AY25" i="4" s="1"/>
  <c r="AY21" i="2"/>
  <c r="AY21" i="4" s="1"/>
  <c r="AY8" i="2"/>
  <c r="AY8" i="4" s="1"/>
  <c r="AY71" i="2"/>
  <c r="AY71" i="4" s="1"/>
  <c r="AY67" i="2"/>
  <c r="AY67" i="4" s="1"/>
  <c r="AY59" i="2"/>
  <c r="AY59" i="4" s="1"/>
  <c r="AY51" i="2"/>
  <c r="AY51" i="4" s="1"/>
  <c r="AY119" i="2"/>
  <c r="AY119" i="4" s="1"/>
  <c r="AY111" i="2"/>
  <c r="AY111" i="4" s="1"/>
  <c r="AY103" i="2"/>
  <c r="AY103" i="4" s="1"/>
  <c r="AY6" i="2"/>
  <c r="AY6" i="4" s="1"/>
  <c r="AY28" i="2"/>
  <c r="AY28" i="4" s="1"/>
  <c r="AY16" i="2"/>
  <c r="AY16" i="4" s="1"/>
  <c r="AY83" i="2"/>
  <c r="AY83" i="4" s="1"/>
  <c r="AY43" i="2"/>
  <c r="AY43" i="4" s="1"/>
  <c r="AY31" i="2"/>
  <c r="AY31" i="4" s="1"/>
  <c r="AY7" i="2"/>
  <c r="AY7" i="4" s="1"/>
  <c r="AY24" i="2"/>
  <c r="AY24" i="4" s="1"/>
  <c r="AY79" i="2"/>
  <c r="AY79" i="4" s="1"/>
  <c r="AY47" i="2"/>
  <c r="AY47" i="4" s="1"/>
  <c r="AY39" i="2"/>
  <c r="AY39" i="4" s="1"/>
  <c r="AY48" i="2"/>
  <c r="AY48" i="4" s="1"/>
  <c r="AY15" i="2"/>
  <c r="AY15" i="4" s="1"/>
  <c r="AY123" i="2"/>
  <c r="AY123" i="4" s="1"/>
  <c r="BA1" i="4" l="1"/>
  <c r="BB2" i="4"/>
  <c r="BA2" i="2"/>
  <c r="AZ128" i="2"/>
  <c r="AZ128" i="4" s="1"/>
  <c r="AZ117" i="2"/>
  <c r="AZ117" i="4" s="1"/>
  <c r="AZ130" i="2"/>
  <c r="AZ130" i="4" s="1"/>
  <c r="AZ126" i="2"/>
  <c r="AZ126" i="4" s="1"/>
  <c r="AZ122" i="2"/>
  <c r="AZ122" i="4" s="1"/>
  <c r="AZ118" i="2"/>
  <c r="AZ118" i="4" s="1"/>
  <c r="AZ114" i="2"/>
  <c r="AZ114" i="4" s="1"/>
  <c r="AZ110" i="2"/>
  <c r="AZ110" i="4" s="1"/>
  <c r="AZ106" i="2"/>
  <c r="AZ106" i="4" s="1"/>
  <c r="AZ102" i="2"/>
  <c r="AZ102" i="4" s="1"/>
  <c r="AZ74" i="2"/>
  <c r="AZ74" i="4" s="1"/>
  <c r="AZ70" i="2"/>
  <c r="AZ70" i="4" s="1"/>
  <c r="AZ66" i="2"/>
  <c r="AZ66" i="4" s="1"/>
  <c r="AZ34" i="2"/>
  <c r="AZ34" i="4" s="1"/>
  <c r="AZ78" i="2"/>
  <c r="AZ78" i="4" s="1"/>
  <c r="AZ62" i="2"/>
  <c r="AZ62" i="4" s="1"/>
  <c r="AZ58" i="2"/>
  <c r="AZ58" i="4" s="1"/>
  <c r="AZ54" i="2"/>
  <c r="AZ54" i="4" s="1"/>
  <c r="AZ50" i="2"/>
  <c r="AZ50" i="4" s="1"/>
  <c r="AZ42" i="2"/>
  <c r="AZ42" i="4" s="1"/>
  <c r="AZ38" i="2"/>
  <c r="AZ38" i="4" s="1"/>
  <c r="AZ30" i="2"/>
  <c r="AZ30" i="4" s="1"/>
  <c r="AZ22" i="2"/>
  <c r="AZ22" i="4" s="1"/>
  <c r="AZ18" i="2"/>
  <c r="AZ18" i="4" s="1"/>
  <c r="AZ14" i="2"/>
  <c r="AZ14" i="4" s="1"/>
  <c r="AZ10" i="2"/>
  <c r="AZ10" i="4" s="1"/>
  <c r="AZ6" i="2"/>
  <c r="AZ6" i="4" s="1"/>
  <c r="AZ125" i="2"/>
  <c r="AZ125" i="4" s="1"/>
  <c r="AZ109" i="2"/>
  <c r="AZ109" i="4" s="1"/>
  <c r="AZ97" i="2"/>
  <c r="AZ97" i="4" s="1"/>
  <c r="AZ121" i="2"/>
  <c r="AZ121" i="4" s="1"/>
  <c r="AZ105" i="2"/>
  <c r="AZ105" i="4" s="1"/>
  <c r="AZ98" i="2"/>
  <c r="AZ98" i="4" s="1"/>
  <c r="AZ94" i="2"/>
  <c r="AZ94" i="4" s="1"/>
  <c r="AZ26" i="2"/>
  <c r="AZ26" i="4" s="1"/>
  <c r="AZ90" i="2"/>
  <c r="AZ90" i="4" s="1"/>
  <c r="AZ89" i="2"/>
  <c r="AZ89" i="4" s="1"/>
  <c r="AZ85" i="2"/>
  <c r="AZ85" i="4" s="1"/>
  <c r="AZ81" i="2"/>
  <c r="AZ81" i="4" s="1"/>
  <c r="AZ69" i="2"/>
  <c r="AZ69" i="4" s="1"/>
  <c r="AZ61" i="2"/>
  <c r="AZ61" i="4" s="1"/>
  <c r="AZ45" i="2"/>
  <c r="AZ45" i="4" s="1"/>
  <c r="AZ41" i="2"/>
  <c r="AZ41" i="4" s="1"/>
  <c r="AZ37" i="2"/>
  <c r="AZ37" i="4" s="1"/>
  <c r="AZ33" i="2"/>
  <c r="AZ33" i="4" s="1"/>
  <c r="AZ29" i="2"/>
  <c r="AZ29" i="4" s="1"/>
  <c r="AZ17" i="2"/>
  <c r="AZ17" i="4" s="1"/>
  <c r="AZ13" i="2"/>
  <c r="AZ13" i="4" s="1"/>
  <c r="AZ96" i="2"/>
  <c r="AZ96" i="4" s="1"/>
  <c r="AZ92" i="2"/>
  <c r="AZ92" i="4" s="1"/>
  <c r="AZ88" i="2"/>
  <c r="AZ88" i="4" s="1"/>
  <c r="AZ84" i="2"/>
  <c r="AZ84" i="4" s="1"/>
  <c r="AZ80" i="2"/>
  <c r="AZ80" i="4" s="1"/>
  <c r="AZ101" i="2"/>
  <c r="AZ101" i="4" s="1"/>
  <c r="AZ86" i="2"/>
  <c r="AZ86" i="4" s="1"/>
  <c r="AZ46" i="2"/>
  <c r="AZ46" i="4" s="1"/>
  <c r="AZ93" i="2"/>
  <c r="AZ93" i="4" s="1"/>
  <c r="AZ77" i="2"/>
  <c r="AZ77" i="4" s="1"/>
  <c r="AZ76" i="2"/>
  <c r="AZ76" i="4" s="1"/>
  <c r="AZ64" i="2"/>
  <c r="AZ64" i="4" s="1"/>
  <c r="AZ60" i="2"/>
  <c r="AZ60" i="4" s="1"/>
  <c r="AZ56" i="2"/>
  <c r="AZ56" i="4" s="1"/>
  <c r="AZ32" i="2"/>
  <c r="AZ32" i="4" s="1"/>
  <c r="AZ20" i="2"/>
  <c r="AZ20" i="4" s="1"/>
  <c r="AZ12" i="2"/>
  <c r="AZ12" i="4" s="1"/>
  <c r="AZ91" i="2"/>
  <c r="AZ91" i="4" s="1"/>
  <c r="AZ82" i="2"/>
  <c r="AZ82" i="4" s="1"/>
  <c r="AZ73" i="2"/>
  <c r="AZ73" i="4" s="1"/>
  <c r="AZ65" i="2"/>
  <c r="AZ65" i="4" s="1"/>
  <c r="AZ129" i="2"/>
  <c r="AZ129" i="4" s="1"/>
  <c r="AZ68" i="2"/>
  <c r="AZ68" i="4" s="1"/>
  <c r="AZ52" i="2"/>
  <c r="AZ52" i="4" s="1"/>
  <c r="AZ44" i="2"/>
  <c r="AZ44" i="4" s="1"/>
  <c r="AZ28" i="2"/>
  <c r="AZ28" i="4" s="1"/>
  <c r="AZ24" i="2"/>
  <c r="AZ24" i="4" s="1"/>
  <c r="AZ16" i="2"/>
  <c r="AZ16" i="4" s="1"/>
  <c r="AZ3" i="2"/>
  <c r="AZ3" i="4" s="1"/>
  <c r="AZ95" i="2"/>
  <c r="AZ95" i="4" s="1"/>
  <c r="AZ40" i="2"/>
  <c r="AZ40" i="4" s="1"/>
  <c r="AZ4" i="2"/>
  <c r="AZ4" i="4" s="1"/>
  <c r="AZ99" i="2"/>
  <c r="AZ99" i="4" s="1"/>
  <c r="AZ87" i="2"/>
  <c r="AZ87" i="4" s="1"/>
  <c r="AZ47" i="2"/>
  <c r="AZ47" i="4" s="1"/>
  <c r="AZ27" i="2"/>
  <c r="AZ27" i="4" s="1"/>
  <c r="AZ11" i="2"/>
  <c r="AZ11" i="4" s="1"/>
  <c r="AZ124" i="2"/>
  <c r="AZ124" i="4" s="1"/>
  <c r="AZ116" i="2"/>
  <c r="AZ116" i="4" s="1"/>
  <c r="AZ108" i="2"/>
  <c r="AZ108" i="4" s="1"/>
  <c r="AZ100" i="2"/>
  <c r="AZ100" i="4" s="1"/>
  <c r="AZ57" i="2"/>
  <c r="AZ57" i="4" s="1"/>
  <c r="AZ53" i="2"/>
  <c r="AZ53" i="4" s="1"/>
  <c r="AZ49" i="2"/>
  <c r="AZ49" i="4" s="1"/>
  <c r="AZ25" i="2"/>
  <c r="AZ25" i="4" s="1"/>
  <c r="AZ21" i="2"/>
  <c r="AZ21" i="4" s="1"/>
  <c r="AZ36" i="2"/>
  <c r="AZ36" i="4" s="1"/>
  <c r="AZ8" i="2"/>
  <c r="AZ8" i="4" s="1"/>
  <c r="AZ71" i="2"/>
  <c r="AZ71" i="4" s="1"/>
  <c r="AZ67" i="2"/>
  <c r="AZ67" i="4" s="1"/>
  <c r="AZ59" i="2"/>
  <c r="AZ59" i="4" s="1"/>
  <c r="AZ39" i="2"/>
  <c r="AZ39" i="4" s="1"/>
  <c r="AZ123" i="2"/>
  <c r="AZ123" i="4" s="1"/>
  <c r="AZ119" i="2"/>
  <c r="AZ119" i="4" s="1"/>
  <c r="AZ115" i="2"/>
  <c r="AZ115" i="4" s="1"/>
  <c r="AZ111" i="2"/>
  <c r="AZ111" i="4" s="1"/>
  <c r="AZ107" i="2"/>
  <c r="AZ107" i="4" s="1"/>
  <c r="AZ103" i="2"/>
  <c r="AZ103" i="4" s="1"/>
  <c r="AZ72" i="2"/>
  <c r="AZ72" i="4" s="1"/>
  <c r="AZ83" i="2"/>
  <c r="AZ83" i="4" s="1"/>
  <c r="AZ63" i="2"/>
  <c r="AZ63" i="4" s="1"/>
  <c r="AZ48" i="2"/>
  <c r="AZ48" i="4" s="1"/>
  <c r="AZ79" i="2"/>
  <c r="AZ79" i="4" s="1"/>
  <c r="AZ75" i="2"/>
  <c r="AZ75" i="4" s="1"/>
  <c r="AZ55" i="2"/>
  <c r="AZ55" i="4" s="1"/>
  <c r="AZ43" i="2"/>
  <c r="AZ43" i="4" s="1"/>
  <c r="AZ35" i="2"/>
  <c r="AZ35" i="4" s="1"/>
  <c r="AZ31" i="2"/>
  <c r="AZ31" i="4" s="1"/>
  <c r="AZ23" i="2"/>
  <c r="AZ23" i="4" s="1"/>
  <c r="AZ19" i="2"/>
  <c r="AZ19" i="4" s="1"/>
  <c r="AZ15" i="2"/>
  <c r="AZ15" i="4" s="1"/>
  <c r="AZ7" i="2"/>
  <c r="AZ7" i="4" s="1"/>
  <c r="AZ127" i="2"/>
  <c r="AZ127" i="4" s="1"/>
  <c r="AZ120" i="2"/>
  <c r="AZ120" i="4" s="1"/>
  <c r="AZ112" i="2"/>
  <c r="AZ112" i="4" s="1"/>
  <c r="AZ104" i="2"/>
  <c r="AZ104" i="4" s="1"/>
  <c r="AZ9" i="2"/>
  <c r="AZ9" i="4" s="1"/>
  <c r="AZ5" i="2"/>
  <c r="AZ5" i="4" s="1"/>
  <c r="AZ113" i="2"/>
  <c r="AZ113" i="4" s="1"/>
  <c r="AZ51" i="2"/>
  <c r="AZ51" i="4" s="1"/>
  <c r="BB1" i="4" l="1"/>
  <c r="BC2" i="4"/>
  <c r="BB2" i="2"/>
  <c r="BA87" i="2"/>
  <c r="BA87" i="4" s="1"/>
  <c r="BA130" i="2"/>
  <c r="BA130" i="4" s="1"/>
  <c r="BA102" i="2"/>
  <c r="BA102" i="4" s="1"/>
  <c r="BA99" i="2"/>
  <c r="BA99" i="4" s="1"/>
  <c r="BA118" i="2"/>
  <c r="BA118" i="4" s="1"/>
  <c r="BA90" i="2"/>
  <c r="BA90" i="4" s="1"/>
  <c r="BA86" i="2"/>
  <c r="BA86" i="4" s="1"/>
  <c r="BA82" i="2"/>
  <c r="BA82" i="4" s="1"/>
  <c r="BA70" i="2"/>
  <c r="BA70" i="4" s="1"/>
  <c r="BA62" i="2"/>
  <c r="BA62" i="4" s="1"/>
  <c r="BA58" i="2"/>
  <c r="BA58" i="4" s="1"/>
  <c r="BA54" i="2"/>
  <c r="BA54" i="4" s="1"/>
  <c r="BA50" i="2"/>
  <c r="BA50" i="4" s="1"/>
  <c r="BA42" i="2"/>
  <c r="BA42" i="4" s="1"/>
  <c r="BA38" i="2"/>
  <c r="BA38" i="4" s="1"/>
  <c r="BA30" i="2"/>
  <c r="BA30" i="4" s="1"/>
  <c r="BA22" i="2"/>
  <c r="BA22" i="4" s="1"/>
  <c r="BA14" i="2"/>
  <c r="BA14" i="4" s="1"/>
  <c r="BA10" i="2"/>
  <c r="BA10" i="4" s="1"/>
  <c r="BA6" i="2"/>
  <c r="BA6" i="4" s="1"/>
  <c r="BA126" i="2"/>
  <c r="BA126" i="4" s="1"/>
  <c r="BA110" i="2"/>
  <c r="BA110" i="4" s="1"/>
  <c r="BA98" i="2"/>
  <c r="BA98" i="4" s="1"/>
  <c r="BA94" i="2"/>
  <c r="BA94" i="4" s="1"/>
  <c r="BA46" i="2"/>
  <c r="BA46" i="4" s="1"/>
  <c r="BA34" i="2"/>
  <c r="BA34" i="4" s="1"/>
  <c r="BA26" i="2"/>
  <c r="BA26" i="4" s="1"/>
  <c r="BA106" i="2"/>
  <c r="BA106" i="4" s="1"/>
  <c r="BA18" i="2"/>
  <c r="BA18" i="4" s="1"/>
  <c r="BA89" i="2"/>
  <c r="BA89" i="4" s="1"/>
  <c r="BA85" i="2"/>
  <c r="BA85" i="4" s="1"/>
  <c r="BA81" i="2"/>
  <c r="BA81" i="4" s="1"/>
  <c r="BA73" i="2"/>
  <c r="BA73" i="4" s="1"/>
  <c r="BA69" i="2"/>
  <c r="BA69" i="4" s="1"/>
  <c r="BA65" i="2"/>
  <c r="BA65" i="4" s="1"/>
  <c r="BA45" i="2"/>
  <c r="BA45" i="4" s="1"/>
  <c r="BA41" i="2"/>
  <c r="BA41" i="4" s="1"/>
  <c r="BA37" i="2"/>
  <c r="BA37" i="4" s="1"/>
  <c r="BA33" i="2"/>
  <c r="BA33" i="4" s="1"/>
  <c r="BA17" i="2"/>
  <c r="BA17" i="4" s="1"/>
  <c r="BA13" i="2"/>
  <c r="BA13" i="4" s="1"/>
  <c r="BA5" i="2"/>
  <c r="BA5" i="4" s="1"/>
  <c r="BA96" i="2"/>
  <c r="BA96" i="4" s="1"/>
  <c r="BA92" i="2"/>
  <c r="BA92" i="4" s="1"/>
  <c r="BA88" i="2"/>
  <c r="BA88" i="4" s="1"/>
  <c r="BA84" i="2"/>
  <c r="BA84" i="4" s="1"/>
  <c r="BA80" i="2"/>
  <c r="BA80" i="4" s="1"/>
  <c r="BA76" i="2"/>
  <c r="BA76" i="4" s="1"/>
  <c r="BA122" i="2"/>
  <c r="BA122" i="4" s="1"/>
  <c r="BA74" i="2"/>
  <c r="BA74" i="4" s="1"/>
  <c r="BA129" i="2"/>
  <c r="BA129" i="4" s="1"/>
  <c r="BA125" i="2"/>
  <c r="BA125" i="4" s="1"/>
  <c r="BA121" i="2"/>
  <c r="BA121" i="4" s="1"/>
  <c r="BA117" i="2"/>
  <c r="BA117" i="4" s="1"/>
  <c r="BA113" i="2"/>
  <c r="BA113" i="4" s="1"/>
  <c r="BA109" i="2"/>
  <c r="BA109" i="4" s="1"/>
  <c r="BA105" i="2"/>
  <c r="BA105" i="4" s="1"/>
  <c r="BA101" i="2"/>
  <c r="BA101" i="4" s="1"/>
  <c r="BA97" i="2"/>
  <c r="BA97" i="4" s="1"/>
  <c r="BA77" i="2"/>
  <c r="BA77" i="4" s="1"/>
  <c r="BA64" i="2"/>
  <c r="BA64" i="4" s="1"/>
  <c r="BA60" i="2"/>
  <c r="BA60" i="4" s="1"/>
  <c r="BA48" i="2"/>
  <c r="BA48" i="4" s="1"/>
  <c r="BA12" i="2"/>
  <c r="BA12" i="4" s="1"/>
  <c r="BA123" i="2"/>
  <c r="BA123" i="4" s="1"/>
  <c r="BA107" i="2"/>
  <c r="BA107" i="4" s="1"/>
  <c r="BA66" i="2"/>
  <c r="BA66" i="4" s="1"/>
  <c r="BA93" i="2"/>
  <c r="BA93" i="4" s="1"/>
  <c r="BA61" i="2"/>
  <c r="BA61" i="4" s="1"/>
  <c r="BA57" i="2"/>
  <c r="BA57" i="4" s="1"/>
  <c r="BA53" i="2"/>
  <c r="BA53" i="4" s="1"/>
  <c r="BA49" i="2"/>
  <c r="BA49" i="4" s="1"/>
  <c r="BA29" i="2"/>
  <c r="BA29" i="4" s="1"/>
  <c r="BA25" i="2"/>
  <c r="BA25" i="4" s="1"/>
  <c r="BA21" i="2"/>
  <c r="BA21" i="4" s="1"/>
  <c r="BA9" i="2"/>
  <c r="BA9" i="4" s="1"/>
  <c r="BA68" i="2"/>
  <c r="BA68" i="4" s="1"/>
  <c r="BA40" i="2"/>
  <c r="BA40" i="4" s="1"/>
  <c r="BA36" i="2"/>
  <c r="BA36" i="4" s="1"/>
  <c r="BA28" i="2"/>
  <c r="BA28" i="4" s="1"/>
  <c r="BA8" i="2"/>
  <c r="BA8" i="4" s="1"/>
  <c r="BA127" i="2"/>
  <c r="BA127" i="4" s="1"/>
  <c r="BA111" i="2"/>
  <c r="BA111" i="4" s="1"/>
  <c r="BA3" i="2"/>
  <c r="BA3" i="4" s="1"/>
  <c r="BA4" i="2"/>
  <c r="BA4" i="4" s="1"/>
  <c r="BA63" i="2"/>
  <c r="BA63" i="4" s="1"/>
  <c r="BA59" i="2"/>
  <c r="BA59" i="4" s="1"/>
  <c r="BA47" i="2"/>
  <c r="BA47" i="4" s="1"/>
  <c r="BA31" i="2"/>
  <c r="BA31" i="4" s="1"/>
  <c r="BA15" i="2"/>
  <c r="BA15" i="4" s="1"/>
  <c r="BA79" i="2"/>
  <c r="BA79" i="4" s="1"/>
  <c r="BA78" i="2"/>
  <c r="BA78" i="4" s="1"/>
  <c r="BA114" i="2"/>
  <c r="BA114" i="4" s="1"/>
  <c r="BA52" i="2"/>
  <c r="BA52" i="4" s="1"/>
  <c r="BA16" i="2"/>
  <c r="BA16" i="4" s="1"/>
  <c r="BA103" i="2"/>
  <c r="BA103" i="4" s="1"/>
  <c r="BA71" i="2"/>
  <c r="BA71" i="4" s="1"/>
  <c r="BA67" i="2"/>
  <c r="BA67" i="4" s="1"/>
  <c r="BA43" i="2"/>
  <c r="BA43" i="4" s="1"/>
  <c r="BA19" i="2"/>
  <c r="BA19" i="4" s="1"/>
  <c r="BA124" i="2"/>
  <c r="BA124" i="4" s="1"/>
  <c r="BA120" i="2"/>
  <c r="BA120" i="4" s="1"/>
  <c r="BA116" i="2"/>
  <c r="BA116" i="4" s="1"/>
  <c r="BA112" i="2"/>
  <c r="BA112" i="4" s="1"/>
  <c r="BA108" i="2"/>
  <c r="BA108" i="4" s="1"/>
  <c r="BA104" i="2"/>
  <c r="BA104" i="4" s="1"/>
  <c r="BA100" i="2"/>
  <c r="BA100" i="4" s="1"/>
  <c r="BA72" i="2"/>
  <c r="BA72" i="4" s="1"/>
  <c r="BA24" i="2"/>
  <c r="BA24" i="4" s="1"/>
  <c r="BA119" i="2"/>
  <c r="BA119" i="4" s="1"/>
  <c r="BA51" i="2"/>
  <c r="BA51" i="4" s="1"/>
  <c r="BA11" i="2"/>
  <c r="BA11" i="4" s="1"/>
  <c r="BA128" i="2"/>
  <c r="BA128" i="4" s="1"/>
  <c r="BA20" i="2"/>
  <c r="BA20" i="4" s="1"/>
  <c r="BA115" i="2"/>
  <c r="BA115" i="4" s="1"/>
  <c r="BA75" i="2"/>
  <c r="BA75" i="4" s="1"/>
  <c r="BA55" i="2"/>
  <c r="BA55" i="4" s="1"/>
  <c r="BA35" i="2"/>
  <c r="BA35" i="4" s="1"/>
  <c r="BA23" i="2"/>
  <c r="BA23" i="4" s="1"/>
  <c r="BA7" i="2"/>
  <c r="BA7" i="4" s="1"/>
  <c r="BA95" i="2"/>
  <c r="BA95" i="4" s="1"/>
  <c r="BA83" i="2"/>
  <c r="BA83" i="4" s="1"/>
  <c r="BA56" i="2"/>
  <c r="BA56" i="4" s="1"/>
  <c r="BA44" i="2"/>
  <c r="BA44" i="4" s="1"/>
  <c r="BA32" i="2"/>
  <c r="BA32" i="4" s="1"/>
  <c r="BA91" i="2"/>
  <c r="BA91" i="4" s="1"/>
  <c r="BA39" i="2"/>
  <c r="BA39" i="4" s="1"/>
  <c r="BA27" i="2"/>
  <c r="BA27" i="4" s="1"/>
  <c r="BC1" i="4" l="1"/>
  <c r="BD2" i="4"/>
  <c r="BC2" i="2"/>
  <c r="BB71" i="2"/>
  <c r="BB71" i="4" s="1"/>
  <c r="BB115" i="2"/>
  <c r="BB115" i="4" s="1"/>
  <c r="BB111" i="2"/>
  <c r="BB111" i="4" s="1"/>
  <c r="BB127" i="2"/>
  <c r="BB127" i="4" s="1"/>
  <c r="BB103" i="2"/>
  <c r="BB103" i="4" s="1"/>
  <c r="BB107" i="2"/>
  <c r="BB107" i="4" s="1"/>
  <c r="BB123" i="2"/>
  <c r="BB123" i="4" s="1"/>
  <c r="BB88" i="2"/>
  <c r="BB88" i="4" s="1"/>
  <c r="BB119" i="2"/>
  <c r="BB119" i="4" s="1"/>
  <c r="BB130" i="2"/>
  <c r="BB130" i="4" s="1"/>
  <c r="BB58" i="2"/>
  <c r="BB58" i="4" s="1"/>
  <c r="BB54" i="2"/>
  <c r="BB54" i="4" s="1"/>
  <c r="BB50" i="2"/>
  <c r="BB50" i="4" s="1"/>
  <c r="BB46" i="2"/>
  <c r="BB46" i="4" s="1"/>
  <c r="BB26" i="2"/>
  <c r="BB26" i="4" s="1"/>
  <c r="BB22" i="2"/>
  <c r="BB22" i="4" s="1"/>
  <c r="BB126" i="2"/>
  <c r="BB126" i="4" s="1"/>
  <c r="BB122" i="2"/>
  <c r="BB122" i="4" s="1"/>
  <c r="BB118" i="2"/>
  <c r="BB118" i="4" s="1"/>
  <c r="BB114" i="2"/>
  <c r="BB114" i="4" s="1"/>
  <c r="BB110" i="2"/>
  <c r="BB110" i="4" s="1"/>
  <c r="BB106" i="2"/>
  <c r="BB106" i="4" s="1"/>
  <c r="BB102" i="2"/>
  <c r="BB102" i="4" s="1"/>
  <c r="BB98" i="2"/>
  <c r="BB98" i="4" s="1"/>
  <c r="BB94" i="2"/>
  <c r="BB94" i="4" s="1"/>
  <c r="BB90" i="2"/>
  <c r="BB90" i="4" s="1"/>
  <c r="BB86" i="2"/>
  <c r="BB86" i="4" s="1"/>
  <c r="BB82" i="2"/>
  <c r="BB82" i="4" s="1"/>
  <c r="BB74" i="2"/>
  <c r="BB74" i="4" s="1"/>
  <c r="BB70" i="2"/>
  <c r="BB70" i="4" s="1"/>
  <c r="BB66" i="2"/>
  <c r="BB66" i="4" s="1"/>
  <c r="BB42" i="2"/>
  <c r="BB42" i="4" s="1"/>
  <c r="BB38" i="2"/>
  <c r="BB38" i="4" s="1"/>
  <c r="BB30" i="2"/>
  <c r="BB30" i="4" s="1"/>
  <c r="BB14" i="2"/>
  <c r="BB14" i="4" s="1"/>
  <c r="BB6" i="2"/>
  <c r="BB6" i="4" s="1"/>
  <c r="BB34" i="2"/>
  <c r="BB34" i="4" s="1"/>
  <c r="BB78" i="2"/>
  <c r="BB78" i="4" s="1"/>
  <c r="BB18" i="2"/>
  <c r="BB18" i="4" s="1"/>
  <c r="BB89" i="2"/>
  <c r="BB89" i="4" s="1"/>
  <c r="BB85" i="2"/>
  <c r="BB85" i="4" s="1"/>
  <c r="BB81" i="2"/>
  <c r="BB81" i="4" s="1"/>
  <c r="BB77" i="2"/>
  <c r="BB77" i="4" s="1"/>
  <c r="BB73" i="2"/>
  <c r="BB73" i="4" s="1"/>
  <c r="BB69" i="2"/>
  <c r="BB69" i="4" s="1"/>
  <c r="BB65" i="2"/>
  <c r="BB65" i="4" s="1"/>
  <c r="BB57" i="2"/>
  <c r="BB57" i="4" s="1"/>
  <c r="BB53" i="2"/>
  <c r="BB53" i="4" s="1"/>
  <c r="BB49" i="2"/>
  <c r="BB49" i="4" s="1"/>
  <c r="BB25" i="2"/>
  <c r="BB25" i="4" s="1"/>
  <c r="BB21" i="2"/>
  <c r="BB21" i="4" s="1"/>
  <c r="BB13" i="2"/>
  <c r="BB13" i="4" s="1"/>
  <c r="BB9" i="2"/>
  <c r="BB9" i="4" s="1"/>
  <c r="BB76" i="2"/>
  <c r="BB76" i="4" s="1"/>
  <c r="BB60" i="2"/>
  <c r="BB60" i="4" s="1"/>
  <c r="BB129" i="2"/>
  <c r="BB129" i="4" s="1"/>
  <c r="BB125" i="2"/>
  <c r="BB125" i="4" s="1"/>
  <c r="BB121" i="2"/>
  <c r="BB121" i="4" s="1"/>
  <c r="BB117" i="2"/>
  <c r="BB117" i="4" s="1"/>
  <c r="BB113" i="2"/>
  <c r="BB113" i="4" s="1"/>
  <c r="BB109" i="2"/>
  <c r="BB109" i="4" s="1"/>
  <c r="BB105" i="2"/>
  <c r="BB105" i="4" s="1"/>
  <c r="BB101" i="2"/>
  <c r="BB101" i="4" s="1"/>
  <c r="BB97" i="2"/>
  <c r="BB97" i="4" s="1"/>
  <c r="BB29" i="2"/>
  <c r="BB29" i="4" s="1"/>
  <c r="BB5" i="2"/>
  <c r="BB5" i="4" s="1"/>
  <c r="BB64" i="2"/>
  <c r="BB64" i="4" s="1"/>
  <c r="BB48" i="2"/>
  <c r="BB48" i="4" s="1"/>
  <c r="BB36" i="2"/>
  <c r="BB36" i="4" s="1"/>
  <c r="BB28" i="2"/>
  <c r="BB28" i="4" s="1"/>
  <c r="BB12" i="2"/>
  <c r="BB12" i="4" s="1"/>
  <c r="BB124" i="2"/>
  <c r="BB124" i="4" s="1"/>
  <c r="BB108" i="2"/>
  <c r="BB108" i="4" s="1"/>
  <c r="BB3" i="2"/>
  <c r="BB3" i="4" s="1"/>
  <c r="BB87" i="2"/>
  <c r="BB87" i="4" s="1"/>
  <c r="BB10" i="2"/>
  <c r="BB10" i="4" s="1"/>
  <c r="BB93" i="2"/>
  <c r="BB93" i="4" s="1"/>
  <c r="BB61" i="2"/>
  <c r="BB61" i="4" s="1"/>
  <c r="BB45" i="2"/>
  <c r="BB45" i="4" s="1"/>
  <c r="BB68" i="2"/>
  <c r="BB68" i="4" s="1"/>
  <c r="BB32" i="2"/>
  <c r="BB32" i="4" s="1"/>
  <c r="BB8" i="2"/>
  <c r="BB8" i="4" s="1"/>
  <c r="BB128" i="2"/>
  <c r="BB128" i="4" s="1"/>
  <c r="BB112" i="2"/>
  <c r="BB112" i="4" s="1"/>
  <c r="BB91" i="2"/>
  <c r="BB91" i="4" s="1"/>
  <c r="BB16" i="2"/>
  <c r="BB16" i="4" s="1"/>
  <c r="BB4" i="2"/>
  <c r="BB4" i="4" s="1"/>
  <c r="BB100" i="2"/>
  <c r="BB100" i="4" s="1"/>
  <c r="BB83" i="2"/>
  <c r="BB83" i="4" s="1"/>
  <c r="BB75" i="2"/>
  <c r="BB75" i="4" s="1"/>
  <c r="BB67" i="2"/>
  <c r="BB67" i="4" s="1"/>
  <c r="BB59" i="2"/>
  <c r="BB59" i="4" s="1"/>
  <c r="BB47" i="2"/>
  <c r="BB47" i="4" s="1"/>
  <c r="BB43" i="2"/>
  <c r="BB43" i="4" s="1"/>
  <c r="BB31" i="2"/>
  <c r="BB31" i="4" s="1"/>
  <c r="BB15" i="2"/>
  <c r="BB15" i="4" s="1"/>
  <c r="BB80" i="2"/>
  <c r="BB80" i="4" s="1"/>
  <c r="BB99" i="2"/>
  <c r="BB99" i="4" s="1"/>
  <c r="BB56" i="2"/>
  <c r="BB56" i="4" s="1"/>
  <c r="BB41" i="2"/>
  <c r="BB41" i="4" s="1"/>
  <c r="BB17" i="2"/>
  <c r="BB17" i="4" s="1"/>
  <c r="BB52" i="2"/>
  <c r="BB52" i="4" s="1"/>
  <c r="BB40" i="2"/>
  <c r="BB40" i="4" s="1"/>
  <c r="BB104" i="2"/>
  <c r="BB104" i="4" s="1"/>
  <c r="BB35" i="2"/>
  <c r="BB35" i="4" s="1"/>
  <c r="BB19" i="2"/>
  <c r="BB19" i="4" s="1"/>
  <c r="BB72" i="2"/>
  <c r="BB72" i="4" s="1"/>
  <c r="BB24" i="2"/>
  <c r="BB24" i="4" s="1"/>
  <c r="BB120" i="2"/>
  <c r="BB120" i="4" s="1"/>
  <c r="BB92" i="2"/>
  <c r="BB92" i="4" s="1"/>
  <c r="BB79" i="2"/>
  <c r="BB79" i="4" s="1"/>
  <c r="BB51" i="2"/>
  <c r="BB51" i="4" s="1"/>
  <c r="BB62" i="2"/>
  <c r="BB62" i="4" s="1"/>
  <c r="BB20" i="2"/>
  <c r="BB20" i="4" s="1"/>
  <c r="BB116" i="2"/>
  <c r="BB116" i="4" s="1"/>
  <c r="BB95" i="2"/>
  <c r="BB95" i="4" s="1"/>
  <c r="BB63" i="2"/>
  <c r="BB63" i="4" s="1"/>
  <c r="BB55" i="2"/>
  <c r="BB55" i="4" s="1"/>
  <c r="BB23" i="2"/>
  <c r="BB23" i="4" s="1"/>
  <c r="BB11" i="2"/>
  <c r="BB11" i="4" s="1"/>
  <c r="BB7" i="2"/>
  <c r="BB7" i="4" s="1"/>
  <c r="BB96" i="2"/>
  <c r="BB96" i="4" s="1"/>
  <c r="BB84" i="2"/>
  <c r="BB84" i="4" s="1"/>
  <c r="BB37" i="2"/>
  <c r="BB37" i="4" s="1"/>
  <c r="BB33" i="2"/>
  <c r="BB33" i="4" s="1"/>
  <c r="BB44" i="2"/>
  <c r="BB44" i="4" s="1"/>
  <c r="BB39" i="2"/>
  <c r="BB39" i="4" s="1"/>
  <c r="BB27" i="2"/>
  <c r="BB27" i="4" s="1"/>
  <c r="BD1" i="4" l="1"/>
  <c r="BE2" i="4"/>
  <c r="BD2" i="2"/>
  <c r="BC127" i="2"/>
  <c r="BC127" i="4" s="1"/>
  <c r="BC72" i="2"/>
  <c r="BC72" i="4" s="1"/>
  <c r="BC100" i="2"/>
  <c r="BC100" i="4" s="1"/>
  <c r="BC116" i="2"/>
  <c r="BC116" i="4" s="1"/>
  <c r="BC112" i="2"/>
  <c r="BC112" i="4" s="1"/>
  <c r="BC128" i="2"/>
  <c r="BC128" i="4" s="1"/>
  <c r="BC104" i="2"/>
  <c r="BC104" i="4" s="1"/>
  <c r="BC108" i="2"/>
  <c r="BC108" i="4" s="1"/>
  <c r="BC124" i="2"/>
  <c r="BC124" i="4" s="1"/>
  <c r="BC120" i="2"/>
  <c r="BC120" i="4" s="1"/>
  <c r="BC42" i="2"/>
  <c r="BC42" i="4" s="1"/>
  <c r="BC38" i="2"/>
  <c r="BC38" i="4" s="1"/>
  <c r="BC30" i="2"/>
  <c r="BC30" i="4" s="1"/>
  <c r="BC130" i="2"/>
  <c r="BC130" i="4" s="1"/>
  <c r="BC126" i="2"/>
  <c r="BC126" i="4" s="1"/>
  <c r="BC122" i="2"/>
  <c r="BC122" i="4" s="1"/>
  <c r="BC118" i="2"/>
  <c r="BC118" i="4" s="1"/>
  <c r="BC114" i="2"/>
  <c r="BC114" i="4" s="1"/>
  <c r="BC110" i="2"/>
  <c r="BC110" i="4" s="1"/>
  <c r="BC106" i="2"/>
  <c r="BC106" i="4" s="1"/>
  <c r="BC102" i="2"/>
  <c r="BC102" i="4" s="1"/>
  <c r="BC98" i="2"/>
  <c r="BC98" i="4" s="1"/>
  <c r="BC94" i="2"/>
  <c r="BC94" i="4" s="1"/>
  <c r="BC90" i="2"/>
  <c r="BC90" i="4" s="1"/>
  <c r="BC86" i="2"/>
  <c r="BC86" i="4" s="1"/>
  <c r="BC82" i="2"/>
  <c r="BC82" i="4" s="1"/>
  <c r="BC74" i="2"/>
  <c r="BC74" i="4" s="1"/>
  <c r="BC70" i="2"/>
  <c r="BC70" i="4" s="1"/>
  <c r="BC66" i="2"/>
  <c r="BC66" i="4" s="1"/>
  <c r="BC46" i="2"/>
  <c r="BC46" i="4" s="1"/>
  <c r="BC14" i="2"/>
  <c r="BC14" i="4" s="1"/>
  <c r="BC6" i="2"/>
  <c r="BC6" i="4" s="1"/>
  <c r="BC129" i="2"/>
  <c r="BC129" i="4" s="1"/>
  <c r="BC125" i="2"/>
  <c r="BC125" i="4" s="1"/>
  <c r="BC121" i="2"/>
  <c r="BC121" i="4" s="1"/>
  <c r="BC117" i="2"/>
  <c r="BC117" i="4" s="1"/>
  <c r="BC113" i="2"/>
  <c r="BC113" i="4" s="1"/>
  <c r="BC109" i="2"/>
  <c r="BC109" i="4" s="1"/>
  <c r="BC105" i="2"/>
  <c r="BC105" i="4" s="1"/>
  <c r="BC101" i="2"/>
  <c r="BC101" i="4" s="1"/>
  <c r="BC93" i="2"/>
  <c r="BC93" i="4" s="1"/>
  <c r="BC89" i="2"/>
  <c r="BC89" i="4" s="1"/>
  <c r="BC78" i="2"/>
  <c r="BC78" i="4" s="1"/>
  <c r="BC58" i="2"/>
  <c r="BC58" i="4" s="1"/>
  <c r="BC54" i="2"/>
  <c r="BC54" i="4" s="1"/>
  <c r="BC50" i="2"/>
  <c r="BC50" i="4" s="1"/>
  <c r="BC26" i="2"/>
  <c r="BC26" i="4" s="1"/>
  <c r="BC22" i="2"/>
  <c r="BC22" i="4" s="1"/>
  <c r="BC18" i="2"/>
  <c r="BC18" i="4" s="1"/>
  <c r="BC10" i="2"/>
  <c r="BC10" i="4" s="1"/>
  <c r="BC97" i="2"/>
  <c r="BC97" i="4" s="1"/>
  <c r="BC85" i="2"/>
  <c r="BC85" i="4" s="1"/>
  <c r="BC77" i="2"/>
  <c r="BC77" i="4" s="1"/>
  <c r="BC73" i="2"/>
  <c r="BC73" i="4" s="1"/>
  <c r="BC69" i="2"/>
  <c r="BC69" i="4" s="1"/>
  <c r="BC65" i="2"/>
  <c r="BC65" i="4" s="1"/>
  <c r="BC57" i="2"/>
  <c r="BC57" i="4" s="1"/>
  <c r="BC53" i="2"/>
  <c r="BC53" i="4" s="1"/>
  <c r="BC49" i="2"/>
  <c r="BC49" i="4" s="1"/>
  <c r="BC25" i="2"/>
  <c r="BC25" i="4" s="1"/>
  <c r="BC21" i="2"/>
  <c r="BC21" i="4" s="1"/>
  <c r="BC64" i="2"/>
  <c r="BC64" i="4" s="1"/>
  <c r="BC60" i="2"/>
  <c r="BC60" i="4" s="1"/>
  <c r="BC61" i="2"/>
  <c r="BC61" i="4" s="1"/>
  <c r="BC41" i="2"/>
  <c r="BC41" i="4" s="1"/>
  <c r="BC37" i="2"/>
  <c r="BC37" i="4" s="1"/>
  <c r="BC33" i="2"/>
  <c r="BC33" i="4" s="1"/>
  <c r="BC17" i="2"/>
  <c r="BC17" i="4" s="1"/>
  <c r="BC13" i="2"/>
  <c r="BC13" i="4" s="1"/>
  <c r="BC9" i="2"/>
  <c r="BC9" i="4" s="1"/>
  <c r="BC92" i="2"/>
  <c r="BC92" i="4" s="1"/>
  <c r="BC88" i="2"/>
  <c r="BC88" i="4" s="1"/>
  <c r="BC84" i="2"/>
  <c r="BC84" i="4" s="1"/>
  <c r="BC80" i="2"/>
  <c r="BC80" i="4" s="1"/>
  <c r="BC68" i="2"/>
  <c r="BC68" i="4" s="1"/>
  <c r="BC48" i="2"/>
  <c r="BC48" i="4" s="1"/>
  <c r="BC28" i="2"/>
  <c r="BC28" i="4" s="1"/>
  <c r="BC16" i="2"/>
  <c r="BC16" i="4" s="1"/>
  <c r="BC8" i="2"/>
  <c r="BC8" i="4" s="1"/>
  <c r="BC4" i="2"/>
  <c r="BC4" i="4" s="1"/>
  <c r="BC45" i="2"/>
  <c r="BC45" i="4" s="1"/>
  <c r="BC76" i="2"/>
  <c r="BC76" i="4" s="1"/>
  <c r="BC32" i="2"/>
  <c r="BC32" i="4" s="1"/>
  <c r="BC99" i="2"/>
  <c r="BC99" i="4" s="1"/>
  <c r="BC91" i="2"/>
  <c r="BC91" i="4" s="1"/>
  <c r="BC5" i="2"/>
  <c r="BC5" i="4" s="1"/>
  <c r="BC12" i="2"/>
  <c r="BC12" i="4" s="1"/>
  <c r="BC3" i="2"/>
  <c r="BC3" i="4" s="1"/>
  <c r="BC95" i="2"/>
  <c r="BC95" i="4" s="1"/>
  <c r="BC83" i="2"/>
  <c r="BC83" i="4" s="1"/>
  <c r="BC43" i="2"/>
  <c r="BC43" i="4" s="1"/>
  <c r="BC31" i="2"/>
  <c r="BC31" i="4" s="1"/>
  <c r="BC15" i="2"/>
  <c r="BC15" i="4" s="1"/>
  <c r="BC7" i="2"/>
  <c r="BC7" i="4" s="1"/>
  <c r="BC119" i="2"/>
  <c r="BC119" i="4" s="1"/>
  <c r="BC111" i="2"/>
  <c r="BC111" i="4" s="1"/>
  <c r="BC103" i="2"/>
  <c r="BC103" i="4" s="1"/>
  <c r="BC34" i="2"/>
  <c r="BC34" i="4" s="1"/>
  <c r="BC81" i="2"/>
  <c r="BC81" i="4" s="1"/>
  <c r="BC52" i="2"/>
  <c r="BC52" i="4" s="1"/>
  <c r="BC40" i="2"/>
  <c r="BC40" i="4" s="1"/>
  <c r="BC36" i="2"/>
  <c r="BC36" i="4" s="1"/>
  <c r="BC87" i="2"/>
  <c r="BC87" i="4" s="1"/>
  <c r="BC59" i="2"/>
  <c r="BC59" i="4" s="1"/>
  <c r="BC55" i="2"/>
  <c r="BC55" i="4" s="1"/>
  <c r="BC35" i="2"/>
  <c r="BC35" i="4" s="1"/>
  <c r="BC27" i="2"/>
  <c r="BC27" i="4" s="1"/>
  <c r="BC23" i="2"/>
  <c r="BC23" i="4" s="1"/>
  <c r="BC19" i="2"/>
  <c r="BC19" i="4" s="1"/>
  <c r="BC11" i="2"/>
  <c r="BC11" i="4" s="1"/>
  <c r="BC62" i="2"/>
  <c r="BC62" i="4" s="1"/>
  <c r="BC29" i="2"/>
  <c r="BC29" i="4" s="1"/>
  <c r="BC24" i="2"/>
  <c r="BC24" i="4" s="1"/>
  <c r="BC79" i="2"/>
  <c r="BC79" i="4" s="1"/>
  <c r="BC75" i="2"/>
  <c r="BC75" i="4" s="1"/>
  <c r="BC56" i="2"/>
  <c r="BC56" i="4" s="1"/>
  <c r="BC44" i="2"/>
  <c r="BC44" i="4" s="1"/>
  <c r="BC20" i="2"/>
  <c r="BC20" i="4" s="1"/>
  <c r="BC96" i="2"/>
  <c r="BC96" i="4" s="1"/>
  <c r="BC71" i="2"/>
  <c r="BC71" i="4" s="1"/>
  <c r="BC67" i="2"/>
  <c r="BC67" i="4" s="1"/>
  <c r="BC51" i="2"/>
  <c r="BC51" i="4" s="1"/>
  <c r="BC47" i="2"/>
  <c r="BC47" i="4" s="1"/>
  <c r="BC123" i="2"/>
  <c r="BC123" i="4" s="1"/>
  <c r="BC115" i="2"/>
  <c r="BC115" i="4" s="1"/>
  <c r="BC107" i="2"/>
  <c r="BC107" i="4" s="1"/>
  <c r="BC63" i="2"/>
  <c r="BC63" i="4" s="1"/>
  <c r="BC39" i="2"/>
  <c r="BC39" i="4" s="1"/>
  <c r="BE1" i="4" l="1"/>
  <c r="BF2" i="4"/>
  <c r="BE2" i="2"/>
  <c r="BD128" i="2"/>
  <c r="BD128" i="4" s="1"/>
  <c r="BD48" i="2"/>
  <c r="BD48" i="4" s="1"/>
  <c r="BD94" i="2"/>
  <c r="BD94" i="4" s="1"/>
  <c r="BD90" i="2"/>
  <c r="BD90" i="4" s="1"/>
  <c r="BD121" i="2"/>
  <c r="BD121" i="4" s="1"/>
  <c r="BD86" i="2"/>
  <c r="BD86" i="4" s="1"/>
  <c r="BD82" i="2"/>
  <c r="BD82" i="4" s="1"/>
  <c r="BD46" i="2"/>
  <c r="BD46" i="4" s="1"/>
  <c r="BD130" i="2"/>
  <c r="BD130" i="4" s="1"/>
  <c r="BD126" i="2"/>
  <c r="BD126" i="4" s="1"/>
  <c r="BD122" i="2"/>
  <c r="BD122" i="4" s="1"/>
  <c r="BD118" i="2"/>
  <c r="BD118" i="4" s="1"/>
  <c r="BD114" i="2"/>
  <c r="BD114" i="4" s="1"/>
  <c r="BD110" i="2"/>
  <c r="BD110" i="4" s="1"/>
  <c r="BD106" i="2"/>
  <c r="BD106" i="4" s="1"/>
  <c r="BD102" i="2"/>
  <c r="BD102" i="4" s="1"/>
  <c r="BD74" i="2"/>
  <c r="BD74" i="4" s="1"/>
  <c r="BD70" i="2"/>
  <c r="BD70" i="4" s="1"/>
  <c r="BD66" i="2"/>
  <c r="BD66" i="4" s="1"/>
  <c r="BD6" i="2"/>
  <c r="BD6" i="4" s="1"/>
  <c r="BD129" i="2"/>
  <c r="BD129" i="4" s="1"/>
  <c r="BD113" i="2"/>
  <c r="BD113" i="4" s="1"/>
  <c r="BD93" i="2"/>
  <c r="BD93" i="4" s="1"/>
  <c r="BD125" i="2"/>
  <c r="BD125" i="4" s="1"/>
  <c r="BD109" i="2"/>
  <c r="BD109" i="4" s="1"/>
  <c r="BD78" i="2"/>
  <c r="BD78" i="4" s="1"/>
  <c r="BD62" i="2"/>
  <c r="BD62" i="4" s="1"/>
  <c r="BD58" i="2"/>
  <c r="BD58" i="4" s="1"/>
  <c r="BD54" i="2"/>
  <c r="BD54" i="4" s="1"/>
  <c r="BD50" i="2"/>
  <c r="BD50" i="4" s="1"/>
  <c r="BD42" i="2"/>
  <c r="BD42" i="4" s="1"/>
  <c r="BD38" i="2"/>
  <c r="BD38" i="4" s="1"/>
  <c r="BD30" i="2"/>
  <c r="BD30" i="4" s="1"/>
  <c r="BD22" i="2"/>
  <c r="BD22" i="4" s="1"/>
  <c r="BD18" i="2"/>
  <c r="BD18" i="4" s="1"/>
  <c r="BD14" i="2"/>
  <c r="BD14" i="4" s="1"/>
  <c r="BD10" i="2"/>
  <c r="BD10" i="4" s="1"/>
  <c r="BD105" i="2"/>
  <c r="BD105" i="4" s="1"/>
  <c r="BD34" i="2"/>
  <c r="BD34" i="4" s="1"/>
  <c r="BD57" i="2"/>
  <c r="BD57" i="4" s="1"/>
  <c r="BD53" i="2"/>
  <c r="BD53" i="4" s="1"/>
  <c r="BD49" i="2"/>
  <c r="BD49" i="4" s="1"/>
  <c r="BD25" i="2"/>
  <c r="BD25" i="4" s="1"/>
  <c r="BD21" i="2"/>
  <c r="BD21" i="4" s="1"/>
  <c r="BD5" i="2"/>
  <c r="BD5" i="4" s="1"/>
  <c r="BD72" i="2"/>
  <c r="BD72" i="4" s="1"/>
  <c r="BD98" i="2"/>
  <c r="BD98" i="4" s="1"/>
  <c r="BD26" i="2"/>
  <c r="BD26" i="4" s="1"/>
  <c r="BD89" i="2"/>
  <c r="BD89" i="4" s="1"/>
  <c r="BD85" i="2"/>
  <c r="BD85" i="4" s="1"/>
  <c r="BD81" i="2"/>
  <c r="BD81" i="4" s="1"/>
  <c r="BD73" i="2"/>
  <c r="BD73" i="4" s="1"/>
  <c r="BD61" i="2"/>
  <c r="BD61" i="4" s="1"/>
  <c r="BD45" i="2"/>
  <c r="BD45" i="4" s="1"/>
  <c r="BD41" i="2"/>
  <c r="BD41" i="4" s="1"/>
  <c r="BD37" i="2"/>
  <c r="BD37" i="4" s="1"/>
  <c r="BD33" i="2"/>
  <c r="BD33" i="4" s="1"/>
  <c r="BD29" i="2"/>
  <c r="BD29" i="4" s="1"/>
  <c r="BD17" i="2"/>
  <c r="BD17" i="4" s="1"/>
  <c r="BD96" i="2"/>
  <c r="BD96" i="4" s="1"/>
  <c r="BD92" i="2"/>
  <c r="BD92" i="4" s="1"/>
  <c r="BD88" i="2"/>
  <c r="BD88" i="4" s="1"/>
  <c r="BD84" i="2"/>
  <c r="BD84" i="4" s="1"/>
  <c r="BD80" i="2"/>
  <c r="BD80" i="4" s="1"/>
  <c r="BD36" i="2"/>
  <c r="BD36" i="4" s="1"/>
  <c r="BD8" i="2"/>
  <c r="BD8" i="4" s="1"/>
  <c r="BD97" i="2"/>
  <c r="BD97" i="4" s="1"/>
  <c r="BD77" i="2"/>
  <c r="BD77" i="4" s="1"/>
  <c r="BD13" i="2"/>
  <c r="BD13" i="4" s="1"/>
  <c r="BD9" i="2"/>
  <c r="BD9" i="4" s="1"/>
  <c r="BD117" i="2"/>
  <c r="BD117" i="4" s="1"/>
  <c r="BD101" i="2"/>
  <c r="BD101" i="4" s="1"/>
  <c r="BD64" i="2"/>
  <c r="BD64" i="4" s="1"/>
  <c r="BD60" i="2"/>
  <c r="BD60" i="4" s="1"/>
  <c r="BD56" i="2"/>
  <c r="BD56" i="4" s="1"/>
  <c r="BD32" i="2"/>
  <c r="BD32" i="4" s="1"/>
  <c r="BD20" i="2"/>
  <c r="BD20" i="4" s="1"/>
  <c r="BD12" i="2"/>
  <c r="BD12" i="4" s="1"/>
  <c r="BD91" i="2"/>
  <c r="BD91" i="4" s="1"/>
  <c r="BD52" i="2"/>
  <c r="BD52" i="4" s="1"/>
  <c r="BD28" i="2"/>
  <c r="BD28" i="4" s="1"/>
  <c r="BD3" i="2"/>
  <c r="BD3" i="4" s="1"/>
  <c r="BD95" i="2"/>
  <c r="BD95" i="4" s="1"/>
  <c r="BD83" i="2"/>
  <c r="BD83" i="4" s="1"/>
  <c r="BD59" i="2"/>
  <c r="BD59" i="4" s="1"/>
  <c r="BD51" i="2"/>
  <c r="BD51" i="4" s="1"/>
  <c r="BD15" i="2"/>
  <c r="BD15" i="4" s="1"/>
  <c r="BD7" i="2"/>
  <c r="BD7" i="4" s="1"/>
  <c r="BD123" i="2"/>
  <c r="BD123" i="4" s="1"/>
  <c r="BD119" i="2"/>
  <c r="BD119" i="4" s="1"/>
  <c r="BD115" i="2"/>
  <c r="BD115" i="4" s="1"/>
  <c r="BD111" i="2"/>
  <c r="BD111" i="4" s="1"/>
  <c r="BD107" i="2"/>
  <c r="BD107" i="4" s="1"/>
  <c r="BD103" i="2"/>
  <c r="BD103" i="4" s="1"/>
  <c r="BD65" i="2"/>
  <c r="BD65" i="4" s="1"/>
  <c r="BD68" i="2"/>
  <c r="BD68" i="4" s="1"/>
  <c r="BD40" i="2"/>
  <c r="BD40" i="4" s="1"/>
  <c r="BD4" i="2"/>
  <c r="BD4" i="4" s="1"/>
  <c r="BD99" i="2"/>
  <c r="BD99" i="4" s="1"/>
  <c r="BD87" i="2"/>
  <c r="BD87" i="4" s="1"/>
  <c r="BD47" i="2"/>
  <c r="BD47" i="4" s="1"/>
  <c r="BD27" i="2"/>
  <c r="BD27" i="4" s="1"/>
  <c r="BD11" i="2"/>
  <c r="BD11" i="4" s="1"/>
  <c r="BD127" i="2"/>
  <c r="BD127" i="4" s="1"/>
  <c r="BD120" i="2"/>
  <c r="BD120" i="4" s="1"/>
  <c r="BD112" i="2"/>
  <c r="BD112" i="4" s="1"/>
  <c r="BD104" i="2"/>
  <c r="BD104" i="4" s="1"/>
  <c r="BD55" i="2"/>
  <c r="BD55" i="4" s="1"/>
  <c r="BD124" i="2"/>
  <c r="BD124" i="4" s="1"/>
  <c r="BD108" i="2"/>
  <c r="BD108" i="4" s="1"/>
  <c r="BD44" i="2"/>
  <c r="BD44" i="4" s="1"/>
  <c r="BD24" i="2"/>
  <c r="BD24" i="4" s="1"/>
  <c r="BD16" i="2"/>
  <c r="BD16" i="4" s="1"/>
  <c r="BD71" i="2"/>
  <c r="BD71" i="4" s="1"/>
  <c r="BD67" i="2"/>
  <c r="BD67" i="4" s="1"/>
  <c r="BD63" i="2"/>
  <c r="BD63" i="4" s="1"/>
  <c r="BD39" i="2"/>
  <c r="BD39" i="4" s="1"/>
  <c r="BD35" i="2"/>
  <c r="BD35" i="4" s="1"/>
  <c r="BD19" i="2"/>
  <c r="BD19" i="4" s="1"/>
  <c r="BD69" i="2"/>
  <c r="BD69" i="4" s="1"/>
  <c r="BD79" i="2"/>
  <c r="BD79" i="4" s="1"/>
  <c r="BD75" i="2"/>
  <c r="BD75" i="4" s="1"/>
  <c r="BD43" i="2"/>
  <c r="BD43" i="4" s="1"/>
  <c r="BD31" i="2"/>
  <c r="BD31" i="4" s="1"/>
  <c r="BD23" i="2"/>
  <c r="BD23" i="4" s="1"/>
  <c r="BD116" i="2"/>
  <c r="BD116" i="4" s="1"/>
  <c r="BD100" i="2"/>
  <c r="BD100" i="4" s="1"/>
  <c r="BD76" i="2"/>
  <c r="BD76" i="4" s="1"/>
  <c r="BF1" i="4" l="1"/>
  <c r="BG2" i="4"/>
  <c r="BF2" i="2"/>
  <c r="BE95" i="2"/>
  <c r="BE95" i="4" s="1"/>
  <c r="BE122" i="2"/>
  <c r="BE122" i="4" s="1"/>
  <c r="BE91" i="2"/>
  <c r="BE91" i="4" s="1"/>
  <c r="BE106" i="2"/>
  <c r="BE106" i="4" s="1"/>
  <c r="BE70" i="2"/>
  <c r="BE70" i="4" s="1"/>
  <c r="BE66" i="2"/>
  <c r="BE66" i="4" s="1"/>
  <c r="BE18" i="2"/>
  <c r="BE18" i="4" s="1"/>
  <c r="BE74" i="2"/>
  <c r="BE74" i="4" s="1"/>
  <c r="BE130" i="2"/>
  <c r="BE130" i="4" s="1"/>
  <c r="BE114" i="2"/>
  <c r="BE114" i="4" s="1"/>
  <c r="BE129" i="2"/>
  <c r="BE129" i="4" s="1"/>
  <c r="BE125" i="2"/>
  <c r="BE125" i="4" s="1"/>
  <c r="BE121" i="2"/>
  <c r="BE121" i="4" s="1"/>
  <c r="BE117" i="2"/>
  <c r="BE117" i="4" s="1"/>
  <c r="BE113" i="2"/>
  <c r="BE113" i="4" s="1"/>
  <c r="BE109" i="2"/>
  <c r="BE109" i="4" s="1"/>
  <c r="BE105" i="2"/>
  <c r="BE105" i="4" s="1"/>
  <c r="BE101" i="2"/>
  <c r="BE101" i="4" s="1"/>
  <c r="BE97" i="2"/>
  <c r="BE97" i="4" s="1"/>
  <c r="BE90" i="2"/>
  <c r="BE90" i="4" s="1"/>
  <c r="BE86" i="2"/>
  <c r="BE86" i="4" s="1"/>
  <c r="BE82" i="2"/>
  <c r="BE82" i="4" s="1"/>
  <c r="BE62" i="2"/>
  <c r="BE62" i="4" s="1"/>
  <c r="BE58" i="2"/>
  <c r="BE58" i="4" s="1"/>
  <c r="BE54" i="2"/>
  <c r="BE54" i="4" s="1"/>
  <c r="BE50" i="2"/>
  <c r="BE50" i="4" s="1"/>
  <c r="BE42" i="2"/>
  <c r="BE42" i="4" s="1"/>
  <c r="BE38" i="2"/>
  <c r="BE38" i="4" s="1"/>
  <c r="BE30" i="2"/>
  <c r="BE30" i="4" s="1"/>
  <c r="BE22" i="2"/>
  <c r="BE22" i="4" s="1"/>
  <c r="BE14" i="2"/>
  <c r="BE14" i="4" s="1"/>
  <c r="BE10" i="2"/>
  <c r="BE10" i="4" s="1"/>
  <c r="BE6" i="2"/>
  <c r="BE6" i="4" s="1"/>
  <c r="BE110" i="2"/>
  <c r="BE110" i="4" s="1"/>
  <c r="BE72" i="2"/>
  <c r="BE72" i="4" s="1"/>
  <c r="BE56" i="2"/>
  <c r="BE56" i="4" s="1"/>
  <c r="BE126" i="2"/>
  <c r="BE126" i="4" s="1"/>
  <c r="BE98" i="2"/>
  <c r="BE98" i="4" s="1"/>
  <c r="BE94" i="2"/>
  <c r="BE94" i="4" s="1"/>
  <c r="BE78" i="2"/>
  <c r="BE78" i="4" s="1"/>
  <c r="BE46" i="2"/>
  <c r="BE46" i="4" s="1"/>
  <c r="BE26" i="2"/>
  <c r="BE26" i="4" s="1"/>
  <c r="BE89" i="2"/>
  <c r="BE89" i="4" s="1"/>
  <c r="BE85" i="2"/>
  <c r="BE85" i="4" s="1"/>
  <c r="BE81" i="2"/>
  <c r="BE81" i="4" s="1"/>
  <c r="BE77" i="2"/>
  <c r="BE77" i="4" s="1"/>
  <c r="BE73" i="2"/>
  <c r="BE73" i="4" s="1"/>
  <c r="BE69" i="2"/>
  <c r="BE69" i="4" s="1"/>
  <c r="BE65" i="2"/>
  <c r="BE65" i="4" s="1"/>
  <c r="BE45" i="2"/>
  <c r="BE45" i="4" s="1"/>
  <c r="BE41" i="2"/>
  <c r="BE41" i="4" s="1"/>
  <c r="BE37" i="2"/>
  <c r="BE37" i="4" s="1"/>
  <c r="BE33" i="2"/>
  <c r="BE33" i="4" s="1"/>
  <c r="BE17" i="2"/>
  <c r="BE17" i="4" s="1"/>
  <c r="BE13" i="2"/>
  <c r="BE13" i="4" s="1"/>
  <c r="BE5" i="2"/>
  <c r="BE5" i="4" s="1"/>
  <c r="BE96" i="2"/>
  <c r="BE96" i="4" s="1"/>
  <c r="BE92" i="2"/>
  <c r="BE92" i="4" s="1"/>
  <c r="BE88" i="2"/>
  <c r="BE88" i="4" s="1"/>
  <c r="BE84" i="2"/>
  <c r="BE84" i="4" s="1"/>
  <c r="BE80" i="2"/>
  <c r="BE80" i="4" s="1"/>
  <c r="BE76" i="2"/>
  <c r="BE76" i="4" s="1"/>
  <c r="BE60" i="2"/>
  <c r="BE60" i="4" s="1"/>
  <c r="BE52" i="2"/>
  <c r="BE52" i="4" s="1"/>
  <c r="BE32" i="2"/>
  <c r="BE32" i="4" s="1"/>
  <c r="BE24" i="2"/>
  <c r="BE24" i="4" s="1"/>
  <c r="BE16" i="2"/>
  <c r="BE16" i="4" s="1"/>
  <c r="BE8" i="2"/>
  <c r="BE8" i="4" s="1"/>
  <c r="BE127" i="2"/>
  <c r="BE127" i="4" s="1"/>
  <c r="BE111" i="2"/>
  <c r="BE111" i="4" s="1"/>
  <c r="BE34" i="2"/>
  <c r="BE34" i="4" s="1"/>
  <c r="BE61" i="2"/>
  <c r="BE61" i="4" s="1"/>
  <c r="BE49" i="2"/>
  <c r="BE49" i="4" s="1"/>
  <c r="BE21" i="2"/>
  <c r="BE21" i="4" s="1"/>
  <c r="BE118" i="2"/>
  <c r="BE118" i="4" s="1"/>
  <c r="BE102" i="2"/>
  <c r="BE102" i="4" s="1"/>
  <c r="BE64" i="2"/>
  <c r="BE64" i="4" s="1"/>
  <c r="BE48" i="2"/>
  <c r="BE48" i="4" s="1"/>
  <c r="BE36" i="2"/>
  <c r="BE36" i="4" s="1"/>
  <c r="BE12" i="2"/>
  <c r="BE12" i="4" s="1"/>
  <c r="BE115" i="2"/>
  <c r="BE115" i="4" s="1"/>
  <c r="BE9" i="2"/>
  <c r="BE9" i="4" s="1"/>
  <c r="BE40" i="2"/>
  <c r="BE40" i="4" s="1"/>
  <c r="BE28" i="2"/>
  <c r="BE28" i="4" s="1"/>
  <c r="BE103" i="2"/>
  <c r="BE103" i="4" s="1"/>
  <c r="BE3" i="2"/>
  <c r="BE3" i="4" s="1"/>
  <c r="BE51" i="2"/>
  <c r="BE51" i="4" s="1"/>
  <c r="BE39" i="2"/>
  <c r="BE39" i="4" s="1"/>
  <c r="BE27" i="2"/>
  <c r="BE27" i="4" s="1"/>
  <c r="BE11" i="2"/>
  <c r="BE11" i="4" s="1"/>
  <c r="BE124" i="2"/>
  <c r="BE124" i="4" s="1"/>
  <c r="BE120" i="2"/>
  <c r="BE120" i="4" s="1"/>
  <c r="BE116" i="2"/>
  <c r="BE116" i="4" s="1"/>
  <c r="BE112" i="2"/>
  <c r="BE112" i="4" s="1"/>
  <c r="BE108" i="2"/>
  <c r="BE108" i="4" s="1"/>
  <c r="BE104" i="2"/>
  <c r="BE104" i="4" s="1"/>
  <c r="BE100" i="2"/>
  <c r="BE100" i="4" s="1"/>
  <c r="BE83" i="2"/>
  <c r="BE83" i="4" s="1"/>
  <c r="BE57" i="2"/>
  <c r="BE57" i="4" s="1"/>
  <c r="BE68" i="2"/>
  <c r="BE68" i="4" s="1"/>
  <c r="BE4" i="2"/>
  <c r="BE4" i="4" s="1"/>
  <c r="BE107" i="2"/>
  <c r="BE107" i="4" s="1"/>
  <c r="BE79" i="2"/>
  <c r="BE79" i="4" s="1"/>
  <c r="BE63" i="2"/>
  <c r="BE63" i="4" s="1"/>
  <c r="BE59" i="2"/>
  <c r="BE59" i="4" s="1"/>
  <c r="BE47" i="2"/>
  <c r="BE47" i="4" s="1"/>
  <c r="BE31" i="2"/>
  <c r="BE31" i="4" s="1"/>
  <c r="BE15" i="2"/>
  <c r="BE15" i="4" s="1"/>
  <c r="BE7" i="2"/>
  <c r="BE7" i="4" s="1"/>
  <c r="BE53" i="2"/>
  <c r="BE53" i="4" s="1"/>
  <c r="BE20" i="2"/>
  <c r="BE20" i="4" s="1"/>
  <c r="BE123" i="2"/>
  <c r="BE123" i="4" s="1"/>
  <c r="BE75" i="2"/>
  <c r="BE75" i="4" s="1"/>
  <c r="BE55" i="2"/>
  <c r="BE55" i="4" s="1"/>
  <c r="BE35" i="2"/>
  <c r="BE35" i="4" s="1"/>
  <c r="BE19" i="2"/>
  <c r="BE19" i="4" s="1"/>
  <c r="BE93" i="2"/>
  <c r="BE93" i="4" s="1"/>
  <c r="BE29" i="2"/>
  <c r="BE29" i="4" s="1"/>
  <c r="BE119" i="2"/>
  <c r="BE119" i="4" s="1"/>
  <c r="BE71" i="2"/>
  <c r="BE71" i="4" s="1"/>
  <c r="BE67" i="2"/>
  <c r="BE67" i="4" s="1"/>
  <c r="BE43" i="2"/>
  <c r="BE43" i="4" s="1"/>
  <c r="BE128" i="2"/>
  <c r="BE128" i="4" s="1"/>
  <c r="BE99" i="2"/>
  <c r="BE99" i="4" s="1"/>
  <c r="BE87" i="2"/>
  <c r="BE87" i="4" s="1"/>
  <c r="BE25" i="2"/>
  <c r="BE25" i="4" s="1"/>
  <c r="BE44" i="2"/>
  <c r="BE44" i="4" s="1"/>
  <c r="BE23" i="2"/>
  <c r="BE23" i="4" s="1"/>
  <c r="BG1" i="4" l="1"/>
  <c r="BH2" i="4"/>
  <c r="BG2" i="2"/>
  <c r="BF103" i="2"/>
  <c r="BF103" i="4" s="1"/>
  <c r="BF119" i="2"/>
  <c r="BF119" i="4" s="1"/>
  <c r="BF115" i="2"/>
  <c r="BF115" i="4" s="1"/>
  <c r="BF96" i="2"/>
  <c r="BF96" i="4" s="1"/>
  <c r="BF123" i="2"/>
  <c r="BF123" i="4" s="1"/>
  <c r="BF111" i="2"/>
  <c r="BF111" i="4" s="1"/>
  <c r="BF127" i="2"/>
  <c r="BF127" i="4" s="1"/>
  <c r="BF92" i="2"/>
  <c r="BF92" i="4" s="1"/>
  <c r="BF107" i="2"/>
  <c r="BF107" i="4" s="1"/>
  <c r="BF58" i="2"/>
  <c r="BF58" i="4" s="1"/>
  <c r="BF54" i="2"/>
  <c r="BF54" i="4" s="1"/>
  <c r="BF26" i="2"/>
  <c r="BF26" i="4" s="1"/>
  <c r="BF22" i="2"/>
  <c r="BF22" i="4" s="1"/>
  <c r="BF18" i="2"/>
  <c r="BF18" i="4" s="1"/>
  <c r="BF10" i="2"/>
  <c r="BF10" i="4" s="1"/>
  <c r="BF130" i="2"/>
  <c r="BF130" i="4" s="1"/>
  <c r="BF50" i="2"/>
  <c r="BF50" i="4" s="1"/>
  <c r="BF46" i="2"/>
  <c r="BF46" i="4" s="1"/>
  <c r="BF129" i="2"/>
  <c r="BF129" i="4" s="1"/>
  <c r="BF125" i="2"/>
  <c r="BF125" i="4" s="1"/>
  <c r="BF121" i="2"/>
  <c r="BF121" i="4" s="1"/>
  <c r="BF117" i="2"/>
  <c r="BF117" i="4" s="1"/>
  <c r="BF113" i="2"/>
  <c r="BF113" i="4" s="1"/>
  <c r="BF109" i="2"/>
  <c r="BF109" i="4" s="1"/>
  <c r="BF105" i="2"/>
  <c r="BF105" i="4" s="1"/>
  <c r="BF101" i="2"/>
  <c r="BF101" i="4" s="1"/>
  <c r="BF97" i="2"/>
  <c r="BF97" i="4" s="1"/>
  <c r="BF126" i="2"/>
  <c r="BF126" i="4" s="1"/>
  <c r="BF122" i="2"/>
  <c r="BF122" i="4" s="1"/>
  <c r="BF118" i="2"/>
  <c r="BF118" i="4" s="1"/>
  <c r="BF114" i="2"/>
  <c r="BF114" i="4" s="1"/>
  <c r="BF110" i="2"/>
  <c r="BF110" i="4" s="1"/>
  <c r="BF106" i="2"/>
  <c r="BF106" i="4" s="1"/>
  <c r="BF102" i="2"/>
  <c r="BF102" i="4" s="1"/>
  <c r="BF98" i="2"/>
  <c r="BF98" i="4" s="1"/>
  <c r="BF94" i="2"/>
  <c r="BF94" i="4" s="1"/>
  <c r="BF90" i="2"/>
  <c r="BF90" i="4" s="1"/>
  <c r="BF86" i="2"/>
  <c r="BF86" i="4" s="1"/>
  <c r="BF82" i="2"/>
  <c r="BF82" i="4" s="1"/>
  <c r="BF78" i="2"/>
  <c r="BF78" i="4" s="1"/>
  <c r="BF74" i="2"/>
  <c r="BF74" i="4" s="1"/>
  <c r="BF70" i="2"/>
  <c r="BF70" i="4" s="1"/>
  <c r="BF66" i="2"/>
  <c r="BF66" i="4" s="1"/>
  <c r="BF42" i="2"/>
  <c r="BF42" i="4" s="1"/>
  <c r="BF38" i="2"/>
  <c r="BF38" i="4" s="1"/>
  <c r="BF30" i="2"/>
  <c r="BF30" i="4" s="1"/>
  <c r="BF14" i="2"/>
  <c r="BF14" i="4" s="1"/>
  <c r="BF6" i="2"/>
  <c r="BF6" i="4" s="1"/>
  <c r="BF37" i="2"/>
  <c r="BF37" i="4" s="1"/>
  <c r="BF29" i="2"/>
  <c r="BF29" i="4" s="1"/>
  <c r="BF17" i="2"/>
  <c r="BF17" i="4" s="1"/>
  <c r="BF9" i="2"/>
  <c r="BF9" i="4" s="1"/>
  <c r="BF72" i="2"/>
  <c r="BF72" i="4" s="1"/>
  <c r="BF56" i="2"/>
  <c r="BF56" i="4" s="1"/>
  <c r="BF89" i="2"/>
  <c r="BF89" i="4" s="1"/>
  <c r="BF85" i="2"/>
  <c r="BF85" i="4" s="1"/>
  <c r="BF81" i="2"/>
  <c r="BF81" i="4" s="1"/>
  <c r="BF77" i="2"/>
  <c r="BF77" i="4" s="1"/>
  <c r="BF73" i="2"/>
  <c r="BF73" i="4" s="1"/>
  <c r="BF69" i="2"/>
  <c r="BF69" i="4" s="1"/>
  <c r="BF65" i="2"/>
  <c r="BF65" i="4" s="1"/>
  <c r="BF61" i="2"/>
  <c r="BF61" i="4" s="1"/>
  <c r="BF57" i="2"/>
  <c r="BF57" i="4" s="1"/>
  <c r="BF53" i="2"/>
  <c r="BF53" i="4" s="1"/>
  <c r="BF49" i="2"/>
  <c r="BF49" i="4" s="1"/>
  <c r="BF25" i="2"/>
  <c r="BF25" i="4" s="1"/>
  <c r="BF21" i="2"/>
  <c r="BF21" i="4" s="1"/>
  <c r="BF13" i="2"/>
  <c r="BF13" i="4" s="1"/>
  <c r="BF76" i="2"/>
  <c r="BF76" i="4" s="1"/>
  <c r="BF60" i="2"/>
  <c r="BF60" i="4" s="1"/>
  <c r="BF52" i="2"/>
  <c r="BF52" i="4" s="1"/>
  <c r="BF40" i="2"/>
  <c r="BF40" i="4" s="1"/>
  <c r="BF24" i="2"/>
  <c r="BF24" i="4" s="1"/>
  <c r="BF128" i="2"/>
  <c r="BF128" i="4" s="1"/>
  <c r="BF112" i="2"/>
  <c r="BF112" i="4" s="1"/>
  <c r="BF34" i="2"/>
  <c r="BF34" i="4" s="1"/>
  <c r="BF45" i="2"/>
  <c r="BF45" i="4" s="1"/>
  <c r="BF5" i="2"/>
  <c r="BF5" i="4" s="1"/>
  <c r="BF64" i="2"/>
  <c r="BF64" i="4" s="1"/>
  <c r="BF48" i="2"/>
  <c r="BF48" i="4" s="1"/>
  <c r="BF28" i="2"/>
  <c r="BF28" i="4" s="1"/>
  <c r="BF12" i="2"/>
  <c r="BF12" i="4" s="1"/>
  <c r="BF116" i="2"/>
  <c r="BF116" i="4" s="1"/>
  <c r="BF100" i="2"/>
  <c r="BF100" i="4" s="1"/>
  <c r="BF3" i="2"/>
  <c r="BF3" i="4" s="1"/>
  <c r="BF87" i="2"/>
  <c r="BF87" i="4" s="1"/>
  <c r="BF62" i="2"/>
  <c r="BF62" i="4" s="1"/>
  <c r="BF32" i="2"/>
  <c r="BF32" i="4" s="1"/>
  <c r="BF104" i="2"/>
  <c r="BF104" i="4" s="1"/>
  <c r="BF91" i="2"/>
  <c r="BF91" i="4" s="1"/>
  <c r="BF79" i="2"/>
  <c r="BF79" i="4" s="1"/>
  <c r="BF67" i="2"/>
  <c r="BF67" i="4" s="1"/>
  <c r="BF51" i="2"/>
  <c r="BF51" i="4" s="1"/>
  <c r="BF39" i="2"/>
  <c r="BF39" i="4" s="1"/>
  <c r="BF27" i="2"/>
  <c r="BF27" i="4" s="1"/>
  <c r="BF84" i="2"/>
  <c r="BF84" i="4" s="1"/>
  <c r="BF33" i="2"/>
  <c r="BF33" i="4" s="1"/>
  <c r="BF68" i="2"/>
  <c r="BF68" i="4" s="1"/>
  <c r="BF16" i="2"/>
  <c r="BF16" i="4" s="1"/>
  <c r="BF4" i="2"/>
  <c r="BF4" i="4" s="1"/>
  <c r="BF108" i="2"/>
  <c r="BF108" i="4" s="1"/>
  <c r="BF80" i="2"/>
  <c r="BF80" i="4" s="1"/>
  <c r="BF83" i="2"/>
  <c r="BF83" i="4" s="1"/>
  <c r="BF75" i="2"/>
  <c r="BF75" i="4" s="1"/>
  <c r="BF71" i="2"/>
  <c r="BF71" i="4" s="1"/>
  <c r="BF59" i="2"/>
  <c r="BF59" i="4" s="1"/>
  <c r="BF47" i="2"/>
  <c r="BF47" i="4" s="1"/>
  <c r="BF43" i="2"/>
  <c r="BF43" i="4" s="1"/>
  <c r="BF31" i="2"/>
  <c r="BF31" i="4" s="1"/>
  <c r="BF15" i="2"/>
  <c r="BF15" i="4" s="1"/>
  <c r="BF11" i="2"/>
  <c r="BF11" i="4" s="1"/>
  <c r="BF44" i="2"/>
  <c r="BF44" i="4" s="1"/>
  <c r="BF36" i="2"/>
  <c r="BF36" i="4" s="1"/>
  <c r="BF20" i="2"/>
  <c r="BF20" i="4" s="1"/>
  <c r="BF124" i="2"/>
  <c r="BF124" i="4" s="1"/>
  <c r="BF23" i="2"/>
  <c r="BF23" i="4" s="1"/>
  <c r="BF7" i="2"/>
  <c r="BF7" i="4" s="1"/>
  <c r="BF95" i="2"/>
  <c r="BF95" i="4" s="1"/>
  <c r="BF93" i="2"/>
  <c r="BF93" i="4" s="1"/>
  <c r="BF8" i="2"/>
  <c r="BF8" i="4" s="1"/>
  <c r="BF120" i="2"/>
  <c r="BF120" i="4" s="1"/>
  <c r="BF35" i="2"/>
  <c r="BF35" i="4" s="1"/>
  <c r="BF19" i="2"/>
  <c r="BF19" i="4" s="1"/>
  <c r="BF88" i="2"/>
  <c r="BF88" i="4" s="1"/>
  <c r="BF41" i="2"/>
  <c r="BF41" i="4" s="1"/>
  <c r="BF99" i="2"/>
  <c r="BF99" i="4" s="1"/>
  <c r="BF63" i="2"/>
  <c r="BF63" i="4" s="1"/>
  <c r="BF55" i="2"/>
  <c r="BF55" i="4" s="1"/>
  <c r="BH1" i="4" l="1"/>
  <c r="BI2" i="4"/>
  <c r="BH2" i="2"/>
  <c r="BG127" i="2"/>
  <c r="BG127" i="4" s="1"/>
  <c r="BG104" i="2"/>
  <c r="BG104" i="4" s="1"/>
  <c r="BG120" i="2"/>
  <c r="BG120" i="4" s="1"/>
  <c r="BG100" i="2"/>
  <c r="BG100" i="4" s="1"/>
  <c r="BG116" i="2"/>
  <c r="BG116" i="4" s="1"/>
  <c r="BG124" i="2"/>
  <c r="BG124" i="4" s="1"/>
  <c r="BG112" i="2"/>
  <c r="BG112" i="4" s="1"/>
  <c r="BG128" i="2"/>
  <c r="BG128" i="4" s="1"/>
  <c r="BG108" i="2"/>
  <c r="BG108" i="4" s="1"/>
  <c r="BG42" i="2"/>
  <c r="BG42" i="4" s="1"/>
  <c r="BG30" i="2"/>
  <c r="BG30" i="4" s="1"/>
  <c r="BG14" i="2"/>
  <c r="BG14" i="4" s="1"/>
  <c r="BG93" i="2"/>
  <c r="BG93" i="4" s="1"/>
  <c r="BG38" i="2"/>
  <c r="BG38" i="4" s="1"/>
  <c r="BG97" i="2"/>
  <c r="BG97" i="4" s="1"/>
  <c r="BG130" i="2"/>
  <c r="BG130" i="4" s="1"/>
  <c r="BG126" i="2"/>
  <c r="BG126" i="4" s="1"/>
  <c r="BG122" i="2"/>
  <c r="BG122" i="4" s="1"/>
  <c r="BG118" i="2"/>
  <c r="BG118" i="4" s="1"/>
  <c r="BG114" i="2"/>
  <c r="BG114" i="4" s="1"/>
  <c r="BG110" i="2"/>
  <c r="BG110" i="4" s="1"/>
  <c r="BG106" i="2"/>
  <c r="BG106" i="4" s="1"/>
  <c r="BG102" i="2"/>
  <c r="BG102" i="4" s="1"/>
  <c r="BG98" i="2"/>
  <c r="BG98" i="4" s="1"/>
  <c r="BG94" i="2"/>
  <c r="BG94" i="4" s="1"/>
  <c r="BG90" i="2"/>
  <c r="BG90" i="4" s="1"/>
  <c r="BG86" i="2"/>
  <c r="BG86" i="4" s="1"/>
  <c r="BG82" i="2"/>
  <c r="BG82" i="4" s="1"/>
  <c r="BG74" i="2"/>
  <c r="BG74" i="4" s="1"/>
  <c r="BG70" i="2"/>
  <c r="BG70" i="4" s="1"/>
  <c r="BG66" i="2"/>
  <c r="BG66" i="4" s="1"/>
  <c r="BG62" i="2"/>
  <c r="BG62" i="4" s="1"/>
  <c r="BG46" i="2"/>
  <c r="BG46" i="4" s="1"/>
  <c r="BG34" i="2"/>
  <c r="BG34" i="4" s="1"/>
  <c r="BG18" i="2"/>
  <c r="BG18" i="4" s="1"/>
  <c r="BG6" i="2"/>
  <c r="BG6" i="4" s="1"/>
  <c r="BG129" i="2"/>
  <c r="BG129" i="4" s="1"/>
  <c r="BG125" i="2"/>
  <c r="BG125" i="4" s="1"/>
  <c r="BG121" i="2"/>
  <c r="BG121" i="4" s="1"/>
  <c r="BG117" i="2"/>
  <c r="BG117" i="4" s="1"/>
  <c r="BG113" i="2"/>
  <c r="BG113" i="4" s="1"/>
  <c r="BG109" i="2"/>
  <c r="BG109" i="4" s="1"/>
  <c r="BG105" i="2"/>
  <c r="BG105" i="4" s="1"/>
  <c r="BG101" i="2"/>
  <c r="BG101" i="4" s="1"/>
  <c r="BG89" i="2"/>
  <c r="BG89" i="4" s="1"/>
  <c r="BG85" i="2"/>
  <c r="BG85" i="4" s="1"/>
  <c r="BG81" i="2"/>
  <c r="BG81" i="4" s="1"/>
  <c r="BG29" i="2"/>
  <c r="BG29" i="4" s="1"/>
  <c r="BG5" i="2"/>
  <c r="BG5" i="4" s="1"/>
  <c r="BG64" i="2"/>
  <c r="BG64" i="4" s="1"/>
  <c r="BG78" i="2"/>
  <c r="BG78" i="4" s="1"/>
  <c r="BG58" i="2"/>
  <c r="BG58" i="4" s="1"/>
  <c r="BG54" i="2"/>
  <c r="BG54" i="4" s="1"/>
  <c r="BG50" i="2"/>
  <c r="BG50" i="4" s="1"/>
  <c r="BG26" i="2"/>
  <c r="BG26" i="4" s="1"/>
  <c r="BG22" i="2"/>
  <c r="BG22" i="4" s="1"/>
  <c r="BG10" i="2"/>
  <c r="BG10" i="4" s="1"/>
  <c r="BG77" i="2"/>
  <c r="BG77" i="4" s="1"/>
  <c r="BG73" i="2"/>
  <c r="BG73" i="4" s="1"/>
  <c r="BG69" i="2"/>
  <c r="BG69" i="4" s="1"/>
  <c r="BG65" i="2"/>
  <c r="BG65" i="4" s="1"/>
  <c r="BG57" i="2"/>
  <c r="BG57" i="4" s="1"/>
  <c r="BG53" i="2"/>
  <c r="BG53" i="4" s="1"/>
  <c r="BG49" i="2"/>
  <c r="BG49" i="4" s="1"/>
  <c r="BG25" i="2"/>
  <c r="BG25" i="4" s="1"/>
  <c r="BG21" i="2"/>
  <c r="BG21" i="4" s="1"/>
  <c r="BG68" i="2"/>
  <c r="BG68" i="4" s="1"/>
  <c r="BG60" i="2"/>
  <c r="BG60" i="4" s="1"/>
  <c r="BG52" i="2"/>
  <c r="BG52" i="4" s="1"/>
  <c r="BG40" i="2"/>
  <c r="BG40" i="4" s="1"/>
  <c r="BG36" i="2"/>
  <c r="BG36" i="4" s="1"/>
  <c r="BG24" i="2"/>
  <c r="BG24" i="4" s="1"/>
  <c r="BG61" i="2"/>
  <c r="BG61" i="4" s="1"/>
  <c r="BG45" i="2"/>
  <c r="BG45" i="4" s="1"/>
  <c r="BG41" i="2"/>
  <c r="BG41" i="4" s="1"/>
  <c r="BG37" i="2"/>
  <c r="BG37" i="4" s="1"/>
  <c r="BG33" i="2"/>
  <c r="BG33" i="4" s="1"/>
  <c r="BG17" i="2"/>
  <c r="BG17" i="4" s="1"/>
  <c r="BG13" i="2"/>
  <c r="BG13" i="4" s="1"/>
  <c r="BG9" i="2"/>
  <c r="BG9" i="4" s="1"/>
  <c r="BG92" i="2"/>
  <c r="BG92" i="4" s="1"/>
  <c r="BG88" i="2"/>
  <c r="BG88" i="4" s="1"/>
  <c r="BG84" i="2"/>
  <c r="BG84" i="4" s="1"/>
  <c r="BG80" i="2"/>
  <c r="BG80" i="4" s="1"/>
  <c r="BG76" i="2"/>
  <c r="BG76" i="4" s="1"/>
  <c r="BG72" i="2"/>
  <c r="BG72" i="4" s="1"/>
  <c r="BG48" i="2"/>
  <c r="BG48" i="4" s="1"/>
  <c r="BG28" i="2"/>
  <c r="BG28" i="4" s="1"/>
  <c r="BG16" i="2"/>
  <c r="BG16" i="4" s="1"/>
  <c r="BG12" i="2"/>
  <c r="BG12" i="4" s="1"/>
  <c r="BG8" i="2"/>
  <c r="BG8" i="4" s="1"/>
  <c r="BG4" i="2"/>
  <c r="BG4" i="4" s="1"/>
  <c r="BG32" i="2"/>
  <c r="BG32" i="4" s="1"/>
  <c r="BG99" i="2"/>
  <c r="BG99" i="4" s="1"/>
  <c r="BG91" i="2"/>
  <c r="BG91" i="4" s="1"/>
  <c r="BG79" i="2"/>
  <c r="BG79" i="4" s="1"/>
  <c r="BG39" i="2"/>
  <c r="BG39" i="4" s="1"/>
  <c r="BG23" i="2"/>
  <c r="BG23" i="4" s="1"/>
  <c r="BG11" i="2"/>
  <c r="BG11" i="4" s="1"/>
  <c r="BG3" i="2"/>
  <c r="BG3" i="4" s="1"/>
  <c r="BG95" i="2"/>
  <c r="BG95" i="4" s="1"/>
  <c r="BG83" i="2"/>
  <c r="BG83" i="4" s="1"/>
  <c r="BG75" i="2"/>
  <c r="BG75" i="4" s="1"/>
  <c r="BG63" i="2"/>
  <c r="BG63" i="4" s="1"/>
  <c r="BG55" i="2"/>
  <c r="BG55" i="4" s="1"/>
  <c r="BG43" i="2"/>
  <c r="BG43" i="4" s="1"/>
  <c r="BG31" i="2"/>
  <c r="BG31" i="4" s="1"/>
  <c r="BG27" i="2"/>
  <c r="BG27" i="4" s="1"/>
  <c r="BG15" i="2"/>
  <c r="BG15" i="4" s="1"/>
  <c r="BG7" i="2"/>
  <c r="BG7" i="4" s="1"/>
  <c r="BG51" i="2"/>
  <c r="BG51" i="4" s="1"/>
  <c r="BG123" i="2"/>
  <c r="BG123" i="4" s="1"/>
  <c r="BG115" i="2"/>
  <c r="BG115" i="4" s="1"/>
  <c r="BG107" i="2"/>
  <c r="BG107" i="4" s="1"/>
  <c r="BG56" i="2"/>
  <c r="BG56" i="4" s="1"/>
  <c r="BG20" i="2"/>
  <c r="BG20" i="4" s="1"/>
  <c r="BG119" i="2"/>
  <c r="BG119" i="4" s="1"/>
  <c r="BG111" i="2"/>
  <c r="BG111" i="4" s="1"/>
  <c r="BG87" i="2"/>
  <c r="BG87" i="4" s="1"/>
  <c r="BG59" i="2"/>
  <c r="BG59" i="4" s="1"/>
  <c r="BG35" i="2"/>
  <c r="BG35" i="4" s="1"/>
  <c r="BG19" i="2"/>
  <c r="BG19" i="4" s="1"/>
  <c r="BG44" i="2"/>
  <c r="BG44" i="4" s="1"/>
  <c r="BG71" i="2"/>
  <c r="BG71" i="4" s="1"/>
  <c r="BG67" i="2"/>
  <c r="BG67" i="4" s="1"/>
  <c r="BG47" i="2"/>
  <c r="BG47" i="4" s="1"/>
  <c r="BG103" i="2"/>
  <c r="BG103" i="4" s="1"/>
  <c r="BG96" i="2"/>
  <c r="BG96" i="4" s="1"/>
  <c r="BI1" i="4" l="1"/>
  <c r="BJ2" i="4"/>
  <c r="BI2" i="2"/>
  <c r="BH128" i="2"/>
  <c r="BH128" i="4" s="1"/>
  <c r="BH52" i="2"/>
  <c r="BH52" i="4" s="1"/>
  <c r="BH98" i="2"/>
  <c r="BH98" i="4" s="1"/>
  <c r="BH125" i="2"/>
  <c r="BH125" i="4" s="1"/>
  <c r="BH109" i="2"/>
  <c r="BH109" i="4" s="1"/>
  <c r="BH90" i="2"/>
  <c r="BH90" i="4" s="1"/>
  <c r="BH86" i="2"/>
  <c r="BH86" i="4" s="1"/>
  <c r="BH82" i="2"/>
  <c r="BH82" i="4" s="1"/>
  <c r="BH26" i="2"/>
  <c r="BH26" i="4" s="1"/>
  <c r="BH46" i="2"/>
  <c r="BH46" i="4" s="1"/>
  <c r="BH34" i="2"/>
  <c r="BH34" i="4" s="1"/>
  <c r="BH6" i="2"/>
  <c r="BH6" i="4" s="1"/>
  <c r="BH89" i="2"/>
  <c r="BH89" i="4" s="1"/>
  <c r="BH85" i="2"/>
  <c r="BH85" i="4" s="1"/>
  <c r="BH81" i="2"/>
  <c r="BH81" i="4" s="1"/>
  <c r="BH130" i="2"/>
  <c r="BH130" i="4" s="1"/>
  <c r="BH126" i="2"/>
  <c r="BH126" i="4" s="1"/>
  <c r="BH122" i="2"/>
  <c r="BH122" i="4" s="1"/>
  <c r="BH118" i="2"/>
  <c r="BH118" i="4" s="1"/>
  <c r="BH114" i="2"/>
  <c r="BH114" i="4" s="1"/>
  <c r="BH110" i="2"/>
  <c r="BH110" i="4" s="1"/>
  <c r="BH106" i="2"/>
  <c r="BH106" i="4" s="1"/>
  <c r="BH102" i="2"/>
  <c r="BH102" i="4" s="1"/>
  <c r="BH74" i="2"/>
  <c r="BH74" i="4" s="1"/>
  <c r="BH70" i="2"/>
  <c r="BH70" i="4" s="1"/>
  <c r="BH66" i="2"/>
  <c r="BH66" i="4" s="1"/>
  <c r="BH117" i="2"/>
  <c r="BH117" i="4" s="1"/>
  <c r="BH101" i="2"/>
  <c r="BH101" i="4" s="1"/>
  <c r="BH97" i="2"/>
  <c r="BH97" i="4" s="1"/>
  <c r="BH93" i="2"/>
  <c r="BH93" i="4" s="1"/>
  <c r="BH5" i="2"/>
  <c r="BH5" i="4" s="1"/>
  <c r="BH68" i="2"/>
  <c r="BH68" i="4" s="1"/>
  <c r="BH94" i="2"/>
  <c r="BH94" i="4" s="1"/>
  <c r="BH62" i="2"/>
  <c r="BH62" i="4" s="1"/>
  <c r="BH58" i="2"/>
  <c r="BH58" i="4" s="1"/>
  <c r="BH54" i="2"/>
  <c r="BH54" i="4" s="1"/>
  <c r="BH50" i="2"/>
  <c r="BH50" i="4" s="1"/>
  <c r="BH42" i="2"/>
  <c r="BH42" i="4" s="1"/>
  <c r="BH38" i="2"/>
  <c r="BH38" i="4" s="1"/>
  <c r="BH30" i="2"/>
  <c r="BH30" i="4" s="1"/>
  <c r="BH22" i="2"/>
  <c r="BH22" i="4" s="1"/>
  <c r="BH18" i="2"/>
  <c r="BH18" i="4" s="1"/>
  <c r="BH14" i="2"/>
  <c r="BH14" i="4" s="1"/>
  <c r="BH10" i="2"/>
  <c r="BH10" i="4" s="1"/>
  <c r="BH57" i="2"/>
  <c r="BH57" i="4" s="1"/>
  <c r="BH53" i="2"/>
  <c r="BH53" i="4" s="1"/>
  <c r="BH49" i="2"/>
  <c r="BH49" i="4" s="1"/>
  <c r="BH25" i="2"/>
  <c r="BH25" i="4" s="1"/>
  <c r="BH21" i="2"/>
  <c r="BH21" i="4" s="1"/>
  <c r="BH13" i="2"/>
  <c r="BH13" i="4" s="1"/>
  <c r="BH72" i="2"/>
  <c r="BH72" i="4" s="1"/>
  <c r="BH40" i="2"/>
  <c r="BH40" i="4" s="1"/>
  <c r="BH12" i="2"/>
  <c r="BH12" i="4" s="1"/>
  <c r="BH4" i="2"/>
  <c r="BH4" i="4" s="1"/>
  <c r="BH99" i="2"/>
  <c r="BH99" i="4" s="1"/>
  <c r="BH113" i="2"/>
  <c r="BH113" i="4" s="1"/>
  <c r="BH77" i="2"/>
  <c r="BH77" i="4" s="1"/>
  <c r="BH61" i="2"/>
  <c r="BH61" i="4" s="1"/>
  <c r="BH45" i="2"/>
  <c r="BH45" i="4" s="1"/>
  <c r="BH41" i="2"/>
  <c r="BH41" i="4" s="1"/>
  <c r="BH37" i="2"/>
  <c r="BH37" i="4" s="1"/>
  <c r="BH33" i="2"/>
  <c r="BH33" i="4" s="1"/>
  <c r="BH29" i="2"/>
  <c r="BH29" i="4" s="1"/>
  <c r="BH17" i="2"/>
  <c r="BH17" i="4" s="1"/>
  <c r="BH9" i="2"/>
  <c r="BH9" i="4" s="1"/>
  <c r="BH121" i="2"/>
  <c r="BH121" i="4" s="1"/>
  <c r="BH105" i="2"/>
  <c r="BH105" i="4" s="1"/>
  <c r="BH96" i="2"/>
  <c r="BH96" i="4" s="1"/>
  <c r="BH92" i="2"/>
  <c r="BH92" i="4" s="1"/>
  <c r="BH88" i="2"/>
  <c r="BH88" i="4" s="1"/>
  <c r="BH84" i="2"/>
  <c r="BH84" i="4" s="1"/>
  <c r="BH80" i="2"/>
  <c r="BH80" i="4" s="1"/>
  <c r="BH76" i="2"/>
  <c r="BH76" i="4" s="1"/>
  <c r="BH60" i="2"/>
  <c r="BH60" i="4" s="1"/>
  <c r="BH56" i="2"/>
  <c r="BH56" i="4" s="1"/>
  <c r="BH36" i="2"/>
  <c r="BH36" i="4" s="1"/>
  <c r="BH20" i="2"/>
  <c r="BH20" i="4" s="1"/>
  <c r="BH8" i="2"/>
  <c r="BH8" i="4" s="1"/>
  <c r="BH129" i="2"/>
  <c r="BH129" i="4" s="1"/>
  <c r="BH78" i="2"/>
  <c r="BH78" i="4" s="1"/>
  <c r="BH32" i="2"/>
  <c r="BH32" i="4" s="1"/>
  <c r="BH28" i="2"/>
  <c r="BH28" i="4" s="1"/>
  <c r="BH24" i="2"/>
  <c r="BH24" i="4" s="1"/>
  <c r="BH91" i="2"/>
  <c r="BH91" i="4" s="1"/>
  <c r="BH79" i="2"/>
  <c r="BH79" i="4" s="1"/>
  <c r="BH75" i="2"/>
  <c r="BH75" i="4" s="1"/>
  <c r="BH63" i="2"/>
  <c r="BH63" i="4" s="1"/>
  <c r="BH55" i="2"/>
  <c r="BH55" i="4" s="1"/>
  <c r="BH43" i="2"/>
  <c r="BH43" i="4" s="1"/>
  <c r="BH27" i="2"/>
  <c r="BH27" i="4" s="1"/>
  <c r="BH23" i="2"/>
  <c r="BH23" i="4" s="1"/>
  <c r="BH127" i="2"/>
  <c r="BH127" i="4" s="1"/>
  <c r="BH120" i="2"/>
  <c r="BH120" i="4" s="1"/>
  <c r="BH112" i="2"/>
  <c r="BH112" i="4" s="1"/>
  <c r="BH104" i="2"/>
  <c r="BH104" i="4" s="1"/>
  <c r="BH15" i="2"/>
  <c r="BH15" i="4" s="1"/>
  <c r="BH115" i="2"/>
  <c r="BH115" i="4" s="1"/>
  <c r="BH103" i="2"/>
  <c r="BH103" i="4" s="1"/>
  <c r="BH69" i="2"/>
  <c r="BH69" i="4" s="1"/>
  <c r="BH3" i="2"/>
  <c r="BH3" i="4" s="1"/>
  <c r="BH95" i="2"/>
  <c r="BH95" i="4" s="1"/>
  <c r="BH83" i="2"/>
  <c r="BH83" i="4" s="1"/>
  <c r="BH51" i="2"/>
  <c r="BH51" i="4" s="1"/>
  <c r="BH7" i="2"/>
  <c r="BH7" i="4" s="1"/>
  <c r="BH48" i="2"/>
  <c r="BH48" i="4" s="1"/>
  <c r="BH31" i="2"/>
  <c r="BH31" i="4" s="1"/>
  <c r="BH111" i="2"/>
  <c r="BH111" i="4" s="1"/>
  <c r="BH87" i="2"/>
  <c r="BH87" i="4" s="1"/>
  <c r="BH59" i="2"/>
  <c r="BH59" i="4" s="1"/>
  <c r="BH47" i="2"/>
  <c r="BH47" i="4" s="1"/>
  <c r="BH19" i="2"/>
  <c r="BH19" i="4" s="1"/>
  <c r="BH11" i="2"/>
  <c r="BH11" i="4" s="1"/>
  <c r="BH124" i="2"/>
  <c r="BH124" i="4" s="1"/>
  <c r="BH116" i="2"/>
  <c r="BH116" i="4" s="1"/>
  <c r="BH108" i="2"/>
  <c r="BH108" i="4" s="1"/>
  <c r="BH100" i="2"/>
  <c r="BH100" i="4" s="1"/>
  <c r="BH73" i="2"/>
  <c r="BH73" i="4" s="1"/>
  <c r="BH65" i="2"/>
  <c r="BH65" i="4" s="1"/>
  <c r="BH64" i="2"/>
  <c r="BH64" i="4" s="1"/>
  <c r="BH44" i="2"/>
  <c r="BH44" i="4" s="1"/>
  <c r="BH16" i="2"/>
  <c r="BH16" i="4" s="1"/>
  <c r="BH71" i="2"/>
  <c r="BH71" i="4" s="1"/>
  <c r="BH67" i="2"/>
  <c r="BH67" i="4" s="1"/>
  <c r="BH39" i="2"/>
  <c r="BH39" i="4" s="1"/>
  <c r="BH35" i="2"/>
  <c r="BH35" i="4" s="1"/>
  <c r="BH123" i="2"/>
  <c r="BH123" i="4" s="1"/>
  <c r="BH119" i="2"/>
  <c r="BH119" i="4" s="1"/>
  <c r="BH107" i="2"/>
  <c r="BH107" i="4" s="1"/>
  <c r="BJ1" i="4" l="1"/>
  <c r="BK2" i="4"/>
  <c r="BJ2" i="2"/>
  <c r="BI79" i="2"/>
  <c r="BI79" i="4" s="1"/>
  <c r="BI99" i="2"/>
  <c r="BI99" i="4" s="1"/>
  <c r="BI110" i="2"/>
  <c r="BI110" i="4" s="1"/>
  <c r="BI126" i="2"/>
  <c r="BI126" i="4" s="1"/>
  <c r="BI130" i="2"/>
  <c r="BI130" i="4" s="1"/>
  <c r="BI114" i="2"/>
  <c r="BI114" i="4" s="1"/>
  <c r="BI78" i="2"/>
  <c r="BI78" i="4" s="1"/>
  <c r="BI74" i="2"/>
  <c r="BI74" i="4" s="1"/>
  <c r="BI70" i="2"/>
  <c r="BI70" i="4" s="1"/>
  <c r="BI66" i="2"/>
  <c r="BI66" i="4" s="1"/>
  <c r="BI46" i="2"/>
  <c r="BI46" i="4" s="1"/>
  <c r="BI34" i="2"/>
  <c r="BI34" i="4" s="1"/>
  <c r="BI26" i="2"/>
  <c r="BI26" i="4" s="1"/>
  <c r="BI18" i="2"/>
  <c r="BI18" i="4" s="1"/>
  <c r="BI93" i="2"/>
  <c r="BI93" i="4" s="1"/>
  <c r="BI89" i="2"/>
  <c r="BI89" i="4" s="1"/>
  <c r="BI85" i="2"/>
  <c r="BI85" i="4" s="1"/>
  <c r="BI81" i="2"/>
  <c r="BI81" i="4" s="1"/>
  <c r="BI118" i="2"/>
  <c r="BI118" i="4" s="1"/>
  <c r="BI102" i="2"/>
  <c r="BI102" i="4" s="1"/>
  <c r="BI129" i="2"/>
  <c r="BI129" i="4" s="1"/>
  <c r="BI125" i="2"/>
  <c r="BI125" i="4" s="1"/>
  <c r="BI121" i="2"/>
  <c r="BI121" i="4" s="1"/>
  <c r="BI117" i="2"/>
  <c r="BI117" i="4" s="1"/>
  <c r="BI113" i="2"/>
  <c r="BI113" i="4" s="1"/>
  <c r="BI109" i="2"/>
  <c r="BI109" i="4" s="1"/>
  <c r="BI105" i="2"/>
  <c r="BI105" i="4" s="1"/>
  <c r="BI101" i="2"/>
  <c r="BI101" i="4" s="1"/>
  <c r="BI97" i="2"/>
  <c r="BI97" i="4" s="1"/>
  <c r="BI29" i="2"/>
  <c r="BI29" i="4" s="1"/>
  <c r="BI9" i="2"/>
  <c r="BI9" i="4" s="1"/>
  <c r="BI68" i="2"/>
  <c r="BI68" i="4" s="1"/>
  <c r="BI98" i="2"/>
  <c r="BI98" i="4" s="1"/>
  <c r="BI94" i="2"/>
  <c r="BI94" i="4" s="1"/>
  <c r="BI86" i="2"/>
  <c r="BI86" i="4" s="1"/>
  <c r="BI82" i="2"/>
  <c r="BI82" i="4" s="1"/>
  <c r="BI62" i="2"/>
  <c r="BI62" i="4" s="1"/>
  <c r="BI58" i="2"/>
  <c r="BI58" i="4" s="1"/>
  <c r="BI54" i="2"/>
  <c r="BI54" i="4" s="1"/>
  <c r="BI50" i="2"/>
  <c r="BI50" i="4" s="1"/>
  <c r="BI42" i="2"/>
  <c r="BI42" i="4" s="1"/>
  <c r="BI38" i="2"/>
  <c r="BI38" i="4" s="1"/>
  <c r="BI30" i="2"/>
  <c r="BI30" i="4" s="1"/>
  <c r="BI22" i="2"/>
  <c r="BI22" i="4" s="1"/>
  <c r="BI14" i="2"/>
  <c r="BI14" i="4" s="1"/>
  <c r="BI10" i="2"/>
  <c r="BI10" i="4" s="1"/>
  <c r="BI6" i="2"/>
  <c r="BI6" i="4" s="1"/>
  <c r="BI13" i="2"/>
  <c r="BI13" i="4" s="1"/>
  <c r="BI72" i="2"/>
  <c r="BI72" i="4" s="1"/>
  <c r="BI56" i="2"/>
  <c r="BI56" i="4" s="1"/>
  <c r="BI44" i="2"/>
  <c r="BI44" i="4" s="1"/>
  <c r="BI32" i="2"/>
  <c r="BI32" i="4" s="1"/>
  <c r="BI20" i="2"/>
  <c r="BI20" i="4" s="1"/>
  <c r="BI16" i="2"/>
  <c r="BI16" i="4" s="1"/>
  <c r="BI4" i="2"/>
  <c r="BI4" i="4" s="1"/>
  <c r="BI115" i="2"/>
  <c r="BI115" i="4" s="1"/>
  <c r="BI83" i="2"/>
  <c r="BI83" i="4" s="1"/>
  <c r="BI77" i="2"/>
  <c r="BI77" i="4" s="1"/>
  <c r="BI73" i="2"/>
  <c r="BI73" i="4" s="1"/>
  <c r="BI69" i="2"/>
  <c r="BI69" i="4" s="1"/>
  <c r="BI65" i="2"/>
  <c r="BI65" i="4" s="1"/>
  <c r="BI53" i="2"/>
  <c r="BI53" i="4" s="1"/>
  <c r="BI45" i="2"/>
  <c r="BI45" i="4" s="1"/>
  <c r="BI41" i="2"/>
  <c r="BI41" i="4" s="1"/>
  <c r="BI37" i="2"/>
  <c r="BI37" i="4" s="1"/>
  <c r="BI33" i="2"/>
  <c r="BI33" i="4" s="1"/>
  <c r="BI25" i="2"/>
  <c r="BI25" i="4" s="1"/>
  <c r="BI17" i="2"/>
  <c r="BI17" i="4" s="1"/>
  <c r="BI5" i="2"/>
  <c r="BI5" i="4" s="1"/>
  <c r="BI122" i="2"/>
  <c r="BI122" i="4" s="1"/>
  <c r="BI106" i="2"/>
  <c r="BI106" i="4" s="1"/>
  <c r="BI96" i="2"/>
  <c r="BI96" i="4" s="1"/>
  <c r="BI92" i="2"/>
  <c r="BI92" i="4" s="1"/>
  <c r="BI88" i="2"/>
  <c r="BI88" i="4" s="1"/>
  <c r="BI84" i="2"/>
  <c r="BI84" i="4" s="1"/>
  <c r="BI80" i="2"/>
  <c r="BI80" i="4" s="1"/>
  <c r="BI76" i="2"/>
  <c r="BI76" i="4" s="1"/>
  <c r="BI60" i="2"/>
  <c r="BI60" i="4" s="1"/>
  <c r="BI52" i="2"/>
  <c r="BI52" i="4" s="1"/>
  <c r="BI28" i="2"/>
  <c r="BI28" i="4" s="1"/>
  <c r="BI24" i="2"/>
  <c r="BI24" i="4" s="1"/>
  <c r="BI119" i="2"/>
  <c r="BI119" i="4" s="1"/>
  <c r="BI103" i="2"/>
  <c r="BI103" i="4" s="1"/>
  <c r="BI61" i="2"/>
  <c r="BI61" i="4" s="1"/>
  <c r="BI48" i="2"/>
  <c r="BI48" i="4" s="1"/>
  <c r="BI12" i="2"/>
  <c r="BI12" i="4" s="1"/>
  <c r="BI107" i="2"/>
  <c r="BI107" i="4" s="1"/>
  <c r="BI75" i="2"/>
  <c r="BI75" i="4" s="1"/>
  <c r="BI55" i="2"/>
  <c r="BI55" i="4" s="1"/>
  <c r="BI23" i="2"/>
  <c r="BI23" i="4" s="1"/>
  <c r="BI7" i="2"/>
  <c r="BI7" i="4" s="1"/>
  <c r="BI87" i="2"/>
  <c r="BI87" i="4" s="1"/>
  <c r="BI120" i="2"/>
  <c r="BI120" i="4" s="1"/>
  <c r="BI111" i="2"/>
  <c r="BI111" i="4" s="1"/>
  <c r="BI3" i="2"/>
  <c r="BI3" i="4" s="1"/>
  <c r="BI51" i="2"/>
  <c r="BI51" i="4" s="1"/>
  <c r="BI39" i="2"/>
  <c r="BI39" i="4" s="1"/>
  <c r="BI27" i="2"/>
  <c r="BI27" i="4" s="1"/>
  <c r="BI11" i="2"/>
  <c r="BI11" i="4" s="1"/>
  <c r="BI128" i="2"/>
  <c r="BI128" i="4" s="1"/>
  <c r="BI95" i="2"/>
  <c r="BI95" i="4" s="1"/>
  <c r="BI57" i="2"/>
  <c r="BI57" i="4" s="1"/>
  <c r="BI21" i="2"/>
  <c r="BI21" i="4" s="1"/>
  <c r="BI40" i="2"/>
  <c r="BI40" i="4" s="1"/>
  <c r="BI112" i="2"/>
  <c r="BI112" i="4" s="1"/>
  <c r="BI104" i="2"/>
  <c r="BI104" i="4" s="1"/>
  <c r="BI36" i="2"/>
  <c r="BI36" i="4" s="1"/>
  <c r="BI8" i="2"/>
  <c r="BI8" i="4" s="1"/>
  <c r="BI123" i="2"/>
  <c r="BI123" i="4" s="1"/>
  <c r="BI63" i="2"/>
  <c r="BI63" i="4" s="1"/>
  <c r="BI59" i="2"/>
  <c r="BI59" i="4" s="1"/>
  <c r="BI47" i="2"/>
  <c r="BI47" i="4" s="1"/>
  <c r="BI31" i="2"/>
  <c r="BI31" i="4" s="1"/>
  <c r="BI19" i="2"/>
  <c r="BI19" i="4" s="1"/>
  <c r="BI15" i="2"/>
  <c r="BI15" i="4" s="1"/>
  <c r="BI91" i="2"/>
  <c r="BI91" i="4" s="1"/>
  <c r="BI90" i="2"/>
  <c r="BI90" i="4" s="1"/>
  <c r="BI49" i="2"/>
  <c r="BI49" i="4" s="1"/>
  <c r="BI64" i="2"/>
  <c r="BI64" i="4" s="1"/>
  <c r="BI127" i="2"/>
  <c r="BI127" i="4" s="1"/>
  <c r="BI71" i="2"/>
  <c r="BI71" i="4" s="1"/>
  <c r="BI67" i="2"/>
  <c r="BI67" i="4" s="1"/>
  <c r="BI43" i="2"/>
  <c r="BI43" i="4" s="1"/>
  <c r="BI35" i="2"/>
  <c r="BI35" i="4" s="1"/>
  <c r="BI124" i="2"/>
  <c r="BI124" i="4" s="1"/>
  <c r="BI116" i="2"/>
  <c r="BI116" i="4" s="1"/>
  <c r="BI108" i="2"/>
  <c r="BI108" i="4" s="1"/>
  <c r="BI100" i="2"/>
  <c r="BI100" i="4" s="1"/>
  <c r="BK1" i="4" l="1"/>
  <c r="BL2" i="4"/>
  <c r="BK2" i="2"/>
  <c r="BJ80" i="2"/>
  <c r="BJ80" i="4" s="1"/>
  <c r="BJ107" i="2"/>
  <c r="BJ107" i="4" s="1"/>
  <c r="BJ123" i="2"/>
  <c r="BJ123" i="4" s="1"/>
  <c r="BJ103" i="2"/>
  <c r="BJ103" i="4" s="1"/>
  <c r="BJ119" i="2"/>
  <c r="BJ119" i="4" s="1"/>
  <c r="BJ127" i="2"/>
  <c r="BJ127" i="4" s="1"/>
  <c r="BJ115" i="2"/>
  <c r="BJ115" i="4" s="1"/>
  <c r="BJ111" i="2"/>
  <c r="BJ111" i="4" s="1"/>
  <c r="BJ78" i="2"/>
  <c r="BJ78" i="4" s="1"/>
  <c r="BJ62" i="2"/>
  <c r="BJ62" i="4" s="1"/>
  <c r="BJ58" i="2"/>
  <c r="BJ58" i="4" s="1"/>
  <c r="BJ54" i="2"/>
  <c r="BJ54" i="4" s="1"/>
  <c r="BJ34" i="2"/>
  <c r="BJ34" i="4" s="1"/>
  <c r="BJ26" i="2"/>
  <c r="BJ26" i="4" s="1"/>
  <c r="BJ50" i="2"/>
  <c r="BJ50" i="4" s="1"/>
  <c r="BJ46" i="2"/>
  <c r="BJ46" i="4" s="1"/>
  <c r="BJ22" i="2"/>
  <c r="BJ22" i="4" s="1"/>
  <c r="BJ18" i="2"/>
  <c r="BJ18" i="4" s="1"/>
  <c r="BJ10" i="2"/>
  <c r="BJ10" i="4" s="1"/>
  <c r="BJ93" i="2"/>
  <c r="BJ93" i="4" s="1"/>
  <c r="BJ89" i="2"/>
  <c r="BJ89" i="4" s="1"/>
  <c r="BJ85" i="2"/>
  <c r="BJ85" i="4" s="1"/>
  <c r="BJ130" i="2"/>
  <c r="BJ130" i="4" s="1"/>
  <c r="BJ129" i="2"/>
  <c r="BJ129" i="4" s="1"/>
  <c r="BJ125" i="2"/>
  <c r="BJ125" i="4" s="1"/>
  <c r="BJ121" i="2"/>
  <c r="BJ121" i="4" s="1"/>
  <c r="BJ117" i="2"/>
  <c r="BJ117" i="4" s="1"/>
  <c r="BJ113" i="2"/>
  <c r="BJ113" i="4" s="1"/>
  <c r="BJ109" i="2"/>
  <c r="BJ109" i="4" s="1"/>
  <c r="BJ105" i="2"/>
  <c r="BJ105" i="4" s="1"/>
  <c r="BJ101" i="2"/>
  <c r="BJ101" i="4" s="1"/>
  <c r="BJ97" i="2"/>
  <c r="BJ97" i="4" s="1"/>
  <c r="BJ41" i="2"/>
  <c r="BJ41" i="4" s="1"/>
  <c r="BJ37" i="2"/>
  <c r="BJ37" i="4" s="1"/>
  <c r="BJ17" i="2"/>
  <c r="BJ17" i="4" s="1"/>
  <c r="BJ68" i="2"/>
  <c r="BJ68" i="4" s="1"/>
  <c r="BJ86" i="2"/>
  <c r="BJ86" i="4" s="1"/>
  <c r="BJ82" i="2"/>
  <c r="BJ82" i="4" s="1"/>
  <c r="BJ74" i="2"/>
  <c r="BJ74" i="4" s="1"/>
  <c r="BJ70" i="2"/>
  <c r="BJ70" i="4" s="1"/>
  <c r="BJ66" i="2"/>
  <c r="BJ66" i="4" s="1"/>
  <c r="BJ42" i="2"/>
  <c r="BJ42" i="4" s="1"/>
  <c r="BJ38" i="2"/>
  <c r="BJ38" i="4" s="1"/>
  <c r="BJ30" i="2"/>
  <c r="BJ30" i="4" s="1"/>
  <c r="BJ14" i="2"/>
  <c r="BJ14" i="4" s="1"/>
  <c r="BJ6" i="2"/>
  <c r="BJ6" i="4" s="1"/>
  <c r="BJ29" i="2"/>
  <c r="BJ29" i="4" s="1"/>
  <c r="BJ72" i="2"/>
  <c r="BJ72" i="4" s="1"/>
  <c r="BJ56" i="2"/>
  <c r="BJ56" i="4" s="1"/>
  <c r="BJ44" i="2"/>
  <c r="BJ44" i="4" s="1"/>
  <c r="BJ20" i="2"/>
  <c r="BJ20" i="4" s="1"/>
  <c r="BJ16" i="2"/>
  <c r="BJ16" i="4" s="1"/>
  <c r="BJ4" i="2"/>
  <c r="BJ4" i="4" s="1"/>
  <c r="BJ116" i="2"/>
  <c r="BJ116" i="4" s="1"/>
  <c r="BJ100" i="2"/>
  <c r="BJ100" i="4" s="1"/>
  <c r="BJ84" i="2"/>
  <c r="BJ84" i="4" s="1"/>
  <c r="BJ81" i="2"/>
  <c r="BJ81" i="4" s="1"/>
  <c r="BJ77" i="2"/>
  <c r="BJ77" i="4" s="1"/>
  <c r="BJ73" i="2"/>
  <c r="BJ73" i="4" s="1"/>
  <c r="BJ69" i="2"/>
  <c r="BJ69" i="4" s="1"/>
  <c r="BJ65" i="2"/>
  <c r="BJ65" i="4" s="1"/>
  <c r="BJ57" i="2"/>
  <c r="BJ57" i="4" s="1"/>
  <c r="BJ53" i="2"/>
  <c r="BJ53" i="4" s="1"/>
  <c r="BJ49" i="2"/>
  <c r="BJ49" i="4" s="1"/>
  <c r="BJ25" i="2"/>
  <c r="BJ25" i="4" s="1"/>
  <c r="BJ21" i="2"/>
  <c r="BJ21" i="4" s="1"/>
  <c r="BJ13" i="2"/>
  <c r="BJ13" i="4" s="1"/>
  <c r="BJ76" i="2"/>
  <c r="BJ76" i="4" s="1"/>
  <c r="BJ60" i="2"/>
  <c r="BJ60" i="4" s="1"/>
  <c r="BJ52" i="2"/>
  <c r="BJ52" i="4" s="1"/>
  <c r="BJ40" i="2"/>
  <c r="BJ40" i="4" s="1"/>
  <c r="BJ36" i="2"/>
  <c r="BJ36" i="4" s="1"/>
  <c r="BJ24" i="2"/>
  <c r="BJ24" i="4" s="1"/>
  <c r="BJ120" i="2"/>
  <c r="BJ120" i="4" s="1"/>
  <c r="BJ104" i="2"/>
  <c r="BJ104" i="4" s="1"/>
  <c r="BJ95" i="2"/>
  <c r="BJ95" i="4" s="1"/>
  <c r="BJ3" i="2"/>
  <c r="BJ3" i="4" s="1"/>
  <c r="BJ94" i="2"/>
  <c r="BJ94" i="4" s="1"/>
  <c r="BJ61" i="2"/>
  <c r="BJ61" i="4" s="1"/>
  <c r="BJ45" i="2"/>
  <c r="BJ45" i="4" s="1"/>
  <c r="BJ48" i="2"/>
  <c r="BJ48" i="4" s="1"/>
  <c r="BJ28" i="2"/>
  <c r="BJ28" i="4" s="1"/>
  <c r="BJ108" i="2"/>
  <c r="BJ108" i="4" s="1"/>
  <c r="BJ87" i="2"/>
  <c r="BJ87" i="4" s="1"/>
  <c r="BJ67" i="2"/>
  <c r="BJ67" i="4" s="1"/>
  <c r="BJ63" i="2"/>
  <c r="BJ63" i="4" s="1"/>
  <c r="BJ55" i="2"/>
  <c r="BJ55" i="4" s="1"/>
  <c r="BJ23" i="2"/>
  <c r="BJ23" i="4" s="1"/>
  <c r="BJ7" i="2"/>
  <c r="BJ7" i="4" s="1"/>
  <c r="BJ88" i="2"/>
  <c r="BJ88" i="4" s="1"/>
  <c r="BJ122" i="2"/>
  <c r="BJ122" i="4" s="1"/>
  <c r="BJ114" i="2"/>
  <c r="BJ114" i="4" s="1"/>
  <c r="BJ106" i="2"/>
  <c r="BJ106" i="4" s="1"/>
  <c r="BJ98" i="2"/>
  <c r="BJ98" i="4" s="1"/>
  <c r="BJ90" i="2"/>
  <c r="BJ90" i="4" s="1"/>
  <c r="BJ9" i="2"/>
  <c r="BJ9" i="4" s="1"/>
  <c r="BJ32" i="2"/>
  <c r="BJ32" i="4" s="1"/>
  <c r="BJ112" i="2"/>
  <c r="BJ112" i="4" s="1"/>
  <c r="BJ91" i="2"/>
  <c r="BJ91" i="4" s="1"/>
  <c r="BJ79" i="2"/>
  <c r="BJ79" i="4" s="1"/>
  <c r="BJ75" i="2"/>
  <c r="BJ75" i="4" s="1"/>
  <c r="BJ71" i="2"/>
  <c r="BJ71" i="4" s="1"/>
  <c r="BJ51" i="2"/>
  <c r="BJ51" i="4" s="1"/>
  <c r="BJ39" i="2"/>
  <c r="BJ39" i="4" s="1"/>
  <c r="BJ27" i="2"/>
  <c r="BJ27" i="4" s="1"/>
  <c r="BJ96" i="2"/>
  <c r="BJ96" i="4" s="1"/>
  <c r="BJ126" i="2"/>
  <c r="BJ126" i="4" s="1"/>
  <c r="BJ102" i="2"/>
  <c r="BJ102" i="4" s="1"/>
  <c r="BJ33" i="2"/>
  <c r="BJ33" i="4" s="1"/>
  <c r="BJ35" i="2"/>
  <c r="BJ35" i="4" s="1"/>
  <c r="BJ99" i="2"/>
  <c r="BJ99" i="4" s="1"/>
  <c r="BJ12" i="2"/>
  <c r="BJ12" i="4" s="1"/>
  <c r="BJ8" i="2"/>
  <c r="BJ8" i="4" s="1"/>
  <c r="BJ124" i="2"/>
  <c r="BJ124" i="4" s="1"/>
  <c r="BJ83" i="2"/>
  <c r="BJ83" i="4" s="1"/>
  <c r="BJ59" i="2"/>
  <c r="BJ59" i="4" s="1"/>
  <c r="BJ47" i="2"/>
  <c r="BJ47" i="4" s="1"/>
  <c r="BJ43" i="2"/>
  <c r="BJ43" i="4" s="1"/>
  <c r="BJ31" i="2"/>
  <c r="BJ31" i="4" s="1"/>
  <c r="BJ15" i="2"/>
  <c r="BJ15" i="4" s="1"/>
  <c r="BJ11" i="2"/>
  <c r="BJ11" i="4" s="1"/>
  <c r="BJ92" i="2"/>
  <c r="BJ92" i="4" s="1"/>
  <c r="BJ118" i="2"/>
  <c r="BJ118" i="4" s="1"/>
  <c r="BJ110" i="2"/>
  <c r="BJ110" i="4" s="1"/>
  <c r="BJ5" i="2"/>
  <c r="BJ5" i="4" s="1"/>
  <c r="BJ64" i="2"/>
  <c r="BJ64" i="4" s="1"/>
  <c r="BJ128" i="2"/>
  <c r="BJ128" i="4" s="1"/>
  <c r="BJ19" i="2"/>
  <c r="BJ19" i="4" s="1"/>
  <c r="BL1" i="4" l="1"/>
  <c r="BM2" i="4"/>
  <c r="BL2" i="2"/>
  <c r="BK127" i="2"/>
  <c r="BK127" i="4" s="1"/>
  <c r="BK108" i="2"/>
  <c r="BK108" i="4" s="1"/>
  <c r="BK124" i="2"/>
  <c r="BK124" i="4" s="1"/>
  <c r="BK104" i="2"/>
  <c r="BK104" i="4" s="1"/>
  <c r="BK120" i="2"/>
  <c r="BK120" i="4" s="1"/>
  <c r="BK128" i="2"/>
  <c r="BK128" i="4" s="1"/>
  <c r="BK100" i="2"/>
  <c r="BK100" i="4" s="1"/>
  <c r="BK116" i="2"/>
  <c r="BK116" i="4" s="1"/>
  <c r="BK112" i="2"/>
  <c r="BK112" i="4" s="1"/>
  <c r="BK78" i="2"/>
  <c r="BK78" i="4" s="1"/>
  <c r="BK62" i="2"/>
  <c r="BK62" i="4" s="1"/>
  <c r="BK58" i="2"/>
  <c r="BK58" i="4" s="1"/>
  <c r="BK54" i="2"/>
  <c r="BK54" i="4" s="1"/>
  <c r="BK50" i="2"/>
  <c r="BK50" i="4" s="1"/>
  <c r="BK38" i="2"/>
  <c r="BK38" i="4" s="1"/>
  <c r="BK26" i="2"/>
  <c r="BK26" i="4" s="1"/>
  <c r="BK22" i="2"/>
  <c r="BK22" i="4" s="1"/>
  <c r="BK14" i="2"/>
  <c r="BK14" i="4" s="1"/>
  <c r="BK10" i="2"/>
  <c r="BK10" i="4" s="1"/>
  <c r="BK42" i="2"/>
  <c r="BK42" i="4" s="1"/>
  <c r="BK30" i="2"/>
  <c r="BK30" i="4" s="1"/>
  <c r="BK93" i="2"/>
  <c r="BK93" i="4" s="1"/>
  <c r="BK89" i="2"/>
  <c r="BK89" i="4" s="1"/>
  <c r="BK34" i="2"/>
  <c r="BK34" i="4" s="1"/>
  <c r="BK18" i="2"/>
  <c r="BK18" i="4" s="1"/>
  <c r="BK6" i="2"/>
  <c r="BK6" i="4" s="1"/>
  <c r="BK86" i="2"/>
  <c r="BK86" i="4" s="1"/>
  <c r="BK82" i="2"/>
  <c r="BK82" i="4" s="1"/>
  <c r="BK70" i="2"/>
  <c r="BK70" i="4" s="1"/>
  <c r="BK66" i="2"/>
  <c r="BK66" i="4" s="1"/>
  <c r="BK29" i="2"/>
  <c r="BK29" i="4" s="1"/>
  <c r="BK9" i="2"/>
  <c r="BK9" i="4" s="1"/>
  <c r="BK5" i="2"/>
  <c r="BK5" i="4" s="1"/>
  <c r="BK68" i="2"/>
  <c r="BK68" i="4" s="1"/>
  <c r="BK56" i="2"/>
  <c r="BK56" i="4" s="1"/>
  <c r="BK44" i="2"/>
  <c r="BK44" i="4" s="1"/>
  <c r="BK20" i="2"/>
  <c r="BK20" i="4" s="1"/>
  <c r="BK3" i="2"/>
  <c r="BK3" i="4" s="1"/>
  <c r="BK95" i="2"/>
  <c r="BK95" i="4" s="1"/>
  <c r="BK46" i="2"/>
  <c r="BK46" i="4" s="1"/>
  <c r="BK129" i="2"/>
  <c r="BK129" i="4" s="1"/>
  <c r="BK125" i="2"/>
  <c r="BK125" i="4" s="1"/>
  <c r="BK121" i="2"/>
  <c r="BK121" i="4" s="1"/>
  <c r="BK117" i="2"/>
  <c r="BK117" i="4" s="1"/>
  <c r="BK113" i="2"/>
  <c r="BK113" i="4" s="1"/>
  <c r="BK109" i="2"/>
  <c r="BK109" i="4" s="1"/>
  <c r="BK105" i="2"/>
  <c r="BK105" i="4" s="1"/>
  <c r="BK101" i="2"/>
  <c r="BK101" i="4" s="1"/>
  <c r="BK97" i="2"/>
  <c r="BK97" i="4" s="1"/>
  <c r="BK81" i="2"/>
  <c r="BK81" i="4" s="1"/>
  <c r="BK77" i="2"/>
  <c r="BK77" i="4" s="1"/>
  <c r="BK73" i="2"/>
  <c r="BK73" i="4" s="1"/>
  <c r="BK69" i="2"/>
  <c r="BK69" i="4" s="1"/>
  <c r="BK65" i="2"/>
  <c r="BK65" i="4" s="1"/>
  <c r="BK57" i="2"/>
  <c r="BK57" i="4" s="1"/>
  <c r="BK53" i="2"/>
  <c r="BK53" i="4" s="1"/>
  <c r="BK49" i="2"/>
  <c r="BK49" i="4" s="1"/>
  <c r="BK25" i="2"/>
  <c r="BK25" i="4" s="1"/>
  <c r="BK21" i="2"/>
  <c r="BK21" i="4" s="1"/>
  <c r="BK72" i="2"/>
  <c r="BK72" i="4" s="1"/>
  <c r="BK60" i="2"/>
  <c r="BK60" i="4" s="1"/>
  <c r="BK52" i="2"/>
  <c r="BK52" i="4" s="1"/>
  <c r="BK40" i="2"/>
  <c r="BK40" i="4" s="1"/>
  <c r="BK36" i="2"/>
  <c r="BK36" i="4" s="1"/>
  <c r="BK24" i="2"/>
  <c r="BK24" i="4" s="1"/>
  <c r="BK4" i="2"/>
  <c r="BK4" i="4" s="1"/>
  <c r="BK96" i="2"/>
  <c r="BK96" i="4" s="1"/>
  <c r="BK74" i="2"/>
  <c r="BK74" i="4" s="1"/>
  <c r="BK45" i="2"/>
  <c r="BK45" i="4" s="1"/>
  <c r="BK92" i="2"/>
  <c r="BK92" i="4" s="1"/>
  <c r="BK88" i="2"/>
  <c r="BK88" i="4" s="1"/>
  <c r="BK84" i="2"/>
  <c r="BK84" i="4" s="1"/>
  <c r="BK80" i="2"/>
  <c r="BK80" i="4" s="1"/>
  <c r="BK48" i="2"/>
  <c r="BK48" i="4" s="1"/>
  <c r="BK28" i="2"/>
  <c r="BK28" i="4" s="1"/>
  <c r="BK16" i="2"/>
  <c r="BK16" i="4" s="1"/>
  <c r="BK12" i="2"/>
  <c r="BK12" i="4" s="1"/>
  <c r="BK71" i="2"/>
  <c r="BK71" i="4" s="1"/>
  <c r="BK67" i="2"/>
  <c r="BK67" i="4" s="1"/>
  <c r="BK63" i="2"/>
  <c r="BK63" i="4" s="1"/>
  <c r="BK55" i="2"/>
  <c r="BK55" i="4" s="1"/>
  <c r="BK123" i="2"/>
  <c r="BK123" i="4" s="1"/>
  <c r="BK115" i="2"/>
  <c r="BK115" i="4" s="1"/>
  <c r="BK107" i="2"/>
  <c r="BK107" i="4" s="1"/>
  <c r="BK126" i="2"/>
  <c r="BK126" i="4" s="1"/>
  <c r="BK118" i="2"/>
  <c r="BK118" i="4" s="1"/>
  <c r="BK110" i="2"/>
  <c r="BK110" i="4" s="1"/>
  <c r="BK102" i="2"/>
  <c r="BK102" i="4" s="1"/>
  <c r="BK32" i="2"/>
  <c r="BK32" i="4" s="1"/>
  <c r="BK99" i="2"/>
  <c r="BK99" i="4" s="1"/>
  <c r="BK91" i="2"/>
  <c r="BK91" i="4" s="1"/>
  <c r="BK79" i="2"/>
  <c r="BK79" i="4" s="1"/>
  <c r="BK39" i="2"/>
  <c r="BK39" i="4" s="1"/>
  <c r="BK23" i="2"/>
  <c r="BK23" i="4" s="1"/>
  <c r="BK75" i="2"/>
  <c r="BK75" i="4" s="1"/>
  <c r="BK64" i="2"/>
  <c r="BK64" i="4" s="1"/>
  <c r="BK122" i="2"/>
  <c r="BK122" i="4" s="1"/>
  <c r="BK114" i="2"/>
  <c r="BK114" i="4" s="1"/>
  <c r="BK98" i="2"/>
  <c r="BK98" i="4" s="1"/>
  <c r="BK90" i="2"/>
  <c r="BK90" i="4" s="1"/>
  <c r="BK35" i="2"/>
  <c r="BK35" i="4" s="1"/>
  <c r="BK19" i="2"/>
  <c r="BK19" i="4" s="1"/>
  <c r="BK94" i="2"/>
  <c r="BK94" i="4" s="1"/>
  <c r="BK85" i="2"/>
  <c r="BK85" i="4" s="1"/>
  <c r="BK61" i="2"/>
  <c r="BK61" i="4" s="1"/>
  <c r="BK41" i="2"/>
  <c r="BK41" i="4" s="1"/>
  <c r="BK37" i="2"/>
  <c r="BK37" i="4" s="1"/>
  <c r="BK33" i="2"/>
  <c r="BK33" i="4" s="1"/>
  <c r="BK17" i="2"/>
  <c r="BK17" i="4" s="1"/>
  <c r="BK13" i="2"/>
  <c r="BK13" i="4" s="1"/>
  <c r="BK76" i="2"/>
  <c r="BK76" i="4" s="1"/>
  <c r="BK8" i="2"/>
  <c r="BK8" i="4" s="1"/>
  <c r="BK83" i="2"/>
  <c r="BK83" i="4" s="1"/>
  <c r="BK59" i="2"/>
  <c r="BK59" i="4" s="1"/>
  <c r="BK51" i="2"/>
  <c r="BK51" i="4" s="1"/>
  <c r="BK43" i="2"/>
  <c r="BK43" i="4" s="1"/>
  <c r="BK31" i="2"/>
  <c r="BK31" i="4" s="1"/>
  <c r="BK27" i="2"/>
  <c r="BK27" i="4" s="1"/>
  <c r="BK15" i="2"/>
  <c r="BK15" i="4" s="1"/>
  <c r="BK11" i="2"/>
  <c r="BK11" i="4" s="1"/>
  <c r="BK7" i="2"/>
  <c r="BK7" i="4" s="1"/>
  <c r="BK119" i="2"/>
  <c r="BK119" i="4" s="1"/>
  <c r="BK111" i="2"/>
  <c r="BK111" i="4" s="1"/>
  <c r="BK103" i="2"/>
  <c r="BK103" i="4" s="1"/>
  <c r="BK130" i="2"/>
  <c r="BK130" i="4" s="1"/>
  <c r="BK106" i="2"/>
  <c r="BK106" i="4" s="1"/>
  <c r="BK87" i="2"/>
  <c r="BK87" i="4" s="1"/>
  <c r="BK47" i="2"/>
  <c r="BK47" i="4" s="1"/>
  <c r="BM1" i="4" l="1"/>
  <c r="BN2" i="4"/>
  <c r="BM2" i="2"/>
  <c r="BL128" i="2"/>
  <c r="BL128" i="4" s="1"/>
  <c r="BL56" i="2"/>
  <c r="BL56" i="4" s="1"/>
  <c r="BL129" i="2"/>
  <c r="BL129" i="4" s="1"/>
  <c r="BL113" i="2"/>
  <c r="BL113" i="4" s="1"/>
  <c r="BL117" i="2"/>
  <c r="BL117" i="4" s="1"/>
  <c r="BL101" i="2"/>
  <c r="BL101" i="4" s="1"/>
  <c r="BL98" i="2"/>
  <c r="BL98" i="4" s="1"/>
  <c r="BL90" i="2"/>
  <c r="BL90" i="4" s="1"/>
  <c r="BL78" i="2"/>
  <c r="BL78" i="4" s="1"/>
  <c r="BL62" i="2"/>
  <c r="BL62" i="4" s="1"/>
  <c r="BL58" i="2"/>
  <c r="BL58" i="4" s="1"/>
  <c r="BL54" i="2"/>
  <c r="BL54" i="4" s="1"/>
  <c r="BL50" i="2"/>
  <c r="BL50" i="4" s="1"/>
  <c r="BL42" i="2"/>
  <c r="BL42" i="4" s="1"/>
  <c r="BL38" i="2"/>
  <c r="BL38" i="4" s="1"/>
  <c r="BL34" i="2"/>
  <c r="BL34" i="4" s="1"/>
  <c r="BL30" i="2"/>
  <c r="BL30" i="4" s="1"/>
  <c r="BL22" i="2"/>
  <c r="BL22" i="4" s="1"/>
  <c r="BL18" i="2"/>
  <c r="BL18" i="4" s="1"/>
  <c r="BL14" i="2"/>
  <c r="BL14" i="4" s="1"/>
  <c r="BL10" i="2"/>
  <c r="BL10" i="4" s="1"/>
  <c r="BL26" i="2"/>
  <c r="BL26" i="4" s="1"/>
  <c r="BL46" i="2"/>
  <c r="BL46" i="4" s="1"/>
  <c r="BL6" i="2"/>
  <c r="BL6" i="4" s="1"/>
  <c r="BL89" i="2"/>
  <c r="BL89" i="4" s="1"/>
  <c r="BL85" i="2"/>
  <c r="BL85" i="4" s="1"/>
  <c r="BL81" i="2"/>
  <c r="BL81" i="4" s="1"/>
  <c r="BL121" i="2"/>
  <c r="BL121" i="4" s="1"/>
  <c r="BL65" i="2"/>
  <c r="BL65" i="4" s="1"/>
  <c r="BL5" i="2"/>
  <c r="BL5" i="4" s="1"/>
  <c r="BL94" i="2"/>
  <c r="BL94" i="4" s="1"/>
  <c r="BL64" i="2"/>
  <c r="BL64" i="4" s="1"/>
  <c r="BL82" i="2"/>
  <c r="BL82" i="4" s="1"/>
  <c r="BL70" i="2"/>
  <c r="BL70" i="4" s="1"/>
  <c r="BL66" i="2"/>
  <c r="BL66" i="4" s="1"/>
  <c r="BL9" i="2"/>
  <c r="BL9" i="4" s="1"/>
  <c r="BL68" i="2"/>
  <c r="BL68" i="4" s="1"/>
  <c r="BL44" i="2"/>
  <c r="BL44" i="4" s="1"/>
  <c r="BL16" i="2"/>
  <c r="BL16" i="4" s="1"/>
  <c r="BL3" i="2"/>
  <c r="BL3" i="4" s="1"/>
  <c r="BL95" i="2"/>
  <c r="BL95" i="4" s="1"/>
  <c r="BL105" i="2"/>
  <c r="BL105" i="4" s="1"/>
  <c r="BL93" i="2"/>
  <c r="BL93" i="4" s="1"/>
  <c r="BL57" i="2"/>
  <c r="BL57" i="4" s="1"/>
  <c r="BL53" i="2"/>
  <c r="BL53" i="4" s="1"/>
  <c r="BL49" i="2"/>
  <c r="BL49" i="4" s="1"/>
  <c r="BL25" i="2"/>
  <c r="BL25" i="4" s="1"/>
  <c r="BL21" i="2"/>
  <c r="BL21" i="4" s="1"/>
  <c r="BL13" i="2"/>
  <c r="BL13" i="4" s="1"/>
  <c r="BL125" i="2"/>
  <c r="BL125" i="4" s="1"/>
  <c r="BL109" i="2"/>
  <c r="BL109" i="4" s="1"/>
  <c r="BL72" i="2"/>
  <c r="BL72" i="4" s="1"/>
  <c r="BL40" i="2"/>
  <c r="BL40" i="4" s="1"/>
  <c r="BL20" i="2"/>
  <c r="BL20" i="4" s="1"/>
  <c r="BL4" i="2"/>
  <c r="BL4" i="4" s="1"/>
  <c r="BL99" i="2"/>
  <c r="BL99" i="4" s="1"/>
  <c r="BL97" i="2"/>
  <c r="BL97" i="4" s="1"/>
  <c r="BL77" i="2"/>
  <c r="BL77" i="4" s="1"/>
  <c r="BL96" i="2"/>
  <c r="BL96" i="4" s="1"/>
  <c r="BL92" i="2"/>
  <c r="BL92" i="4" s="1"/>
  <c r="BL88" i="2"/>
  <c r="BL88" i="4" s="1"/>
  <c r="BL84" i="2"/>
  <c r="BL84" i="4" s="1"/>
  <c r="BL80" i="2"/>
  <c r="BL80" i="4" s="1"/>
  <c r="BL52" i="2"/>
  <c r="BL52" i="4" s="1"/>
  <c r="BL12" i="2"/>
  <c r="BL12" i="4" s="1"/>
  <c r="BL71" i="2"/>
  <c r="BL71" i="4" s="1"/>
  <c r="BL67" i="2"/>
  <c r="BL67" i="4" s="1"/>
  <c r="BL59" i="2"/>
  <c r="BL59" i="4" s="1"/>
  <c r="BL31" i="2"/>
  <c r="BL31" i="4" s="1"/>
  <c r="BL120" i="2"/>
  <c r="BL120" i="4" s="1"/>
  <c r="BL130" i="2"/>
  <c r="BL130" i="4" s="1"/>
  <c r="BL122" i="2"/>
  <c r="BL122" i="4" s="1"/>
  <c r="BL114" i="2"/>
  <c r="BL114" i="4" s="1"/>
  <c r="BL106" i="2"/>
  <c r="BL106" i="4" s="1"/>
  <c r="BL86" i="2"/>
  <c r="BL86" i="4" s="1"/>
  <c r="BL73" i="2"/>
  <c r="BL73" i="4" s="1"/>
  <c r="BL32" i="2"/>
  <c r="BL32" i="4" s="1"/>
  <c r="BL28" i="2"/>
  <c r="BL28" i="4" s="1"/>
  <c r="BL91" i="2"/>
  <c r="BL91" i="4" s="1"/>
  <c r="BL79" i="2"/>
  <c r="BL79" i="4" s="1"/>
  <c r="BL75" i="2"/>
  <c r="BL75" i="4" s="1"/>
  <c r="BL55" i="2"/>
  <c r="BL55" i="4" s="1"/>
  <c r="BL43" i="2"/>
  <c r="BL43" i="4" s="1"/>
  <c r="BL23" i="2"/>
  <c r="BL23" i="4" s="1"/>
  <c r="BL7" i="2"/>
  <c r="BL7" i="4" s="1"/>
  <c r="BL76" i="2"/>
  <c r="BL76" i="4" s="1"/>
  <c r="BL124" i="2"/>
  <c r="BL124" i="4" s="1"/>
  <c r="BL116" i="2"/>
  <c r="BL116" i="4" s="1"/>
  <c r="BL108" i="2"/>
  <c r="BL108" i="4" s="1"/>
  <c r="BL100" i="2"/>
  <c r="BL100" i="4" s="1"/>
  <c r="BL118" i="2"/>
  <c r="BL118" i="4" s="1"/>
  <c r="BL110" i="2"/>
  <c r="BL110" i="4" s="1"/>
  <c r="BL29" i="2"/>
  <c r="BL29" i="4" s="1"/>
  <c r="BL60" i="2"/>
  <c r="BL60" i="4" s="1"/>
  <c r="BL63" i="2"/>
  <c r="BL63" i="4" s="1"/>
  <c r="BL19" i="2"/>
  <c r="BL19" i="4" s="1"/>
  <c r="BL127" i="2"/>
  <c r="BL127" i="4" s="1"/>
  <c r="BL104" i="2"/>
  <c r="BL104" i="4" s="1"/>
  <c r="BL74" i="2"/>
  <c r="BL74" i="4" s="1"/>
  <c r="BL61" i="2"/>
  <c r="BL61" i="4" s="1"/>
  <c r="BL45" i="2"/>
  <c r="BL45" i="4" s="1"/>
  <c r="BL41" i="2"/>
  <c r="BL41" i="4" s="1"/>
  <c r="BL37" i="2"/>
  <c r="BL37" i="4" s="1"/>
  <c r="BL33" i="2"/>
  <c r="BL33" i="4" s="1"/>
  <c r="BL17" i="2"/>
  <c r="BL17" i="4" s="1"/>
  <c r="BL36" i="2"/>
  <c r="BL36" i="4" s="1"/>
  <c r="BL24" i="2"/>
  <c r="BL24" i="4" s="1"/>
  <c r="BL8" i="2"/>
  <c r="BL8" i="4" s="1"/>
  <c r="BL83" i="2"/>
  <c r="BL83" i="4" s="1"/>
  <c r="BL51" i="2"/>
  <c r="BL51" i="4" s="1"/>
  <c r="BL39" i="2"/>
  <c r="BL39" i="4" s="1"/>
  <c r="BL35" i="2"/>
  <c r="BL35" i="4" s="1"/>
  <c r="BL27" i="2"/>
  <c r="BL27" i="4" s="1"/>
  <c r="BL11" i="2"/>
  <c r="BL11" i="4" s="1"/>
  <c r="BL123" i="2"/>
  <c r="BL123" i="4" s="1"/>
  <c r="BL119" i="2"/>
  <c r="BL119" i="4" s="1"/>
  <c r="BL115" i="2"/>
  <c r="BL115" i="4" s="1"/>
  <c r="BL111" i="2"/>
  <c r="BL111" i="4" s="1"/>
  <c r="BL107" i="2"/>
  <c r="BL107" i="4" s="1"/>
  <c r="BL103" i="2"/>
  <c r="BL103" i="4" s="1"/>
  <c r="BL126" i="2"/>
  <c r="BL126" i="4" s="1"/>
  <c r="BL102" i="2"/>
  <c r="BL102" i="4" s="1"/>
  <c r="BL69" i="2"/>
  <c r="BL69" i="4" s="1"/>
  <c r="BL48" i="2"/>
  <c r="BL48" i="4" s="1"/>
  <c r="BL87" i="2"/>
  <c r="BL87" i="4" s="1"/>
  <c r="BL47" i="2"/>
  <c r="BL47" i="4" s="1"/>
  <c r="BL15" i="2"/>
  <c r="BL15" i="4" s="1"/>
  <c r="BL112" i="2"/>
  <c r="BL112" i="4" s="1"/>
  <c r="BN1" i="4" l="1"/>
  <c r="BO2" i="4"/>
  <c r="BN2" i="2"/>
  <c r="BM83" i="2"/>
  <c r="BM83" i="4" s="1"/>
  <c r="BM95" i="2"/>
  <c r="BM95" i="4" s="1"/>
  <c r="BM114" i="2"/>
  <c r="BM114" i="4" s="1"/>
  <c r="BM130" i="2"/>
  <c r="BM130" i="4" s="1"/>
  <c r="BM98" i="2"/>
  <c r="BM98" i="4" s="1"/>
  <c r="BM94" i="2"/>
  <c r="BM94" i="4" s="1"/>
  <c r="BM90" i="2"/>
  <c r="BM90" i="4" s="1"/>
  <c r="BM86" i="2"/>
  <c r="BM86" i="4" s="1"/>
  <c r="BM82" i="2"/>
  <c r="BM82" i="4" s="1"/>
  <c r="BM78" i="2"/>
  <c r="BM78" i="4" s="1"/>
  <c r="BM70" i="2"/>
  <c r="BM70" i="4" s="1"/>
  <c r="BM62" i="2"/>
  <c r="BM62" i="4" s="1"/>
  <c r="BM58" i="2"/>
  <c r="BM58" i="4" s="1"/>
  <c r="BM54" i="2"/>
  <c r="BM54" i="4" s="1"/>
  <c r="BM50" i="2"/>
  <c r="BM50" i="4" s="1"/>
  <c r="BM42" i="2"/>
  <c r="BM42" i="4" s="1"/>
  <c r="BM38" i="2"/>
  <c r="BM38" i="4" s="1"/>
  <c r="BM30" i="2"/>
  <c r="BM30" i="4" s="1"/>
  <c r="BM22" i="2"/>
  <c r="BM22" i="4" s="1"/>
  <c r="BM14" i="2"/>
  <c r="BM14" i="4" s="1"/>
  <c r="BM10" i="2"/>
  <c r="BM10" i="4" s="1"/>
  <c r="BM6" i="2"/>
  <c r="BM6" i="4" s="1"/>
  <c r="BM118" i="2"/>
  <c r="BM118" i="4" s="1"/>
  <c r="BM102" i="2"/>
  <c r="BM102" i="4" s="1"/>
  <c r="BM66" i="2"/>
  <c r="BM66" i="4" s="1"/>
  <c r="BM46" i="2"/>
  <c r="BM46" i="4" s="1"/>
  <c r="BM34" i="2"/>
  <c r="BM34" i="4" s="1"/>
  <c r="BM26" i="2"/>
  <c r="BM26" i="4" s="1"/>
  <c r="BM74" i="2"/>
  <c r="BM74" i="4" s="1"/>
  <c r="BM18" i="2"/>
  <c r="BM18" i="4" s="1"/>
  <c r="BM93" i="2"/>
  <c r="BM93" i="4" s="1"/>
  <c r="BM89" i="2"/>
  <c r="BM89" i="4" s="1"/>
  <c r="BM85" i="2"/>
  <c r="BM85" i="4" s="1"/>
  <c r="BM81" i="2"/>
  <c r="BM81" i="4" s="1"/>
  <c r="BM122" i="2"/>
  <c r="BM122" i="4" s="1"/>
  <c r="BM64" i="2"/>
  <c r="BM64" i="4" s="1"/>
  <c r="BM77" i="2"/>
  <c r="BM77" i="4" s="1"/>
  <c r="BM29" i="2"/>
  <c r="BM29" i="4" s="1"/>
  <c r="BM9" i="2"/>
  <c r="BM9" i="4" s="1"/>
  <c r="BM68" i="2"/>
  <c r="BM68" i="4" s="1"/>
  <c r="BM60" i="2"/>
  <c r="BM60" i="4" s="1"/>
  <c r="BM44" i="2"/>
  <c r="BM44" i="4" s="1"/>
  <c r="BM16" i="2"/>
  <c r="BM16" i="4" s="1"/>
  <c r="BM8" i="2"/>
  <c r="BM8" i="4" s="1"/>
  <c r="BM119" i="2"/>
  <c r="BM119" i="4" s="1"/>
  <c r="BM103" i="2"/>
  <c r="BM103" i="4" s="1"/>
  <c r="BM3" i="2"/>
  <c r="BM3" i="4" s="1"/>
  <c r="BM106" i="2"/>
  <c r="BM106" i="4" s="1"/>
  <c r="BM129" i="2"/>
  <c r="BM129" i="4" s="1"/>
  <c r="BM125" i="2"/>
  <c r="BM125" i="4" s="1"/>
  <c r="BM121" i="2"/>
  <c r="BM121" i="4" s="1"/>
  <c r="BM117" i="2"/>
  <c r="BM117" i="4" s="1"/>
  <c r="BM113" i="2"/>
  <c r="BM113" i="4" s="1"/>
  <c r="BM109" i="2"/>
  <c r="BM109" i="4" s="1"/>
  <c r="BM105" i="2"/>
  <c r="BM105" i="4" s="1"/>
  <c r="BM101" i="2"/>
  <c r="BM101" i="4" s="1"/>
  <c r="BM97" i="2"/>
  <c r="BM97" i="4" s="1"/>
  <c r="BM57" i="2"/>
  <c r="BM57" i="4" s="1"/>
  <c r="BM13" i="2"/>
  <c r="BM13" i="4" s="1"/>
  <c r="BM126" i="2"/>
  <c r="BM126" i="4" s="1"/>
  <c r="BM110" i="2"/>
  <c r="BM110" i="4" s="1"/>
  <c r="BM72" i="2"/>
  <c r="BM72" i="4" s="1"/>
  <c r="BM56" i="2"/>
  <c r="BM56" i="4" s="1"/>
  <c r="BM32" i="2"/>
  <c r="BM32" i="4" s="1"/>
  <c r="BM20" i="2"/>
  <c r="BM20" i="4" s="1"/>
  <c r="BM4" i="2"/>
  <c r="BM4" i="4" s="1"/>
  <c r="BM123" i="2"/>
  <c r="BM123" i="4" s="1"/>
  <c r="BM107" i="2"/>
  <c r="BM107" i="4" s="1"/>
  <c r="BM87" i="2"/>
  <c r="BM87" i="4" s="1"/>
  <c r="BM61" i="2"/>
  <c r="BM61" i="4" s="1"/>
  <c r="BM96" i="2"/>
  <c r="BM96" i="4" s="1"/>
  <c r="BM92" i="2"/>
  <c r="BM92" i="4" s="1"/>
  <c r="BM88" i="2"/>
  <c r="BM88" i="4" s="1"/>
  <c r="BM84" i="2"/>
  <c r="BM84" i="4" s="1"/>
  <c r="BM80" i="2"/>
  <c r="BM80" i="4" s="1"/>
  <c r="BM76" i="2"/>
  <c r="BM76" i="4" s="1"/>
  <c r="BM40" i="2"/>
  <c r="BM40" i="4" s="1"/>
  <c r="BM24" i="2"/>
  <c r="BM24" i="4" s="1"/>
  <c r="BM111" i="2"/>
  <c r="BM111" i="4" s="1"/>
  <c r="BM71" i="2"/>
  <c r="BM71" i="4" s="1"/>
  <c r="BM67" i="2"/>
  <c r="BM67" i="4" s="1"/>
  <c r="BM43" i="2"/>
  <c r="BM43" i="4" s="1"/>
  <c r="BM35" i="2"/>
  <c r="BM35" i="4" s="1"/>
  <c r="BM19" i="2"/>
  <c r="BM19" i="4" s="1"/>
  <c r="BM128" i="2"/>
  <c r="BM128" i="4" s="1"/>
  <c r="BM91" i="2"/>
  <c r="BM91" i="4" s="1"/>
  <c r="BM49" i="2"/>
  <c r="BM49" i="4" s="1"/>
  <c r="BM21" i="2"/>
  <c r="BM21" i="4" s="1"/>
  <c r="BM48" i="2"/>
  <c r="BM48" i="4" s="1"/>
  <c r="BM36" i="2"/>
  <c r="BM36" i="4" s="1"/>
  <c r="BM28" i="2"/>
  <c r="BM28" i="4" s="1"/>
  <c r="BM115" i="2"/>
  <c r="BM115" i="4" s="1"/>
  <c r="BM75" i="2"/>
  <c r="BM75" i="4" s="1"/>
  <c r="BM55" i="2"/>
  <c r="BM55" i="4" s="1"/>
  <c r="BM23" i="2"/>
  <c r="BM23" i="4" s="1"/>
  <c r="BM99" i="2"/>
  <c r="BM99" i="4" s="1"/>
  <c r="BM79" i="2"/>
  <c r="BM79" i="4" s="1"/>
  <c r="BM25" i="2"/>
  <c r="BM25" i="4" s="1"/>
  <c r="BM15" i="2"/>
  <c r="BM15" i="4" s="1"/>
  <c r="BM73" i="2"/>
  <c r="BM73" i="4" s="1"/>
  <c r="BM69" i="2"/>
  <c r="BM69" i="4" s="1"/>
  <c r="BM65" i="2"/>
  <c r="BM65" i="4" s="1"/>
  <c r="BM45" i="2"/>
  <c r="BM45" i="4" s="1"/>
  <c r="BM41" i="2"/>
  <c r="BM41" i="4" s="1"/>
  <c r="BM37" i="2"/>
  <c r="BM37" i="4" s="1"/>
  <c r="BM33" i="2"/>
  <c r="BM33" i="4" s="1"/>
  <c r="BM17" i="2"/>
  <c r="BM17" i="4" s="1"/>
  <c r="BM5" i="2"/>
  <c r="BM5" i="4" s="1"/>
  <c r="BM52" i="2"/>
  <c r="BM52" i="4" s="1"/>
  <c r="BM12" i="2"/>
  <c r="BM12" i="4" s="1"/>
  <c r="BM127" i="2"/>
  <c r="BM127" i="4" s="1"/>
  <c r="BM51" i="2"/>
  <c r="BM51" i="4" s="1"/>
  <c r="BM39" i="2"/>
  <c r="BM39" i="4" s="1"/>
  <c r="BM27" i="2"/>
  <c r="BM27" i="4" s="1"/>
  <c r="BM11" i="2"/>
  <c r="BM11" i="4" s="1"/>
  <c r="BM7" i="2"/>
  <c r="BM7" i="4" s="1"/>
  <c r="BM124" i="2"/>
  <c r="BM124" i="4" s="1"/>
  <c r="BM120" i="2"/>
  <c r="BM120" i="4" s="1"/>
  <c r="BM116" i="2"/>
  <c r="BM116" i="4" s="1"/>
  <c r="BM112" i="2"/>
  <c r="BM112" i="4" s="1"/>
  <c r="BM108" i="2"/>
  <c r="BM108" i="4" s="1"/>
  <c r="BM104" i="2"/>
  <c r="BM104" i="4" s="1"/>
  <c r="BM100" i="2"/>
  <c r="BM100" i="4" s="1"/>
  <c r="BM53" i="2"/>
  <c r="BM53" i="4" s="1"/>
  <c r="BM63" i="2"/>
  <c r="BM63" i="4" s="1"/>
  <c r="BM59" i="2"/>
  <c r="BM59" i="4" s="1"/>
  <c r="BM47" i="2"/>
  <c r="BM47" i="4" s="1"/>
  <c r="BM31" i="2"/>
  <c r="BM31" i="4" s="1"/>
  <c r="BO1" i="4" l="1"/>
  <c r="BP2" i="4"/>
  <c r="BO2" i="2"/>
  <c r="BN84" i="2"/>
  <c r="BN84" i="4" s="1"/>
  <c r="BN96" i="2"/>
  <c r="BN96" i="4" s="1"/>
  <c r="BN111" i="2"/>
  <c r="BN111" i="4" s="1"/>
  <c r="BN127" i="2"/>
  <c r="BN127" i="4" s="1"/>
  <c r="BN107" i="2"/>
  <c r="BN107" i="4" s="1"/>
  <c r="BN123" i="2"/>
  <c r="BN123" i="4" s="1"/>
  <c r="BN115" i="2"/>
  <c r="BN115" i="4" s="1"/>
  <c r="BN103" i="2"/>
  <c r="BN103" i="4" s="1"/>
  <c r="BN119" i="2"/>
  <c r="BN119" i="4" s="1"/>
  <c r="BN126" i="2"/>
  <c r="BN126" i="4" s="1"/>
  <c r="BN122" i="2"/>
  <c r="BN122" i="4" s="1"/>
  <c r="BN118" i="2"/>
  <c r="BN118" i="4" s="1"/>
  <c r="BN114" i="2"/>
  <c r="BN114" i="4" s="1"/>
  <c r="BN110" i="2"/>
  <c r="BN110" i="4" s="1"/>
  <c r="BN106" i="2"/>
  <c r="BN106" i="4" s="1"/>
  <c r="BN102" i="2"/>
  <c r="BN102" i="4" s="1"/>
  <c r="BN98" i="2"/>
  <c r="BN98" i="4" s="1"/>
  <c r="BN94" i="2"/>
  <c r="BN94" i="4" s="1"/>
  <c r="BN90" i="2"/>
  <c r="BN90" i="4" s="1"/>
  <c r="BN86" i="2"/>
  <c r="BN86" i="4" s="1"/>
  <c r="BN82" i="2"/>
  <c r="BN82" i="4" s="1"/>
  <c r="BN74" i="2"/>
  <c r="BN74" i="4" s="1"/>
  <c r="BN70" i="2"/>
  <c r="BN70" i="4" s="1"/>
  <c r="BN66" i="2"/>
  <c r="BN66" i="4" s="1"/>
  <c r="BN62" i="2"/>
  <c r="BN62" i="4" s="1"/>
  <c r="BN58" i="2"/>
  <c r="BN58" i="4" s="1"/>
  <c r="BN42" i="2"/>
  <c r="BN42" i="4" s="1"/>
  <c r="BN38" i="2"/>
  <c r="BN38" i="4" s="1"/>
  <c r="BN30" i="2"/>
  <c r="BN30" i="4" s="1"/>
  <c r="BN14" i="2"/>
  <c r="BN14" i="4" s="1"/>
  <c r="BN6" i="2"/>
  <c r="BN6" i="4" s="1"/>
  <c r="BN54" i="2"/>
  <c r="BN54" i="4" s="1"/>
  <c r="BN50" i="2"/>
  <c r="BN50" i="4" s="1"/>
  <c r="BN46" i="2"/>
  <c r="BN46" i="4" s="1"/>
  <c r="BN34" i="2"/>
  <c r="BN34" i="4" s="1"/>
  <c r="BN22" i="2"/>
  <c r="BN22" i="4" s="1"/>
  <c r="BN26" i="2"/>
  <c r="BN26" i="4" s="1"/>
  <c r="BN18" i="2"/>
  <c r="BN18" i="4" s="1"/>
  <c r="BN10" i="2"/>
  <c r="BN10" i="4" s="1"/>
  <c r="BN93" i="2"/>
  <c r="BN93" i="4" s="1"/>
  <c r="BN89" i="2"/>
  <c r="BN89" i="4" s="1"/>
  <c r="BN85" i="2"/>
  <c r="BN85" i="4" s="1"/>
  <c r="BN41" i="2"/>
  <c r="BN41" i="4" s="1"/>
  <c r="BN37" i="2"/>
  <c r="BN37" i="4" s="1"/>
  <c r="BN33" i="2"/>
  <c r="BN33" i="4" s="1"/>
  <c r="BN17" i="2"/>
  <c r="BN17" i="4" s="1"/>
  <c r="BN13" i="2"/>
  <c r="BN13" i="4" s="1"/>
  <c r="BN5" i="2"/>
  <c r="BN5" i="4" s="1"/>
  <c r="BN64" i="2"/>
  <c r="BN64" i="4" s="1"/>
  <c r="BN61" i="2"/>
  <c r="BN61" i="4" s="1"/>
  <c r="BN68" i="2"/>
  <c r="BN68" i="4" s="1"/>
  <c r="BN36" i="2"/>
  <c r="BN36" i="4" s="1"/>
  <c r="BN32" i="2"/>
  <c r="BN32" i="4" s="1"/>
  <c r="BN120" i="2"/>
  <c r="BN120" i="4" s="1"/>
  <c r="BN104" i="2"/>
  <c r="BN104" i="4" s="1"/>
  <c r="BN91" i="2"/>
  <c r="BN91" i="4" s="1"/>
  <c r="BN130" i="2"/>
  <c r="BN130" i="4" s="1"/>
  <c r="BN78" i="2"/>
  <c r="BN78" i="4" s="1"/>
  <c r="BN129" i="2"/>
  <c r="BN129" i="4" s="1"/>
  <c r="BN125" i="2"/>
  <c r="BN125" i="4" s="1"/>
  <c r="BN121" i="2"/>
  <c r="BN121" i="4" s="1"/>
  <c r="BN117" i="2"/>
  <c r="BN117" i="4" s="1"/>
  <c r="BN113" i="2"/>
  <c r="BN113" i="4" s="1"/>
  <c r="BN109" i="2"/>
  <c r="BN109" i="4" s="1"/>
  <c r="BN105" i="2"/>
  <c r="BN105" i="4" s="1"/>
  <c r="BN101" i="2"/>
  <c r="BN101" i="4" s="1"/>
  <c r="BN97" i="2"/>
  <c r="BN97" i="4" s="1"/>
  <c r="BN29" i="2"/>
  <c r="BN29" i="4" s="1"/>
  <c r="BN72" i="2"/>
  <c r="BN72" i="4" s="1"/>
  <c r="BN56" i="2"/>
  <c r="BN56" i="4" s="1"/>
  <c r="BN20" i="2"/>
  <c r="BN20" i="4" s="1"/>
  <c r="BN16" i="2"/>
  <c r="BN16" i="4" s="1"/>
  <c r="BN4" i="2"/>
  <c r="BN4" i="4" s="1"/>
  <c r="BN124" i="2"/>
  <c r="BN124" i="4" s="1"/>
  <c r="BN108" i="2"/>
  <c r="BN108" i="4" s="1"/>
  <c r="BN88" i="2"/>
  <c r="BN88" i="4" s="1"/>
  <c r="BN3" i="2"/>
  <c r="BN3" i="4" s="1"/>
  <c r="BN45" i="2"/>
  <c r="BN45" i="4" s="1"/>
  <c r="BN76" i="2"/>
  <c r="BN76" i="4" s="1"/>
  <c r="BN44" i="2"/>
  <c r="BN44" i="4" s="1"/>
  <c r="BN24" i="2"/>
  <c r="BN24" i="4" s="1"/>
  <c r="BN112" i="2"/>
  <c r="BN112" i="4" s="1"/>
  <c r="BN35" i="2"/>
  <c r="BN35" i="4" s="1"/>
  <c r="BN19" i="2"/>
  <c r="BN19" i="4" s="1"/>
  <c r="BN92" i="2"/>
  <c r="BN92" i="4" s="1"/>
  <c r="BN11" i="2"/>
  <c r="BN11" i="4" s="1"/>
  <c r="BN60" i="2"/>
  <c r="BN60" i="4" s="1"/>
  <c r="BN48" i="2"/>
  <c r="BN48" i="4" s="1"/>
  <c r="BN28" i="2"/>
  <c r="BN28" i="4" s="1"/>
  <c r="BN116" i="2"/>
  <c r="BN116" i="4" s="1"/>
  <c r="BN87" i="2"/>
  <c r="BN87" i="4" s="1"/>
  <c r="BN71" i="2"/>
  <c r="BN71" i="4" s="1"/>
  <c r="BN63" i="2"/>
  <c r="BN63" i="4" s="1"/>
  <c r="BN55" i="2"/>
  <c r="BN55" i="4" s="1"/>
  <c r="BN23" i="2"/>
  <c r="BN23" i="4" s="1"/>
  <c r="BN7" i="2"/>
  <c r="BN7" i="4" s="1"/>
  <c r="BN80" i="2"/>
  <c r="BN80" i="4" s="1"/>
  <c r="BN9" i="2"/>
  <c r="BN9" i="4" s="1"/>
  <c r="BN12" i="2"/>
  <c r="BN12" i="4" s="1"/>
  <c r="BN8" i="2"/>
  <c r="BN8" i="4" s="1"/>
  <c r="BN15" i="2"/>
  <c r="BN15" i="4" s="1"/>
  <c r="BN67" i="2"/>
  <c r="BN67" i="4" s="1"/>
  <c r="BN81" i="2"/>
  <c r="BN81" i="4" s="1"/>
  <c r="BN77" i="2"/>
  <c r="BN77" i="4" s="1"/>
  <c r="BN73" i="2"/>
  <c r="BN73" i="4" s="1"/>
  <c r="BN69" i="2"/>
  <c r="BN69" i="4" s="1"/>
  <c r="BN65" i="2"/>
  <c r="BN65" i="4" s="1"/>
  <c r="BN57" i="2"/>
  <c r="BN57" i="4" s="1"/>
  <c r="BN53" i="2"/>
  <c r="BN53" i="4" s="1"/>
  <c r="BN49" i="2"/>
  <c r="BN49" i="4" s="1"/>
  <c r="BN25" i="2"/>
  <c r="BN25" i="4" s="1"/>
  <c r="BN21" i="2"/>
  <c r="BN21" i="4" s="1"/>
  <c r="BN52" i="2"/>
  <c r="BN52" i="4" s="1"/>
  <c r="BN40" i="2"/>
  <c r="BN40" i="4" s="1"/>
  <c r="BN128" i="2"/>
  <c r="BN128" i="4" s="1"/>
  <c r="BN99" i="2"/>
  <c r="BN99" i="4" s="1"/>
  <c r="BN79" i="2"/>
  <c r="BN79" i="4" s="1"/>
  <c r="BN75" i="2"/>
  <c r="BN75" i="4" s="1"/>
  <c r="BN51" i="2"/>
  <c r="BN51" i="4" s="1"/>
  <c r="BN39" i="2"/>
  <c r="BN39" i="4" s="1"/>
  <c r="BN27" i="2"/>
  <c r="BN27" i="4" s="1"/>
  <c r="BN95" i="2"/>
  <c r="BN95" i="4" s="1"/>
  <c r="BN100" i="2"/>
  <c r="BN100" i="4" s="1"/>
  <c r="BN83" i="2"/>
  <c r="BN83" i="4" s="1"/>
  <c r="BN59" i="2"/>
  <c r="BN59" i="4" s="1"/>
  <c r="BN47" i="2"/>
  <c r="BN47" i="4" s="1"/>
  <c r="BN43" i="2"/>
  <c r="BN43" i="4" s="1"/>
  <c r="BN31" i="2"/>
  <c r="BN31" i="4" s="1"/>
  <c r="BP1" i="4" l="1"/>
  <c r="BQ2" i="4"/>
  <c r="BP2" i="2"/>
  <c r="BO127" i="2"/>
  <c r="BO127" i="4" s="1"/>
  <c r="BO112" i="2"/>
  <c r="BO112" i="4" s="1"/>
  <c r="BO128" i="2"/>
  <c r="BO128" i="4" s="1"/>
  <c r="BO108" i="2"/>
  <c r="BO108" i="4" s="1"/>
  <c r="BO124" i="2"/>
  <c r="BO124" i="4" s="1"/>
  <c r="BO100" i="2"/>
  <c r="BO100" i="4" s="1"/>
  <c r="BO116" i="2"/>
  <c r="BO116" i="4" s="1"/>
  <c r="BO104" i="2"/>
  <c r="BO104" i="4" s="1"/>
  <c r="BO120" i="2"/>
  <c r="BO120" i="4" s="1"/>
  <c r="BO130" i="2"/>
  <c r="BO130" i="4" s="1"/>
  <c r="BO126" i="2"/>
  <c r="BO126" i="4" s="1"/>
  <c r="BO122" i="2"/>
  <c r="BO122" i="4" s="1"/>
  <c r="BO118" i="2"/>
  <c r="BO118" i="4" s="1"/>
  <c r="BO114" i="2"/>
  <c r="BO114" i="4" s="1"/>
  <c r="BO110" i="2"/>
  <c r="BO110" i="4" s="1"/>
  <c r="BO106" i="2"/>
  <c r="BO106" i="4" s="1"/>
  <c r="BO102" i="2"/>
  <c r="BO102" i="4" s="1"/>
  <c r="BO98" i="2"/>
  <c r="BO98" i="4" s="1"/>
  <c r="BO94" i="2"/>
  <c r="BO94" i="4" s="1"/>
  <c r="BO90" i="2"/>
  <c r="BO90" i="4" s="1"/>
  <c r="BO86" i="2"/>
  <c r="BO86" i="4" s="1"/>
  <c r="BO82" i="2"/>
  <c r="BO82" i="4" s="1"/>
  <c r="BO74" i="2"/>
  <c r="BO74" i="4" s="1"/>
  <c r="BO70" i="2"/>
  <c r="BO70" i="4" s="1"/>
  <c r="BO66" i="2"/>
  <c r="BO66" i="4" s="1"/>
  <c r="BO46" i="2"/>
  <c r="BO46" i="4" s="1"/>
  <c r="BO42" i="2"/>
  <c r="BO42" i="4" s="1"/>
  <c r="BO38" i="2"/>
  <c r="BO38" i="4" s="1"/>
  <c r="BO30" i="2"/>
  <c r="BO30" i="4" s="1"/>
  <c r="BO14" i="2"/>
  <c r="BO14" i="4" s="1"/>
  <c r="BO78" i="2"/>
  <c r="BO78" i="4" s="1"/>
  <c r="BO58" i="2"/>
  <c r="BO58" i="4" s="1"/>
  <c r="BO54" i="2"/>
  <c r="BO54" i="4" s="1"/>
  <c r="BO50" i="2"/>
  <c r="BO50" i="4" s="1"/>
  <c r="BO26" i="2"/>
  <c r="BO26" i="4" s="1"/>
  <c r="BO22" i="2"/>
  <c r="BO22" i="4" s="1"/>
  <c r="BO10" i="2"/>
  <c r="BO10" i="4" s="1"/>
  <c r="BO62" i="2"/>
  <c r="BO62" i="4" s="1"/>
  <c r="BO85" i="2"/>
  <c r="BO85" i="4" s="1"/>
  <c r="BO34" i="2"/>
  <c r="BO34" i="4" s="1"/>
  <c r="BO89" i="2"/>
  <c r="BO89" i="4" s="1"/>
  <c r="BO61" i="2"/>
  <c r="BO61" i="4" s="1"/>
  <c r="BO41" i="2"/>
  <c r="BO41" i="4" s="1"/>
  <c r="BO37" i="2"/>
  <c r="BO37" i="4" s="1"/>
  <c r="BO33" i="2"/>
  <c r="BO33" i="4" s="1"/>
  <c r="BO17" i="2"/>
  <c r="BO17" i="4" s="1"/>
  <c r="BO9" i="2"/>
  <c r="BO9" i="4" s="1"/>
  <c r="BO97" i="2"/>
  <c r="BO97" i="4" s="1"/>
  <c r="BO92" i="2"/>
  <c r="BO92" i="4" s="1"/>
  <c r="BO88" i="2"/>
  <c r="BO88" i="4" s="1"/>
  <c r="BO84" i="2"/>
  <c r="BO84" i="4" s="1"/>
  <c r="BO80" i="2"/>
  <c r="BO80" i="4" s="1"/>
  <c r="BO64" i="2"/>
  <c r="BO64" i="4" s="1"/>
  <c r="BO6" i="2"/>
  <c r="BO6" i="4" s="1"/>
  <c r="BO45" i="2"/>
  <c r="BO45" i="4" s="1"/>
  <c r="BO32" i="2"/>
  <c r="BO32" i="4" s="1"/>
  <c r="BO99" i="2"/>
  <c r="BO99" i="4" s="1"/>
  <c r="BO91" i="2"/>
  <c r="BO91" i="4" s="1"/>
  <c r="BO18" i="2"/>
  <c r="BO18" i="4" s="1"/>
  <c r="BO93" i="2"/>
  <c r="BO93" i="4" s="1"/>
  <c r="BO29" i="2"/>
  <c r="BO29" i="4" s="1"/>
  <c r="BO5" i="2"/>
  <c r="BO5" i="4" s="1"/>
  <c r="BO72" i="2"/>
  <c r="BO72" i="4" s="1"/>
  <c r="BO56" i="2"/>
  <c r="BO56" i="4" s="1"/>
  <c r="BO44" i="2"/>
  <c r="BO44" i="4" s="1"/>
  <c r="BO20" i="2"/>
  <c r="BO20" i="4" s="1"/>
  <c r="BO4" i="2"/>
  <c r="BO4" i="4" s="1"/>
  <c r="BO3" i="2"/>
  <c r="BO3" i="4" s="1"/>
  <c r="BO95" i="2"/>
  <c r="BO95" i="4" s="1"/>
  <c r="BO24" i="2"/>
  <c r="BO24" i="4" s="1"/>
  <c r="BO87" i="2"/>
  <c r="BO87" i="4" s="1"/>
  <c r="BO35" i="2"/>
  <c r="BO35" i="4" s="1"/>
  <c r="BO19" i="2"/>
  <c r="BO19" i="4" s="1"/>
  <c r="BO11" i="2"/>
  <c r="BO11" i="4" s="1"/>
  <c r="BO123" i="2"/>
  <c r="BO123" i="4" s="1"/>
  <c r="BO129" i="2"/>
  <c r="BO129" i="4" s="1"/>
  <c r="BO125" i="2"/>
  <c r="BO125" i="4" s="1"/>
  <c r="BO121" i="2"/>
  <c r="BO121" i="4" s="1"/>
  <c r="BO117" i="2"/>
  <c r="BO117" i="4" s="1"/>
  <c r="BO113" i="2"/>
  <c r="BO113" i="4" s="1"/>
  <c r="BO109" i="2"/>
  <c r="BO109" i="4" s="1"/>
  <c r="BO105" i="2"/>
  <c r="BO105" i="4" s="1"/>
  <c r="BO101" i="2"/>
  <c r="BO101" i="4" s="1"/>
  <c r="BO13" i="2"/>
  <c r="BO13" i="4" s="1"/>
  <c r="BO60" i="2"/>
  <c r="BO60" i="4" s="1"/>
  <c r="BO48" i="2"/>
  <c r="BO48" i="4" s="1"/>
  <c r="BO28" i="2"/>
  <c r="BO28" i="4" s="1"/>
  <c r="BO16" i="2"/>
  <c r="BO16" i="4" s="1"/>
  <c r="BO12" i="2"/>
  <c r="BO12" i="4" s="1"/>
  <c r="BO71" i="2"/>
  <c r="BO71" i="4" s="1"/>
  <c r="BO67" i="2"/>
  <c r="BO67" i="4" s="1"/>
  <c r="BO55" i="2"/>
  <c r="BO55" i="4" s="1"/>
  <c r="BO23" i="2"/>
  <c r="BO23" i="4" s="1"/>
  <c r="BO119" i="2"/>
  <c r="BO119" i="4" s="1"/>
  <c r="BO111" i="2"/>
  <c r="BO111" i="4" s="1"/>
  <c r="BO103" i="2"/>
  <c r="BO103" i="4" s="1"/>
  <c r="BO68" i="2"/>
  <c r="BO68" i="4" s="1"/>
  <c r="BO81" i="2"/>
  <c r="BO81" i="4" s="1"/>
  <c r="BO15" i="2"/>
  <c r="BO15" i="4" s="1"/>
  <c r="BO115" i="2"/>
  <c r="BO115" i="4" s="1"/>
  <c r="BO107" i="2"/>
  <c r="BO107" i="4" s="1"/>
  <c r="BO77" i="2"/>
  <c r="BO77" i="4" s="1"/>
  <c r="BO73" i="2"/>
  <c r="BO73" i="4" s="1"/>
  <c r="BO69" i="2"/>
  <c r="BO69" i="4" s="1"/>
  <c r="BO65" i="2"/>
  <c r="BO65" i="4" s="1"/>
  <c r="BO57" i="2"/>
  <c r="BO57" i="4" s="1"/>
  <c r="BO53" i="2"/>
  <c r="BO53" i="4" s="1"/>
  <c r="BO49" i="2"/>
  <c r="BO49" i="4" s="1"/>
  <c r="BO25" i="2"/>
  <c r="BO25" i="4" s="1"/>
  <c r="BO21" i="2"/>
  <c r="BO21" i="4" s="1"/>
  <c r="BO76" i="2"/>
  <c r="BO76" i="4" s="1"/>
  <c r="BO52" i="2"/>
  <c r="BO52" i="4" s="1"/>
  <c r="BO40" i="2"/>
  <c r="BO40" i="4" s="1"/>
  <c r="BO36" i="2"/>
  <c r="BO36" i="4" s="1"/>
  <c r="BO79" i="2"/>
  <c r="BO79" i="4" s="1"/>
  <c r="BO75" i="2"/>
  <c r="BO75" i="4" s="1"/>
  <c r="BO63" i="2"/>
  <c r="BO63" i="4" s="1"/>
  <c r="BO51" i="2"/>
  <c r="BO51" i="4" s="1"/>
  <c r="BO39" i="2"/>
  <c r="BO39" i="4" s="1"/>
  <c r="BO27" i="2"/>
  <c r="BO27" i="4" s="1"/>
  <c r="BO96" i="2"/>
  <c r="BO96" i="4" s="1"/>
  <c r="BO8" i="2"/>
  <c r="BO8" i="4" s="1"/>
  <c r="BO83" i="2"/>
  <c r="BO83" i="4" s="1"/>
  <c r="BO59" i="2"/>
  <c r="BO59" i="4" s="1"/>
  <c r="BO47" i="2"/>
  <c r="BO47" i="4" s="1"/>
  <c r="BO43" i="2"/>
  <c r="BO43" i="4" s="1"/>
  <c r="BO31" i="2"/>
  <c r="BO31" i="4" s="1"/>
  <c r="BO7" i="2"/>
  <c r="BO7" i="4" s="1"/>
  <c r="BQ1" i="4" l="1"/>
  <c r="BR2" i="4"/>
  <c r="BQ2" i="2"/>
  <c r="BP128" i="2"/>
  <c r="BP128" i="4" s="1"/>
  <c r="BP99" i="2"/>
  <c r="BP99" i="4" s="1"/>
  <c r="BP117" i="2"/>
  <c r="BP117" i="4" s="1"/>
  <c r="BP130" i="2"/>
  <c r="BP130" i="4" s="1"/>
  <c r="BP126" i="2"/>
  <c r="BP126" i="4" s="1"/>
  <c r="BP122" i="2"/>
  <c r="BP122" i="4" s="1"/>
  <c r="BP118" i="2"/>
  <c r="BP118" i="4" s="1"/>
  <c r="BP114" i="2"/>
  <c r="BP114" i="4" s="1"/>
  <c r="BP110" i="2"/>
  <c r="BP110" i="4" s="1"/>
  <c r="BP106" i="2"/>
  <c r="BP106" i="4" s="1"/>
  <c r="BP102" i="2"/>
  <c r="BP102" i="4" s="1"/>
  <c r="BP94" i="2"/>
  <c r="BP94" i="4" s="1"/>
  <c r="BP90" i="2"/>
  <c r="BP90" i="4" s="1"/>
  <c r="BP82" i="2"/>
  <c r="BP82" i="4" s="1"/>
  <c r="BP74" i="2"/>
  <c r="BP74" i="4" s="1"/>
  <c r="BP70" i="2"/>
  <c r="BP70" i="4" s="1"/>
  <c r="BP66" i="2"/>
  <c r="BP66" i="4" s="1"/>
  <c r="BP101" i="2"/>
  <c r="BP101" i="4" s="1"/>
  <c r="BP121" i="2"/>
  <c r="BP121" i="4" s="1"/>
  <c r="BP105" i="2"/>
  <c r="BP105" i="4" s="1"/>
  <c r="BP86" i="2"/>
  <c r="BP86" i="4" s="1"/>
  <c r="BP78" i="2"/>
  <c r="BP78" i="4" s="1"/>
  <c r="BP62" i="2"/>
  <c r="BP62" i="4" s="1"/>
  <c r="BP58" i="2"/>
  <c r="BP58" i="4" s="1"/>
  <c r="BP54" i="2"/>
  <c r="BP54" i="4" s="1"/>
  <c r="BP50" i="2"/>
  <c r="BP50" i="4" s="1"/>
  <c r="BP42" i="2"/>
  <c r="BP42" i="4" s="1"/>
  <c r="BP38" i="2"/>
  <c r="BP38" i="4" s="1"/>
  <c r="BP30" i="2"/>
  <c r="BP30" i="4" s="1"/>
  <c r="BP22" i="2"/>
  <c r="BP22" i="4" s="1"/>
  <c r="BP18" i="2"/>
  <c r="BP18" i="4" s="1"/>
  <c r="BP14" i="2"/>
  <c r="BP14" i="4" s="1"/>
  <c r="BP10" i="2"/>
  <c r="BP10" i="4" s="1"/>
  <c r="BP34" i="2"/>
  <c r="BP34" i="4" s="1"/>
  <c r="BP26" i="2"/>
  <c r="BP26" i="4" s="1"/>
  <c r="BP6" i="2"/>
  <c r="BP6" i="4" s="1"/>
  <c r="BP69" i="2"/>
  <c r="BP69" i="4" s="1"/>
  <c r="BP61" i="2"/>
  <c r="BP61" i="4" s="1"/>
  <c r="BP45" i="2"/>
  <c r="BP45" i="4" s="1"/>
  <c r="BP41" i="2"/>
  <c r="BP41" i="4" s="1"/>
  <c r="BP37" i="2"/>
  <c r="BP37" i="4" s="1"/>
  <c r="BP33" i="2"/>
  <c r="BP33" i="4" s="1"/>
  <c r="BP29" i="2"/>
  <c r="BP29" i="4" s="1"/>
  <c r="BP17" i="2"/>
  <c r="BP17" i="4" s="1"/>
  <c r="BP5" i="2"/>
  <c r="BP5" i="4" s="1"/>
  <c r="BP98" i="2"/>
  <c r="BP98" i="4" s="1"/>
  <c r="BP96" i="2"/>
  <c r="BP96" i="4" s="1"/>
  <c r="BP92" i="2"/>
  <c r="BP92" i="4" s="1"/>
  <c r="BP88" i="2"/>
  <c r="BP88" i="4" s="1"/>
  <c r="BP84" i="2"/>
  <c r="BP84" i="4" s="1"/>
  <c r="BP80" i="2"/>
  <c r="BP80" i="4" s="1"/>
  <c r="BP125" i="2"/>
  <c r="BP125" i="4" s="1"/>
  <c r="BP129" i="2"/>
  <c r="BP129" i="4" s="1"/>
  <c r="BP64" i="2"/>
  <c r="BP64" i="4" s="1"/>
  <c r="BP32" i="2"/>
  <c r="BP32" i="4" s="1"/>
  <c r="BP91" i="2"/>
  <c r="BP91" i="4" s="1"/>
  <c r="BP46" i="2"/>
  <c r="BP46" i="4" s="1"/>
  <c r="BP97" i="2"/>
  <c r="BP97" i="4" s="1"/>
  <c r="BP89" i="2"/>
  <c r="BP89" i="4" s="1"/>
  <c r="BP85" i="2"/>
  <c r="BP85" i="4" s="1"/>
  <c r="BP81" i="2"/>
  <c r="BP81" i="4" s="1"/>
  <c r="BP9" i="2"/>
  <c r="BP9" i="4" s="1"/>
  <c r="BP113" i="2"/>
  <c r="BP113" i="4" s="1"/>
  <c r="BP68" i="2"/>
  <c r="BP68" i="4" s="1"/>
  <c r="BP56" i="2"/>
  <c r="BP56" i="4" s="1"/>
  <c r="BP44" i="2"/>
  <c r="BP44" i="4" s="1"/>
  <c r="BP20" i="2"/>
  <c r="BP20" i="4" s="1"/>
  <c r="BP16" i="2"/>
  <c r="BP16" i="4" s="1"/>
  <c r="BP3" i="2"/>
  <c r="BP3" i="4" s="1"/>
  <c r="BP95" i="2"/>
  <c r="BP95" i="4" s="1"/>
  <c r="BP77" i="2"/>
  <c r="BP77" i="4" s="1"/>
  <c r="BP13" i="2"/>
  <c r="BP13" i="4" s="1"/>
  <c r="BP72" i="2"/>
  <c r="BP72" i="4" s="1"/>
  <c r="BP52" i="2"/>
  <c r="BP52" i="4" s="1"/>
  <c r="BP87" i="2"/>
  <c r="BP87" i="4" s="1"/>
  <c r="BP63" i="2"/>
  <c r="BP63" i="4" s="1"/>
  <c r="BP47" i="2"/>
  <c r="BP47" i="4" s="1"/>
  <c r="BP35" i="2"/>
  <c r="BP35" i="4" s="1"/>
  <c r="BP7" i="2"/>
  <c r="BP7" i="4" s="1"/>
  <c r="BP124" i="2"/>
  <c r="BP124" i="4" s="1"/>
  <c r="BP116" i="2"/>
  <c r="BP116" i="4" s="1"/>
  <c r="BP108" i="2"/>
  <c r="BP108" i="4" s="1"/>
  <c r="BP100" i="2"/>
  <c r="BP100" i="4" s="1"/>
  <c r="BP109" i="2"/>
  <c r="BP109" i="4" s="1"/>
  <c r="BP28" i="2"/>
  <c r="BP28" i="4" s="1"/>
  <c r="BP12" i="2"/>
  <c r="BP12" i="4" s="1"/>
  <c r="BP71" i="2"/>
  <c r="BP71" i="4" s="1"/>
  <c r="BP67" i="2"/>
  <c r="BP67" i="4" s="1"/>
  <c r="BP123" i="2"/>
  <c r="BP123" i="4" s="1"/>
  <c r="BP119" i="2"/>
  <c r="BP119" i="4" s="1"/>
  <c r="BP115" i="2"/>
  <c r="BP115" i="4" s="1"/>
  <c r="BP111" i="2"/>
  <c r="BP111" i="4" s="1"/>
  <c r="BP107" i="2"/>
  <c r="BP107" i="4" s="1"/>
  <c r="BP103" i="2"/>
  <c r="BP103" i="4" s="1"/>
  <c r="BP93" i="2"/>
  <c r="BP93" i="4" s="1"/>
  <c r="BP73" i="2"/>
  <c r="BP73" i="4" s="1"/>
  <c r="BP60" i="2"/>
  <c r="BP60" i="4" s="1"/>
  <c r="BP48" i="2"/>
  <c r="BP48" i="4" s="1"/>
  <c r="BP59" i="2"/>
  <c r="BP59" i="4" s="1"/>
  <c r="BP51" i="2"/>
  <c r="BP51" i="4" s="1"/>
  <c r="BP57" i="2"/>
  <c r="BP57" i="4" s="1"/>
  <c r="BP53" i="2"/>
  <c r="BP53" i="4" s="1"/>
  <c r="BP49" i="2"/>
  <c r="BP49" i="4" s="1"/>
  <c r="BP25" i="2"/>
  <c r="BP25" i="4" s="1"/>
  <c r="BP21" i="2"/>
  <c r="BP21" i="4" s="1"/>
  <c r="BP76" i="2"/>
  <c r="BP76" i="4" s="1"/>
  <c r="BP40" i="2"/>
  <c r="BP40" i="4" s="1"/>
  <c r="BP24" i="2"/>
  <c r="BP24" i="4" s="1"/>
  <c r="BP4" i="2"/>
  <c r="BP4" i="4" s="1"/>
  <c r="BP79" i="2"/>
  <c r="BP79" i="4" s="1"/>
  <c r="BP75" i="2"/>
  <c r="BP75" i="4" s="1"/>
  <c r="BP55" i="2"/>
  <c r="BP55" i="4" s="1"/>
  <c r="BP39" i="2"/>
  <c r="BP39" i="4" s="1"/>
  <c r="BP27" i="2"/>
  <c r="BP27" i="4" s="1"/>
  <c r="BP23" i="2"/>
  <c r="BP23" i="4" s="1"/>
  <c r="BP19" i="2"/>
  <c r="BP19" i="4" s="1"/>
  <c r="BP127" i="2"/>
  <c r="BP127" i="4" s="1"/>
  <c r="BP120" i="2"/>
  <c r="BP120" i="4" s="1"/>
  <c r="BP112" i="2"/>
  <c r="BP112" i="4" s="1"/>
  <c r="BP104" i="2"/>
  <c r="BP104" i="4" s="1"/>
  <c r="BP65" i="2"/>
  <c r="BP65" i="4" s="1"/>
  <c r="BP36" i="2"/>
  <c r="BP36" i="4" s="1"/>
  <c r="BP8" i="2"/>
  <c r="BP8" i="4" s="1"/>
  <c r="BP83" i="2"/>
  <c r="BP83" i="4" s="1"/>
  <c r="BP43" i="2"/>
  <c r="BP43" i="4" s="1"/>
  <c r="BP31" i="2"/>
  <c r="BP31" i="4" s="1"/>
  <c r="BP15" i="2"/>
  <c r="BP15" i="4" s="1"/>
  <c r="BP11" i="2"/>
  <c r="BP11" i="4" s="1"/>
  <c r="BR1" i="4" l="1"/>
  <c r="BS2" i="4"/>
  <c r="BR2" i="2"/>
  <c r="BQ87" i="2"/>
  <c r="BQ87" i="4" s="1"/>
  <c r="BQ130" i="2"/>
  <c r="BQ130" i="4" s="1"/>
  <c r="BQ118" i="2"/>
  <c r="BQ118" i="4" s="1"/>
  <c r="BQ102" i="2"/>
  <c r="BQ102" i="4" s="1"/>
  <c r="BQ98" i="2"/>
  <c r="BQ98" i="4" s="1"/>
  <c r="BQ94" i="2"/>
  <c r="BQ94" i="4" s="1"/>
  <c r="BQ74" i="2"/>
  <c r="BQ74" i="4" s="1"/>
  <c r="BQ66" i="2"/>
  <c r="BQ66" i="4" s="1"/>
  <c r="BQ90" i="2"/>
  <c r="BQ90" i="4" s="1"/>
  <c r="BQ86" i="2"/>
  <c r="BQ86" i="4" s="1"/>
  <c r="BQ82" i="2"/>
  <c r="BQ82" i="4" s="1"/>
  <c r="BQ78" i="2"/>
  <c r="BQ78" i="4" s="1"/>
  <c r="BQ70" i="2"/>
  <c r="BQ70" i="4" s="1"/>
  <c r="BQ62" i="2"/>
  <c r="BQ62" i="4" s="1"/>
  <c r="BQ58" i="2"/>
  <c r="BQ58" i="4" s="1"/>
  <c r="BQ54" i="2"/>
  <c r="BQ54" i="4" s="1"/>
  <c r="BQ50" i="2"/>
  <c r="BQ50" i="4" s="1"/>
  <c r="BQ42" i="2"/>
  <c r="BQ42" i="4" s="1"/>
  <c r="BQ38" i="2"/>
  <c r="BQ38" i="4" s="1"/>
  <c r="BQ30" i="2"/>
  <c r="BQ30" i="4" s="1"/>
  <c r="BQ22" i="2"/>
  <c r="BQ22" i="4" s="1"/>
  <c r="BQ14" i="2"/>
  <c r="BQ14" i="4" s="1"/>
  <c r="BQ10" i="2"/>
  <c r="BQ10" i="4" s="1"/>
  <c r="BQ6" i="2"/>
  <c r="BQ6" i="4" s="1"/>
  <c r="BQ122" i="2"/>
  <c r="BQ122" i="4" s="1"/>
  <c r="BQ106" i="2"/>
  <c r="BQ106" i="4" s="1"/>
  <c r="BQ46" i="2"/>
  <c r="BQ46" i="4" s="1"/>
  <c r="BQ34" i="2"/>
  <c r="BQ34" i="4" s="1"/>
  <c r="BQ26" i="2"/>
  <c r="BQ26" i="4" s="1"/>
  <c r="BQ93" i="2"/>
  <c r="BQ93" i="4" s="1"/>
  <c r="BQ73" i="2"/>
  <c r="BQ73" i="4" s="1"/>
  <c r="BQ69" i="2"/>
  <c r="BQ69" i="4" s="1"/>
  <c r="BQ65" i="2"/>
  <c r="BQ65" i="4" s="1"/>
  <c r="BQ61" i="2"/>
  <c r="BQ61" i="4" s="1"/>
  <c r="BQ45" i="2"/>
  <c r="BQ45" i="4" s="1"/>
  <c r="BQ41" i="2"/>
  <c r="BQ41" i="4" s="1"/>
  <c r="BQ37" i="2"/>
  <c r="BQ37" i="4" s="1"/>
  <c r="BQ33" i="2"/>
  <c r="BQ33" i="4" s="1"/>
  <c r="BQ17" i="2"/>
  <c r="BQ17" i="4" s="1"/>
  <c r="BQ5" i="2"/>
  <c r="BQ5" i="4" s="1"/>
  <c r="BQ96" i="2"/>
  <c r="BQ96" i="4" s="1"/>
  <c r="BQ92" i="2"/>
  <c r="BQ92" i="4" s="1"/>
  <c r="BQ88" i="2"/>
  <c r="BQ88" i="4" s="1"/>
  <c r="BQ84" i="2"/>
  <c r="BQ84" i="4" s="1"/>
  <c r="BQ80" i="2"/>
  <c r="BQ80" i="4" s="1"/>
  <c r="BQ76" i="2"/>
  <c r="BQ76" i="4" s="1"/>
  <c r="BQ18" i="2"/>
  <c r="BQ18" i="4" s="1"/>
  <c r="BQ126" i="2"/>
  <c r="BQ126" i="4" s="1"/>
  <c r="BQ64" i="2"/>
  <c r="BQ64" i="4" s="1"/>
  <c r="BQ48" i="2"/>
  <c r="BQ48" i="4" s="1"/>
  <c r="BQ32" i="2"/>
  <c r="BQ32" i="4" s="1"/>
  <c r="BQ123" i="2"/>
  <c r="BQ123" i="4" s="1"/>
  <c r="BQ107" i="2"/>
  <c r="BQ107" i="4" s="1"/>
  <c r="BQ89" i="2"/>
  <c r="BQ89" i="4" s="1"/>
  <c r="BQ85" i="2"/>
  <c r="BQ85" i="4" s="1"/>
  <c r="BQ81" i="2"/>
  <c r="BQ81" i="4" s="1"/>
  <c r="BQ29" i="2"/>
  <c r="BQ29" i="4" s="1"/>
  <c r="BQ9" i="2"/>
  <c r="BQ9" i="4" s="1"/>
  <c r="BQ114" i="2"/>
  <c r="BQ114" i="4" s="1"/>
  <c r="BQ68" i="2"/>
  <c r="BQ68" i="4" s="1"/>
  <c r="BQ44" i="2"/>
  <c r="BQ44" i="4" s="1"/>
  <c r="BQ16" i="2"/>
  <c r="BQ16" i="4" s="1"/>
  <c r="BQ127" i="2"/>
  <c r="BQ127" i="4" s="1"/>
  <c r="BQ111" i="2"/>
  <c r="BQ111" i="4" s="1"/>
  <c r="BQ3" i="2"/>
  <c r="BQ3" i="4" s="1"/>
  <c r="BQ110" i="2"/>
  <c r="BQ110" i="4" s="1"/>
  <c r="BQ77" i="2"/>
  <c r="BQ77" i="4" s="1"/>
  <c r="BQ72" i="2"/>
  <c r="BQ72" i="4" s="1"/>
  <c r="BQ56" i="2"/>
  <c r="BQ56" i="4" s="1"/>
  <c r="BQ40" i="2"/>
  <c r="BQ40" i="4" s="1"/>
  <c r="BQ20" i="2"/>
  <c r="BQ20" i="4" s="1"/>
  <c r="BQ115" i="2"/>
  <c r="BQ115" i="4" s="1"/>
  <c r="BQ63" i="2"/>
  <c r="BQ63" i="4" s="1"/>
  <c r="BQ59" i="2"/>
  <c r="BQ59" i="4" s="1"/>
  <c r="BQ47" i="2"/>
  <c r="BQ47" i="4" s="1"/>
  <c r="BQ35" i="2"/>
  <c r="BQ35" i="4" s="1"/>
  <c r="BQ31" i="2"/>
  <c r="BQ31" i="4" s="1"/>
  <c r="BQ15" i="2"/>
  <c r="BQ15" i="4" s="1"/>
  <c r="BQ95" i="2"/>
  <c r="BQ95" i="4" s="1"/>
  <c r="BQ11" i="2"/>
  <c r="BQ11" i="4" s="1"/>
  <c r="BQ129" i="2"/>
  <c r="BQ129" i="4" s="1"/>
  <c r="BQ125" i="2"/>
  <c r="BQ125" i="4" s="1"/>
  <c r="BQ121" i="2"/>
  <c r="BQ121" i="4" s="1"/>
  <c r="BQ117" i="2"/>
  <c r="BQ117" i="4" s="1"/>
  <c r="BQ113" i="2"/>
  <c r="BQ113" i="4" s="1"/>
  <c r="BQ109" i="2"/>
  <c r="BQ109" i="4" s="1"/>
  <c r="BQ105" i="2"/>
  <c r="BQ105" i="4" s="1"/>
  <c r="BQ101" i="2"/>
  <c r="BQ101" i="4" s="1"/>
  <c r="BQ97" i="2"/>
  <c r="BQ97" i="4" s="1"/>
  <c r="BQ53" i="2"/>
  <c r="BQ53" i="4" s="1"/>
  <c r="BQ25" i="2"/>
  <c r="BQ25" i="4" s="1"/>
  <c r="BQ28" i="2"/>
  <c r="BQ28" i="4" s="1"/>
  <c r="BQ24" i="2"/>
  <c r="BQ24" i="4" s="1"/>
  <c r="BQ12" i="2"/>
  <c r="BQ12" i="4" s="1"/>
  <c r="BQ119" i="2"/>
  <c r="BQ119" i="4" s="1"/>
  <c r="BQ71" i="2"/>
  <c r="BQ71" i="4" s="1"/>
  <c r="BQ67" i="2"/>
  <c r="BQ67" i="4" s="1"/>
  <c r="BQ43" i="2"/>
  <c r="BQ43" i="4" s="1"/>
  <c r="BQ124" i="2"/>
  <c r="BQ124" i="4" s="1"/>
  <c r="BQ120" i="2"/>
  <c r="BQ120" i="4" s="1"/>
  <c r="BQ116" i="2"/>
  <c r="BQ116" i="4" s="1"/>
  <c r="BQ112" i="2"/>
  <c r="BQ112" i="4" s="1"/>
  <c r="BQ108" i="2"/>
  <c r="BQ108" i="4" s="1"/>
  <c r="BQ104" i="2"/>
  <c r="BQ104" i="4" s="1"/>
  <c r="BQ100" i="2"/>
  <c r="BQ100" i="4" s="1"/>
  <c r="BQ83" i="2"/>
  <c r="BQ83" i="4" s="1"/>
  <c r="BQ49" i="2"/>
  <c r="BQ49" i="4" s="1"/>
  <c r="BQ13" i="2"/>
  <c r="BQ13" i="4" s="1"/>
  <c r="BQ52" i="2"/>
  <c r="BQ52" i="4" s="1"/>
  <c r="BQ8" i="2"/>
  <c r="BQ8" i="4" s="1"/>
  <c r="BQ39" i="2"/>
  <c r="BQ39" i="4" s="1"/>
  <c r="BQ27" i="2"/>
  <c r="BQ27" i="4" s="1"/>
  <c r="BQ19" i="2"/>
  <c r="BQ19" i="4" s="1"/>
  <c r="BQ7" i="2"/>
  <c r="BQ7" i="4" s="1"/>
  <c r="BQ79" i="2"/>
  <c r="BQ79" i="4" s="1"/>
  <c r="BQ4" i="2"/>
  <c r="BQ4" i="4" s="1"/>
  <c r="BQ91" i="2"/>
  <c r="BQ91" i="4" s="1"/>
  <c r="BQ75" i="2"/>
  <c r="BQ75" i="4" s="1"/>
  <c r="BQ55" i="2"/>
  <c r="BQ55" i="4" s="1"/>
  <c r="BQ23" i="2"/>
  <c r="BQ23" i="4" s="1"/>
  <c r="BQ99" i="2"/>
  <c r="BQ99" i="4" s="1"/>
  <c r="BQ57" i="2"/>
  <c r="BQ57" i="4" s="1"/>
  <c r="BQ21" i="2"/>
  <c r="BQ21" i="4" s="1"/>
  <c r="BQ60" i="2"/>
  <c r="BQ60" i="4" s="1"/>
  <c r="BQ36" i="2"/>
  <c r="BQ36" i="4" s="1"/>
  <c r="BQ103" i="2"/>
  <c r="BQ103" i="4" s="1"/>
  <c r="BQ51" i="2"/>
  <c r="BQ51" i="4" s="1"/>
  <c r="BQ128" i="2"/>
  <c r="BQ128" i="4" s="1"/>
  <c r="BS1" i="4" l="1"/>
  <c r="BT2" i="4"/>
  <c r="BS2" i="2"/>
  <c r="BR88" i="2"/>
  <c r="BR88" i="4" s="1"/>
  <c r="BR115" i="2"/>
  <c r="BR115" i="4" s="1"/>
  <c r="BR111" i="2"/>
  <c r="BR111" i="4" s="1"/>
  <c r="BR127" i="2"/>
  <c r="BR127" i="4" s="1"/>
  <c r="BR119" i="2"/>
  <c r="BR119" i="4" s="1"/>
  <c r="BR107" i="2"/>
  <c r="BR107" i="4" s="1"/>
  <c r="BR123" i="2"/>
  <c r="BR123" i="4" s="1"/>
  <c r="BR103" i="2"/>
  <c r="BR103" i="4" s="1"/>
  <c r="BR130" i="2"/>
  <c r="BR130" i="4" s="1"/>
  <c r="BR126" i="2"/>
  <c r="BR126" i="4" s="1"/>
  <c r="BR122" i="2"/>
  <c r="BR122" i="4" s="1"/>
  <c r="BR118" i="2"/>
  <c r="BR118" i="4" s="1"/>
  <c r="BR114" i="2"/>
  <c r="BR114" i="4" s="1"/>
  <c r="BR110" i="2"/>
  <c r="BR110" i="4" s="1"/>
  <c r="BR106" i="2"/>
  <c r="BR106" i="4" s="1"/>
  <c r="BR102" i="2"/>
  <c r="BR102" i="4" s="1"/>
  <c r="BR98" i="2"/>
  <c r="BR98" i="4" s="1"/>
  <c r="BR94" i="2"/>
  <c r="BR94" i="4" s="1"/>
  <c r="BR90" i="2"/>
  <c r="BR90" i="4" s="1"/>
  <c r="BR86" i="2"/>
  <c r="BR86" i="4" s="1"/>
  <c r="BR82" i="2"/>
  <c r="BR82" i="4" s="1"/>
  <c r="BR78" i="2"/>
  <c r="BR78" i="4" s="1"/>
  <c r="BR74" i="2"/>
  <c r="BR74" i="4" s="1"/>
  <c r="BR70" i="2"/>
  <c r="BR70" i="4" s="1"/>
  <c r="BR66" i="2"/>
  <c r="BR66" i="4" s="1"/>
  <c r="BR62" i="2"/>
  <c r="BR62" i="4" s="1"/>
  <c r="BR58" i="2"/>
  <c r="BR58" i="4" s="1"/>
  <c r="BR54" i="2"/>
  <c r="BR54" i="4" s="1"/>
  <c r="BR50" i="2"/>
  <c r="BR50" i="4" s="1"/>
  <c r="BR42" i="2"/>
  <c r="BR42" i="4" s="1"/>
  <c r="BR38" i="2"/>
  <c r="BR38" i="4" s="1"/>
  <c r="BR30" i="2"/>
  <c r="BR30" i="4" s="1"/>
  <c r="BR26" i="2"/>
  <c r="BR26" i="4" s="1"/>
  <c r="BR22" i="2"/>
  <c r="BR22" i="4" s="1"/>
  <c r="BR14" i="2"/>
  <c r="BR14" i="4" s="1"/>
  <c r="BR6" i="2"/>
  <c r="BR6" i="4" s="1"/>
  <c r="BR46" i="2"/>
  <c r="BR46" i="4" s="1"/>
  <c r="BR34" i="2"/>
  <c r="BR34" i="4" s="1"/>
  <c r="BR93" i="2"/>
  <c r="BR93" i="4" s="1"/>
  <c r="BR81" i="2"/>
  <c r="BR81" i="4" s="1"/>
  <c r="BR77" i="2"/>
  <c r="BR77" i="4" s="1"/>
  <c r="BR73" i="2"/>
  <c r="BR73" i="4" s="1"/>
  <c r="BR69" i="2"/>
  <c r="BR69" i="4" s="1"/>
  <c r="BR65" i="2"/>
  <c r="BR65" i="4" s="1"/>
  <c r="BR61" i="2"/>
  <c r="BR61" i="4" s="1"/>
  <c r="BR57" i="2"/>
  <c r="BR57" i="4" s="1"/>
  <c r="BR53" i="2"/>
  <c r="BR53" i="4" s="1"/>
  <c r="BR49" i="2"/>
  <c r="BR49" i="4" s="1"/>
  <c r="BR45" i="2"/>
  <c r="BR45" i="4" s="1"/>
  <c r="BR41" i="2"/>
  <c r="BR41" i="4" s="1"/>
  <c r="BR37" i="2"/>
  <c r="BR37" i="4" s="1"/>
  <c r="BR33" i="2"/>
  <c r="BR33" i="4" s="1"/>
  <c r="BR25" i="2"/>
  <c r="BR25" i="4" s="1"/>
  <c r="BR21" i="2"/>
  <c r="BR21" i="4" s="1"/>
  <c r="BR76" i="2"/>
  <c r="BR76" i="4" s="1"/>
  <c r="BR60" i="2"/>
  <c r="BR60" i="4" s="1"/>
  <c r="BR18" i="2"/>
  <c r="BR18" i="4" s="1"/>
  <c r="BR17" i="2"/>
  <c r="BR17" i="4" s="1"/>
  <c r="BR5" i="2"/>
  <c r="BR5" i="4" s="1"/>
  <c r="BR64" i="2"/>
  <c r="BR64" i="4" s="1"/>
  <c r="BR48" i="2"/>
  <c r="BR48" i="4" s="1"/>
  <c r="BR28" i="2"/>
  <c r="BR28" i="4" s="1"/>
  <c r="BR12" i="2"/>
  <c r="BR12" i="4" s="1"/>
  <c r="BR124" i="2"/>
  <c r="BR124" i="4" s="1"/>
  <c r="BR108" i="2"/>
  <c r="BR108" i="4" s="1"/>
  <c r="BR95" i="2"/>
  <c r="BR95" i="4" s="1"/>
  <c r="BR89" i="2"/>
  <c r="BR89" i="4" s="1"/>
  <c r="BR85" i="2"/>
  <c r="BR85" i="4" s="1"/>
  <c r="BR29" i="2"/>
  <c r="BR29" i="4" s="1"/>
  <c r="BR9" i="2"/>
  <c r="BR9" i="4" s="1"/>
  <c r="BR68" i="2"/>
  <c r="BR68" i="4" s="1"/>
  <c r="BR44" i="2"/>
  <c r="BR44" i="4" s="1"/>
  <c r="BR32" i="2"/>
  <c r="BR32" i="4" s="1"/>
  <c r="BR128" i="2"/>
  <c r="BR128" i="4" s="1"/>
  <c r="BR112" i="2"/>
  <c r="BR112" i="4" s="1"/>
  <c r="BR91" i="2"/>
  <c r="BR91" i="4" s="1"/>
  <c r="BR72" i="2"/>
  <c r="BR72" i="4" s="1"/>
  <c r="BR56" i="2"/>
  <c r="BR56" i="4" s="1"/>
  <c r="BR20" i="2"/>
  <c r="BR20" i="4" s="1"/>
  <c r="BR116" i="2"/>
  <c r="BR116" i="4" s="1"/>
  <c r="BR83" i="2"/>
  <c r="BR83" i="4" s="1"/>
  <c r="BR59" i="2"/>
  <c r="BR59" i="4" s="1"/>
  <c r="BR47" i="2"/>
  <c r="BR47" i="4" s="1"/>
  <c r="BR43" i="2"/>
  <c r="BR43" i="4" s="1"/>
  <c r="BR31" i="2"/>
  <c r="BR31" i="4" s="1"/>
  <c r="BR15" i="2"/>
  <c r="BR15" i="4" s="1"/>
  <c r="BR99" i="2"/>
  <c r="BR99" i="4" s="1"/>
  <c r="BR96" i="2"/>
  <c r="BR96" i="4" s="1"/>
  <c r="BR80" i="2"/>
  <c r="BR80" i="4" s="1"/>
  <c r="BR129" i="2"/>
  <c r="BR129" i="4" s="1"/>
  <c r="BR125" i="2"/>
  <c r="BR125" i="4" s="1"/>
  <c r="BR121" i="2"/>
  <c r="BR121" i="4" s="1"/>
  <c r="BR117" i="2"/>
  <c r="BR117" i="4" s="1"/>
  <c r="BR113" i="2"/>
  <c r="BR113" i="4" s="1"/>
  <c r="BR109" i="2"/>
  <c r="BR109" i="4" s="1"/>
  <c r="BR105" i="2"/>
  <c r="BR105" i="4" s="1"/>
  <c r="BR101" i="2"/>
  <c r="BR101" i="4" s="1"/>
  <c r="BR97" i="2"/>
  <c r="BR97" i="4" s="1"/>
  <c r="BR13" i="2"/>
  <c r="BR13" i="4" s="1"/>
  <c r="BR24" i="2"/>
  <c r="BR24" i="4" s="1"/>
  <c r="BR120" i="2"/>
  <c r="BR120" i="4" s="1"/>
  <c r="BR3" i="2"/>
  <c r="BR3" i="4" s="1"/>
  <c r="BR67" i="2"/>
  <c r="BR67" i="4" s="1"/>
  <c r="BR35" i="2"/>
  <c r="BR35" i="4" s="1"/>
  <c r="BR19" i="2"/>
  <c r="BR19" i="4" s="1"/>
  <c r="BR84" i="2"/>
  <c r="BR84" i="4" s="1"/>
  <c r="BR52" i="2"/>
  <c r="BR52" i="4" s="1"/>
  <c r="BR40" i="2"/>
  <c r="BR40" i="4" s="1"/>
  <c r="BR8" i="2"/>
  <c r="BR8" i="4" s="1"/>
  <c r="BR51" i="2"/>
  <c r="BR51" i="4" s="1"/>
  <c r="BR39" i="2"/>
  <c r="BR39" i="4" s="1"/>
  <c r="BR27" i="2"/>
  <c r="BR27" i="4" s="1"/>
  <c r="BR10" i="2"/>
  <c r="BR10" i="4" s="1"/>
  <c r="BR36" i="2"/>
  <c r="BR36" i="4" s="1"/>
  <c r="BR16" i="2"/>
  <c r="BR16" i="4" s="1"/>
  <c r="BR4" i="2"/>
  <c r="BR4" i="4" s="1"/>
  <c r="BR100" i="2"/>
  <c r="BR100" i="4" s="1"/>
  <c r="BR92" i="2"/>
  <c r="BR92" i="4" s="1"/>
  <c r="BR87" i="2"/>
  <c r="BR87" i="4" s="1"/>
  <c r="BR75" i="2"/>
  <c r="BR75" i="4" s="1"/>
  <c r="BR63" i="2"/>
  <c r="BR63" i="4" s="1"/>
  <c r="BR55" i="2"/>
  <c r="BR55" i="4" s="1"/>
  <c r="BR23" i="2"/>
  <c r="BR23" i="4" s="1"/>
  <c r="BR7" i="2"/>
  <c r="BR7" i="4" s="1"/>
  <c r="BR104" i="2"/>
  <c r="BR104" i="4" s="1"/>
  <c r="BR79" i="2"/>
  <c r="BR79" i="4" s="1"/>
  <c r="BR11" i="2"/>
  <c r="BR11" i="4" s="1"/>
  <c r="BR71" i="2"/>
  <c r="BR71" i="4" s="1"/>
  <c r="BT1" i="4" l="1"/>
  <c r="BU2" i="4"/>
  <c r="BT2" i="2"/>
  <c r="BS127" i="2"/>
  <c r="BS127" i="4" s="1"/>
  <c r="BS100" i="2"/>
  <c r="BS100" i="4" s="1"/>
  <c r="BS116" i="2"/>
  <c r="BS116" i="4" s="1"/>
  <c r="BS112" i="2"/>
  <c r="BS112" i="4" s="1"/>
  <c r="BS128" i="2"/>
  <c r="BS128" i="4" s="1"/>
  <c r="BS120" i="2"/>
  <c r="BS120" i="4" s="1"/>
  <c r="BS108" i="2"/>
  <c r="BS108" i="4" s="1"/>
  <c r="BS124" i="2"/>
  <c r="BS124" i="4" s="1"/>
  <c r="BS104" i="2"/>
  <c r="BS104" i="4" s="1"/>
  <c r="BS14" i="2"/>
  <c r="BS14" i="4" s="1"/>
  <c r="BS130" i="2"/>
  <c r="BS130" i="4" s="1"/>
  <c r="BS126" i="2"/>
  <c r="BS126" i="4" s="1"/>
  <c r="BS122" i="2"/>
  <c r="BS122" i="4" s="1"/>
  <c r="BS118" i="2"/>
  <c r="BS118" i="4" s="1"/>
  <c r="BS114" i="2"/>
  <c r="BS114" i="4" s="1"/>
  <c r="BS110" i="2"/>
  <c r="BS110" i="4" s="1"/>
  <c r="BS106" i="2"/>
  <c r="BS106" i="4" s="1"/>
  <c r="BS102" i="2"/>
  <c r="BS102" i="4" s="1"/>
  <c r="BS98" i="2"/>
  <c r="BS98" i="4" s="1"/>
  <c r="BS94" i="2"/>
  <c r="BS94" i="4" s="1"/>
  <c r="BS90" i="2"/>
  <c r="BS90" i="4" s="1"/>
  <c r="BS86" i="2"/>
  <c r="BS86" i="4" s="1"/>
  <c r="BS82" i="2"/>
  <c r="BS82" i="4" s="1"/>
  <c r="BS74" i="2"/>
  <c r="BS74" i="4" s="1"/>
  <c r="BS70" i="2"/>
  <c r="BS70" i="4" s="1"/>
  <c r="BS66" i="2"/>
  <c r="BS66" i="4" s="1"/>
  <c r="BS62" i="2"/>
  <c r="BS62" i="4" s="1"/>
  <c r="BS46" i="2"/>
  <c r="BS46" i="4" s="1"/>
  <c r="BS42" i="2"/>
  <c r="BS42" i="4" s="1"/>
  <c r="BS38" i="2"/>
  <c r="BS38" i="4" s="1"/>
  <c r="BS30" i="2"/>
  <c r="BS30" i="4" s="1"/>
  <c r="BS18" i="2"/>
  <c r="BS18" i="4" s="1"/>
  <c r="BS6" i="2"/>
  <c r="BS6" i="4" s="1"/>
  <c r="BS129" i="2"/>
  <c r="BS129" i="4" s="1"/>
  <c r="BS125" i="2"/>
  <c r="BS125" i="4" s="1"/>
  <c r="BS121" i="2"/>
  <c r="BS121" i="4" s="1"/>
  <c r="BS117" i="2"/>
  <c r="BS117" i="4" s="1"/>
  <c r="BS113" i="2"/>
  <c r="BS113" i="4" s="1"/>
  <c r="BS109" i="2"/>
  <c r="BS109" i="4" s="1"/>
  <c r="BS105" i="2"/>
  <c r="BS105" i="4" s="1"/>
  <c r="BS101" i="2"/>
  <c r="BS101" i="4" s="1"/>
  <c r="BS78" i="2"/>
  <c r="BS78" i="4" s="1"/>
  <c r="BS58" i="2"/>
  <c r="BS58" i="4" s="1"/>
  <c r="BS54" i="2"/>
  <c r="BS54" i="4" s="1"/>
  <c r="BS50" i="2"/>
  <c r="BS50" i="4" s="1"/>
  <c r="BS26" i="2"/>
  <c r="BS26" i="4" s="1"/>
  <c r="BS22" i="2"/>
  <c r="BS22" i="4" s="1"/>
  <c r="BS10" i="2"/>
  <c r="BS10" i="4" s="1"/>
  <c r="BS93" i="2"/>
  <c r="BS93" i="4" s="1"/>
  <c r="BS85" i="2"/>
  <c r="BS85" i="4" s="1"/>
  <c r="BS81" i="2"/>
  <c r="BS81" i="4" s="1"/>
  <c r="BS77" i="2"/>
  <c r="BS77" i="4" s="1"/>
  <c r="BS73" i="2"/>
  <c r="BS73" i="4" s="1"/>
  <c r="BS69" i="2"/>
  <c r="BS69" i="4" s="1"/>
  <c r="BS65" i="2"/>
  <c r="BS65" i="4" s="1"/>
  <c r="BS57" i="2"/>
  <c r="BS57" i="4" s="1"/>
  <c r="BS53" i="2"/>
  <c r="BS53" i="4" s="1"/>
  <c r="BS49" i="2"/>
  <c r="BS49" i="4" s="1"/>
  <c r="BS45" i="2"/>
  <c r="BS45" i="4" s="1"/>
  <c r="BS25" i="2"/>
  <c r="BS25" i="4" s="1"/>
  <c r="BS21" i="2"/>
  <c r="BS21" i="4" s="1"/>
  <c r="BS13" i="2"/>
  <c r="BS13" i="4" s="1"/>
  <c r="BS9" i="2"/>
  <c r="BS9" i="4" s="1"/>
  <c r="BS76" i="2"/>
  <c r="BS76" i="4" s="1"/>
  <c r="BS60" i="2"/>
  <c r="BS60" i="4" s="1"/>
  <c r="BS34" i="2"/>
  <c r="BS34" i="4" s="1"/>
  <c r="BS61" i="2"/>
  <c r="BS61" i="4" s="1"/>
  <c r="BS41" i="2"/>
  <c r="BS41" i="4" s="1"/>
  <c r="BS37" i="2"/>
  <c r="BS37" i="4" s="1"/>
  <c r="BS33" i="2"/>
  <c r="BS33" i="4" s="1"/>
  <c r="BS17" i="2"/>
  <c r="BS17" i="4" s="1"/>
  <c r="BS92" i="2"/>
  <c r="BS92" i="4" s="1"/>
  <c r="BS88" i="2"/>
  <c r="BS88" i="4" s="1"/>
  <c r="BS84" i="2"/>
  <c r="BS84" i="4" s="1"/>
  <c r="BS80" i="2"/>
  <c r="BS80" i="4" s="1"/>
  <c r="BS64" i="2"/>
  <c r="BS64" i="4" s="1"/>
  <c r="BS48" i="2"/>
  <c r="BS48" i="4" s="1"/>
  <c r="BS28" i="2"/>
  <c r="BS28" i="4" s="1"/>
  <c r="BS16" i="2"/>
  <c r="BS16" i="4" s="1"/>
  <c r="BS8" i="2"/>
  <c r="BS8" i="4" s="1"/>
  <c r="BS96" i="2"/>
  <c r="BS96" i="4" s="1"/>
  <c r="BS68" i="2"/>
  <c r="BS68" i="4" s="1"/>
  <c r="BS32" i="2"/>
  <c r="BS32" i="4" s="1"/>
  <c r="BS99" i="2"/>
  <c r="BS99" i="4" s="1"/>
  <c r="BS91" i="2"/>
  <c r="BS91" i="4" s="1"/>
  <c r="BS29" i="2"/>
  <c r="BS29" i="4" s="1"/>
  <c r="BS89" i="2"/>
  <c r="BS89" i="4" s="1"/>
  <c r="BS56" i="2"/>
  <c r="BS56" i="4" s="1"/>
  <c r="BS44" i="2"/>
  <c r="BS44" i="4" s="1"/>
  <c r="BS20" i="2"/>
  <c r="BS20" i="4" s="1"/>
  <c r="BS83" i="2"/>
  <c r="BS83" i="4" s="1"/>
  <c r="BS43" i="2"/>
  <c r="BS43" i="4" s="1"/>
  <c r="BS31" i="2"/>
  <c r="BS31" i="4" s="1"/>
  <c r="BS15" i="2"/>
  <c r="BS15" i="4" s="1"/>
  <c r="BS11" i="2"/>
  <c r="BS11" i="4" s="1"/>
  <c r="BS7" i="2"/>
  <c r="BS7" i="4" s="1"/>
  <c r="BS119" i="2"/>
  <c r="BS119" i="4" s="1"/>
  <c r="BS111" i="2"/>
  <c r="BS111" i="4" s="1"/>
  <c r="BS103" i="2"/>
  <c r="BS103" i="4" s="1"/>
  <c r="BS5" i="2"/>
  <c r="BS5" i="4" s="1"/>
  <c r="BS24" i="2"/>
  <c r="BS24" i="4" s="1"/>
  <c r="BS4" i="2"/>
  <c r="BS4" i="4" s="1"/>
  <c r="BS75" i="2"/>
  <c r="BS75" i="4" s="1"/>
  <c r="BS87" i="2"/>
  <c r="BS87" i="4" s="1"/>
  <c r="BS63" i="2"/>
  <c r="BS63" i="4" s="1"/>
  <c r="BS47" i="2"/>
  <c r="BS47" i="4" s="1"/>
  <c r="BS35" i="2"/>
  <c r="BS35" i="4" s="1"/>
  <c r="BS19" i="2"/>
  <c r="BS19" i="4" s="1"/>
  <c r="BS72" i="2"/>
  <c r="BS72" i="4" s="1"/>
  <c r="BS52" i="2"/>
  <c r="BS52" i="4" s="1"/>
  <c r="BS40" i="2"/>
  <c r="BS40" i="4" s="1"/>
  <c r="BS39" i="2"/>
  <c r="BS39" i="4" s="1"/>
  <c r="BS27" i="2"/>
  <c r="BS27" i="4" s="1"/>
  <c r="BS97" i="2"/>
  <c r="BS97" i="4" s="1"/>
  <c r="BS3" i="2"/>
  <c r="BS3" i="4" s="1"/>
  <c r="BS95" i="2"/>
  <c r="BS95" i="4" s="1"/>
  <c r="BS71" i="2"/>
  <c r="BS71" i="4" s="1"/>
  <c r="BS67" i="2"/>
  <c r="BS67" i="4" s="1"/>
  <c r="BS55" i="2"/>
  <c r="BS55" i="4" s="1"/>
  <c r="BS23" i="2"/>
  <c r="BS23" i="4" s="1"/>
  <c r="BS123" i="2"/>
  <c r="BS123" i="4" s="1"/>
  <c r="BS115" i="2"/>
  <c r="BS115" i="4" s="1"/>
  <c r="BS107" i="2"/>
  <c r="BS107" i="4" s="1"/>
  <c r="BS36" i="2"/>
  <c r="BS36" i="4" s="1"/>
  <c r="BS12" i="2"/>
  <c r="BS12" i="4" s="1"/>
  <c r="BS79" i="2"/>
  <c r="BS79" i="4" s="1"/>
  <c r="BS59" i="2"/>
  <c r="BS59" i="4" s="1"/>
  <c r="BS51" i="2"/>
  <c r="BS51" i="4" s="1"/>
  <c r="BU1" i="4" l="1"/>
  <c r="BV2" i="4"/>
  <c r="BU2" i="2"/>
  <c r="BT128" i="2"/>
  <c r="BT128" i="4" s="1"/>
  <c r="BT121" i="2"/>
  <c r="BT121" i="4" s="1"/>
  <c r="BT105" i="2"/>
  <c r="BT105" i="4" s="1"/>
  <c r="BT59" i="2"/>
  <c r="BT59" i="4" s="1"/>
  <c r="BT46" i="2"/>
  <c r="BT46" i="4" s="1"/>
  <c r="BT125" i="2"/>
  <c r="BT125" i="4" s="1"/>
  <c r="BT109" i="2"/>
  <c r="BT109" i="4" s="1"/>
  <c r="BT130" i="2"/>
  <c r="BT130" i="4" s="1"/>
  <c r="BT126" i="2"/>
  <c r="BT126" i="4" s="1"/>
  <c r="BT122" i="2"/>
  <c r="BT122" i="4" s="1"/>
  <c r="BT118" i="2"/>
  <c r="BT118" i="4" s="1"/>
  <c r="BT114" i="2"/>
  <c r="BT114" i="4" s="1"/>
  <c r="BT110" i="2"/>
  <c r="BT110" i="4" s="1"/>
  <c r="BT106" i="2"/>
  <c r="BT106" i="4" s="1"/>
  <c r="BT102" i="2"/>
  <c r="BT102" i="4" s="1"/>
  <c r="BT98" i="2"/>
  <c r="BT98" i="4" s="1"/>
  <c r="BT86" i="2"/>
  <c r="BT86" i="4" s="1"/>
  <c r="BT82" i="2"/>
  <c r="BT82" i="4" s="1"/>
  <c r="BT74" i="2"/>
  <c r="BT74" i="4" s="1"/>
  <c r="BT70" i="2"/>
  <c r="BT70" i="4" s="1"/>
  <c r="BT66" i="2"/>
  <c r="BT66" i="4" s="1"/>
  <c r="BT34" i="2"/>
  <c r="BT34" i="4" s="1"/>
  <c r="BT6" i="2"/>
  <c r="BT6" i="4" s="1"/>
  <c r="BT94" i="2"/>
  <c r="BT94" i="4" s="1"/>
  <c r="BT97" i="2"/>
  <c r="BT97" i="4" s="1"/>
  <c r="BT93" i="2"/>
  <c r="BT93" i="4" s="1"/>
  <c r="BT78" i="2"/>
  <c r="BT78" i="4" s="1"/>
  <c r="BT62" i="2"/>
  <c r="BT62" i="4" s="1"/>
  <c r="BT58" i="2"/>
  <c r="BT58" i="4" s="1"/>
  <c r="BT54" i="2"/>
  <c r="BT54" i="4" s="1"/>
  <c r="BT50" i="2"/>
  <c r="BT50" i="4" s="1"/>
  <c r="BT42" i="2"/>
  <c r="BT42" i="4" s="1"/>
  <c r="BT38" i="2"/>
  <c r="BT38" i="4" s="1"/>
  <c r="BT30" i="2"/>
  <c r="BT30" i="4" s="1"/>
  <c r="BT22" i="2"/>
  <c r="BT22" i="4" s="1"/>
  <c r="BT18" i="2"/>
  <c r="BT18" i="4" s="1"/>
  <c r="BT14" i="2"/>
  <c r="BT14" i="4" s="1"/>
  <c r="BT10" i="2"/>
  <c r="BT10" i="4" s="1"/>
  <c r="BT77" i="2"/>
  <c r="BT77" i="4" s="1"/>
  <c r="BT69" i="2"/>
  <c r="BT69" i="4" s="1"/>
  <c r="BT65" i="2"/>
  <c r="BT65" i="4" s="1"/>
  <c r="BT57" i="2"/>
  <c r="BT57" i="4" s="1"/>
  <c r="BT53" i="2"/>
  <c r="BT53" i="4" s="1"/>
  <c r="BT49" i="2"/>
  <c r="BT49" i="4" s="1"/>
  <c r="BT25" i="2"/>
  <c r="BT25" i="4" s="1"/>
  <c r="BT21" i="2"/>
  <c r="BT21" i="4" s="1"/>
  <c r="BT13" i="2"/>
  <c r="BT13" i="4" s="1"/>
  <c r="BT72" i="2"/>
  <c r="BT72" i="4" s="1"/>
  <c r="BT60" i="2"/>
  <c r="BT60" i="4" s="1"/>
  <c r="BT129" i="2"/>
  <c r="BT129" i="4" s="1"/>
  <c r="BT73" i="2"/>
  <c r="BT73" i="4" s="1"/>
  <c r="BT61" i="2"/>
  <c r="BT61" i="4" s="1"/>
  <c r="BT45" i="2"/>
  <c r="BT45" i="4" s="1"/>
  <c r="BT41" i="2"/>
  <c r="BT41" i="4" s="1"/>
  <c r="BT37" i="2"/>
  <c r="BT37" i="4" s="1"/>
  <c r="BT33" i="2"/>
  <c r="BT33" i="4" s="1"/>
  <c r="BT29" i="2"/>
  <c r="BT29" i="4" s="1"/>
  <c r="BT17" i="2"/>
  <c r="BT17" i="4" s="1"/>
  <c r="BT9" i="2"/>
  <c r="BT9" i="4" s="1"/>
  <c r="BT117" i="2"/>
  <c r="BT117" i="4" s="1"/>
  <c r="BT101" i="2"/>
  <c r="BT101" i="4" s="1"/>
  <c r="BT90" i="2"/>
  <c r="BT90" i="4" s="1"/>
  <c r="BT96" i="2"/>
  <c r="BT96" i="4" s="1"/>
  <c r="BT92" i="2"/>
  <c r="BT92" i="4" s="1"/>
  <c r="BT88" i="2"/>
  <c r="BT88" i="4" s="1"/>
  <c r="BT84" i="2"/>
  <c r="BT84" i="4" s="1"/>
  <c r="BT80" i="2"/>
  <c r="BT80" i="4" s="1"/>
  <c r="BT36" i="2"/>
  <c r="BT36" i="4" s="1"/>
  <c r="BT28" i="2"/>
  <c r="BT28" i="4" s="1"/>
  <c r="BT12" i="2"/>
  <c r="BT12" i="4" s="1"/>
  <c r="BT8" i="2"/>
  <c r="BT8" i="4" s="1"/>
  <c r="BT26" i="2"/>
  <c r="BT26" i="4" s="1"/>
  <c r="BT5" i="2"/>
  <c r="BT5" i="4" s="1"/>
  <c r="BT64" i="2"/>
  <c r="BT64" i="4" s="1"/>
  <c r="BT48" i="2"/>
  <c r="BT48" i="4" s="1"/>
  <c r="BT32" i="2"/>
  <c r="BT32" i="4" s="1"/>
  <c r="BT99" i="2"/>
  <c r="BT99" i="4" s="1"/>
  <c r="BT91" i="2"/>
  <c r="BT91" i="4" s="1"/>
  <c r="BT44" i="2"/>
  <c r="BT44" i="4" s="1"/>
  <c r="BT16" i="2"/>
  <c r="BT16" i="4" s="1"/>
  <c r="BT83" i="2"/>
  <c r="BT83" i="4" s="1"/>
  <c r="BT63" i="2"/>
  <c r="BT63" i="4" s="1"/>
  <c r="BT51" i="2"/>
  <c r="BT51" i="4" s="1"/>
  <c r="BT43" i="2"/>
  <c r="BT43" i="4" s="1"/>
  <c r="BT31" i="2"/>
  <c r="BT31" i="4" s="1"/>
  <c r="BT19" i="2"/>
  <c r="BT19" i="4" s="1"/>
  <c r="BT15" i="2"/>
  <c r="BT15" i="4" s="1"/>
  <c r="BT11" i="2"/>
  <c r="BT11" i="4" s="1"/>
  <c r="BT123" i="2"/>
  <c r="BT123" i="4" s="1"/>
  <c r="BT119" i="2"/>
  <c r="BT119" i="4" s="1"/>
  <c r="BT115" i="2"/>
  <c r="BT115" i="4" s="1"/>
  <c r="BT111" i="2"/>
  <c r="BT111" i="4" s="1"/>
  <c r="BT107" i="2"/>
  <c r="BT107" i="4" s="1"/>
  <c r="BT103" i="2"/>
  <c r="BT103" i="4" s="1"/>
  <c r="BT85" i="2"/>
  <c r="BT85" i="4" s="1"/>
  <c r="BT81" i="2"/>
  <c r="BT81" i="4" s="1"/>
  <c r="BT52" i="2"/>
  <c r="BT52" i="4" s="1"/>
  <c r="BT20" i="2"/>
  <c r="BT20" i="4" s="1"/>
  <c r="BT87" i="2"/>
  <c r="BT87" i="4" s="1"/>
  <c r="BT47" i="2"/>
  <c r="BT47" i="4" s="1"/>
  <c r="BT127" i="2"/>
  <c r="BT127" i="4" s="1"/>
  <c r="BT120" i="2"/>
  <c r="BT120" i="4" s="1"/>
  <c r="BT112" i="2"/>
  <c r="BT112" i="4" s="1"/>
  <c r="BT104" i="2"/>
  <c r="BT104" i="4" s="1"/>
  <c r="BT75" i="2"/>
  <c r="BT75" i="4" s="1"/>
  <c r="BT39" i="2"/>
  <c r="BT39" i="4" s="1"/>
  <c r="BT27" i="2"/>
  <c r="BT27" i="4" s="1"/>
  <c r="BT23" i="2"/>
  <c r="BT23" i="4" s="1"/>
  <c r="BT116" i="2"/>
  <c r="BT116" i="4" s="1"/>
  <c r="BT100" i="2"/>
  <c r="BT100" i="4" s="1"/>
  <c r="BT89" i="2"/>
  <c r="BT89" i="4" s="1"/>
  <c r="BT68" i="2"/>
  <c r="BT68" i="4" s="1"/>
  <c r="BT56" i="2"/>
  <c r="BT56" i="4" s="1"/>
  <c r="BT3" i="2"/>
  <c r="BT3" i="4" s="1"/>
  <c r="BT95" i="2"/>
  <c r="BT95" i="4" s="1"/>
  <c r="BT71" i="2"/>
  <c r="BT71" i="4" s="1"/>
  <c r="BT67" i="2"/>
  <c r="BT67" i="4" s="1"/>
  <c r="BT35" i="2"/>
  <c r="BT35" i="4" s="1"/>
  <c r="BT7" i="2"/>
  <c r="BT7" i="4" s="1"/>
  <c r="BT113" i="2"/>
  <c r="BT113" i="4" s="1"/>
  <c r="BT40" i="2"/>
  <c r="BT40" i="4" s="1"/>
  <c r="BT24" i="2"/>
  <c r="BT24" i="4" s="1"/>
  <c r="BT4" i="2"/>
  <c r="BT4" i="4" s="1"/>
  <c r="BT76" i="2"/>
  <c r="BT76" i="4" s="1"/>
  <c r="BT79" i="2"/>
  <c r="BT79" i="4" s="1"/>
  <c r="BT55" i="2"/>
  <c r="BT55" i="4" s="1"/>
  <c r="BT124" i="2"/>
  <c r="BT124" i="4" s="1"/>
  <c r="BT108" i="2"/>
  <c r="BT108" i="4" s="1"/>
  <c r="BV1" i="4" l="1"/>
  <c r="BW2" i="4"/>
  <c r="BV2" i="2"/>
  <c r="BU91" i="2"/>
  <c r="BU91" i="4" s="1"/>
  <c r="BU95" i="2"/>
  <c r="BU95" i="4" s="1"/>
  <c r="BU99" i="2"/>
  <c r="BU99" i="4" s="1"/>
  <c r="BU106" i="2"/>
  <c r="BU106" i="4" s="1"/>
  <c r="BU122" i="2"/>
  <c r="BU122" i="4" s="1"/>
  <c r="BU74" i="2"/>
  <c r="BU74" i="4" s="1"/>
  <c r="BU18" i="2"/>
  <c r="BU18" i="4" s="1"/>
  <c r="BU98" i="2"/>
  <c r="BU98" i="4" s="1"/>
  <c r="BU94" i="2"/>
  <c r="BU94" i="4" s="1"/>
  <c r="BU78" i="2"/>
  <c r="BU78" i="4" s="1"/>
  <c r="BU70" i="2"/>
  <c r="BU70" i="4" s="1"/>
  <c r="BU66" i="2"/>
  <c r="BU66" i="4" s="1"/>
  <c r="BU129" i="2"/>
  <c r="BU129" i="4" s="1"/>
  <c r="BU125" i="2"/>
  <c r="BU125" i="4" s="1"/>
  <c r="BU121" i="2"/>
  <c r="BU121" i="4" s="1"/>
  <c r="BU117" i="2"/>
  <c r="BU117" i="4" s="1"/>
  <c r="BU113" i="2"/>
  <c r="BU113" i="4" s="1"/>
  <c r="BU109" i="2"/>
  <c r="BU109" i="4" s="1"/>
  <c r="BU105" i="2"/>
  <c r="BU105" i="4" s="1"/>
  <c r="BU101" i="2"/>
  <c r="BU101" i="4" s="1"/>
  <c r="BU97" i="2"/>
  <c r="BU97" i="4" s="1"/>
  <c r="BU126" i="2"/>
  <c r="BU126" i="4" s="1"/>
  <c r="BU110" i="2"/>
  <c r="BU110" i="4" s="1"/>
  <c r="BU90" i="2"/>
  <c r="BU90" i="4" s="1"/>
  <c r="BU86" i="2"/>
  <c r="BU86" i="4" s="1"/>
  <c r="BU82" i="2"/>
  <c r="BU82" i="4" s="1"/>
  <c r="BU62" i="2"/>
  <c r="BU62" i="4" s="1"/>
  <c r="BU58" i="2"/>
  <c r="BU58" i="4" s="1"/>
  <c r="BU54" i="2"/>
  <c r="BU54" i="4" s="1"/>
  <c r="BU50" i="2"/>
  <c r="BU50" i="4" s="1"/>
  <c r="BU42" i="2"/>
  <c r="BU42" i="4" s="1"/>
  <c r="BU38" i="2"/>
  <c r="BU38" i="4" s="1"/>
  <c r="BU30" i="2"/>
  <c r="BU30" i="4" s="1"/>
  <c r="BU22" i="2"/>
  <c r="BU22" i="4" s="1"/>
  <c r="BU14" i="2"/>
  <c r="BU14" i="4" s="1"/>
  <c r="BU10" i="2"/>
  <c r="BU10" i="4" s="1"/>
  <c r="BU6" i="2"/>
  <c r="BU6" i="4" s="1"/>
  <c r="BU61" i="2"/>
  <c r="BU61" i="4" s="1"/>
  <c r="BU57" i="2"/>
  <c r="BU57" i="4" s="1"/>
  <c r="BU53" i="2"/>
  <c r="BU53" i="4" s="1"/>
  <c r="BU25" i="2"/>
  <c r="BU25" i="4" s="1"/>
  <c r="BU13" i="2"/>
  <c r="BU13" i="4" s="1"/>
  <c r="BU72" i="2"/>
  <c r="BU72" i="4" s="1"/>
  <c r="BU56" i="2"/>
  <c r="BU56" i="4" s="1"/>
  <c r="BU130" i="2"/>
  <c r="BU130" i="4" s="1"/>
  <c r="BU93" i="2"/>
  <c r="BU93" i="4" s="1"/>
  <c r="BU77" i="2"/>
  <c r="BU77" i="4" s="1"/>
  <c r="BU73" i="2"/>
  <c r="BU73" i="4" s="1"/>
  <c r="BU69" i="2"/>
  <c r="BU69" i="4" s="1"/>
  <c r="BU65" i="2"/>
  <c r="BU65" i="4" s="1"/>
  <c r="BU49" i="2"/>
  <c r="BU49" i="4" s="1"/>
  <c r="BU45" i="2"/>
  <c r="BU45" i="4" s="1"/>
  <c r="BU41" i="2"/>
  <c r="BU41" i="4" s="1"/>
  <c r="BU37" i="2"/>
  <c r="BU37" i="4" s="1"/>
  <c r="BU33" i="2"/>
  <c r="BU33" i="4" s="1"/>
  <c r="BU21" i="2"/>
  <c r="BU21" i="4" s="1"/>
  <c r="BU17" i="2"/>
  <c r="BU17" i="4" s="1"/>
  <c r="BU5" i="2"/>
  <c r="BU5" i="4" s="1"/>
  <c r="BU118" i="2"/>
  <c r="BU118" i="4" s="1"/>
  <c r="BU102" i="2"/>
  <c r="BU102" i="4" s="1"/>
  <c r="BU96" i="2"/>
  <c r="BU96" i="4" s="1"/>
  <c r="BU92" i="2"/>
  <c r="BU92" i="4" s="1"/>
  <c r="BU88" i="2"/>
  <c r="BU88" i="4" s="1"/>
  <c r="BU84" i="2"/>
  <c r="BU84" i="4" s="1"/>
  <c r="BU80" i="2"/>
  <c r="BU80" i="4" s="1"/>
  <c r="BU76" i="2"/>
  <c r="BU76" i="4" s="1"/>
  <c r="BU52" i="2"/>
  <c r="BU52" i="4" s="1"/>
  <c r="BU28" i="2"/>
  <c r="BU28" i="4" s="1"/>
  <c r="BU24" i="2"/>
  <c r="BU24" i="4" s="1"/>
  <c r="BU12" i="2"/>
  <c r="BU12" i="4" s="1"/>
  <c r="BU127" i="2"/>
  <c r="BU127" i="4" s="1"/>
  <c r="BU111" i="2"/>
  <c r="BU111" i="4" s="1"/>
  <c r="BU46" i="2"/>
  <c r="BU46" i="4" s="1"/>
  <c r="BU26" i="2"/>
  <c r="BU26" i="4" s="1"/>
  <c r="BU64" i="2"/>
  <c r="BU64" i="4" s="1"/>
  <c r="BU48" i="2"/>
  <c r="BU48" i="4" s="1"/>
  <c r="BU44" i="2"/>
  <c r="BU44" i="4" s="1"/>
  <c r="BU32" i="2"/>
  <c r="BU32" i="4" s="1"/>
  <c r="BU16" i="2"/>
  <c r="BU16" i="4" s="1"/>
  <c r="BU8" i="2"/>
  <c r="BU8" i="4" s="1"/>
  <c r="BU115" i="2"/>
  <c r="BU115" i="4" s="1"/>
  <c r="BU60" i="2"/>
  <c r="BU60" i="4" s="1"/>
  <c r="BU9" i="2"/>
  <c r="BU9" i="4" s="1"/>
  <c r="BU36" i="2"/>
  <c r="BU36" i="4" s="1"/>
  <c r="BU119" i="2"/>
  <c r="BU119" i="4" s="1"/>
  <c r="BU79" i="2"/>
  <c r="BU79" i="4" s="1"/>
  <c r="BU51" i="2"/>
  <c r="BU51" i="4" s="1"/>
  <c r="BU39" i="2"/>
  <c r="BU39" i="4" s="1"/>
  <c r="BU27" i="2"/>
  <c r="BU27" i="4" s="1"/>
  <c r="BU11" i="2"/>
  <c r="BU11" i="4" s="1"/>
  <c r="BU124" i="2"/>
  <c r="BU124" i="4" s="1"/>
  <c r="BU120" i="2"/>
  <c r="BU120" i="4" s="1"/>
  <c r="BU116" i="2"/>
  <c r="BU116" i="4" s="1"/>
  <c r="BU112" i="2"/>
  <c r="BU112" i="4" s="1"/>
  <c r="BU108" i="2"/>
  <c r="BU108" i="4" s="1"/>
  <c r="BU104" i="2"/>
  <c r="BU104" i="4" s="1"/>
  <c r="BU100" i="2"/>
  <c r="BU100" i="4" s="1"/>
  <c r="BU85" i="2"/>
  <c r="BU85" i="4" s="1"/>
  <c r="BU81" i="2"/>
  <c r="BU81" i="4" s="1"/>
  <c r="BU40" i="2"/>
  <c r="BU40" i="4" s="1"/>
  <c r="BU20" i="2"/>
  <c r="BU20" i="4" s="1"/>
  <c r="BU123" i="2"/>
  <c r="BU123" i="4" s="1"/>
  <c r="BU63" i="2"/>
  <c r="BU63" i="4" s="1"/>
  <c r="BU59" i="2"/>
  <c r="BU59" i="4" s="1"/>
  <c r="BU47" i="2"/>
  <c r="BU47" i="4" s="1"/>
  <c r="BU35" i="2"/>
  <c r="BU35" i="4" s="1"/>
  <c r="BU31" i="2"/>
  <c r="BU31" i="4" s="1"/>
  <c r="BU19" i="2"/>
  <c r="BU19" i="4" s="1"/>
  <c r="BU15" i="2"/>
  <c r="BU15" i="4" s="1"/>
  <c r="BU87" i="2"/>
  <c r="BU87" i="4" s="1"/>
  <c r="BU34" i="2"/>
  <c r="BU34" i="4" s="1"/>
  <c r="BU29" i="2"/>
  <c r="BU29" i="4" s="1"/>
  <c r="BU23" i="2"/>
  <c r="BU23" i="4" s="1"/>
  <c r="BU114" i="2"/>
  <c r="BU114" i="4" s="1"/>
  <c r="BU89" i="2"/>
  <c r="BU89" i="4" s="1"/>
  <c r="BU68" i="2"/>
  <c r="BU68" i="4" s="1"/>
  <c r="BU103" i="2"/>
  <c r="BU103" i="4" s="1"/>
  <c r="BU3" i="2"/>
  <c r="BU3" i="4" s="1"/>
  <c r="BU71" i="2"/>
  <c r="BU71" i="4" s="1"/>
  <c r="BU67" i="2"/>
  <c r="BU67" i="4" s="1"/>
  <c r="BU43" i="2"/>
  <c r="BU43" i="4" s="1"/>
  <c r="BU128" i="2"/>
  <c r="BU128" i="4" s="1"/>
  <c r="BU4" i="2"/>
  <c r="BU4" i="4" s="1"/>
  <c r="BU107" i="2"/>
  <c r="BU107" i="4" s="1"/>
  <c r="BU75" i="2"/>
  <c r="BU75" i="4" s="1"/>
  <c r="BU55" i="2"/>
  <c r="BU55" i="4" s="1"/>
  <c r="BU7" i="2"/>
  <c r="BU7" i="4" s="1"/>
  <c r="BU83" i="2"/>
  <c r="BU83" i="4" s="1"/>
  <c r="BW1" i="4" l="1"/>
  <c r="BX2" i="4"/>
  <c r="BW2" i="2"/>
  <c r="BV92" i="2"/>
  <c r="BV92" i="4" s="1"/>
  <c r="BV103" i="2"/>
  <c r="BV103" i="4" s="1"/>
  <c r="BV119" i="2"/>
  <c r="BV119" i="4" s="1"/>
  <c r="BV96" i="2"/>
  <c r="BV96" i="4" s="1"/>
  <c r="BV115" i="2"/>
  <c r="BV115" i="4" s="1"/>
  <c r="BV107" i="2"/>
  <c r="BV107" i="4" s="1"/>
  <c r="BV111" i="2"/>
  <c r="BV111" i="4" s="1"/>
  <c r="BV127" i="2"/>
  <c r="BV127" i="4" s="1"/>
  <c r="BV123" i="2"/>
  <c r="BV123" i="4" s="1"/>
  <c r="BV18" i="2"/>
  <c r="BV18" i="4" s="1"/>
  <c r="BV10" i="2"/>
  <c r="BV10" i="4" s="1"/>
  <c r="BV130" i="2"/>
  <c r="BV130" i="4" s="1"/>
  <c r="BV62" i="2"/>
  <c r="BV62" i="4" s="1"/>
  <c r="BV58" i="2"/>
  <c r="BV58" i="4" s="1"/>
  <c r="BV54" i="2"/>
  <c r="BV54" i="4" s="1"/>
  <c r="BV26" i="2"/>
  <c r="BV26" i="4" s="1"/>
  <c r="BV129" i="2"/>
  <c r="BV129" i="4" s="1"/>
  <c r="BV125" i="2"/>
  <c r="BV125" i="4" s="1"/>
  <c r="BV121" i="2"/>
  <c r="BV121" i="4" s="1"/>
  <c r="BV117" i="2"/>
  <c r="BV117" i="4" s="1"/>
  <c r="BV113" i="2"/>
  <c r="BV113" i="4" s="1"/>
  <c r="BV109" i="2"/>
  <c r="BV109" i="4" s="1"/>
  <c r="BV105" i="2"/>
  <c r="BV105" i="4" s="1"/>
  <c r="BV101" i="2"/>
  <c r="BV101" i="4" s="1"/>
  <c r="BV97" i="2"/>
  <c r="BV97" i="4" s="1"/>
  <c r="BV126" i="2"/>
  <c r="BV126" i="4" s="1"/>
  <c r="BV122" i="2"/>
  <c r="BV122" i="4" s="1"/>
  <c r="BV118" i="2"/>
  <c r="BV118" i="4" s="1"/>
  <c r="BV114" i="2"/>
  <c r="BV114" i="4" s="1"/>
  <c r="BV110" i="2"/>
  <c r="BV110" i="4" s="1"/>
  <c r="BV106" i="2"/>
  <c r="BV106" i="4" s="1"/>
  <c r="BV102" i="2"/>
  <c r="BV102" i="4" s="1"/>
  <c r="BV98" i="2"/>
  <c r="BV98" i="4" s="1"/>
  <c r="BV94" i="2"/>
  <c r="BV94" i="4" s="1"/>
  <c r="BV90" i="2"/>
  <c r="BV90" i="4" s="1"/>
  <c r="BV86" i="2"/>
  <c r="BV86" i="4" s="1"/>
  <c r="BV82" i="2"/>
  <c r="BV82" i="4" s="1"/>
  <c r="BV74" i="2"/>
  <c r="BV74" i="4" s="1"/>
  <c r="BV70" i="2"/>
  <c r="BV70" i="4" s="1"/>
  <c r="BV66" i="2"/>
  <c r="BV66" i="4" s="1"/>
  <c r="BV50" i="2"/>
  <c r="BV50" i="4" s="1"/>
  <c r="BV46" i="2"/>
  <c r="BV46" i="4" s="1"/>
  <c r="BV42" i="2"/>
  <c r="BV42" i="4" s="1"/>
  <c r="BV38" i="2"/>
  <c r="BV38" i="4" s="1"/>
  <c r="BV30" i="2"/>
  <c r="BV30" i="4" s="1"/>
  <c r="BV22" i="2"/>
  <c r="BV22" i="4" s="1"/>
  <c r="BV14" i="2"/>
  <c r="BV14" i="4" s="1"/>
  <c r="BV6" i="2"/>
  <c r="BV6" i="4" s="1"/>
  <c r="BV78" i="2"/>
  <c r="BV78" i="4" s="1"/>
  <c r="BV61" i="2"/>
  <c r="BV61" i="4" s="1"/>
  <c r="BV45" i="2"/>
  <c r="BV45" i="4" s="1"/>
  <c r="BV41" i="2"/>
  <c r="BV41" i="4" s="1"/>
  <c r="BV33" i="2"/>
  <c r="BV33" i="4" s="1"/>
  <c r="BV72" i="2"/>
  <c r="BV72" i="4" s="1"/>
  <c r="BV93" i="2"/>
  <c r="BV93" i="4" s="1"/>
  <c r="BV81" i="2"/>
  <c r="BV81" i="4" s="1"/>
  <c r="BV77" i="2"/>
  <c r="BV77" i="4" s="1"/>
  <c r="BV73" i="2"/>
  <c r="BV73" i="4" s="1"/>
  <c r="BV69" i="2"/>
  <c r="BV69" i="4" s="1"/>
  <c r="BV65" i="2"/>
  <c r="BV65" i="4" s="1"/>
  <c r="BV57" i="2"/>
  <c r="BV57" i="4" s="1"/>
  <c r="BV53" i="2"/>
  <c r="BV53" i="4" s="1"/>
  <c r="BV49" i="2"/>
  <c r="BV49" i="4" s="1"/>
  <c r="BV29" i="2"/>
  <c r="BV29" i="4" s="1"/>
  <c r="BV25" i="2"/>
  <c r="BV25" i="4" s="1"/>
  <c r="BV21" i="2"/>
  <c r="BV21" i="4" s="1"/>
  <c r="BV17" i="2"/>
  <c r="BV17" i="4" s="1"/>
  <c r="BV9" i="2"/>
  <c r="BV9" i="4" s="1"/>
  <c r="BV76" i="2"/>
  <c r="BV76" i="4" s="1"/>
  <c r="BV60" i="2"/>
  <c r="BV60" i="4" s="1"/>
  <c r="BV52" i="2"/>
  <c r="BV52" i="4" s="1"/>
  <c r="BV40" i="2"/>
  <c r="BV40" i="4" s="1"/>
  <c r="BV24" i="2"/>
  <c r="BV24" i="4" s="1"/>
  <c r="BV8" i="2"/>
  <c r="BV8" i="4" s="1"/>
  <c r="BV128" i="2"/>
  <c r="BV128" i="4" s="1"/>
  <c r="BV112" i="2"/>
  <c r="BV112" i="4" s="1"/>
  <c r="BV5" i="2"/>
  <c r="BV5" i="4" s="1"/>
  <c r="BV64" i="2"/>
  <c r="BV64" i="4" s="1"/>
  <c r="BV48" i="2"/>
  <c r="BV48" i="4" s="1"/>
  <c r="BV36" i="2"/>
  <c r="BV36" i="4" s="1"/>
  <c r="BV28" i="2"/>
  <c r="BV28" i="4" s="1"/>
  <c r="BV12" i="2"/>
  <c r="BV12" i="4" s="1"/>
  <c r="BV116" i="2"/>
  <c r="BV116" i="4" s="1"/>
  <c r="BV100" i="2"/>
  <c r="BV100" i="4" s="1"/>
  <c r="BV87" i="2"/>
  <c r="BV87" i="4" s="1"/>
  <c r="BV13" i="2"/>
  <c r="BV13" i="4" s="1"/>
  <c r="BV120" i="2"/>
  <c r="BV120" i="4" s="1"/>
  <c r="BV80" i="2"/>
  <c r="BV80" i="4" s="1"/>
  <c r="BV3" i="2"/>
  <c r="BV3" i="4" s="1"/>
  <c r="BV79" i="2"/>
  <c r="BV79" i="4" s="1"/>
  <c r="BV51" i="2"/>
  <c r="BV51" i="4" s="1"/>
  <c r="BV39" i="2"/>
  <c r="BV39" i="4" s="1"/>
  <c r="BV27" i="2"/>
  <c r="BV27" i="4" s="1"/>
  <c r="BV11" i="2"/>
  <c r="BV11" i="4" s="1"/>
  <c r="BV34" i="2"/>
  <c r="BV34" i="4" s="1"/>
  <c r="BV85" i="2"/>
  <c r="BV85" i="4" s="1"/>
  <c r="BV37" i="2"/>
  <c r="BV37" i="4" s="1"/>
  <c r="BV56" i="2"/>
  <c r="BV56" i="4" s="1"/>
  <c r="BV20" i="2"/>
  <c r="BV20" i="4" s="1"/>
  <c r="BV124" i="2"/>
  <c r="BV124" i="4" s="1"/>
  <c r="BV83" i="2"/>
  <c r="BV83" i="4" s="1"/>
  <c r="BV67" i="2"/>
  <c r="BV67" i="4" s="1"/>
  <c r="BV59" i="2"/>
  <c r="BV59" i="4" s="1"/>
  <c r="BV47" i="2"/>
  <c r="BV47" i="4" s="1"/>
  <c r="BV43" i="2"/>
  <c r="BV43" i="4" s="1"/>
  <c r="BV31" i="2"/>
  <c r="BV31" i="4" s="1"/>
  <c r="BV15" i="2"/>
  <c r="BV15" i="4" s="1"/>
  <c r="BV99" i="2"/>
  <c r="BV99" i="4" s="1"/>
  <c r="BV95" i="2"/>
  <c r="BV95" i="4" s="1"/>
  <c r="BV88" i="2"/>
  <c r="BV88" i="4" s="1"/>
  <c r="BV63" i="2"/>
  <c r="BV63" i="4" s="1"/>
  <c r="BV55" i="2"/>
  <c r="BV55" i="4" s="1"/>
  <c r="BV89" i="2"/>
  <c r="BV89" i="4" s="1"/>
  <c r="BV68" i="2"/>
  <c r="BV68" i="4" s="1"/>
  <c r="BV32" i="2"/>
  <c r="BV32" i="4" s="1"/>
  <c r="BV104" i="2"/>
  <c r="BV104" i="4" s="1"/>
  <c r="BV91" i="2"/>
  <c r="BV91" i="4" s="1"/>
  <c r="BV71" i="2"/>
  <c r="BV71" i="4" s="1"/>
  <c r="BV35" i="2"/>
  <c r="BV35" i="4" s="1"/>
  <c r="BV19" i="2"/>
  <c r="BV19" i="4" s="1"/>
  <c r="BV44" i="2"/>
  <c r="BV44" i="4" s="1"/>
  <c r="BV16" i="2"/>
  <c r="BV16" i="4" s="1"/>
  <c r="BV4" i="2"/>
  <c r="BV4" i="4" s="1"/>
  <c r="BV108" i="2"/>
  <c r="BV108" i="4" s="1"/>
  <c r="BV75" i="2"/>
  <c r="BV75" i="4" s="1"/>
  <c r="BV23" i="2"/>
  <c r="BV23" i="4" s="1"/>
  <c r="BV7" i="2"/>
  <c r="BV7" i="4" s="1"/>
  <c r="BV84" i="2"/>
  <c r="BV84" i="4" s="1"/>
  <c r="BX1" i="4" l="1"/>
  <c r="BY2" i="4"/>
  <c r="BX2" i="2"/>
  <c r="BW127" i="2"/>
  <c r="BW127" i="4" s="1"/>
  <c r="BW104" i="2"/>
  <c r="BW104" i="4" s="1"/>
  <c r="BW120" i="2"/>
  <c r="BW120" i="4" s="1"/>
  <c r="BW100" i="2"/>
  <c r="BW100" i="4" s="1"/>
  <c r="BW116" i="2"/>
  <c r="BW116" i="4" s="1"/>
  <c r="BW108" i="2"/>
  <c r="BW108" i="4" s="1"/>
  <c r="BW112" i="2"/>
  <c r="BW112" i="4" s="1"/>
  <c r="BW128" i="2"/>
  <c r="BW128" i="4" s="1"/>
  <c r="BW124" i="2"/>
  <c r="BW124" i="4" s="1"/>
  <c r="BW38" i="2"/>
  <c r="BW38" i="4" s="1"/>
  <c r="BW34" i="2"/>
  <c r="BW34" i="4" s="1"/>
  <c r="BW10" i="2"/>
  <c r="BW10" i="4" s="1"/>
  <c r="BW42" i="2"/>
  <c r="BW42" i="4" s="1"/>
  <c r="BW30" i="2"/>
  <c r="BW30" i="4" s="1"/>
  <c r="BW14" i="2"/>
  <c r="BW14" i="4" s="1"/>
  <c r="BW130" i="2"/>
  <c r="BW130" i="4" s="1"/>
  <c r="BW126" i="2"/>
  <c r="BW126" i="4" s="1"/>
  <c r="BW122" i="2"/>
  <c r="BW122" i="4" s="1"/>
  <c r="BW118" i="2"/>
  <c r="BW118" i="4" s="1"/>
  <c r="BW114" i="2"/>
  <c r="BW114" i="4" s="1"/>
  <c r="BW110" i="2"/>
  <c r="BW110" i="4" s="1"/>
  <c r="BW106" i="2"/>
  <c r="BW106" i="4" s="1"/>
  <c r="BW102" i="2"/>
  <c r="BW102" i="4" s="1"/>
  <c r="BW98" i="2"/>
  <c r="BW98" i="4" s="1"/>
  <c r="BW94" i="2"/>
  <c r="BW94" i="4" s="1"/>
  <c r="BW90" i="2"/>
  <c r="BW90" i="4" s="1"/>
  <c r="BW86" i="2"/>
  <c r="BW86" i="4" s="1"/>
  <c r="BW82" i="2"/>
  <c r="BW82" i="4" s="1"/>
  <c r="BW74" i="2"/>
  <c r="BW74" i="4" s="1"/>
  <c r="BW70" i="2"/>
  <c r="BW70" i="4" s="1"/>
  <c r="BW66" i="2"/>
  <c r="BW66" i="4" s="1"/>
  <c r="BW46" i="2"/>
  <c r="BW46" i="4" s="1"/>
  <c r="BW26" i="2"/>
  <c r="BW26" i="4" s="1"/>
  <c r="BW6" i="2"/>
  <c r="BW6" i="4" s="1"/>
  <c r="BW97" i="2"/>
  <c r="BW97" i="4" s="1"/>
  <c r="BW129" i="2"/>
  <c r="BW129" i="4" s="1"/>
  <c r="BW125" i="2"/>
  <c r="BW125" i="4" s="1"/>
  <c r="BW121" i="2"/>
  <c r="BW121" i="4" s="1"/>
  <c r="BW117" i="2"/>
  <c r="BW117" i="4" s="1"/>
  <c r="BW113" i="2"/>
  <c r="BW113" i="4" s="1"/>
  <c r="BW109" i="2"/>
  <c r="BW109" i="4" s="1"/>
  <c r="BW105" i="2"/>
  <c r="BW105" i="4" s="1"/>
  <c r="BW101" i="2"/>
  <c r="BW101" i="4" s="1"/>
  <c r="BW89" i="2"/>
  <c r="BW89" i="4" s="1"/>
  <c r="BW85" i="2"/>
  <c r="BW85" i="4" s="1"/>
  <c r="BW29" i="2"/>
  <c r="BW29" i="4" s="1"/>
  <c r="BW5" i="2"/>
  <c r="BW5" i="4" s="1"/>
  <c r="BW76" i="2"/>
  <c r="BW76" i="4" s="1"/>
  <c r="BW62" i="2"/>
  <c r="BW62" i="4" s="1"/>
  <c r="BW81" i="2"/>
  <c r="BW81" i="4" s="1"/>
  <c r="BW77" i="2"/>
  <c r="BW77" i="4" s="1"/>
  <c r="BW73" i="2"/>
  <c r="BW73" i="4" s="1"/>
  <c r="BW69" i="2"/>
  <c r="BW69" i="4" s="1"/>
  <c r="BW65" i="2"/>
  <c r="BW65" i="4" s="1"/>
  <c r="BW57" i="2"/>
  <c r="BW57" i="4" s="1"/>
  <c r="BW53" i="2"/>
  <c r="BW53" i="4" s="1"/>
  <c r="BW49" i="2"/>
  <c r="BW49" i="4" s="1"/>
  <c r="BW25" i="2"/>
  <c r="BW25" i="4" s="1"/>
  <c r="BW21" i="2"/>
  <c r="BW21" i="4" s="1"/>
  <c r="BW13" i="2"/>
  <c r="BW13" i="4" s="1"/>
  <c r="BW9" i="2"/>
  <c r="BW9" i="4" s="1"/>
  <c r="BW64" i="2"/>
  <c r="BW64" i="4" s="1"/>
  <c r="BW60" i="2"/>
  <c r="BW60" i="4" s="1"/>
  <c r="BW52" i="2"/>
  <c r="BW52" i="4" s="1"/>
  <c r="BW40" i="2"/>
  <c r="BW40" i="4" s="1"/>
  <c r="BW36" i="2"/>
  <c r="BW36" i="4" s="1"/>
  <c r="BW24" i="2"/>
  <c r="BW24" i="4" s="1"/>
  <c r="BW12" i="2"/>
  <c r="BW12" i="4" s="1"/>
  <c r="BW78" i="2"/>
  <c r="BW78" i="4" s="1"/>
  <c r="BW58" i="2"/>
  <c r="BW58" i="4" s="1"/>
  <c r="BW54" i="2"/>
  <c r="BW54" i="4" s="1"/>
  <c r="BW50" i="2"/>
  <c r="BW50" i="4" s="1"/>
  <c r="BW22" i="2"/>
  <c r="BW22" i="4" s="1"/>
  <c r="BW18" i="2"/>
  <c r="BW18" i="4" s="1"/>
  <c r="BW61" i="2"/>
  <c r="BW61" i="4" s="1"/>
  <c r="BW45" i="2"/>
  <c r="BW45" i="4" s="1"/>
  <c r="BW41" i="2"/>
  <c r="BW41" i="4" s="1"/>
  <c r="BW37" i="2"/>
  <c r="BW37" i="4" s="1"/>
  <c r="BW33" i="2"/>
  <c r="BW33" i="4" s="1"/>
  <c r="BW17" i="2"/>
  <c r="BW17" i="4" s="1"/>
  <c r="BW92" i="2"/>
  <c r="BW92" i="4" s="1"/>
  <c r="BW88" i="2"/>
  <c r="BW88" i="4" s="1"/>
  <c r="BW84" i="2"/>
  <c r="BW84" i="4" s="1"/>
  <c r="BW80" i="2"/>
  <c r="BW80" i="4" s="1"/>
  <c r="BW68" i="2"/>
  <c r="BW68" i="4" s="1"/>
  <c r="BW48" i="2"/>
  <c r="BW48" i="4" s="1"/>
  <c r="BW28" i="2"/>
  <c r="BW28" i="4" s="1"/>
  <c r="BW16" i="2"/>
  <c r="BW16" i="4" s="1"/>
  <c r="BW8" i="2"/>
  <c r="BW8" i="4" s="1"/>
  <c r="BW4" i="2"/>
  <c r="BW4" i="4" s="1"/>
  <c r="BW79" i="2"/>
  <c r="BW79" i="4" s="1"/>
  <c r="BW59" i="2"/>
  <c r="BW59" i="4" s="1"/>
  <c r="BW51" i="2"/>
  <c r="BW51" i="4" s="1"/>
  <c r="BW47" i="2"/>
  <c r="BW47" i="4" s="1"/>
  <c r="BW39" i="2"/>
  <c r="BW39" i="4" s="1"/>
  <c r="BW15" i="2"/>
  <c r="BW15" i="4" s="1"/>
  <c r="BW119" i="2"/>
  <c r="BW119" i="4" s="1"/>
  <c r="BW72" i="2"/>
  <c r="BW72" i="4" s="1"/>
  <c r="BW56" i="2"/>
  <c r="BW56" i="4" s="1"/>
  <c r="BW44" i="2"/>
  <c r="BW44" i="4" s="1"/>
  <c r="BW20" i="2"/>
  <c r="BW20" i="4" s="1"/>
  <c r="BW83" i="2"/>
  <c r="BW83" i="4" s="1"/>
  <c r="BW43" i="2"/>
  <c r="BW43" i="4" s="1"/>
  <c r="BW31" i="2"/>
  <c r="BW31" i="4" s="1"/>
  <c r="BW7" i="2"/>
  <c r="BW7" i="4" s="1"/>
  <c r="BW123" i="2"/>
  <c r="BW123" i="4" s="1"/>
  <c r="BW115" i="2"/>
  <c r="BW115" i="4" s="1"/>
  <c r="BW107" i="2"/>
  <c r="BW107" i="4" s="1"/>
  <c r="BW96" i="2"/>
  <c r="BW96" i="4" s="1"/>
  <c r="BW95" i="2"/>
  <c r="BW95" i="4" s="1"/>
  <c r="BW71" i="2"/>
  <c r="BW71" i="4" s="1"/>
  <c r="BW67" i="2"/>
  <c r="BW67" i="4" s="1"/>
  <c r="BW27" i="2"/>
  <c r="BW27" i="4" s="1"/>
  <c r="BW11" i="2"/>
  <c r="BW11" i="4" s="1"/>
  <c r="BW103" i="2"/>
  <c r="BW103" i="4" s="1"/>
  <c r="BW32" i="2"/>
  <c r="BW32" i="4" s="1"/>
  <c r="BW99" i="2"/>
  <c r="BW99" i="4" s="1"/>
  <c r="BW91" i="2"/>
  <c r="BW91" i="4" s="1"/>
  <c r="BW87" i="2"/>
  <c r="BW87" i="4" s="1"/>
  <c r="BW55" i="2"/>
  <c r="BW55" i="4" s="1"/>
  <c r="BW35" i="2"/>
  <c r="BW35" i="4" s="1"/>
  <c r="BW19" i="2"/>
  <c r="BW19" i="4" s="1"/>
  <c r="BW93" i="2"/>
  <c r="BW93" i="4" s="1"/>
  <c r="BW3" i="2"/>
  <c r="BW3" i="4" s="1"/>
  <c r="BW75" i="2"/>
  <c r="BW75" i="4" s="1"/>
  <c r="BW63" i="2"/>
  <c r="BW63" i="4" s="1"/>
  <c r="BW23" i="2"/>
  <c r="BW23" i="4" s="1"/>
  <c r="BW111" i="2"/>
  <c r="BW111" i="4" s="1"/>
  <c r="BY1" i="4" l="1"/>
  <c r="BZ2" i="4"/>
  <c r="BY2" i="2"/>
  <c r="BX128" i="2"/>
  <c r="BX128" i="4" s="1"/>
  <c r="BX125" i="2"/>
  <c r="BX125" i="4" s="1"/>
  <c r="BX26" i="2"/>
  <c r="BX26" i="4" s="1"/>
  <c r="BX94" i="2"/>
  <c r="BX94" i="4" s="1"/>
  <c r="BX90" i="2"/>
  <c r="BX90" i="4" s="1"/>
  <c r="BX86" i="2"/>
  <c r="BX86" i="4" s="1"/>
  <c r="BX82" i="2"/>
  <c r="BX82" i="4" s="1"/>
  <c r="BX46" i="2"/>
  <c r="BX46" i="4" s="1"/>
  <c r="BX6" i="2"/>
  <c r="BX6" i="4" s="1"/>
  <c r="BX117" i="2"/>
  <c r="BX117" i="4" s="1"/>
  <c r="BX101" i="2"/>
  <c r="BX101" i="4" s="1"/>
  <c r="BX89" i="2"/>
  <c r="BX89" i="4" s="1"/>
  <c r="BX85" i="2"/>
  <c r="BX85" i="4" s="1"/>
  <c r="BX81" i="2"/>
  <c r="BX81" i="4" s="1"/>
  <c r="BX129" i="2"/>
  <c r="BX129" i="4" s="1"/>
  <c r="BX113" i="2"/>
  <c r="BX113" i="4" s="1"/>
  <c r="BX130" i="2"/>
  <c r="BX130" i="4" s="1"/>
  <c r="BX126" i="2"/>
  <c r="BX126" i="4" s="1"/>
  <c r="BX122" i="2"/>
  <c r="BX122" i="4" s="1"/>
  <c r="BX118" i="2"/>
  <c r="BX118" i="4" s="1"/>
  <c r="BX114" i="2"/>
  <c r="BX114" i="4" s="1"/>
  <c r="BX110" i="2"/>
  <c r="BX110" i="4" s="1"/>
  <c r="BX106" i="2"/>
  <c r="BX106" i="4" s="1"/>
  <c r="BX102" i="2"/>
  <c r="BX102" i="4" s="1"/>
  <c r="BX74" i="2"/>
  <c r="BX74" i="4" s="1"/>
  <c r="BX70" i="2"/>
  <c r="BX70" i="4" s="1"/>
  <c r="BX66" i="2"/>
  <c r="BX66" i="4" s="1"/>
  <c r="BX98" i="2"/>
  <c r="BX98" i="4" s="1"/>
  <c r="BX93" i="2"/>
  <c r="BX93" i="4" s="1"/>
  <c r="BX78" i="2"/>
  <c r="BX78" i="4" s="1"/>
  <c r="BX34" i="2"/>
  <c r="BX34" i="4" s="1"/>
  <c r="BX77" i="2"/>
  <c r="BX77" i="4" s="1"/>
  <c r="BX73" i="2"/>
  <c r="BX73" i="4" s="1"/>
  <c r="BX69" i="2"/>
  <c r="BX69" i="4" s="1"/>
  <c r="BX65" i="2"/>
  <c r="BX65" i="4" s="1"/>
  <c r="BX76" i="2"/>
  <c r="BX76" i="4" s="1"/>
  <c r="BX68" i="2"/>
  <c r="BX68" i="4" s="1"/>
  <c r="BX60" i="2"/>
  <c r="BX60" i="4" s="1"/>
  <c r="BX57" i="2"/>
  <c r="BX57" i="4" s="1"/>
  <c r="BX53" i="2"/>
  <c r="BX53" i="4" s="1"/>
  <c r="BX49" i="2"/>
  <c r="BX49" i="4" s="1"/>
  <c r="BX25" i="2"/>
  <c r="BX25" i="4" s="1"/>
  <c r="BX21" i="2"/>
  <c r="BX21" i="4" s="1"/>
  <c r="BX13" i="2"/>
  <c r="BX13" i="4" s="1"/>
  <c r="BX5" i="2"/>
  <c r="BX5" i="4" s="1"/>
  <c r="BX121" i="2"/>
  <c r="BX121" i="4" s="1"/>
  <c r="BX105" i="2"/>
  <c r="BX105" i="4" s="1"/>
  <c r="BX72" i="2"/>
  <c r="BX72" i="4" s="1"/>
  <c r="BX52" i="2"/>
  <c r="BX52" i="4" s="1"/>
  <c r="BX48" i="2"/>
  <c r="BX48" i="4" s="1"/>
  <c r="BX40" i="2"/>
  <c r="BX40" i="4" s="1"/>
  <c r="BX28" i="2"/>
  <c r="BX28" i="4" s="1"/>
  <c r="BX24" i="2"/>
  <c r="BX24" i="4" s="1"/>
  <c r="BX4" i="2"/>
  <c r="BX4" i="4" s="1"/>
  <c r="BX63" i="2"/>
  <c r="BX63" i="4" s="1"/>
  <c r="BX62" i="2"/>
  <c r="BX62" i="4" s="1"/>
  <c r="BX58" i="2"/>
  <c r="BX58" i="4" s="1"/>
  <c r="BX54" i="2"/>
  <c r="BX54" i="4" s="1"/>
  <c r="BX50" i="2"/>
  <c r="BX50" i="4" s="1"/>
  <c r="BX42" i="2"/>
  <c r="BX42" i="4" s="1"/>
  <c r="BX38" i="2"/>
  <c r="BX38" i="4" s="1"/>
  <c r="BX30" i="2"/>
  <c r="BX30" i="4" s="1"/>
  <c r="BX22" i="2"/>
  <c r="BX22" i="4" s="1"/>
  <c r="BX18" i="2"/>
  <c r="BX18" i="4" s="1"/>
  <c r="BX14" i="2"/>
  <c r="BX14" i="4" s="1"/>
  <c r="BX10" i="2"/>
  <c r="BX10" i="4" s="1"/>
  <c r="BX61" i="2"/>
  <c r="BX61" i="4" s="1"/>
  <c r="BX45" i="2"/>
  <c r="BX45" i="4" s="1"/>
  <c r="BX41" i="2"/>
  <c r="BX41" i="4" s="1"/>
  <c r="BX37" i="2"/>
  <c r="BX37" i="4" s="1"/>
  <c r="BX33" i="2"/>
  <c r="BX33" i="4" s="1"/>
  <c r="BX29" i="2"/>
  <c r="BX29" i="4" s="1"/>
  <c r="BX17" i="2"/>
  <c r="BX17" i="4" s="1"/>
  <c r="BX9" i="2"/>
  <c r="BX9" i="4" s="1"/>
  <c r="BX96" i="2"/>
  <c r="BX96" i="4" s="1"/>
  <c r="BX92" i="2"/>
  <c r="BX92" i="4" s="1"/>
  <c r="BX88" i="2"/>
  <c r="BX88" i="4" s="1"/>
  <c r="BX84" i="2"/>
  <c r="BX84" i="4" s="1"/>
  <c r="BX80" i="2"/>
  <c r="BX80" i="4" s="1"/>
  <c r="BX8" i="2"/>
  <c r="BX8" i="4" s="1"/>
  <c r="BX109" i="2"/>
  <c r="BX109" i="4" s="1"/>
  <c r="BX97" i="2"/>
  <c r="BX97" i="4" s="1"/>
  <c r="BX64" i="2"/>
  <c r="BX64" i="4" s="1"/>
  <c r="BX79" i="2"/>
  <c r="BX79" i="4" s="1"/>
  <c r="BX75" i="2"/>
  <c r="BX75" i="4" s="1"/>
  <c r="BX59" i="2"/>
  <c r="BX59" i="4" s="1"/>
  <c r="BX55" i="2"/>
  <c r="BX55" i="4" s="1"/>
  <c r="BX31" i="2"/>
  <c r="BX31" i="4" s="1"/>
  <c r="BX23" i="2"/>
  <c r="BX23" i="4" s="1"/>
  <c r="BX15" i="2"/>
  <c r="BX15" i="4" s="1"/>
  <c r="BX127" i="2"/>
  <c r="BX127" i="4" s="1"/>
  <c r="BX120" i="2"/>
  <c r="BX120" i="4" s="1"/>
  <c r="BX112" i="2"/>
  <c r="BX112" i="4" s="1"/>
  <c r="BX104" i="2"/>
  <c r="BX104" i="4" s="1"/>
  <c r="BX44" i="2"/>
  <c r="BX44" i="4" s="1"/>
  <c r="BX16" i="2"/>
  <c r="BX16" i="4" s="1"/>
  <c r="BX12" i="2"/>
  <c r="BX12" i="4" s="1"/>
  <c r="BX83" i="2"/>
  <c r="BX83" i="4" s="1"/>
  <c r="BX51" i="2"/>
  <c r="BX51" i="4" s="1"/>
  <c r="BX43" i="2"/>
  <c r="BX43" i="4" s="1"/>
  <c r="BX35" i="2"/>
  <c r="BX35" i="4" s="1"/>
  <c r="BX27" i="2"/>
  <c r="BX27" i="4" s="1"/>
  <c r="BX11" i="2"/>
  <c r="BX11" i="4" s="1"/>
  <c r="BX36" i="2"/>
  <c r="BX36" i="4" s="1"/>
  <c r="BX95" i="2"/>
  <c r="BX95" i="4" s="1"/>
  <c r="BX71" i="2"/>
  <c r="BX71" i="4" s="1"/>
  <c r="BX67" i="2"/>
  <c r="BX67" i="4" s="1"/>
  <c r="BX19" i="2"/>
  <c r="BX19" i="4" s="1"/>
  <c r="BX123" i="2"/>
  <c r="BX123" i="4" s="1"/>
  <c r="BX119" i="2"/>
  <c r="BX119" i="4" s="1"/>
  <c r="BX107" i="2"/>
  <c r="BX107" i="4" s="1"/>
  <c r="BX103" i="2"/>
  <c r="BX103" i="4" s="1"/>
  <c r="BX99" i="2"/>
  <c r="BX99" i="4" s="1"/>
  <c r="BX56" i="2"/>
  <c r="BX56" i="4" s="1"/>
  <c r="BX32" i="2"/>
  <c r="BX32" i="4" s="1"/>
  <c r="BX20" i="2"/>
  <c r="BX20" i="4" s="1"/>
  <c r="BX91" i="2"/>
  <c r="BX91" i="4" s="1"/>
  <c r="BX87" i="2"/>
  <c r="BX87" i="4" s="1"/>
  <c r="BX47" i="2"/>
  <c r="BX47" i="4" s="1"/>
  <c r="BX39" i="2"/>
  <c r="BX39" i="4" s="1"/>
  <c r="BX7" i="2"/>
  <c r="BX7" i="4" s="1"/>
  <c r="BX124" i="2"/>
  <c r="BX124" i="4" s="1"/>
  <c r="BX116" i="2"/>
  <c r="BX116" i="4" s="1"/>
  <c r="BX108" i="2"/>
  <c r="BX108" i="4" s="1"/>
  <c r="BX100" i="2"/>
  <c r="BX100" i="4" s="1"/>
  <c r="BX3" i="2"/>
  <c r="BX3" i="4" s="1"/>
  <c r="BX115" i="2"/>
  <c r="BX115" i="4" s="1"/>
  <c r="BX111" i="2"/>
  <c r="BX111" i="4" s="1"/>
  <c r="BZ1" i="4" l="1"/>
  <c r="CA2" i="4"/>
  <c r="BY46" i="4"/>
  <c r="BZ2" i="2"/>
  <c r="BY79" i="2"/>
  <c r="BY79" i="4" s="1"/>
  <c r="BY110" i="2"/>
  <c r="BY110" i="4" s="1"/>
  <c r="BY126" i="2"/>
  <c r="BY126" i="4" s="1"/>
  <c r="BY46" i="2"/>
  <c r="BY34" i="2"/>
  <c r="BY34" i="4" s="1"/>
  <c r="BY26" i="2"/>
  <c r="BY26" i="4" s="1"/>
  <c r="BY98" i="2"/>
  <c r="BY98" i="4" s="1"/>
  <c r="BY94" i="2"/>
  <c r="BY94" i="4" s="1"/>
  <c r="BY74" i="2"/>
  <c r="BY74" i="4" s="1"/>
  <c r="BY70" i="2"/>
  <c r="BY70" i="4" s="1"/>
  <c r="BY66" i="2"/>
  <c r="BY66" i="4" s="1"/>
  <c r="BY18" i="2"/>
  <c r="BY18" i="4" s="1"/>
  <c r="BY118" i="2"/>
  <c r="BY118" i="4" s="1"/>
  <c r="BY102" i="2"/>
  <c r="BY102" i="4" s="1"/>
  <c r="BY93" i="2"/>
  <c r="BY93" i="4" s="1"/>
  <c r="BY89" i="2"/>
  <c r="BY89" i="4" s="1"/>
  <c r="BY85" i="2"/>
  <c r="BY85" i="4" s="1"/>
  <c r="BY81" i="2"/>
  <c r="BY81" i="4" s="1"/>
  <c r="BY78" i="2"/>
  <c r="BY78" i="4" s="1"/>
  <c r="BY129" i="2"/>
  <c r="BY129" i="4" s="1"/>
  <c r="BY125" i="2"/>
  <c r="BY125" i="4" s="1"/>
  <c r="BY121" i="2"/>
  <c r="BY121" i="4" s="1"/>
  <c r="BY117" i="2"/>
  <c r="BY117" i="4" s="1"/>
  <c r="BY113" i="2"/>
  <c r="BY113" i="4" s="1"/>
  <c r="BY109" i="2"/>
  <c r="BY109" i="4" s="1"/>
  <c r="BY105" i="2"/>
  <c r="BY105" i="4" s="1"/>
  <c r="BY101" i="2"/>
  <c r="BY101" i="4" s="1"/>
  <c r="BY97" i="2"/>
  <c r="BY97" i="4" s="1"/>
  <c r="BY114" i="2"/>
  <c r="BY114" i="4" s="1"/>
  <c r="BY90" i="2"/>
  <c r="BY90" i="4" s="1"/>
  <c r="BY77" i="2"/>
  <c r="BY77" i="4" s="1"/>
  <c r="BY57" i="2"/>
  <c r="BY57" i="4" s="1"/>
  <c r="BY49" i="2"/>
  <c r="BY49" i="4" s="1"/>
  <c r="BY29" i="2"/>
  <c r="BY29" i="4" s="1"/>
  <c r="BY21" i="2"/>
  <c r="BY21" i="4" s="1"/>
  <c r="BY9" i="2"/>
  <c r="BY9" i="4" s="1"/>
  <c r="BY68" i="2"/>
  <c r="BY68" i="4" s="1"/>
  <c r="BY60" i="2"/>
  <c r="BY60" i="4" s="1"/>
  <c r="BY130" i="2"/>
  <c r="BY130" i="4" s="1"/>
  <c r="BY61" i="2"/>
  <c r="BY61" i="4" s="1"/>
  <c r="BY53" i="2"/>
  <c r="BY53" i="4" s="1"/>
  <c r="BY25" i="2"/>
  <c r="BY25" i="4" s="1"/>
  <c r="BY13" i="2"/>
  <c r="BY13" i="4" s="1"/>
  <c r="BY122" i="2"/>
  <c r="BY122" i="4" s="1"/>
  <c r="BY106" i="2"/>
  <c r="BY106" i="4" s="1"/>
  <c r="BY72" i="2"/>
  <c r="BY72" i="4" s="1"/>
  <c r="BY56" i="2"/>
  <c r="BY56" i="4" s="1"/>
  <c r="BY36" i="2"/>
  <c r="BY36" i="4" s="1"/>
  <c r="BY20" i="2"/>
  <c r="BY20" i="4" s="1"/>
  <c r="BY8" i="2"/>
  <c r="BY8" i="4" s="1"/>
  <c r="BY4" i="2"/>
  <c r="BY4" i="4" s="1"/>
  <c r="BY115" i="2"/>
  <c r="BY115" i="4" s="1"/>
  <c r="BY99" i="2"/>
  <c r="BY99" i="4" s="1"/>
  <c r="BY86" i="2"/>
  <c r="BY86" i="4" s="1"/>
  <c r="BY82" i="2"/>
  <c r="BY82" i="4" s="1"/>
  <c r="BY62" i="2"/>
  <c r="BY62" i="4" s="1"/>
  <c r="BY58" i="2"/>
  <c r="BY58" i="4" s="1"/>
  <c r="BY54" i="2"/>
  <c r="BY54" i="4" s="1"/>
  <c r="BY50" i="2"/>
  <c r="BY50" i="4" s="1"/>
  <c r="BY42" i="2"/>
  <c r="BY42" i="4" s="1"/>
  <c r="BY38" i="2"/>
  <c r="BY38" i="4" s="1"/>
  <c r="BY30" i="2"/>
  <c r="BY30" i="4" s="1"/>
  <c r="BY22" i="2"/>
  <c r="BY22" i="4" s="1"/>
  <c r="BY14" i="2"/>
  <c r="BY14" i="4" s="1"/>
  <c r="BY10" i="2"/>
  <c r="BY10" i="4" s="1"/>
  <c r="BY6" i="2"/>
  <c r="BY6" i="4" s="1"/>
  <c r="BY73" i="2"/>
  <c r="BY73" i="4" s="1"/>
  <c r="BY69" i="2"/>
  <c r="BY69" i="4" s="1"/>
  <c r="BY65" i="2"/>
  <c r="BY65" i="4" s="1"/>
  <c r="BY45" i="2"/>
  <c r="BY45" i="4" s="1"/>
  <c r="BY41" i="2"/>
  <c r="BY41" i="4" s="1"/>
  <c r="BY37" i="2"/>
  <c r="BY37" i="4" s="1"/>
  <c r="BY33" i="2"/>
  <c r="BY33" i="4" s="1"/>
  <c r="BY17" i="2"/>
  <c r="BY17" i="4" s="1"/>
  <c r="BY5" i="2"/>
  <c r="BY5" i="4" s="1"/>
  <c r="BY96" i="2"/>
  <c r="BY96" i="4" s="1"/>
  <c r="BY92" i="2"/>
  <c r="BY92" i="4" s="1"/>
  <c r="BY88" i="2"/>
  <c r="BY88" i="4" s="1"/>
  <c r="BY84" i="2"/>
  <c r="BY84" i="4" s="1"/>
  <c r="BY80" i="2"/>
  <c r="BY80" i="4" s="1"/>
  <c r="BY76" i="2"/>
  <c r="BY76" i="4" s="1"/>
  <c r="BY52" i="2"/>
  <c r="BY52" i="4" s="1"/>
  <c r="BY32" i="2"/>
  <c r="BY32" i="4" s="1"/>
  <c r="BY24" i="2"/>
  <c r="BY24" i="4" s="1"/>
  <c r="BY16" i="2"/>
  <c r="BY16" i="4" s="1"/>
  <c r="BY12" i="2"/>
  <c r="BY12" i="4" s="1"/>
  <c r="BY119" i="2"/>
  <c r="BY119" i="4" s="1"/>
  <c r="BY103" i="2"/>
  <c r="BY103" i="4" s="1"/>
  <c r="BY64" i="2"/>
  <c r="BY64" i="4" s="1"/>
  <c r="BY44" i="2"/>
  <c r="BY44" i="4" s="1"/>
  <c r="BY40" i="2"/>
  <c r="BY40" i="4" s="1"/>
  <c r="BY123" i="2"/>
  <c r="BY123" i="4" s="1"/>
  <c r="BY75" i="2"/>
  <c r="BY75" i="4" s="1"/>
  <c r="BY55" i="2"/>
  <c r="BY55" i="4" s="1"/>
  <c r="BY23" i="2"/>
  <c r="BY23" i="4" s="1"/>
  <c r="BY19" i="2"/>
  <c r="BY19" i="4" s="1"/>
  <c r="BY95" i="2"/>
  <c r="BY95" i="4" s="1"/>
  <c r="BY127" i="2"/>
  <c r="BY127" i="4" s="1"/>
  <c r="BY83" i="2"/>
  <c r="BY83" i="4" s="1"/>
  <c r="BY51" i="2"/>
  <c r="BY51" i="4" s="1"/>
  <c r="BY39" i="2"/>
  <c r="BY39" i="4" s="1"/>
  <c r="BY35" i="2"/>
  <c r="BY35" i="4" s="1"/>
  <c r="BY27" i="2"/>
  <c r="BY27" i="4" s="1"/>
  <c r="BY11" i="2"/>
  <c r="BY11" i="4" s="1"/>
  <c r="BY7" i="2"/>
  <c r="BY7" i="4" s="1"/>
  <c r="BY128" i="2"/>
  <c r="BY128" i="4" s="1"/>
  <c r="BY91" i="2"/>
  <c r="BY91" i="4" s="1"/>
  <c r="BY71" i="2"/>
  <c r="BY71" i="4" s="1"/>
  <c r="BY67" i="2"/>
  <c r="BY67" i="4" s="1"/>
  <c r="BY43" i="2"/>
  <c r="BY43" i="4" s="1"/>
  <c r="BY124" i="2"/>
  <c r="BY124" i="4" s="1"/>
  <c r="BY116" i="2"/>
  <c r="BY116" i="4" s="1"/>
  <c r="BY108" i="2"/>
  <c r="BY108" i="4" s="1"/>
  <c r="BY100" i="2"/>
  <c r="BY100" i="4" s="1"/>
  <c r="BY48" i="2"/>
  <c r="BY48" i="4" s="1"/>
  <c r="BY28" i="2"/>
  <c r="BY28" i="4" s="1"/>
  <c r="BY107" i="2"/>
  <c r="BY107" i="4" s="1"/>
  <c r="BY63" i="2"/>
  <c r="BY63" i="4" s="1"/>
  <c r="BY59" i="2"/>
  <c r="BY59" i="4" s="1"/>
  <c r="BY47" i="2"/>
  <c r="BY47" i="4" s="1"/>
  <c r="BY31" i="2"/>
  <c r="BY31" i="4" s="1"/>
  <c r="BY15" i="2"/>
  <c r="BY15" i="4" s="1"/>
  <c r="BY111" i="2"/>
  <c r="BY111" i="4" s="1"/>
  <c r="BY3" i="2"/>
  <c r="BY3" i="4" s="1"/>
  <c r="BY120" i="2"/>
  <c r="BY120" i="4" s="1"/>
  <c r="BY112" i="2"/>
  <c r="BY112" i="4" s="1"/>
  <c r="BY104" i="2"/>
  <c r="BY104" i="4" s="1"/>
  <c r="BY87" i="2"/>
  <c r="BY87" i="4" s="1"/>
  <c r="CA1" i="4" l="1"/>
  <c r="CB2" i="4"/>
  <c r="CA2" i="2"/>
  <c r="BZ80" i="2"/>
  <c r="BZ80" i="4" s="1"/>
  <c r="BZ107" i="2"/>
  <c r="BZ107" i="4" s="1"/>
  <c r="BZ123" i="2"/>
  <c r="BZ123" i="4" s="1"/>
  <c r="BZ103" i="2"/>
  <c r="BZ103" i="4" s="1"/>
  <c r="BZ119" i="2"/>
  <c r="BZ119" i="4" s="1"/>
  <c r="BZ111" i="2"/>
  <c r="BZ111" i="4" s="1"/>
  <c r="BZ99" i="2"/>
  <c r="BZ99" i="4" s="1"/>
  <c r="BZ115" i="2"/>
  <c r="BZ115" i="4" s="1"/>
  <c r="BZ127" i="2"/>
  <c r="BZ127" i="4" s="1"/>
  <c r="BZ34" i="2"/>
  <c r="BZ34" i="4" s="1"/>
  <c r="BZ58" i="2"/>
  <c r="BZ58" i="4" s="1"/>
  <c r="BZ18" i="2"/>
  <c r="BZ18" i="4" s="1"/>
  <c r="BZ10" i="2"/>
  <c r="BZ10" i="4" s="1"/>
  <c r="BZ93" i="2"/>
  <c r="BZ93" i="4" s="1"/>
  <c r="BZ89" i="2"/>
  <c r="BZ89" i="4" s="1"/>
  <c r="BZ85" i="2"/>
  <c r="BZ85" i="4" s="1"/>
  <c r="BZ130" i="2"/>
  <c r="BZ130" i="4" s="1"/>
  <c r="BZ78" i="2"/>
  <c r="BZ78" i="4" s="1"/>
  <c r="BZ62" i="2"/>
  <c r="BZ62" i="4" s="1"/>
  <c r="BZ54" i="2"/>
  <c r="BZ54" i="4" s="1"/>
  <c r="BZ50" i="2"/>
  <c r="BZ50" i="4" s="1"/>
  <c r="BZ46" i="2"/>
  <c r="BZ46" i="4" s="1"/>
  <c r="BZ22" i="2"/>
  <c r="BZ22" i="4" s="1"/>
  <c r="BZ129" i="2"/>
  <c r="BZ129" i="4" s="1"/>
  <c r="BZ125" i="2"/>
  <c r="BZ125" i="4" s="1"/>
  <c r="BZ121" i="2"/>
  <c r="BZ121" i="4" s="1"/>
  <c r="BZ117" i="2"/>
  <c r="BZ117" i="4" s="1"/>
  <c r="BZ113" i="2"/>
  <c r="BZ113" i="4" s="1"/>
  <c r="BZ109" i="2"/>
  <c r="BZ109" i="4" s="1"/>
  <c r="BZ105" i="2"/>
  <c r="BZ105" i="4" s="1"/>
  <c r="BZ101" i="2"/>
  <c r="BZ101" i="4" s="1"/>
  <c r="BZ97" i="2"/>
  <c r="BZ97" i="4" s="1"/>
  <c r="BZ126" i="2"/>
  <c r="BZ126" i="4" s="1"/>
  <c r="BZ122" i="2"/>
  <c r="BZ122" i="4" s="1"/>
  <c r="BZ118" i="2"/>
  <c r="BZ118" i="4" s="1"/>
  <c r="BZ114" i="2"/>
  <c r="BZ114" i="4" s="1"/>
  <c r="BZ110" i="2"/>
  <c r="BZ110" i="4" s="1"/>
  <c r="BZ106" i="2"/>
  <c r="BZ106" i="4" s="1"/>
  <c r="BZ102" i="2"/>
  <c r="BZ102" i="4" s="1"/>
  <c r="BZ98" i="2"/>
  <c r="BZ98" i="4" s="1"/>
  <c r="BZ94" i="2"/>
  <c r="BZ94" i="4" s="1"/>
  <c r="BZ90" i="2"/>
  <c r="BZ90" i="4" s="1"/>
  <c r="BZ33" i="2"/>
  <c r="BZ33" i="4" s="1"/>
  <c r="BZ68" i="2"/>
  <c r="BZ68" i="4" s="1"/>
  <c r="BZ61" i="2"/>
  <c r="BZ61" i="4" s="1"/>
  <c r="BZ45" i="2"/>
  <c r="BZ45" i="4" s="1"/>
  <c r="BZ37" i="2"/>
  <c r="BZ37" i="4" s="1"/>
  <c r="BZ17" i="2"/>
  <c r="BZ17" i="4" s="1"/>
  <c r="BZ72" i="2"/>
  <c r="BZ72" i="4" s="1"/>
  <c r="BZ56" i="2"/>
  <c r="BZ56" i="4" s="1"/>
  <c r="BZ20" i="2"/>
  <c r="BZ20" i="4" s="1"/>
  <c r="BZ16" i="2"/>
  <c r="BZ16" i="4" s="1"/>
  <c r="BZ8" i="2"/>
  <c r="BZ8" i="4" s="1"/>
  <c r="BZ4" i="2"/>
  <c r="BZ4" i="4" s="1"/>
  <c r="BZ116" i="2"/>
  <c r="BZ116" i="4" s="1"/>
  <c r="BZ100" i="2"/>
  <c r="BZ100" i="4" s="1"/>
  <c r="BZ86" i="2"/>
  <c r="BZ86" i="4" s="1"/>
  <c r="BZ82" i="2"/>
  <c r="BZ82" i="4" s="1"/>
  <c r="BZ74" i="2"/>
  <c r="BZ74" i="4" s="1"/>
  <c r="BZ70" i="2"/>
  <c r="BZ70" i="4" s="1"/>
  <c r="BZ66" i="2"/>
  <c r="BZ66" i="4" s="1"/>
  <c r="BZ42" i="2"/>
  <c r="BZ42" i="4" s="1"/>
  <c r="BZ38" i="2"/>
  <c r="BZ38" i="4" s="1"/>
  <c r="BZ30" i="2"/>
  <c r="BZ30" i="4" s="1"/>
  <c r="BZ14" i="2"/>
  <c r="BZ14" i="4" s="1"/>
  <c r="BZ6" i="2"/>
  <c r="BZ6" i="4" s="1"/>
  <c r="BZ81" i="2"/>
  <c r="BZ81" i="4" s="1"/>
  <c r="BZ77" i="2"/>
  <c r="BZ77" i="4" s="1"/>
  <c r="BZ73" i="2"/>
  <c r="BZ73" i="4" s="1"/>
  <c r="BZ69" i="2"/>
  <c r="BZ69" i="4" s="1"/>
  <c r="BZ65" i="2"/>
  <c r="BZ65" i="4" s="1"/>
  <c r="BZ57" i="2"/>
  <c r="BZ57" i="4" s="1"/>
  <c r="BZ53" i="2"/>
  <c r="BZ53" i="4" s="1"/>
  <c r="BZ49" i="2"/>
  <c r="BZ49" i="4" s="1"/>
  <c r="BZ25" i="2"/>
  <c r="BZ25" i="4" s="1"/>
  <c r="BZ21" i="2"/>
  <c r="BZ21" i="4" s="1"/>
  <c r="BZ13" i="2"/>
  <c r="BZ13" i="4" s="1"/>
  <c r="BZ76" i="2"/>
  <c r="BZ76" i="4" s="1"/>
  <c r="BZ60" i="2"/>
  <c r="BZ60" i="4" s="1"/>
  <c r="BZ52" i="2"/>
  <c r="BZ52" i="4" s="1"/>
  <c r="BZ40" i="2"/>
  <c r="BZ40" i="4" s="1"/>
  <c r="BZ24" i="2"/>
  <c r="BZ24" i="4" s="1"/>
  <c r="BZ120" i="2"/>
  <c r="BZ120" i="4" s="1"/>
  <c r="BZ104" i="2"/>
  <c r="BZ104" i="4" s="1"/>
  <c r="BZ5" i="2"/>
  <c r="BZ5" i="4" s="1"/>
  <c r="BZ64" i="2"/>
  <c r="BZ64" i="4" s="1"/>
  <c r="BZ44" i="2"/>
  <c r="BZ44" i="4" s="1"/>
  <c r="BZ36" i="2"/>
  <c r="BZ36" i="4" s="1"/>
  <c r="BZ12" i="2"/>
  <c r="BZ12" i="4" s="1"/>
  <c r="BZ124" i="2"/>
  <c r="BZ124" i="4" s="1"/>
  <c r="BZ3" i="2"/>
  <c r="BZ3" i="4" s="1"/>
  <c r="BZ63" i="2"/>
  <c r="BZ63" i="4" s="1"/>
  <c r="BZ55" i="2"/>
  <c r="BZ55" i="4" s="1"/>
  <c r="BZ23" i="2"/>
  <c r="BZ23" i="4" s="1"/>
  <c r="BZ7" i="2"/>
  <c r="BZ7" i="4" s="1"/>
  <c r="BZ41" i="2"/>
  <c r="BZ41" i="4" s="1"/>
  <c r="BZ29" i="2"/>
  <c r="BZ29" i="4" s="1"/>
  <c r="BZ128" i="2"/>
  <c r="BZ128" i="4" s="1"/>
  <c r="BZ95" i="2"/>
  <c r="BZ95" i="4" s="1"/>
  <c r="BZ84" i="2"/>
  <c r="BZ84" i="4" s="1"/>
  <c r="BZ79" i="2"/>
  <c r="BZ79" i="4" s="1"/>
  <c r="BZ67" i="2"/>
  <c r="BZ67" i="4" s="1"/>
  <c r="BZ51" i="2"/>
  <c r="BZ51" i="4" s="1"/>
  <c r="BZ39" i="2"/>
  <c r="BZ39" i="4" s="1"/>
  <c r="BZ27" i="2"/>
  <c r="BZ27" i="4" s="1"/>
  <c r="BZ11" i="2"/>
  <c r="BZ11" i="4" s="1"/>
  <c r="BZ92" i="2"/>
  <c r="BZ92" i="4" s="1"/>
  <c r="BZ91" i="2"/>
  <c r="BZ91" i="4" s="1"/>
  <c r="BZ87" i="2"/>
  <c r="BZ87" i="4" s="1"/>
  <c r="BZ75" i="2"/>
  <c r="BZ75" i="4" s="1"/>
  <c r="BZ88" i="2"/>
  <c r="BZ88" i="4" s="1"/>
  <c r="BZ9" i="2"/>
  <c r="BZ9" i="4" s="1"/>
  <c r="BZ48" i="2"/>
  <c r="BZ48" i="4" s="1"/>
  <c r="BZ28" i="2"/>
  <c r="BZ28" i="4" s="1"/>
  <c r="BZ108" i="2"/>
  <c r="BZ108" i="4" s="1"/>
  <c r="BZ83" i="2"/>
  <c r="BZ83" i="4" s="1"/>
  <c r="BZ71" i="2"/>
  <c r="BZ71" i="4" s="1"/>
  <c r="BZ59" i="2"/>
  <c r="BZ59" i="4" s="1"/>
  <c r="BZ47" i="2"/>
  <c r="BZ47" i="4" s="1"/>
  <c r="BZ43" i="2"/>
  <c r="BZ43" i="4" s="1"/>
  <c r="BZ31" i="2"/>
  <c r="BZ31" i="4" s="1"/>
  <c r="BZ15" i="2"/>
  <c r="BZ15" i="4" s="1"/>
  <c r="BZ26" i="2"/>
  <c r="BZ26" i="4" s="1"/>
  <c r="BZ32" i="2"/>
  <c r="BZ32" i="4" s="1"/>
  <c r="BZ112" i="2"/>
  <c r="BZ112" i="4" s="1"/>
  <c r="BZ35" i="2"/>
  <c r="BZ35" i="4" s="1"/>
  <c r="BZ19" i="2"/>
  <c r="BZ19" i="4" s="1"/>
  <c r="BZ96" i="2"/>
  <c r="BZ96" i="4" s="1"/>
  <c r="CB1" i="4" l="1"/>
  <c r="CC2" i="4"/>
  <c r="CB2" i="2"/>
  <c r="CA127" i="2"/>
  <c r="CA127" i="4" s="1"/>
  <c r="CA75" i="2"/>
  <c r="CA75" i="4" s="1"/>
  <c r="CA108" i="2"/>
  <c r="CA108" i="4" s="1"/>
  <c r="CA124" i="2"/>
  <c r="CA124" i="4" s="1"/>
  <c r="CA128" i="2"/>
  <c r="CA128" i="4" s="1"/>
  <c r="CA104" i="2"/>
  <c r="CA104" i="4" s="1"/>
  <c r="CA120" i="2"/>
  <c r="CA120" i="4" s="1"/>
  <c r="CA112" i="2"/>
  <c r="CA112" i="4" s="1"/>
  <c r="CA100" i="2"/>
  <c r="CA100" i="4" s="1"/>
  <c r="CA116" i="2"/>
  <c r="CA116" i="4" s="1"/>
  <c r="CA78" i="2"/>
  <c r="CA78" i="4" s="1"/>
  <c r="CA58" i="2"/>
  <c r="CA58" i="4" s="1"/>
  <c r="CA54" i="2"/>
  <c r="CA54" i="4" s="1"/>
  <c r="CA50" i="2"/>
  <c r="CA50" i="4" s="1"/>
  <c r="CA42" i="2"/>
  <c r="CA42" i="4" s="1"/>
  <c r="CA34" i="2"/>
  <c r="CA34" i="4" s="1"/>
  <c r="CA30" i="2"/>
  <c r="CA30" i="4" s="1"/>
  <c r="CA22" i="2"/>
  <c r="CA22" i="4" s="1"/>
  <c r="CA18" i="2"/>
  <c r="CA18" i="4" s="1"/>
  <c r="CA38" i="2"/>
  <c r="CA38" i="4" s="1"/>
  <c r="CA14" i="2"/>
  <c r="CA14" i="4" s="1"/>
  <c r="CA10" i="2"/>
  <c r="CA10" i="4" s="1"/>
  <c r="CA97" i="2"/>
  <c r="CA97" i="4" s="1"/>
  <c r="CA85" i="2"/>
  <c r="CA85" i="4" s="1"/>
  <c r="CA62" i="2"/>
  <c r="CA62" i="4" s="1"/>
  <c r="CA26" i="2"/>
  <c r="CA26" i="4" s="1"/>
  <c r="CA130" i="2"/>
  <c r="CA130" i="4" s="1"/>
  <c r="CA126" i="2"/>
  <c r="CA126" i="4" s="1"/>
  <c r="CA122" i="2"/>
  <c r="CA122" i="4" s="1"/>
  <c r="CA118" i="2"/>
  <c r="CA118" i="4" s="1"/>
  <c r="CA114" i="2"/>
  <c r="CA114" i="4" s="1"/>
  <c r="CA110" i="2"/>
  <c r="CA110" i="4" s="1"/>
  <c r="CA106" i="2"/>
  <c r="CA106" i="4" s="1"/>
  <c r="CA102" i="2"/>
  <c r="CA102" i="4" s="1"/>
  <c r="CA98" i="2"/>
  <c r="CA98" i="4" s="1"/>
  <c r="CA94" i="2"/>
  <c r="CA94" i="4" s="1"/>
  <c r="CA90" i="2"/>
  <c r="CA90" i="4" s="1"/>
  <c r="CA74" i="2"/>
  <c r="CA74" i="4" s="1"/>
  <c r="CA129" i="2"/>
  <c r="CA129" i="4" s="1"/>
  <c r="CA125" i="2"/>
  <c r="CA125" i="4" s="1"/>
  <c r="CA121" i="2"/>
  <c r="CA121" i="4" s="1"/>
  <c r="CA117" i="2"/>
  <c r="CA117" i="4" s="1"/>
  <c r="CA113" i="2"/>
  <c r="CA113" i="4" s="1"/>
  <c r="CA109" i="2"/>
  <c r="CA109" i="4" s="1"/>
  <c r="CA105" i="2"/>
  <c r="CA105" i="4" s="1"/>
  <c r="CA101" i="2"/>
  <c r="CA101" i="4" s="1"/>
  <c r="CA89" i="2"/>
  <c r="CA89" i="4" s="1"/>
  <c r="CA45" i="2"/>
  <c r="CA45" i="4" s="1"/>
  <c r="CA29" i="2"/>
  <c r="CA29" i="4" s="1"/>
  <c r="CA5" i="2"/>
  <c r="CA5" i="4" s="1"/>
  <c r="CA76" i="2"/>
  <c r="CA76" i="4" s="1"/>
  <c r="CA56" i="2"/>
  <c r="CA56" i="4" s="1"/>
  <c r="CA44" i="2"/>
  <c r="CA44" i="4" s="1"/>
  <c r="CA20" i="2"/>
  <c r="CA20" i="4" s="1"/>
  <c r="CA3" i="2"/>
  <c r="CA3" i="4" s="1"/>
  <c r="CA95" i="2"/>
  <c r="CA95" i="4" s="1"/>
  <c r="CA86" i="2"/>
  <c r="CA86" i="4" s="1"/>
  <c r="CA82" i="2"/>
  <c r="CA82" i="4" s="1"/>
  <c r="CA70" i="2"/>
  <c r="CA70" i="4" s="1"/>
  <c r="CA66" i="2"/>
  <c r="CA66" i="4" s="1"/>
  <c r="CA6" i="2"/>
  <c r="CA6" i="4" s="1"/>
  <c r="CA93" i="2"/>
  <c r="CA93" i="4" s="1"/>
  <c r="CA77" i="2"/>
  <c r="CA77" i="4" s="1"/>
  <c r="CA73" i="2"/>
  <c r="CA73" i="4" s="1"/>
  <c r="CA69" i="2"/>
  <c r="CA69" i="4" s="1"/>
  <c r="CA65" i="2"/>
  <c r="CA65" i="4" s="1"/>
  <c r="CA57" i="2"/>
  <c r="CA57" i="4" s="1"/>
  <c r="CA53" i="2"/>
  <c r="CA53" i="4" s="1"/>
  <c r="CA49" i="2"/>
  <c r="CA49" i="4" s="1"/>
  <c r="CA25" i="2"/>
  <c r="CA25" i="4" s="1"/>
  <c r="CA21" i="2"/>
  <c r="CA21" i="4" s="1"/>
  <c r="CA13" i="2"/>
  <c r="CA13" i="4" s="1"/>
  <c r="CA9" i="2"/>
  <c r="CA9" i="4" s="1"/>
  <c r="CA68" i="2"/>
  <c r="CA68" i="4" s="1"/>
  <c r="CA60" i="2"/>
  <c r="CA60" i="4" s="1"/>
  <c r="CA52" i="2"/>
  <c r="CA52" i="4" s="1"/>
  <c r="CA40" i="2"/>
  <c r="CA40" i="4" s="1"/>
  <c r="CA36" i="2"/>
  <c r="CA36" i="4" s="1"/>
  <c r="CA24" i="2"/>
  <c r="CA24" i="4" s="1"/>
  <c r="CA12" i="2"/>
  <c r="CA12" i="4" s="1"/>
  <c r="CA8" i="2"/>
  <c r="CA8" i="4" s="1"/>
  <c r="CA4" i="2"/>
  <c r="CA4" i="4" s="1"/>
  <c r="CA71" i="2"/>
  <c r="CA71" i="4" s="1"/>
  <c r="CA67" i="2"/>
  <c r="CA67" i="4" s="1"/>
  <c r="CA59" i="2"/>
  <c r="CA59" i="4" s="1"/>
  <c r="CA47" i="2"/>
  <c r="CA47" i="4" s="1"/>
  <c r="CA27" i="2"/>
  <c r="CA27" i="4" s="1"/>
  <c r="CA123" i="2"/>
  <c r="CA123" i="4" s="1"/>
  <c r="CA115" i="2"/>
  <c r="CA115" i="4" s="1"/>
  <c r="CA107" i="2"/>
  <c r="CA107" i="4" s="1"/>
  <c r="CA99" i="2"/>
  <c r="CA99" i="4" s="1"/>
  <c r="CA92" i="2"/>
  <c r="CA92" i="4" s="1"/>
  <c r="CA88" i="2"/>
  <c r="CA88" i="4" s="1"/>
  <c r="CA84" i="2"/>
  <c r="CA84" i="4" s="1"/>
  <c r="CA80" i="2"/>
  <c r="CA80" i="4" s="1"/>
  <c r="CA96" i="2"/>
  <c r="CA96" i="4" s="1"/>
  <c r="CA79" i="2"/>
  <c r="CA79" i="4" s="1"/>
  <c r="CA39" i="2"/>
  <c r="CA39" i="4" s="1"/>
  <c r="CA11" i="2"/>
  <c r="CA11" i="4" s="1"/>
  <c r="CA81" i="2"/>
  <c r="CA81" i="4" s="1"/>
  <c r="CA41" i="2"/>
  <c r="CA41" i="4" s="1"/>
  <c r="CA72" i="2"/>
  <c r="CA72" i="4" s="1"/>
  <c r="CA91" i="2"/>
  <c r="CA91" i="4" s="1"/>
  <c r="CA87" i="2"/>
  <c r="CA87" i="4" s="1"/>
  <c r="CA15" i="2"/>
  <c r="CA15" i="4" s="1"/>
  <c r="CA64" i="2"/>
  <c r="CA64" i="4" s="1"/>
  <c r="CA48" i="2"/>
  <c r="CA48" i="4" s="1"/>
  <c r="CA28" i="2"/>
  <c r="CA28" i="4" s="1"/>
  <c r="CA16" i="2"/>
  <c r="CA16" i="4" s="1"/>
  <c r="CA83" i="2"/>
  <c r="CA83" i="4" s="1"/>
  <c r="CA63" i="2"/>
  <c r="CA63" i="4" s="1"/>
  <c r="CA43" i="2"/>
  <c r="CA43" i="4" s="1"/>
  <c r="CA31" i="2"/>
  <c r="CA31" i="4" s="1"/>
  <c r="CA23" i="2"/>
  <c r="CA23" i="4" s="1"/>
  <c r="CA7" i="2"/>
  <c r="CA7" i="4" s="1"/>
  <c r="CA119" i="2"/>
  <c r="CA119" i="4" s="1"/>
  <c r="CA111" i="2"/>
  <c r="CA111" i="4" s="1"/>
  <c r="CA103" i="2"/>
  <c r="CA103" i="4" s="1"/>
  <c r="CA46" i="2"/>
  <c r="CA46" i="4" s="1"/>
  <c r="CA61" i="2"/>
  <c r="CA61" i="4" s="1"/>
  <c r="CA37" i="2"/>
  <c r="CA37" i="4" s="1"/>
  <c r="CA33" i="2"/>
  <c r="CA33" i="4" s="1"/>
  <c r="CA17" i="2"/>
  <c r="CA17" i="4" s="1"/>
  <c r="CA32" i="2"/>
  <c r="CA32" i="4" s="1"/>
  <c r="CA55" i="2"/>
  <c r="CA55" i="4" s="1"/>
  <c r="CA51" i="2"/>
  <c r="CA51" i="4" s="1"/>
  <c r="CA35" i="2"/>
  <c r="CA35" i="4" s="1"/>
  <c r="CA19" i="2"/>
  <c r="CA19" i="4" s="1"/>
  <c r="CC1" i="4" l="1"/>
  <c r="CD2" i="4"/>
  <c r="CC2" i="2"/>
  <c r="CB128" i="2"/>
  <c r="CB128" i="4" s="1"/>
  <c r="CB76" i="2"/>
  <c r="CB76" i="4" s="1"/>
  <c r="CB113" i="2"/>
  <c r="CB113" i="4" s="1"/>
  <c r="CB129" i="2"/>
  <c r="CB129" i="4" s="1"/>
  <c r="CB94" i="2"/>
  <c r="CB94" i="4" s="1"/>
  <c r="CB86" i="2"/>
  <c r="CB86" i="4" s="1"/>
  <c r="CB78" i="2"/>
  <c r="CB78" i="4" s="1"/>
  <c r="CB62" i="2"/>
  <c r="CB62" i="4" s="1"/>
  <c r="CB58" i="2"/>
  <c r="CB58" i="4" s="1"/>
  <c r="CB54" i="2"/>
  <c r="CB54" i="4" s="1"/>
  <c r="CB50" i="2"/>
  <c r="CB50" i="4" s="1"/>
  <c r="CB42" i="2"/>
  <c r="CB42" i="4" s="1"/>
  <c r="CB38" i="2"/>
  <c r="CB38" i="4" s="1"/>
  <c r="CB30" i="2"/>
  <c r="CB30" i="4" s="1"/>
  <c r="CB22" i="2"/>
  <c r="CB22" i="4" s="1"/>
  <c r="CB18" i="2"/>
  <c r="CB18" i="4" s="1"/>
  <c r="CB14" i="2"/>
  <c r="CB14" i="4" s="1"/>
  <c r="CB10" i="2"/>
  <c r="CB10" i="4" s="1"/>
  <c r="CB90" i="2"/>
  <c r="CB90" i="4" s="1"/>
  <c r="CB26" i="2"/>
  <c r="CB26" i="4" s="1"/>
  <c r="CB98" i="2"/>
  <c r="CB98" i="4" s="1"/>
  <c r="CB46" i="2"/>
  <c r="CB46" i="4" s="1"/>
  <c r="CB34" i="2"/>
  <c r="CB34" i="4" s="1"/>
  <c r="CB121" i="2"/>
  <c r="CB121" i="4" s="1"/>
  <c r="CB105" i="2"/>
  <c r="CB105" i="4" s="1"/>
  <c r="CB97" i="2"/>
  <c r="CB97" i="4" s="1"/>
  <c r="CB89" i="2"/>
  <c r="CB89" i="4" s="1"/>
  <c r="CB85" i="2"/>
  <c r="CB85" i="4" s="1"/>
  <c r="CB81" i="2"/>
  <c r="CB81" i="4" s="1"/>
  <c r="CB130" i="2"/>
  <c r="CB130" i="4" s="1"/>
  <c r="CB126" i="2"/>
  <c r="CB126" i="4" s="1"/>
  <c r="CB122" i="2"/>
  <c r="CB122" i="4" s="1"/>
  <c r="CB118" i="2"/>
  <c r="CB118" i="4" s="1"/>
  <c r="CB114" i="2"/>
  <c r="CB114" i="4" s="1"/>
  <c r="CB110" i="2"/>
  <c r="CB110" i="4" s="1"/>
  <c r="CB106" i="2"/>
  <c r="CB106" i="4" s="1"/>
  <c r="CB102" i="2"/>
  <c r="CB102" i="4" s="1"/>
  <c r="CB74" i="2"/>
  <c r="CB74" i="4" s="1"/>
  <c r="CB93" i="2"/>
  <c r="CB93" i="4" s="1"/>
  <c r="CB73" i="2"/>
  <c r="CB73" i="4" s="1"/>
  <c r="CB69" i="2"/>
  <c r="CB69" i="4" s="1"/>
  <c r="CB64" i="2"/>
  <c r="CB64" i="4" s="1"/>
  <c r="CB101" i="2"/>
  <c r="CB101" i="4" s="1"/>
  <c r="CB77" i="2"/>
  <c r="CB77" i="4" s="1"/>
  <c r="CB5" i="2"/>
  <c r="CB5" i="4" s="1"/>
  <c r="CB125" i="2"/>
  <c r="CB125" i="4" s="1"/>
  <c r="CB109" i="2"/>
  <c r="CB109" i="4" s="1"/>
  <c r="CB68" i="2"/>
  <c r="CB68" i="4" s="1"/>
  <c r="CB60" i="2"/>
  <c r="CB60" i="4" s="1"/>
  <c r="CB48" i="2"/>
  <c r="CB48" i="4" s="1"/>
  <c r="CB44" i="2"/>
  <c r="CB44" i="4" s="1"/>
  <c r="CB36" i="2"/>
  <c r="CB36" i="4" s="1"/>
  <c r="CB16" i="2"/>
  <c r="CB16" i="4" s="1"/>
  <c r="CB3" i="2"/>
  <c r="CB3" i="4" s="1"/>
  <c r="CB95" i="2"/>
  <c r="CB95" i="4" s="1"/>
  <c r="CB117" i="2"/>
  <c r="CB117" i="4" s="1"/>
  <c r="CB82" i="2"/>
  <c r="CB82" i="4" s="1"/>
  <c r="CB70" i="2"/>
  <c r="CB70" i="4" s="1"/>
  <c r="CB66" i="2"/>
  <c r="CB66" i="4" s="1"/>
  <c r="CB6" i="2"/>
  <c r="CB6" i="4" s="1"/>
  <c r="CB57" i="2"/>
  <c r="CB57" i="4" s="1"/>
  <c r="CB53" i="2"/>
  <c r="CB53" i="4" s="1"/>
  <c r="CB49" i="2"/>
  <c r="CB49" i="4" s="1"/>
  <c r="CB25" i="2"/>
  <c r="CB25" i="4" s="1"/>
  <c r="CB21" i="2"/>
  <c r="CB21" i="4" s="1"/>
  <c r="CB13" i="2"/>
  <c r="CB13" i="4" s="1"/>
  <c r="CB72" i="2"/>
  <c r="CB72" i="4" s="1"/>
  <c r="CB40" i="2"/>
  <c r="CB40" i="4" s="1"/>
  <c r="CB28" i="2"/>
  <c r="CB28" i="4" s="1"/>
  <c r="CB12" i="2"/>
  <c r="CB12" i="4" s="1"/>
  <c r="CB4" i="2"/>
  <c r="CB4" i="4" s="1"/>
  <c r="CB29" i="2"/>
  <c r="CB29" i="4" s="1"/>
  <c r="CB8" i="2"/>
  <c r="CB8" i="4" s="1"/>
  <c r="CB71" i="2"/>
  <c r="CB71" i="4" s="1"/>
  <c r="CB67" i="2"/>
  <c r="CB67" i="4" s="1"/>
  <c r="CB43" i="2"/>
  <c r="CB43" i="4" s="1"/>
  <c r="CB27" i="2"/>
  <c r="CB27" i="4" s="1"/>
  <c r="CB65" i="2"/>
  <c r="CB65" i="4" s="1"/>
  <c r="CB96" i="2"/>
  <c r="CB96" i="4" s="1"/>
  <c r="CB92" i="2"/>
  <c r="CB92" i="4" s="1"/>
  <c r="CB88" i="2"/>
  <c r="CB88" i="4" s="1"/>
  <c r="CB84" i="2"/>
  <c r="CB84" i="4" s="1"/>
  <c r="CB80" i="2"/>
  <c r="CB80" i="4" s="1"/>
  <c r="CB56" i="2"/>
  <c r="CB56" i="4" s="1"/>
  <c r="CB52" i="2"/>
  <c r="CB52" i="4" s="1"/>
  <c r="CB79" i="2"/>
  <c r="CB79" i="4" s="1"/>
  <c r="CB75" i="2"/>
  <c r="CB75" i="4" s="1"/>
  <c r="CB63" i="2"/>
  <c r="CB63" i="4" s="1"/>
  <c r="CB59" i="2"/>
  <c r="CB59" i="4" s="1"/>
  <c r="CB55" i="2"/>
  <c r="CB55" i="4" s="1"/>
  <c r="CB23" i="2"/>
  <c r="CB23" i="4" s="1"/>
  <c r="CB19" i="2"/>
  <c r="CB19" i="4" s="1"/>
  <c r="CB15" i="2"/>
  <c r="CB15" i="4" s="1"/>
  <c r="CB11" i="2"/>
  <c r="CB11" i="4" s="1"/>
  <c r="CB124" i="2"/>
  <c r="CB124" i="4" s="1"/>
  <c r="CB116" i="2"/>
  <c r="CB116" i="4" s="1"/>
  <c r="CB108" i="2"/>
  <c r="CB108" i="4" s="1"/>
  <c r="CB100" i="2"/>
  <c r="CB100" i="4" s="1"/>
  <c r="CB61" i="2"/>
  <c r="CB61" i="4" s="1"/>
  <c r="CB45" i="2"/>
  <c r="CB45" i="4" s="1"/>
  <c r="CB87" i="2"/>
  <c r="CB87" i="4" s="1"/>
  <c r="CB47" i="2"/>
  <c r="CB47" i="4" s="1"/>
  <c r="CB35" i="2"/>
  <c r="CB35" i="4" s="1"/>
  <c r="CB112" i="2"/>
  <c r="CB112" i="4" s="1"/>
  <c r="CB9" i="2"/>
  <c r="CB9" i="4" s="1"/>
  <c r="CB20" i="2"/>
  <c r="CB20" i="4" s="1"/>
  <c r="CB83" i="2"/>
  <c r="CB83" i="4" s="1"/>
  <c r="CB51" i="2"/>
  <c r="CB51" i="4" s="1"/>
  <c r="CB123" i="2"/>
  <c r="CB123" i="4" s="1"/>
  <c r="CB119" i="2"/>
  <c r="CB119" i="4" s="1"/>
  <c r="CB115" i="2"/>
  <c r="CB115" i="4" s="1"/>
  <c r="CB111" i="2"/>
  <c r="CB111" i="4" s="1"/>
  <c r="CB107" i="2"/>
  <c r="CB107" i="4" s="1"/>
  <c r="CB103" i="2"/>
  <c r="CB103" i="4" s="1"/>
  <c r="CB99" i="2"/>
  <c r="CB99" i="4" s="1"/>
  <c r="CB41" i="2"/>
  <c r="CB41" i="4" s="1"/>
  <c r="CB37" i="2"/>
  <c r="CB37" i="4" s="1"/>
  <c r="CB33" i="2"/>
  <c r="CB33" i="4" s="1"/>
  <c r="CB17" i="2"/>
  <c r="CB17" i="4" s="1"/>
  <c r="CB32" i="2"/>
  <c r="CB32" i="4" s="1"/>
  <c r="CB24" i="2"/>
  <c r="CB24" i="4" s="1"/>
  <c r="CB91" i="2"/>
  <c r="CB91" i="4" s="1"/>
  <c r="CB39" i="2"/>
  <c r="CB39" i="4" s="1"/>
  <c r="CB31" i="2"/>
  <c r="CB31" i="4" s="1"/>
  <c r="CB7" i="2"/>
  <c r="CB7" i="4" s="1"/>
  <c r="CB127" i="2"/>
  <c r="CB127" i="4" s="1"/>
  <c r="CB120" i="2"/>
  <c r="CB120" i="4" s="1"/>
  <c r="CB104" i="2"/>
  <c r="CB104" i="4" s="1"/>
  <c r="CD1" i="4" l="1"/>
  <c r="CE2" i="4"/>
  <c r="CD2" i="2"/>
  <c r="CC83" i="2"/>
  <c r="CC83" i="4" s="1"/>
  <c r="CC95" i="2"/>
  <c r="CC95" i="4" s="1"/>
  <c r="CC114" i="2"/>
  <c r="CC114" i="4" s="1"/>
  <c r="CC130" i="2"/>
  <c r="CC130" i="4" s="1"/>
  <c r="CC118" i="2"/>
  <c r="CC118" i="4" s="1"/>
  <c r="CC102" i="2"/>
  <c r="CC102" i="4" s="1"/>
  <c r="CC90" i="2"/>
  <c r="CC90" i="4" s="1"/>
  <c r="CC86" i="2"/>
  <c r="CC86" i="4" s="1"/>
  <c r="CC82" i="2"/>
  <c r="CC82" i="4" s="1"/>
  <c r="CC66" i="2"/>
  <c r="CC66" i="4" s="1"/>
  <c r="CC62" i="2"/>
  <c r="CC62" i="4" s="1"/>
  <c r="CC58" i="2"/>
  <c r="CC58" i="4" s="1"/>
  <c r="CC54" i="2"/>
  <c r="CC54" i="4" s="1"/>
  <c r="CC50" i="2"/>
  <c r="CC50" i="4" s="1"/>
  <c r="CC42" i="2"/>
  <c r="CC42" i="4" s="1"/>
  <c r="CC38" i="2"/>
  <c r="CC38" i="4" s="1"/>
  <c r="CC30" i="2"/>
  <c r="CC30" i="4" s="1"/>
  <c r="CC22" i="2"/>
  <c r="CC22" i="4" s="1"/>
  <c r="CC14" i="2"/>
  <c r="CC14" i="4" s="1"/>
  <c r="CC10" i="2"/>
  <c r="CC10" i="4" s="1"/>
  <c r="CC6" i="2"/>
  <c r="CC6" i="4" s="1"/>
  <c r="CC70" i="2"/>
  <c r="CC70" i="4" s="1"/>
  <c r="CC46" i="2"/>
  <c r="CC46" i="4" s="1"/>
  <c r="CC34" i="2"/>
  <c r="CC34" i="4" s="1"/>
  <c r="CC26" i="2"/>
  <c r="CC26" i="4" s="1"/>
  <c r="CC98" i="2"/>
  <c r="CC98" i="4" s="1"/>
  <c r="CC94" i="2"/>
  <c r="CC94" i="4" s="1"/>
  <c r="CC78" i="2"/>
  <c r="CC78" i="4" s="1"/>
  <c r="CC18" i="2"/>
  <c r="CC18" i="4" s="1"/>
  <c r="CC122" i="2"/>
  <c r="CC122" i="4" s="1"/>
  <c r="CC106" i="2"/>
  <c r="CC106" i="4" s="1"/>
  <c r="CC93" i="2"/>
  <c r="CC93" i="4" s="1"/>
  <c r="CC89" i="2"/>
  <c r="CC89" i="4" s="1"/>
  <c r="CC85" i="2"/>
  <c r="CC85" i="4" s="1"/>
  <c r="CC81" i="2"/>
  <c r="CC81" i="4" s="1"/>
  <c r="CC129" i="2"/>
  <c r="CC129" i="4" s="1"/>
  <c r="CC125" i="2"/>
  <c r="CC125" i="4" s="1"/>
  <c r="CC121" i="2"/>
  <c r="CC121" i="4" s="1"/>
  <c r="CC117" i="2"/>
  <c r="CC117" i="4" s="1"/>
  <c r="CC113" i="2"/>
  <c r="CC113" i="4" s="1"/>
  <c r="CC109" i="2"/>
  <c r="CC109" i="4" s="1"/>
  <c r="CC105" i="2"/>
  <c r="CC105" i="4" s="1"/>
  <c r="CC101" i="2"/>
  <c r="CC101" i="4" s="1"/>
  <c r="CC97" i="2"/>
  <c r="CC97" i="4" s="1"/>
  <c r="CC77" i="2"/>
  <c r="CC77" i="4" s="1"/>
  <c r="CC53" i="2"/>
  <c r="CC53" i="4" s="1"/>
  <c r="CC49" i="2"/>
  <c r="CC49" i="4" s="1"/>
  <c r="CC25" i="2"/>
  <c r="CC25" i="4" s="1"/>
  <c r="CC21" i="2"/>
  <c r="CC21" i="4" s="1"/>
  <c r="CC64" i="2"/>
  <c r="CC64" i="4" s="1"/>
  <c r="CC61" i="2"/>
  <c r="CC61" i="4" s="1"/>
  <c r="CC57" i="2"/>
  <c r="CC57" i="4" s="1"/>
  <c r="CC29" i="2"/>
  <c r="CC29" i="4" s="1"/>
  <c r="CC9" i="2"/>
  <c r="CC9" i="4" s="1"/>
  <c r="CC126" i="2"/>
  <c r="CC126" i="4" s="1"/>
  <c r="CC110" i="2"/>
  <c r="CC110" i="4" s="1"/>
  <c r="CC68" i="2"/>
  <c r="CC68" i="4" s="1"/>
  <c r="CC32" i="2"/>
  <c r="CC32" i="4" s="1"/>
  <c r="CC119" i="2"/>
  <c r="CC119" i="4" s="1"/>
  <c r="CC103" i="2"/>
  <c r="CC103" i="4" s="1"/>
  <c r="CC87" i="2"/>
  <c r="CC87" i="4" s="1"/>
  <c r="CC3" i="2"/>
  <c r="CC3" i="4" s="1"/>
  <c r="CC13" i="2"/>
  <c r="CC13" i="4" s="1"/>
  <c r="CC72" i="2"/>
  <c r="CC72" i="4" s="1"/>
  <c r="CC60" i="2"/>
  <c r="CC60" i="4" s="1"/>
  <c r="CC56" i="2"/>
  <c r="CC56" i="4" s="1"/>
  <c r="CC28" i="2"/>
  <c r="CC28" i="4" s="1"/>
  <c r="CC20" i="2"/>
  <c r="CC20" i="4" s="1"/>
  <c r="CC16" i="2"/>
  <c r="CC16" i="4" s="1"/>
  <c r="CC12" i="2"/>
  <c r="CC12" i="4" s="1"/>
  <c r="CC8" i="2"/>
  <c r="CC8" i="4" s="1"/>
  <c r="CC4" i="2"/>
  <c r="CC4" i="4" s="1"/>
  <c r="CC123" i="2"/>
  <c r="CC123" i="4" s="1"/>
  <c r="CC107" i="2"/>
  <c r="CC107" i="4" s="1"/>
  <c r="CC74" i="2"/>
  <c r="CC74" i="4" s="1"/>
  <c r="CC52" i="2"/>
  <c r="CC52" i="4" s="1"/>
  <c r="CC44" i="2"/>
  <c r="CC44" i="4" s="1"/>
  <c r="CC127" i="2"/>
  <c r="CC127" i="4" s="1"/>
  <c r="CC71" i="2"/>
  <c r="CC71" i="4" s="1"/>
  <c r="CC67" i="2"/>
  <c r="CC67" i="4" s="1"/>
  <c r="CC43" i="2"/>
  <c r="CC43" i="4" s="1"/>
  <c r="CC7" i="2"/>
  <c r="CC7" i="4" s="1"/>
  <c r="CC128" i="2"/>
  <c r="CC128" i="4" s="1"/>
  <c r="CC79" i="2"/>
  <c r="CC79" i="4" s="1"/>
  <c r="CC15" i="2"/>
  <c r="CC15" i="4" s="1"/>
  <c r="CC96" i="2"/>
  <c r="CC96" i="4" s="1"/>
  <c r="CC92" i="2"/>
  <c r="CC92" i="4" s="1"/>
  <c r="CC88" i="2"/>
  <c r="CC88" i="4" s="1"/>
  <c r="CC84" i="2"/>
  <c r="CC84" i="4" s="1"/>
  <c r="CC80" i="2"/>
  <c r="CC80" i="4" s="1"/>
  <c r="CC76" i="2"/>
  <c r="CC76" i="4" s="1"/>
  <c r="CC40" i="2"/>
  <c r="CC40" i="4" s="1"/>
  <c r="CC99" i="2"/>
  <c r="CC99" i="4" s="1"/>
  <c r="CC75" i="2"/>
  <c r="CC75" i="4" s="1"/>
  <c r="CC55" i="2"/>
  <c r="CC55" i="4" s="1"/>
  <c r="CC23" i="2"/>
  <c r="CC23" i="4" s="1"/>
  <c r="CC73" i="2"/>
  <c r="CC73" i="4" s="1"/>
  <c r="CC69" i="2"/>
  <c r="CC69" i="4" s="1"/>
  <c r="CC45" i="2"/>
  <c r="CC45" i="4" s="1"/>
  <c r="CC33" i="2"/>
  <c r="CC33" i="4" s="1"/>
  <c r="CC5" i="2"/>
  <c r="CC5" i="4" s="1"/>
  <c r="CC48" i="2"/>
  <c r="CC48" i="4" s="1"/>
  <c r="CC63" i="2"/>
  <c r="CC63" i="4" s="1"/>
  <c r="CC59" i="2"/>
  <c r="CC59" i="4" s="1"/>
  <c r="CC47" i="2"/>
  <c r="CC47" i="4" s="1"/>
  <c r="CC31" i="2"/>
  <c r="CC31" i="4" s="1"/>
  <c r="CC91" i="2"/>
  <c r="CC91" i="4" s="1"/>
  <c r="CC36" i="2"/>
  <c r="CC36" i="4" s="1"/>
  <c r="CC24" i="2"/>
  <c r="CC24" i="4" s="1"/>
  <c r="CC111" i="2"/>
  <c r="CC111" i="4" s="1"/>
  <c r="CC51" i="2"/>
  <c r="CC51" i="4" s="1"/>
  <c r="CC39" i="2"/>
  <c r="CC39" i="4" s="1"/>
  <c r="CC35" i="2"/>
  <c r="CC35" i="4" s="1"/>
  <c r="CC27" i="2"/>
  <c r="CC27" i="4" s="1"/>
  <c r="CC19" i="2"/>
  <c r="CC19" i="4" s="1"/>
  <c r="CC11" i="2"/>
  <c r="CC11" i="4" s="1"/>
  <c r="CC124" i="2"/>
  <c r="CC124" i="4" s="1"/>
  <c r="CC120" i="2"/>
  <c r="CC120" i="4" s="1"/>
  <c r="CC116" i="2"/>
  <c r="CC116" i="4" s="1"/>
  <c r="CC112" i="2"/>
  <c r="CC112" i="4" s="1"/>
  <c r="CC108" i="2"/>
  <c r="CC108" i="4" s="1"/>
  <c r="CC104" i="2"/>
  <c r="CC104" i="4" s="1"/>
  <c r="CC100" i="2"/>
  <c r="CC100" i="4" s="1"/>
  <c r="CC65" i="2"/>
  <c r="CC65" i="4" s="1"/>
  <c r="CC41" i="2"/>
  <c r="CC41" i="4" s="1"/>
  <c r="CC37" i="2"/>
  <c r="CC37" i="4" s="1"/>
  <c r="CC17" i="2"/>
  <c r="CC17" i="4" s="1"/>
  <c r="CC115" i="2"/>
  <c r="CC115" i="4" s="1"/>
  <c r="CE1" i="4" l="1"/>
  <c r="CF2" i="4"/>
  <c r="CE2" i="2"/>
  <c r="CD84" i="2"/>
  <c r="CD84" i="4" s="1"/>
  <c r="CD111" i="2"/>
  <c r="CD111" i="4" s="1"/>
  <c r="CD127" i="2"/>
  <c r="CD127" i="4" s="1"/>
  <c r="CD107" i="2"/>
  <c r="CD107" i="4" s="1"/>
  <c r="CD123" i="2"/>
  <c r="CD123" i="4" s="1"/>
  <c r="CD96" i="2"/>
  <c r="CD96" i="4" s="1"/>
  <c r="CD103" i="2"/>
  <c r="CD103" i="4" s="1"/>
  <c r="CD119" i="2"/>
  <c r="CD119" i="4" s="1"/>
  <c r="CD99" i="2"/>
  <c r="CD99" i="4" s="1"/>
  <c r="CD115" i="2"/>
  <c r="CD115" i="4" s="1"/>
  <c r="CD126" i="2"/>
  <c r="CD126" i="4" s="1"/>
  <c r="CD122" i="2"/>
  <c r="CD122" i="4" s="1"/>
  <c r="CD118" i="2"/>
  <c r="CD118" i="4" s="1"/>
  <c r="CD114" i="2"/>
  <c r="CD114" i="4" s="1"/>
  <c r="CD110" i="2"/>
  <c r="CD110" i="4" s="1"/>
  <c r="CD106" i="2"/>
  <c r="CD106" i="4" s="1"/>
  <c r="CD102" i="2"/>
  <c r="CD102" i="4" s="1"/>
  <c r="CD98" i="2"/>
  <c r="CD98" i="4" s="1"/>
  <c r="CD94" i="2"/>
  <c r="CD94" i="4" s="1"/>
  <c r="CD90" i="2"/>
  <c r="CD90" i="4" s="1"/>
  <c r="CD86" i="2"/>
  <c r="CD86" i="4" s="1"/>
  <c r="CD82" i="2"/>
  <c r="CD82" i="4" s="1"/>
  <c r="CD78" i="2"/>
  <c r="CD78" i="4" s="1"/>
  <c r="CD74" i="2"/>
  <c r="CD74" i="4" s="1"/>
  <c r="CD70" i="2"/>
  <c r="CD70" i="4" s="1"/>
  <c r="CD66" i="2"/>
  <c r="CD66" i="4" s="1"/>
  <c r="CD42" i="2"/>
  <c r="CD42" i="4" s="1"/>
  <c r="CD38" i="2"/>
  <c r="CD38" i="4" s="1"/>
  <c r="CD30" i="2"/>
  <c r="CD30" i="4" s="1"/>
  <c r="CD14" i="2"/>
  <c r="CD14" i="4" s="1"/>
  <c r="CD6" i="2"/>
  <c r="CD6" i="4" s="1"/>
  <c r="CD34" i="2"/>
  <c r="CD34" i="4" s="1"/>
  <c r="CD62" i="2"/>
  <c r="CD62" i="4" s="1"/>
  <c r="CD58" i="2"/>
  <c r="CD58" i="4" s="1"/>
  <c r="CD54" i="2"/>
  <c r="CD54" i="4" s="1"/>
  <c r="CD50" i="2"/>
  <c r="CD50" i="4" s="1"/>
  <c r="CD46" i="2"/>
  <c r="CD46" i="4" s="1"/>
  <c r="CD26" i="2"/>
  <c r="CD26" i="4" s="1"/>
  <c r="CD22" i="2"/>
  <c r="CD22" i="4" s="1"/>
  <c r="CD18" i="2"/>
  <c r="CD18" i="4" s="1"/>
  <c r="CD10" i="2"/>
  <c r="CD10" i="4" s="1"/>
  <c r="CD93" i="2"/>
  <c r="CD93" i="4" s="1"/>
  <c r="CD89" i="2"/>
  <c r="CD89" i="4" s="1"/>
  <c r="CD85" i="2"/>
  <c r="CD85" i="4" s="1"/>
  <c r="CD129" i="2"/>
  <c r="CD129" i="4" s="1"/>
  <c r="CD125" i="2"/>
  <c r="CD125" i="4" s="1"/>
  <c r="CD121" i="2"/>
  <c r="CD121" i="4" s="1"/>
  <c r="CD117" i="2"/>
  <c r="CD117" i="4" s="1"/>
  <c r="CD113" i="2"/>
  <c r="CD113" i="4" s="1"/>
  <c r="CD109" i="2"/>
  <c r="CD109" i="4" s="1"/>
  <c r="CD105" i="2"/>
  <c r="CD105" i="4" s="1"/>
  <c r="CD101" i="2"/>
  <c r="CD101" i="4" s="1"/>
  <c r="CD97" i="2"/>
  <c r="CD97" i="4" s="1"/>
  <c r="CD5" i="2"/>
  <c r="CD5" i="4" s="1"/>
  <c r="CD64" i="2"/>
  <c r="CD64" i="4" s="1"/>
  <c r="CD45" i="2"/>
  <c r="CD45" i="4" s="1"/>
  <c r="CD41" i="2"/>
  <c r="CD41" i="4" s="1"/>
  <c r="CD37" i="2"/>
  <c r="CD37" i="4" s="1"/>
  <c r="CD17" i="2"/>
  <c r="CD17" i="4" s="1"/>
  <c r="CD13" i="2"/>
  <c r="CD13" i="4" s="1"/>
  <c r="CD68" i="2"/>
  <c r="CD68" i="4" s="1"/>
  <c r="CD32" i="2"/>
  <c r="CD32" i="4" s="1"/>
  <c r="CD120" i="2"/>
  <c r="CD120" i="4" s="1"/>
  <c r="CD104" i="2"/>
  <c r="CD104" i="4" s="1"/>
  <c r="CD88" i="2"/>
  <c r="CD88" i="4" s="1"/>
  <c r="CD91" i="2"/>
  <c r="CD91" i="4" s="1"/>
  <c r="CD61" i="2"/>
  <c r="CD61" i="4" s="1"/>
  <c r="CD9" i="2"/>
  <c r="CD9" i="4" s="1"/>
  <c r="CD72" i="2"/>
  <c r="CD72" i="4" s="1"/>
  <c r="CD56" i="2"/>
  <c r="CD56" i="4" s="1"/>
  <c r="CD20" i="2"/>
  <c r="CD20" i="4" s="1"/>
  <c r="CD16" i="2"/>
  <c r="CD16" i="4" s="1"/>
  <c r="CD8" i="2"/>
  <c r="CD8" i="4" s="1"/>
  <c r="CD4" i="2"/>
  <c r="CD4" i="4" s="1"/>
  <c r="CD124" i="2"/>
  <c r="CD124" i="4" s="1"/>
  <c r="CD108" i="2"/>
  <c r="CD108" i="4" s="1"/>
  <c r="CD29" i="2"/>
  <c r="CD29" i="4" s="1"/>
  <c r="CD52" i="2"/>
  <c r="CD52" i="4" s="1"/>
  <c r="CD40" i="2"/>
  <c r="CD40" i="4" s="1"/>
  <c r="CD128" i="2"/>
  <c r="CD128" i="4" s="1"/>
  <c r="CD3" i="2"/>
  <c r="CD3" i="4" s="1"/>
  <c r="CD87" i="2"/>
  <c r="CD87" i="4" s="1"/>
  <c r="CD75" i="2"/>
  <c r="CD75" i="4" s="1"/>
  <c r="CD35" i="2"/>
  <c r="CD35" i="4" s="1"/>
  <c r="CD19" i="2"/>
  <c r="CD19" i="4" s="1"/>
  <c r="CD95" i="2"/>
  <c r="CD95" i="4" s="1"/>
  <c r="CD80" i="2"/>
  <c r="CD80" i="4" s="1"/>
  <c r="CD33" i="2"/>
  <c r="CD33" i="4" s="1"/>
  <c r="CD76" i="2"/>
  <c r="CD76" i="4" s="1"/>
  <c r="CD44" i="2"/>
  <c r="CD44" i="4" s="1"/>
  <c r="CD36" i="2"/>
  <c r="CD36" i="4" s="1"/>
  <c r="CD12" i="2"/>
  <c r="CD12" i="4" s="1"/>
  <c r="CD100" i="2"/>
  <c r="CD100" i="4" s="1"/>
  <c r="CD63" i="2"/>
  <c r="CD63" i="4" s="1"/>
  <c r="CD55" i="2"/>
  <c r="CD55" i="4" s="1"/>
  <c r="CD23" i="2"/>
  <c r="CD23" i="4" s="1"/>
  <c r="CD7" i="2"/>
  <c r="CD7" i="4" s="1"/>
  <c r="CD67" i="2"/>
  <c r="CD67" i="4" s="1"/>
  <c r="CD77" i="2"/>
  <c r="CD77" i="4" s="1"/>
  <c r="CD73" i="2"/>
  <c r="CD73" i="4" s="1"/>
  <c r="CD69" i="2"/>
  <c r="CD69" i="4" s="1"/>
  <c r="CD57" i="2"/>
  <c r="CD57" i="4" s="1"/>
  <c r="CD53" i="2"/>
  <c r="CD53" i="4" s="1"/>
  <c r="CD49" i="2"/>
  <c r="CD49" i="4" s="1"/>
  <c r="CD48" i="2"/>
  <c r="CD48" i="4" s="1"/>
  <c r="CD83" i="2"/>
  <c r="CD83" i="4" s="1"/>
  <c r="CD59" i="2"/>
  <c r="CD59" i="4" s="1"/>
  <c r="CD47" i="2"/>
  <c r="CD47" i="4" s="1"/>
  <c r="CD43" i="2"/>
  <c r="CD43" i="4" s="1"/>
  <c r="CD31" i="2"/>
  <c r="CD31" i="4" s="1"/>
  <c r="CD92" i="2"/>
  <c r="CD92" i="4" s="1"/>
  <c r="CD130" i="2"/>
  <c r="CD130" i="4" s="1"/>
  <c r="CD60" i="2"/>
  <c r="CD60" i="4" s="1"/>
  <c r="CD24" i="2"/>
  <c r="CD24" i="4" s="1"/>
  <c r="CD112" i="2"/>
  <c r="CD112" i="4" s="1"/>
  <c r="CD79" i="2"/>
  <c r="CD79" i="4" s="1"/>
  <c r="CD71" i="2"/>
  <c r="CD71" i="4" s="1"/>
  <c r="CD51" i="2"/>
  <c r="CD51" i="4" s="1"/>
  <c r="CD39" i="2"/>
  <c r="CD39" i="4" s="1"/>
  <c r="CD27" i="2"/>
  <c r="CD27" i="4" s="1"/>
  <c r="CD11" i="2"/>
  <c r="CD11" i="4" s="1"/>
  <c r="CD81" i="2"/>
  <c r="CD81" i="4" s="1"/>
  <c r="CD65" i="2"/>
  <c r="CD65" i="4" s="1"/>
  <c r="CD25" i="2"/>
  <c r="CD25" i="4" s="1"/>
  <c r="CD21" i="2"/>
  <c r="CD21" i="4" s="1"/>
  <c r="CD28" i="2"/>
  <c r="CD28" i="4" s="1"/>
  <c r="CD116" i="2"/>
  <c r="CD116" i="4" s="1"/>
  <c r="CD15" i="2"/>
  <c r="CD15" i="4" s="1"/>
  <c r="CF1" i="4" l="1"/>
  <c r="CG2" i="4"/>
  <c r="CF2" i="2"/>
  <c r="CE127" i="2"/>
  <c r="CE127" i="4" s="1"/>
  <c r="CE112" i="2"/>
  <c r="CE112" i="4" s="1"/>
  <c r="CE128" i="2"/>
  <c r="CE128" i="4" s="1"/>
  <c r="CE108" i="2"/>
  <c r="CE108" i="4" s="1"/>
  <c r="CE124" i="2"/>
  <c r="CE124" i="4" s="1"/>
  <c r="CE104" i="2"/>
  <c r="CE104" i="4" s="1"/>
  <c r="CE120" i="2"/>
  <c r="CE120" i="4" s="1"/>
  <c r="CE100" i="2"/>
  <c r="CE100" i="4" s="1"/>
  <c r="CE116" i="2"/>
  <c r="CE116" i="4" s="1"/>
  <c r="CE97" i="2"/>
  <c r="CE97" i="4" s="1"/>
  <c r="CE130" i="2"/>
  <c r="CE130" i="4" s="1"/>
  <c r="CE126" i="2"/>
  <c r="CE126" i="4" s="1"/>
  <c r="CE122" i="2"/>
  <c r="CE122" i="4" s="1"/>
  <c r="CE118" i="2"/>
  <c r="CE118" i="4" s="1"/>
  <c r="CE114" i="2"/>
  <c r="CE114" i="4" s="1"/>
  <c r="CE110" i="2"/>
  <c r="CE110" i="4" s="1"/>
  <c r="CE106" i="2"/>
  <c r="CE106" i="4" s="1"/>
  <c r="CE102" i="2"/>
  <c r="CE102" i="4" s="1"/>
  <c r="CE98" i="2"/>
  <c r="CE98" i="4" s="1"/>
  <c r="CE94" i="2"/>
  <c r="CE94" i="4" s="1"/>
  <c r="CE90" i="2"/>
  <c r="CE90" i="4" s="1"/>
  <c r="CE86" i="2"/>
  <c r="CE86" i="4" s="1"/>
  <c r="CE82" i="2"/>
  <c r="CE82" i="4" s="1"/>
  <c r="CE74" i="2"/>
  <c r="CE74" i="4" s="1"/>
  <c r="CE70" i="2"/>
  <c r="CE70" i="4" s="1"/>
  <c r="CE66" i="2"/>
  <c r="CE66" i="4" s="1"/>
  <c r="CE46" i="2"/>
  <c r="CE46" i="4" s="1"/>
  <c r="CE18" i="2"/>
  <c r="CE18" i="4" s="1"/>
  <c r="CE78" i="2"/>
  <c r="CE78" i="4" s="1"/>
  <c r="CE58" i="2"/>
  <c r="CE58" i="4" s="1"/>
  <c r="CE54" i="2"/>
  <c r="CE54" i="4" s="1"/>
  <c r="CE50" i="2"/>
  <c r="CE50" i="4" s="1"/>
  <c r="CE42" i="2"/>
  <c r="CE42" i="4" s="1"/>
  <c r="CE38" i="2"/>
  <c r="CE38" i="4" s="1"/>
  <c r="CE34" i="2"/>
  <c r="CE34" i="4" s="1"/>
  <c r="CE30" i="2"/>
  <c r="CE30" i="4" s="1"/>
  <c r="CE26" i="2"/>
  <c r="CE26" i="4" s="1"/>
  <c r="CE22" i="2"/>
  <c r="CE22" i="4" s="1"/>
  <c r="CE14" i="2"/>
  <c r="CE14" i="4" s="1"/>
  <c r="CE10" i="2"/>
  <c r="CE10" i="4" s="1"/>
  <c r="CE85" i="2"/>
  <c r="CE85" i="4" s="1"/>
  <c r="CE81" i="2"/>
  <c r="CE81" i="4" s="1"/>
  <c r="CE61" i="2"/>
  <c r="CE61" i="4" s="1"/>
  <c r="CE41" i="2"/>
  <c r="CE41" i="4" s="1"/>
  <c r="CE37" i="2"/>
  <c r="CE37" i="4" s="1"/>
  <c r="CE33" i="2"/>
  <c r="CE33" i="4" s="1"/>
  <c r="CE17" i="2"/>
  <c r="CE17" i="4" s="1"/>
  <c r="CE92" i="2"/>
  <c r="CE92" i="4" s="1"/>
  <c r="CE88" i="2"/>
  <c r="CE88" i="4" s="1"/>
  <c r="CE84" i="2"/>
  <c r="CE84" i="4" s="1"/>
  <c r="CE80" i="2"/>
  <c r="CE80" i="4" s="1"/>
  <c r="CE129" i="2"/>
  <c r="CE129" i="4" s="1"/>
  <c r="CE125" i="2"/>
  <c r="CE125" i="4" s="1"/>
  <c r="CE121" i="2"/>
  <c r="CE121" i="4" s="1"/>
  <c r="CE117" i="2"/>
  <c r="CE117" i="4" s="1"/>
  <c r="CE113" i="2"/>
  <c r="CE113" i="4" s="1"/>
  <c r="CE109" i="2"/>
  <c r="CE109" i="4" s="1"/>
  <c r="CE105" i="2"/>
  <c r="CE105" i="4" s="1"/>
  <c r="CE101" i="2"/>
  <c r="CE101" i="4" s="1"/>
  <c r="CE89" i="2"/>
  <c r="CE89" i="4" s="1"/>
  <c r="CE76" i="2"/>
  <c r="CE76" i="4" s="1"/>
  <c r="CE64" i="2"/>
  <c r="CE64" i="4" s="1"/>
  <c r="CE32" i="2"/>
  <c r="CE32" i="4" s="1"/>
  <c r="CE91" i="2"/>
  <c r="CE91" i="4" s="1"/>
  <c r="CE62" i="2"/>
  <c r="CE62" i="4" s="1"/>
  <c r="CE45" i="2"/>
  <c r="CE45" i="4" s="1"/>
  <c r="CE29" i="2"/>
  <c r="CE29" i="4" s="1"/>
  <c r="CE5" i="2"/>
  <c r="CE5" i="4" s="1"/>
  <c r="CE56" i="2"/>
  <c r="CE56" i="4" s="1"/>
  <c r="CE44" i="2"/>
  <c r="CE44" i="4" s="1"/>
  <c r="CE20" i="2"/>
  <c r="CE20" i="4" s="1"/>
  <c r="CE3" i="2"/>
  <c r="CE3" i="4" s="1"/>
  <c r="CE95" i="2"/>
  <c r="CE95" i="4" s="1"/>
  <c r="CE6" i="2"/>
  <c r="CE6" i="4" s="1"/>
  <c r="CE9" i="2"/>
  <c r="CE9" i="4" s="1"/>
  <c r="CE52" i="2"/>
  <c r="CE52" i="4" s="1"/>
  <c r="CE40" i="2"/>
  <c r="CE40" i="4" s="1"/>
  <c r="CE36" i="2"/>
  <c r="CE36" i="4" s="1"/>
  <c r="CE4" i="2"/>
  <c r="CE4" i="4" s="1"/>
  <c r="CE87" i="2"/>
  <c r="CE87" i="4" s="1"/>
  <c r="CE75" i="2"/>
  <c r="CE75" i="4" s="1"/>
  <c r="CE63" i="2"/>
  <c r="CE63" i="4" s="1"/>
  <c r="CE47" i="2"/>
  <c r="CE47" i="4" s="1"/>
  <c r="CE35" i="2"/>
  <c r="CE35" i="4" s="1"/>
  <c r="CE27" i="2"/>
  <c r="CE27" i="4" s="1"/>
  <c r="CE19" i="2"/>
  <c r="CE19" i="4" s="1"/>
  <c r="CE96" i="2"/>
  <c r="CE96" i="4" s="1"/>
  <c r="CE43" i="2"/>
  <c r="CE43" i="4" s="1"/>
  <c r="CE72" i="2"/>
  <c r="CE72" i="4" s="1"/>
  <c r="CE8" i="2"/>
  <c r="CE8" i="4" s="1"/>
  <c r="CE71" i="2"/>
  <c r="CE71" i="4" s="1"/>
  <c r="CE67" i="2"/>
  <c r="CE67" i="4" s="1"/>
  <c r="CE59" i="2"/>
  <c r="CE59" i="4" s="1"/>
  <c r="CE15" i="2"/>
  <c r="CE15" i="4" s="1"/>
  <c r="CE119" i="2"/>
  <c r="CE119" i="4" s="1"/>
  <c r="CE111" i="2"/>
  <c r="CE111" i="4" s="1"/>
  <c r="CE103" i="2"/>
  <c r="CE103" i="4" s="1"/>
  <c r="CE77" i="2"/>
  <c r="CE77" i="4" s="1"/>
  <c r="CE73" i="2"/>
  <c r="CE73" i="4" s="1"/>
  <c r="CE69" i="2"/>
  <c r="CE69" i="4" s="1"/>
  <c r="CE65" i="2"/>
  <c r="CE65" i="4" s="1"/>
  <c r="CE57" i="2"/>
  <c r="CE57" i="4" s="1"/>
  <c r="CE53" i="2"/>
  <c r="CE53" i="4" s="1"/>
  <c r="CE49" i="2"/>
  <c r="CE49" i="4" s="1"/>
  <c r="CE48" i="2"/>
  <c r="CE48" i="4" s="1"/>
  <c r="CE83" i="2"/>
  <c r="CE83" i="4" s="1"/>
  <c r="CE31" i="2"/>
  <c r="CE31" i="4" s="1"/>
  <c r="CE7" i="2"/>
  <c r="CE7" i="4" s="1"/>
  <c r="CE123" i="2"/>
  <c r="CE123" i="4" s="1"/>
  <c r="CE93" i="2"/>
  <c r="CE93" i="4" s="1"/>
  <c r="CE13" i="2"/>
  <c r="CE13" i="4" s="1"/>
  <c r="CE60" i="2"/>
  <c r="CE60" i="4" s="1"/>
  <c r="CE24" i="2"/>
  <c r="CE24" i="4" s="1"/>
  <c r="CE12" i="2"/>
  <c r="CE12" i="4" s="1"/>
  <c r="CE79" i="2"/>
  <c r="CE79" i="4" s="1"/>
  <c r="CE55" i="2"/>
  <c r="CE55" i="4" s="1"/>
  <c r="CE39" i="2"/>
  <c r="CE39" i="4" s="1"/>
  <c r="CE23" i="2"/>
  <c r="CE23" i="4" s="1"/>
  <c r="CE11" i="2"/>
  <c r="CE11" i="4" s="1"/>
  <c r="CE25" i="2"/>
  <c r="CE25" i="4" s="1"/>
  <c r="CE21" i="2"/>
  <c r="CE21" i="4" s="1"/>
  <c r="CE28" i="2"/>
  <c r="CE28" i="4" s="1"/>
  <c r="CE16" i="2"/>
  <c r="CE16" i="4" s="1"/>
  <c r="CE51" i="2"/>
  <c r="CE51" i="4" s="1"/>
  <c r="CE68" i="2"/>
  <c r="CE68" i="4" s="1"/>
  <c r="CE115" i="2"/>
  <c r="CE115" i="4" s="1"/>
  <c r="CE107" i="2"/>
  <c r="CE107" i="4" s="1"/>
  <c r="CE99" i="2"/>
  <c r="CE99" i="4" s="1"/>
  <c r="CG1" i="4" l="1"/>
  <c r="CH2" i="4"/>
  <c r="CG2" i="2"/>
  <c r="CF128" i="2"/>
  <c r="CF128" i="4" s="1"/>
  <c r="CF117" i="2"/>
  <c r="CF117" i="4" s="1"/>
  <c r="CF121" i="2"/>
  <c r="CF121" i="4" s="1"/>
  <c r="CF105" i="2"/>
  <c r="CF105" i="4" s="1"/>
  <c r="CF130" i="2"/>
  <c r="CF130" i="4" s="1"/>
  <c r="CF126" i="2"/>
  <c r="CF126" i="4" s="1"/>
  <c r="CF122" i="2"/>
  <c r="CF122" i="4" s="1"/>
  <c r="CF118" i="2"/>
  <c r="CF118" i="4" s="1"/>
  <c r="CF114" i="2"/>
  <c r="CF114" i="4" s="1"/>
  <c r="CF110" i="2"/>
  <c r="CF110" i="4" s="1"/>
  <c r="CF106" i="2"/>
  <c r="CF106" i="4" s="1"/>
  <c r="CF102" i="2"/>
  <c r="CF102" i="4" s="1"/>
  <c r="CF86" i="2"/>
  <c r="CF86" i="4" s="1"/>
  <c r="CF74" i="2"/>
  <c r="CF74" i="4" s="1"/>
  <c r="CF70" i="2"/>
  <c r="CF70" i="4" s="1"/>
  <c r="CF66" i="2"/>
  <c r="CF66" i="4" s="1"/>
  <c r="CF34" i="2"/>
  <c r="CF34" i="4" s="1"/>
  <c r="CF98" i="2"/>
  <c r="CF98" i="4" s="1"/>
  <c r="CF90" i="2"/>
  <c r="CF90" i="4" s="1"/>
  <c r="CF82" i="2"/>
  <c r="CF82" i="4" s="1"/>
  <c r="CF78" i="2"/>
  <c r="CF78" i="4" s="1"/>
  <c r="CF62" i="2"/>
  <c r="CF62" i="4" s="1"/>
  <c r="CF58" i="2"/>
  <c r="CF58" i="4" s="1"/>
  <c r="CF54" i="2"/>
  <c r="CF54" i="4" s="1"/>
  <c r="CF50" i="2"/>
  <c r="CF50" i="4" s="1"/>
  <c r="CF42" i="2"/>
  <c r="CF42" i="4" s="1"/>
  <c r="CF38" i="2"/>
  <c r="CF38" i="4" s="1"/>
  <c r="CF30" i="2"/>
  <c r="CF30" i="4" s="1"/>
  <c r="CF22" i="2"/>
  <c r="CF22" i="4" s="1"/>
  <c r="CF18" i="2"/>
  <c r="CF18" i="4" s="1"/>
  <c r="CF14" i="2"/>
  <c r="CF14" i="4" s="1"/>
  <c r="CF10" i="2"/>
  <c r="CF10" i="4" s="1"/>
  <c r="CF97" i="2"/>
  <c r="CF97" i="4" s="1"/>
  <c r="CF101" i="2"/>
  <c r="CF101" i="4" s="1"/>
  <c r="CF94" i="2"/>
  <c r="CF94" i="4" s="1"/>
  <c r="CF26" i="2"/>
  <c r="CF26" i="4" s="1"/>
  <c r="CF125" i="2"/>
  <c r="CF125" i="4" s="1"/>
  <c r="CF89" i="2"/>
  <c r="CF89" i="4" s="1"/>
  <c r="CF85" i="2"/>
  <c r="CF85" i="4" s="1"/>
  <c r="CF81" i="2"/>
  <c r="CF81" i="4" s="1"/>
  <c r="CF73" i="2"/>
  <c r="CF73" i="4" s="1"/>
  <c r="CF65" i="2"/>
  <c r="CF65" i="4" s="1"/>
  <c r="CF61" i="2"/>
  <c r="CF61" i="4" s="1"/>
  <c r="CF45" i="2"/>
  <c r="CF45" i="4" s="1"/>
  <c r="CF41" i="2"/>
  <c r="CF41" i="4" s="1"/>
  <c r="CF37" i="2"/>
  <c r="CF37" i="4" s="1"/>
  <c r="CF33" i="2"/>
  <c r="CF33" i="4" s="1"/>
  <c r="CF29" i="2"/>
  <c r="CF29" i="4" s="1"/>
  <c r="CF17" i="2"/>
  <c r="CF17" i="4" s="1"/>
  <c r="CF9" i="2"/>
  <c r="CF9" i="4" s="1"/>
  <c r="CF129" i="2"/>
  <c r="CF129" i="4" s="1"/>
  <c r="CF96" i="2"/>
  <c r="CF96" i="4" s="1"/>
  <c r="CF92" i="2"/>
  <c r="CF92" i="4" s="1"/>
  <c r="CF88" i="2"/>
  <c r="CF88" i="4" s="1"/>
  <c r="CF84" i="2"/>
  <c r="CF84" i="4" s="1"/>
  <c r="CF80" i="2"/>
  <c r="CF80" i="4" s="1"/>
  <c r="CF93" i="2"/>
  <c r="CF93" i="4" s="1"/>
  <c r="CF77" i="2"/>
  <c r="CF77" i="4" s="1"/>
  <c r="CF5" i="2"/>
  <c r="CF5" i="4" s="1"/>
  <c r="CF113" i="2"/>
  <c r="CF113" i="4" s="1"/>
  <c r="CF76" i="2"/>
  <c r="CF76" i="4" s="1"/>
  <c r="CF64" i="2"/>
  <c r="CF64" i="4" s="1"/>
  <c r="CF60" i="2"/>
  <c r="CF60" i="4" s="1"/>
  <c r="CF48" i="2"/>
  <c r="CF48" i="4" s="1"/>
  <c r="CF32" i="2"/>
  <c r="CF32" i="4" s="1"/>
  <c r="CF91" i="2"/>
  <c r="CF91" i="4" s="1"/>
  <c r="CF6" i="2"/>
  <c r="CF6" i="4" s="1"/>
  <c r="CF109" i="2"/>
  <c r="CF109" i="4" s="1"/>
  <c r="CF68" i="2"/>
  <c r="CF68" i="4" s="1"/>
  <c r="CF44" i="2"/>
  <c r="CF44" i="4" s="1"/>
  <c r="CF36" i="2"/>
  <c r="CF36" i="4" s="1"/>
  <c r="CF28" i="2"/>
  <c r="CF28" i="4" s="1"/>
  <c r="CF16" i="2"/>
  <c r="CF16" i="4" s="1"/>
  <c r="CF3" i="2"/>
  <c r="CF3" i="4" s="1"/>
  <c r="CF95" i="2"/>
  <c r="CF95" i="4" s="1"/>
  <c r="CF40" i="2"/>
  <c r="CF40" i="4" s="1"/>
  <c r="CF4" i="2"/>
  <c r="CF4" i="4" s="1"/>
  <c r="CF87" i="2"/>
  <c r="CF87" i="4" s="1"/>
  <c r="CF63" i="2"/>
  <c r="CF63" i="4" s="1"/>
  <c r="CF47" i="2"/>
  <c r="CF47" i="4" s="1"/>
  <c r="CF43" i="2"/>
  <c r="CF43" i="4" s="1"/>
  <c r="CF31" i="2"/>
  <c r="CF31" i="4" s="1"/>
  <c r="CF124" i="2"/>
  <c r="CF124" i="4" s="1"/>
  <c r="CF116" i="2"/>
  <c r="CF116" i="4" s="1"/>
  <c r="CF108" i="2"/>
  <c r="CF108" i="4" s="1"/>
  <c r="CF100" i="2"/>
  <c r="CF100" i="4" s="1"/>
  <c r="CF46" i="2"/>
  <c r="CF46" i="4" s="1"/>
  <c r="CF69" i="2"/>
  <c r="CF69" i="4" s="1"/>
  <c r="CF13" i="2"/>
  <c r="CF13" i="4" s="1"/>
  <c r="CF72" i="2"/>
  <c r="CF72" i="4" s="1"/>
  <c r="CF52" i="2"/>
  <c r="CF52" i="4" s="1"/>
  <c r="CF8" i="2"/>
  <c r="CF8" i="4" s="1"/>
  <c r="CF71" i="2"/>
  <c r="CF71" i="4" s="1"/>
  <c r="CF67" i="2"/>
  <c r="CF67" i="4" s="1"/>
  <c r="CF59" i="2"/>
  <c r="CF59" i="4" s="1"/>
  <c r="CF27" i="2"/>
  <c r="CF27" i="4" s="1"/>
  <c r="CF15" i="2"/>
  <c r="CF15" i="4" s="1"/>
  <c r="CF7" i="2"/>
  <c r="CF7" i="4" s="1"/>
  <c r="CF123" i="2"/>
  <c r="CF123" i="4" s="1"/>
  <c r="CF119" i="2"/>
  <c r="CF119" i="4" s="1"/>
  <c r="CF115" i="2"/>
  <c r="CF115" i="4" s="1"/>
  <c r="CF111" i="2"/>
  <c r="CF111" i="4" s="1"/>
  <c r="CF107" i="2"/>
  <c r="CF107" i="4" s="1"/>
  <c r="CF103" i="2"/>
  <c r="CF103" i="4" s="1"/>
  <c r="CF99" i="2"/>
  <c r="CF99" i="4" s="1"/>
  <c r="CF57" i="2"/>
  <c r="CF57" i="4" s="1"/>
  <c r="CF53" i="2"/>
  <c r="CF53" i="4" s="1"/>
  <c r="CF49" i="2"/>
  <c r="CF49" i="4" s="1"/>
  <c r="CF24" i="2"/>
  <c r="CF24" i="4" s="1"/>
  <c r="CF83" i="2"/>
  <c r="CF83" i="4" s="1"/>
  <c r="CF51" i="2"/>
  <c r="CF51" i="4" s="1"/>
  <c r="CF39" i="2"/>
  <c r="CF39" i="4" s="1"/>
  <c r="CF56" i="2"/>
  <c r="CF56" i="4" s="1"/>
  <c r="CF20" i="2"/>
  <c r="CF20" i="4" s="1"/>
  <c r="CF12" i="2"/>
  <c r="CF12" i="4" s="1"/>
  <c r="CF79" i="2"/>
  <c r="CF79" i="4" s="1"/>
  <c r="CF75" i="2"/>
  <c r="CF75" i="4" s="1"/>
  <c r="CF55" i="2"/>
  <c r="CF55" i="4" s="1"/>
  <c r="CF35" i="2"/>
  <c r="CF35" i="4" s="1"/>
  <c r="CF23" i="2"/>
  <c r="CF23" i="4" s="1"/>
  <c r="CF11" i="2"/>
  <c r="CF11" i="4" s="1"/>
  <c r="CF127" i="2"/>
  <c r="CF127" i="4" s="1"/>
  <c r="CF120" i="2"/>
  <c r="CF120" i="4" s="1"/>
  <c r="CF112" i="2"/>
  <c r="CF112" i="4" s="1"/>
  <c r="CF104" i="2"/>
  <c r="CF104" i="4" s="1"/>
  <c r="CF25" i="2"/>
  <c r="CF25" i="4" s="1"/>
  <c r="CF21" i="2"/>
  <c r="CF21" i="4" s="1"/>
  <c r="CF19" i="2"/>
  <c r="CF19" i="4" s="1"/>
  <c r="CH1" i="4" l="1"/>
  <c r="CI2" i="4"/>
  <c r="CH2" i="2"/>
  <c r="CG87" i="2"/>
  <c r="CG87" i="4" s="1"/>
  <c r="CG130" i="2"/>
  <c r="CG130" i="4" s="1"/>
  <c r="CG102" i="2"/>
  <c r="CG102" i="4" s="1"/>
  <c r="CG118" i="2"/>
  <c r="CG118" i="4" s="1"/>
  <c r="CG70" i="2"/>
  <c r="CG70" i="4" s="1"/>
  <c r="CG122" i="2"/>
  <c r="CG122" i="4" s="1"/>
  <c r="CG106" i="2"/>
  <c r="CG106" i="4" s="1"/>
  <c r="CG90" i="2"/>
  <c r="CG90" i="4" s="1"/>
  <c r="CG86" i="2"/>
  <c r="CG86" i="4" s="1"/>
  <c r="CG82" i="2"/>
  <c r="CG82" i="4" s="1"/>
  <c r="CG74" i="2"/>
  <c r="CG74" i="4" s="1"/>
  <c r="CG66" i="2"/>
  <c r="CG66" i="4" s="1"/>
  <c r="CG62" i="2"/>
  <c r="CG62" i="4" s="1"/>
  <c r="CG58" i="2"/>
  <c r="CG58" i="4" s="1"/>
  <c r="CG54" i="2"/>
  <c r="CG54" i="4" s="1"/>
  <c r="CG50" i="2"/>
  <c r="CG50" i="4" s="1"/>
  <c r="CG42" i="2"/>
  <c r="CG42" i="4" s="1"/>
  <c r="CG38" i="2"/>
  <c r="CG38" i="4" s="1"/>
  <c r="CG30" i="2"/>
  <c r="CG30" i="4" s="1"/>
  <c r="CG22" i="2"/>
  <c r="CG22" i="4" s="1"/>
  <c r="CG14" i="2"/>
  <c r="CG14" i="4" s="1"/>
  <c r="CG10" i="2"/>
  <c r="CG10" i="4" s="1"/>
  <c r="CG6" i="2"/>
  <c r="CG6" i="4" s="1"/>
  <c r="CG98" i="2"/>
  <c r="CG98" i="4" s="1"/>
  <c r="CG94" i="2"/>
  <c r="CG94" i="4" s="1"/>
  <c r="CG46" i="2"/>
  <c r="CG46" i="4" s="1"/>
  <c r="CG34" i="2"/>
  <c r="CG34" i="4" s="1"/>
  <c r="CG26" i="2"/>
  <c r="CG26" i="4" s="1"/>
  <c r="CG78" i="2"/>
  <c r="CG78" i="4" s="1"/>
  <c r="CG126" i="2"/>
  <c r="CG126" i="4" s="1"/>
  <c r="CG89" i="2"/>
  <c r="CG89" i="4" s="1"/>
  <c r="CG85" i="2"/>
  <c r="CG85" i="4" s="1"/>
  <c r="CG81" i="2"/>
  <c r="CG81" i="4" s="1"/>
  <c r="CG73" i="2"/>
  <c r="CG73" i="4" s="1"/>
  <c r="CG69" i="2"/>
  <c r="CG69" i="4" s="1"/>
  <c r="CG65" i="2"/>
  <c r="CG65" i="4" s="1"/>
  <c r="CG57" i="2"/>
  <c r="CG57" i="4" s="1"/>
  <c r="CG53" i="2"/>
  <c r="CG53" i="4" s="1"/>
  <c r="CG49" i="2"/>
  <c r="CG49" i="4" s="1"/>
  <c r="CG45" i="2"/>
  <c r="CG45" i="4" s="1"/>
  <c r="CG41" i="2"/>
  <c r="CG41" i="4" s="1"/>
  <c r="CG37" i="2"/>
  <c r="CG37" i="4" s="1"/>
  <c r="CG33" i="2"/>
  <c r="CG33" i="4" s="1"/>
  <c r="CG25" i="2"/>
  <c r="CG25" i="4" s="1"/>
  <c r="CG21" i="2"/>
  <c r="CG21" i="4" s="1"/>
  <c r="CG17" i="2"/>
  <c r="CG17" i="4" s="1"/>
  <c r="CG5" i="2"/>
  <c r="CG5" i="4" s="1"/>
  <c r="CG96" i="2"/>
  <c r="CG96" i="4" s="1"/>
  <c r="CG92" i="2"/>
  <c r="CG92" i="4" s="1"/>
  <c r="CG88" i="2"/>
  <c r="CG88" i="4" s="1"/>
  <c r="CG84" i="2"/>
  <c r="CG84" i="4" s="1"/>
  <c r="CG80" i="2"/>
  <c r="CG80" i="4" s="1"/>
  <c r="CG76" i="2"/>
  <c r="CG76" i="4" s="1"/>
  <c r="CG129" i="2"/>
  <c r="CG129" i="4" s="1"/>
  <c r="CG125" i="2"/>
  <c r="CG125" i="4" s="1"/>
  <c r="CG121" i="2"/>
  <c r="CG121" i="4" s="1"/>
  <c r="CG117" i="2"/>
  <c r="CG117" i="4" s="1"/>
  <c r="CG113" i="2"/>
  <c r="CG113" i="4" s="1"/>
  <c r="CG109" i="2"/>
  <c r="CG109" i="4" s="1"/>
  <c r="CG105" i="2"/>
  <c r="CG105" i="4" s="1"/>
  <c r="CG101" i="2"/>
  <c r="CG101" i="4" s="1"/>
  <c r="CG97" i="2"/>
  <c r="CG97" i="4" s="1"/>
  <c r="CG77" i="2"/>
  <c r="CG77" i="4" s="1"/>
  <c r="CG114" i="2"/>
  <c r="CG114" i="4" s="1"/>
  <c r="CG64" i="2"/>
  <c r="CG64" i="4" s="1"/>
  <c r="CG60" i="2"/>
  <c r="CG60" i="4" s="1"/>
  <c r="CG48" i="2"/>
  <c r="CG48" i="4" s="1"/>
  <c r="CG36" i="2"/>
  <c r="CG36" i="4" s="1"/>
  <c r="CG16" i="2"/>
  <c r="CG16" i="4" s="1"/>
  <c r="CG123" i="2"/>
  <c r="CG123" i="4" s="1"/>
  <c r="CG107" i="2"/>
  <c r="CG107" i="4" s="1"/>
  <c r="CG18" i="2"/>
  <c r="CG18" i="4" s="1"/>
  <c r="CG110" i="2"/>
  <c r="CG110" i="4" s="1"/>
  <c r="CG93" i="2"/>
  <c r="CG93" i="4" s="1"/>
  <c r="CG61" i="2"/>
  <c r="CG61" i="4" s="1"/>
  <c r="CG29" i="2"/>
  <c r="CG29" i="4" s="1"/>
  <c r="CG9" i="2"/>
  <c r="CG9" i="4" s="1"/>
  <c r="CG68" i="2"/>
  <c r="CG68" i="4" s="1"/>
  <c r="CG32" i="2"/>
  <c r="CG32" i="4" s="1"/>
  <c r="CG8" i="2"/>
  <c r="CG8" i="4" s="1"/>
  <c r="CG127" i="2"/>
  <c r="CG127" i="4" s="1"/>
  <c r="CG111" i="2"/>
  <c r="CG111" i="4" s="1"/>
  <c r="CG91" i="2"/>
  <c r="CG91" i="4" s="1"/>
  <c r="CG3" i="2"/>
  <c r="CG3" i="4" s="1"/>
  <c r="CG13" i="2"/>
  <c r="CG13" i="4" s="1"/>
  <c r="CG28" i="2"/>
  <c r="CG28" i="4" s="1"/>
  <c r="CG4" i="2"/>
  <c r="CG4" i="4" s="1"/>
  <c r="CG99" i="2"/>
  <c r="CG99" i="4" s="1"/>
  <c r="CG63" i="2"/>
  <c r="CG63" i="4" s="1"/>
  <c r="CG59" i="2"/>
  <c r="CG59" i="4" s="1"/>
  <c r="CG47" i="2"/>
  <c r="CG47" i="4" s="1"/>
  <c r="CG31" i="2"/>
  <c r="CG31" i="4" s="1"/>
  <c r="CG15" i="2"/>
  <c r="CG15" i="4" s="1"/>
  <c r="CG7" i="2"/>
  <c r="CG7" i="4" s="1"/>
  <c r="CG83" i="2"/>
  <c r="CG83" i="4" s="1"/>
  <c r="CG128" i="2"/>
  <c r="CG128" i="4" s="1"/>
  <c r="CG72" i="2"/>
  <c r="CG72" i="4" s="1"/>
  <c r="CG56" i="2"/>
  <c r="CG56" i="4" s="1"/>
  <c r="CG52" i="2"/>
  <c r="CG52" i="4" s="1"/>
  <c r="CG44" i="2"/>
  <c r="CG44" i="4" s="1"/>
  <c r="CG40" i="2"/>
  <c r="CG40" i="4" s="1"/>
  <c r="CG103" i="2"/>
  <c r="CG103" i="4" s="1"/>
  <c r="CG71" i="2"/>
  <c r="CG71" i="4" s="1"/>
  <c r="CG67" i="2"/>
  <c r="CG67" i="4" s="1"/>
  <c r="CG43" i="2"/>
  <c r="CG43" i="4" s="1"/>
  <c r="CG19" i="2"/>
  <c r="CG19" i="4" s="1"/>
  <c r="CG124" i="2"/>
  <c r="CG124" i="4" s="1"/>
  <c r="CG120" i="2"/>
  <c r="CG120" i="4" s="1"/>
  <c r="CG116" i="2"/>
  <c r="CG116" i="4" s="1"/>
  <c r="CG112" i="2"/>
  <c r="CG112" i="4" s="1"/>
  <c r="CG108" i="2"/>
  <c r="CG108" i="4" s="1"/>
  <c r="CG104" i="2"/>
  <c r="CG104" i="4" s="1"/>
  <c r="CG100" i="2"/>
  <c r="CG100" i="4" s="1"/>
  <c r="CG51" i="2"/>
  <c r="CG51" i="4" s="1"/>
  <c r="CG20" i="2"/>
  <c r="CG20" i="4" s="1"/>
  <c r="CG12" i="2"/>
  <c r="CG12" i="4" s="1"/>
  <c r="CG115" i="2"/>
  <c r="CG115" i="4" s="1"/>
  <c r="CG75" i="2"/>
  <c r="CG75" i="4" s="1"/>
  <c r="CG55" i="2"/>
  <c r="CG55" i="4" s="1"/>
  <c r="CG35" i="2"/>
  <c r="CG35" i="4" s="1"/>
  <c r="CG23" i="2"/>
  <c r="CG23" i="4" s="1"/>
  <c r="CG95" i="2"/>
  <c r="CG95" i="4" s="1"/>
  <c r="CG79" i="2"/>
  <c r="CG79" i="4" s="1"/>
  <c r="CG24" i="2"/>
  <c r="CG24" i="4" s="1"/>
  <c r="CG119" i="2"/>
  <c r="CG119" i="4" s="1"/>
  <c r="CG39" i="2"/>
  <c r="CG39" i="4" s="1"/>
  <c r="CG27" i="2"/>
  <c r="CG27" i="4" s="1"/>
  <c r="CG11" i="2"/>
  <c r="CG11" i="4" s="1"/>
  <c r="CI1" i="4" l="1"/>
  <c r="CJ2" i="4"/>
  <c r="CI2" i="2"/>
  <c r="CH99" i="2"/>
  <c r="CH99" i="4" s="1"/>
  <c r="CH115" i="2"/>
  <c r="CH115" i="4" s="1"/>
  <c r="CH88" i="2"/>
  <c r="CH88" i="4" s="1"/>
  <c r="CH111" i="2"/>
  <c r="CH111" i="4" s="1"/>
  <c r="CH127" i="2"/>
  <c r="CH127" i="4" s="1"/>
  <c r="CH103" i="2"/>
  <c r="CH103" i="4" s="1"/>
  <c r="CH107" i="2"/>
  <c r="CH107" i="4" s="1"/>
  <c r="CH123" i="2"/>
  <c r="CH123" i="4" s="1"/>
  <c r="CH119" i="2"/>
  <c r="CH119" i="4" s="1"/>
  <c r="CH130" i="2"/>
  <c r="CH130" i="4" s="1"/>
  <c r="CH46" i="2"/>
  <c r="CH46" i="4" s="1"/>
  <c r="CH26" i="2"/>
  <c r="CH26" i="4" s="1"/>
  <c r="CH126" i="2"/>
  <c r="CH126" i="4" s="1"/>
  <c r="CH122" i="2"/>
  <c r="CH122" i="4" s="1"/>
  <c r="CH118" i="2"/>
  <c r="CH118" i="4" s="1"/>
  <c r="CH114" i="2"/>
  <c r="CH114" i="4" s="1"/>
  <c r="CH110" i="2"/>
  <c r="CH110" i="4" s="1"/>
  <c r="CH106" i="2"/>
  <c r="CH106" i="4" s="1"/>
  <c r="CH102" i="2"/>
  <c r="CH102" i="4" s="1"/>
  <c r="CH98" i="2"/>
  <c r="CH98" i="4" s="1"/>
  <c r="CH94" i="2"/>
  <c r="CH94" i="4" s="1"/>
  <c r="CH90" i="2"/>
  <c r="CH90" i="4" s="1"/>
  <c r="CH86" i="2"/>
  <c r="CH86" i="4" s="1"/>
  <c r="CH82" i="2"/>
  <c r="CH82" i="4" s="1"/>
  <c r="CH74" i="2"/>
  <c r="CH74" i="4" s="1"/>
  <c r="CH70" i="2"/>
  <c r="CH70" i="4" s="1"/>
  <c r="CH66" i="2"/>
  <c r="CH66" i="4" s="1"/>
  <c r="CH42" i="2"/>
  <c r="CH42" i="4" s="1"/>
  <c r="CH38" i="2"/>
  <c r="CH38" i="4" s="1"/>
  <c r="CH30" i="2"/>
  <c r="CH30" i="4" s="1"/>
  <c r="CH14" i="2"/>
  <c r="CH14" i="4" s="1"/>
  <c r="CH6" i="2"/>
  <c r="CH6" i="4" s="1"/>
  <c r="CH58" i="2"/>
  <c r="CH58" i="4" s="1"/>
  <c r="CH54" i="2"/>
  <c r="CH54" i="4" s="1"/>
  <c r="CH50" i="2"/>
  <c r="CH50" i="4" s="1"/>
  <c r="CH34" i="2"/>
  <c r="CH34" i="4" s="1"/>
  <c r="CH22" i="2"/>
  <c r="CH22" i="4" s="1"/>
  <c r="CH62" i="2"/>
  <c r="CH62" i="4" s="1"/>
  <c r="CH10" i="2"/>
  <c r="CH10" i="4" s="1"/>
  <c r="CH89" i="2"/>
  <c r="CH89" i="4" s="1"/>
  <c r="CH85" i="2"/>
  <c r="CH85" i="4" s="1"/>
  <c r="CH81" i="2"/>
  <c r="CH81" i="4" s="1"/>
  <c r="CH77" i="2"/>
  <c r="CH77" i="4" s="1"/>
  <c r="CH73" i="2"/>
  <c r="CH73" i="4" s="1"/>
  <c r="CH69" i="2"/>
  <c r="CH69" i="4" s="1"/>
  <c r="CH65" i="2"/>
  <c r="CH65" i="4" s="1"/>
  <c r="CH57" i="2"/>
  <c r="CH57" i="4" s="1"/>
  <c r="CH53" i="2"/>
  <c r="CH53" i="4" s="1"/>
  <c r="CH49" i="2"/>
  <c r="CH49" i="4" s="1"/>
  <c r="CH25" i="2"/>
  <c r="CH25" i="4" s="1"/>
  <c r="CH21" i="2"/>
  <c r="CH21" i="4" s="1"/>
  <c r="CH76" i="2"/>
  <c r="CH76" i="4" s="1"/>
  <c r="CH60" i="2"/>
  <c r="CH60" i="4" s="1"/>
  <c r="CH78" i="2"/>
  <c r="CH78" i="4" s="1"/>
  <c r="CH129" i="2"/>
  <c r="CH129" i="4" s="1"/>
  <c r="CH125" i="2"/>
  <c r="CH125" i="4" s="1"/>
  <c r="CH121" i="2"/>
  <c r="CH121" i="4" s="1"/>
  <c r="CH117" i="2"/>
  <c r="CH117" i="4" s="1"/>
  <c r="CH113" i="2"/>
  <c r="CH113" i="4" s="1"/>
  <c r="CH109" i="2"/>
  <c r="CH109" i="4" s="1"/>
  <c r="CH105" i="2"/>
  <c r="CH105" i="4" s="1"/>
  <c r="CH101" i="2"/>
  <c r="CH101" i="4" s="1"/>
  <c r="CH97" i="2"/>
  <c r="CH97" i="4" s="1"/>
  <c r="CH41" i="2"/>
  <c r="CH41" i="4" s="1"/>
  <c r="CH37" i="2"/>
  <c r="CH37" i="4" s="1"/>
  <c r="CH33" i="2"/>
  <c r="CH33" i="4" s="1"/>
  <c r="CH13" i="2"/>
  <c r="CH13" i="4" s="1"/>
  <c r="CH5" i="2"/>
  <c r="CH5" i="4" s="1"/>
  <c r="CH64" i="2"/>
  <c r="CH64" i="4" s="1"/>
  <c r="CH48" i="2"/>
  <c r="CH48" i="4" s="1"/>
  <c r="CH36" i="2"/>
  <c r="CH36" i="4" s="1"/>
  <c r="CH28" i="2"/>
  <c r="CH28" i="4" s="1"/>
  <c r="CH12" i="2"/>
  <c r="CH12" i="4" s="1"/>
  <c r="CH124" i="2"/>
  <c r="CH124" i="4" s="1"/>
  <c r="CH108" i="2"/>
  <c r="CH108" i="4" s="1"/>
  <c r="CH3" i="2"/>
  <c r="CH3" i="4" s="1"/>
  <c r="CH18" i="2"/>
  <c r="CH18" i="4" s="1"/>
  <c r="CH93" i="2"/>
  <c r="CH93" i="4" s="1"/>
  <c r="CH61" i="2"/>
  <c r="CH61" i="4" s="1"/>
  <c r="CH45" i="2"/>
  <c r="CH45" i="4" s="1"/>
  <c r="CH68" i="2"/>
  <c r="CH68" i="4" s="1"/>
  <c r="CH32" i="2"/>
  <c r="CH32" i="4" s="1"/>
  <c r="CH8" i="2"/>
  <c r="CH8" i="4" s="1"/>
  <c r="CH128" i="2"/>
  <c r="CH128" i="4" s="1"/>
  <c r="CH112" i="2"/>
  <c r="CH112" i="4" s="1"/>
  <c r="CH92" i="2"/>
  <c r="CH92" i="4" s="1"/>
  <c r="CH91" i="2"/>
  <c r="CH91" i="4" s="1"/>
  <c r="CH16" i="2"/>
  <c r="CH16" i="4" s="1"/>
  <c r="CH4" i="2"/>
  <c r="CH4" i="4" s="1"/>
  <c r="CH100" i="2"/>
  <c r="CH100" i="4" s="1"/>
  <c r="CH95" i="2"/>
  <c r="CH95" i="4" s="1"/>
  <c r="CH83" i="2"/>
  <c r="CH83" i="4" s="1"/>
  <c r="CH75" i="2"/>
  <c r="CH75" i="4" s="1"/>
  <c r="CH59" i="2"/>
  <c r="CH59" i="4" s="1"/>
  <c r="CH47" i="2"/>
  <c r="CH47" i="4" s="1"/>
  <c r="CH43" i="2"/>
  <c r="CH43" i="4" s="1"/>
  <c r="CH31" i="2"/>
  <c r="CH31" i="4" s="1"/>
  <c r="CH15" i="2"/>
  <c r="CH15" i="4" s="1"/>
  <c r="CH84" i="2"/>
  <c r="CH84" i="4" s="1"/>
  <c r="CH72" i="2"/>
  <c r="CH72" i="4" s="1"/>
  <c r="CH52" i="2"/>
  <c r="CH52" i="4" s="1"/>
  <c r="CH44" i="2"/>
  <c r="CH44" i="4" s="1"/>
  <c r="CH40" i="2"/>
  <c r="CH40" i="4" s="1"/>
  <c r="CH104" i="2"/>
  <c r="CH104" i="4" s="1"/>
  <c r="CH87" i="2"/>
  <c r="CH87" i="4" s="1"/>
  <c r="CH35" i="2"/>
  <c r="CH35" i="4" s="1"/>
  <c r="CH19" i="2"/>
  <c r="CH19" i="4" s="1"/>
  <c r="CH71" i="2"/>
  <c r="CH71" i="4" s="1"/>
  <c r="CH79" i="2"/>
  <c r="CH79" i="4" s="1"/>
  <c r="CH29" i="2"/>
  <c r="CH29" i="4" s="1"/>
  <c r="CH17" i="2"/>
  <c r="CH17" i="4" s="1"/>
  <c r="CH9" i="2"/>
  <c r="CH9" i="4" s="1"/>
  <c r="CH56" i="2"/>
  <c r="CH56" i="4" s="1"/>
  <c r="CH20" i="2"/>
  <c r="CH20" i="4" s="1"/>
  <c r="CH116" i="2"/>
  <c r="CH116" i="4" s="1"/>
  <c r="CH67" i="2"/>
  <c r="CH67" i="4" s="1"/>
  <c r="CH63" i="2"/>
  <c r="CH63" i="4" s="1"/>
  <c r="CH55" i="2"/>
  <c r="CH55" i="4" s="1"/>
  <c r="CH23" i="2"/>
  <c r="CH23" i="4" s="1"/>
  <c r="CH7" i="2"/>
  <c r="CH7" i="4" s="1"/>
  <c r="CH96" i="2"/>
  <c r="CH96" i="4" s="1"/>
  <c r="CH80" i="2"/>
  <c r="CH80" i="4" s="1"/>
  <c r="CH24" i="2"/>
  <c r="CH24" i="4" s="1"/>
  <c r="CH120" i="2"/>
  <c r="CH120" i="4" s="1"/>
  <c r="CH51" i="2"/>
  <c r="CH51" i="4" s="1"/>
  <c r="CH39" i="2"/>
  <c r="CH39" i="4" s="1"/>
  <c r="CH27" i="2"/>
  <c r="CH27" i="4" s="1"/>
  <c r="CH11" i="2"/>
  <c r="CH11" i="4" s="1"/>
  <c r="CJ1" i="4" l="1"/>
  <c r="CK2" i="4"/>
  <c r="CJ2" i="2"/>
  <c r="CI127" i="2"/>
  <c r="CI127" i="4" s="1"/>
  <c r="CI100" i="2"/>
  <c r="CI100" i="4" s="1"/>
  <c r="CI116" i="2"/>
  <c r="CI116" i="4" s="1"/>
  <c r="CI112" i="2"/>
  <c r="CI112" i="4" s="1"/>
  <c r="CI128" i="2"/>
  <c r="CI128" i="4" s="1"/>
  <c r="CI104" i="2"/>
  <c r="CI104" i="4" s="1"/>
  <c r="CI108" i="2"/>
  <c r="CI108" i="4" s="1"/>
  <c r="CI124" i="2"/>
  <c r="CI124" i="4" s="1"/>
  <c r="CI120" i="2"/>
  <c r="CI120" i="4" s="1"/>
  <c r="CI34" i="2"/>
  <c r="CI34" i="4" s="1"/>
  <c r="CI18" i="2"/>
  <c r="CI18" i="4" s="1"/>
  <c r="CI130" i="2"/>
  <c r="CI130" i="4" s="1"/>
  <c r="CI126" i="2"/>
  <c r="CI126" i="4" s="1"/>
  <c r="CI122" i="2"/>
  <c r="CI122" i="4" s="1"/>
  <c r="CI118" i="2"/>
  <c r="CI118" i="4" s="1"/>
  <c r="CI114" i="2"/>
  <c r="CI114" i="4" s="1"/>
  <c r="CI110" i="2"/>
  <c r="CI110" i="4" s="1"/>
  <c r="CI106" i="2"/>
  <c r="CI106" i="4" s="1"/>
  <c r="CI102" i="2"/>
  <c r="CI102" i="4" s="1"/>
  <c r="CI98" i="2"/>
  <c r="CI98" i="4" s="1"/>
  <c r="CI94" i="2"/>
  <c r="CI94" i="4" s="1"/>
  <c r="CI90" i="2"/>
  <c r="CI90" i="4" s="1"/>
  <c r="CI86" i="2"/>
  <c r="CI86" i="4" s="1"/>
  <c r="CI82" i="2"/>
  <c r="CI82" i="4" s="1"/>
  <c r="CI74" i="2"/>
  <c r="CI74" i="4" s="1"/>
  <c r="CI70" i="2"/>
  <c r="CI70" i="4" s="1"/>
  <c r="CI66" i="2"/>
  <c r="CI66" i="4" s="1"/>
  <c r="CI46" i="2"/>
  <c r="CI46" i="4" s="1"/>
  <c r="CI10" i="2"/>
  <c r="CI10" i="4" s="1"/>
  <c r="CI6" i="2"/>
  <c r="CI6" i="4" s="1"/>
  <c r="CI129" i="2"/>
  <c r="CI129" i="4" s="1"/>
  <c r="CI125" i="2"/>
  <c r="CI125" i="4" s="1"/>
  <c r="CI121" i="2"/>
  <c r="CI121" i="4" s="1"/>
  <c r="CI117" i="2"/>
  <c r="CI117" i="4" s="1"/>
  <c r="CI113" i="2"/>
  <c r="CI113" i="4" s="1"/>
  <c r="CI109" i="2"/>
  <c r="CI109" i="4" s="1"/>
  <c r="CI105" i="2"/>
  <c r="CI105" i="4" s="1"/>
  <c r="CI101" i="2"/>
  <c r="CI101" i="4" s="1"/>
  <c r="CI78" i="2"/>
  <c r="CI78" i="4" s="1"/>
  <c r="CI58" i="2"/>
  <c r="CI58" i="4" s="1"/>
  <c r="CI54" i="2"/>
  <c r="CI54" i="4" s="1"/>
  <c r="CI50" i="2"/>
  <c r="CI50" i="4" s="1"/>
  <c r="CI42" i="2"/>
  <c r="CI42" i="4" s="1"/>
  <c r="CI38" i="2"/>
  <c r="CI38" i="4" s="1"/>
  <c r="CI30" i="2"/>
  <c r="CI30" i="4" s="1"/>
  <c r="CI22" i="2"/>
  <c r="CI22" i="4" s="1"/>
  <c r="CI14" i="2"/>
  <c r="CI14" i="4" s="1"/>
  <c r="CI97" i="2"/>
  <c r="CI97" i="4" s="1"/>
  <c r="CI62" i="2"/>
  <c r="CI62" i="4" s="1"/>
  <c r="CI93" i="2"/>
  <c r="CI93" i="4" s="1"/>
  <c r="CI77" i="2"/>
  <c r="CI77" i="4" s="1"/>
  <c r="CI73" i="2"/>
  <c r="CI73" i="4" s="1"/>
  <c r="CI69" i="2"/>
  <c r="CI69" i="4" s="1"/>
  <c r="CI65" i="2"/>
  <c r="CI65" i="4" s="1"/>
  <c r="CI57" i="2"/>
  <c r="CI57" i="4" s="1"/>
  <c r="CI53" i="2"/>
  <c r="CI53" i="4" s="1"/>
  <c r="CI49" i="2"/>
  <c r="CI49" i="4" s="1"/>
  <c r="CI25" i="2"/>
  <c r="CI25" i="4" s="1"/>
  <c r="CI21" i="2"/>
  <c r="CI21" i="4" s="1"/>
  <c r="CI13" i="2"/>
  <c r="CI13" i="4" s="1"/>
  <c r="CI9" i="2"/>
  <c r="CI9" i="4" s="1"/>
  <c r="CI60" i="2"/>
  <c r="CI60" i="4" s="1"/>
  <c r="CI85" i="2"/>
  <c r="CI85" i="4" s="1"/>
  <c r="CI81" i="2"/>
  <c r="CI81" i="4" s="1"/>
  <c r="CI61" i="2"/>
  <c r="CI61" i="4" s="1"/>
  <c r="CI41" i="2"/>
  <c r="CI41" i="4" s="1"/>
  <c r="CI37" i="2"/>
  <c r="CI37" i="4" s="1"/>
  <c r="CI33" i="2"/>
  <c r="CI33" i="4" s="1"/>
  <c r="CI17" i="2"/>
  <c r="CI17" i="4" s="1"/>
  <c r="CI92" i="2"/>
  <c r="CI92" i="4" s="1"/>
  <c r="CI88" i="2"/>
  <c r="CI88" i="4" s="1"/>
  <c r="CI84" i="2"/>
  <c r="CI84" i="4" s="1"/>
  <c r="CI80" i="2"/>
  <c r="CI80" i="4" s="1"/>
  <c r="CI48" i="2"/>
  <c r="CI48" i="4" s="1"/>
  <c r="CI28" i="2"/>
  <c r="CI28" i="4" s="1"/>
  <c r="CI16" i="2"/>
  <c r="CI16" i="4" s="1"/>
  <c r="CI8" i="2"/>
  <c r="CI8" i="4" s="1"/>
  <c r="CI4" i="2"/>
  <c r="CI4" i="4" s="1"/>
  <c r="CI26" i="2"/>
  <c r="CI26" i="4" s="1"/>
  <c r="CI89" i="2"/>
  <c r="CI89" i="4" s="1"/>
  <c r="CI45" i="2"/>
  <c r="CI45" i="4" s="1"/>
  <c r="CI76" i="2"/>
  <c r="CI76" i="4" s="1"/>
  <c r="CI64" i="2"/>
  <c r="CI64" i="4" s="1"/>
  <c r="CI32" i="2"/>
  <c r="CI32" i="4" s="1"/>
  <c r="CI91" i="2"/>
  <c r="CI91" i="4" s="1"/>
  <c r="CI96" i="2"/>
  <c r="CI96" i="4" s="1"/>
  <c r="CI3" i="2"/>
  <c r="CI3" i="4" s="1"/>
  <c r="CI95" i="2"/>
  <c r="CI95" i="4" s="1"/>
  <c r="CI83" i="2"/>
  <c r="CI83" i="4" s="1"/>
  <c r="CI51" i="2"/>
  <c r="CI51" i="4" s="1"/>
  <c r="CI43" i="2"/>
  <c r="CI43" i="4" s="1"/>
  <c r="CI31" i="2"/>
  <c r="CI31" i="4" s="1"/>
  <c r="CI7" i="2"/>
  <c r="CI7" i="4" s="1"/>
  <c r="CI119" i="2"/>
  <c r="CI119" i="4" s="1"/>
  <c r="CI111" i="2"/>
  <c r="CI111" i="4" s="1"/>
  <c r="CI103" i="2"/>
  <c r="CI103" i="4" s="1"/>
  <c r="CI72" i="2"/>
  <c r="CI72" i="4" s="1"/>
  <c r="CI29" i="2"/>
  <c r="CI29" i="4" s="1"/>
  <c r="CI52" i="2"/>
  <c r="CI52" i="4" s="1"/>
  <c r="CI40" i="2"/>
  <c r="CI40" i="4" s="1"/>
  <c r="CI36" i="2"/>
  <c r="CI36" i="4" s="1"/>
  <c r="CI87" i="2"/>
  <c r="CI87" i="4" s="1"/>
  <c r="CI59" i="2"/>
  <c r="CI59" i="4" s="1"/>
  <c r="CI35" i="2"/>
  <c r="CI35" i="4" s="1"/>
  <c r="CI27" i="2"/>
  <c r="CI27" i="4" s="1"/>
  <c r="CI19" i="2"/>
  <c r="CI19" i="4" s="1"/>
  <c r="CI68" i="2"/>
  <c r="CI68" i="4" s="1"/>
  <c r="CI12" i="2"/>
  <c r="CI12" i="4" s="1"/>
  <c r="CI79" i="2"/>
  <c r="CI79" i="4" s="1"/>
  <c r="CI63" i="2"/>
  <c r="CI63" i="4" s="1"/>
  <c r="CI55" i="2"/>
  <c r="CI55" i="4" s="1"/>
  <c r="CI23" i="2"/>
  <c r="CI23" i="4" s="1"/>
  <c r="CI5" i="2"/>
  <c r="CI5" i="4" s="1"/>
  <c r="CI56" i="2"/>
  <c r="CI56" i="4" s="1"/>
  <c r="CI44" i="2"/>
  <c r="CI44" i="4" s="1"/>
  <c r="CI20" i="2"/>
  <c r="CI20" i="4" s="1"/>
  <c r="CI71" i="2"/>
  <c r="CI71" i="4" s="1"/>
  <c r="CI67" i="2"/>
  <c r="CI67" i="4" s="1"/>
  <c r="CI15" i="2"/>
  <c r="CI15" i="4" s="1"/>
  <c r="CI123" i="2"/>
  <c r="CI123" i="4" s="1"/>
  <c r="CI115" i="2"/>
  <c r="CI115" i="4" s="1"/>
  <c r="CI107" i="2"/>
  <c r="CI107" i="4" s="1"/>
  <c r="CI99" i="2"/>
  <c r="CI99" i="4" s="1"/>
  <c r="CI75" i="2"/>
  <c r="CI75" i="4" s="1"/>
  <c r="CI24" i="2"/>
  <c r="CI24" i="4" s="1"/>
  <c r="CI47" i="2"/>
  <c r="CI47" i="4" s="1"/>
  <c r="CI39" i="2"/>
  <c r="CI39" i="4" s="1"/>
  <c r="CI11" i="2"/>
  <c r="CI11" i="4" s="1"/>
  <c r="CK1" i="4" l="1"/>
  <c r="CL2" i="4"/>
  <c r="CK2" i="2"/>
  <c r="CJ128" i="2"/>
  <c r="CJ128" i="4" s="1"/>
  <c r="CJ94" i="2"/>
  <c r="CJ94" i="4" s="1"/>
  <c r="CJ121" i="2"/>
  <c r="CJ121" i="4" s="1"/>
  <c r="CJ125" i="2"/>
  <c r="CJ125" i="4" s="1"/>
  <c r="CJ109" i="2"/>
  <c r="CJ109" i="4" s="1"/>
  <c r="CJ46" i="2"/>
  <c r="CJ46" i="4" s="1"/>
  <c r="CJ130" i="2"/>
  <c r="CJ130" i="4" s="1"/>
  <c r="CJ126" i="2"/>
  <c r="CJ126" i="4" s="1"/>
  <c r="CJ122" i="2"/>
  <c r="CJ122" i="4" s="1"/>
  <c r="CJ118" i="2"/>
  <c r="CJ118" i="4" s="1"/>
  <c r="CJ114" i="2"/>
  <c r="CJ114" i="4" s="1"/>
  <c r="CJ110" i="2"/>
  <c r="CJ110" i="4" s="1"/>
  <c r="CJ106" i="2"/>
  <c r="CJ106" i="4" s="1"/>
  <c r="CJ102" i="2"/>
  <c r="CJ102" i="4" s="1"/>
  <c r="CJ74" i="2"/>
  <c r="CJ74" i="4" s="1"/>
  <c r="CJ70" i="2"/>
  <c r="CJ70" i="4" s="1"/>
  <c r="CJ66" i="2"/>
  <c r="CJ66" i="4" s="1"/>
  <c r="CJ90" i="2"/>
  <c r="CJ90" i="4" s="1"/>
  <c r="CJ93" i="2"/>
  <c r="CJ93" i="4" s="1"/>
  <c r="CJ105" i="2"/>
  <c r="CJ105" i="4" s="1"/>
  <c r="CJ86" i="2"/>
  <c r="CJ86" i="4" s="1"/>
  <c r="CJ82" i="2"/>
  <c r="CJ82" i="4" s="1"/>
  <c r="CJ78" i="2"/>
  <c r="CJ78" i="4" s="1"/>
  <c r="CJ62" i="2"/>
  <c r="CJ62" i="4" s="1"/>
  <c r="CJ58" i="2"/>
  <c r="CJ58" i="4" s="1"/>
  <c r="CJ54" i="2"/>
  <c r="CJ54" i="4" s="1"/>
  <c r="CJ50" i="2"/>
  <c r="CJ50" i="4" s="1"/>
  <c r="CJ42" i="2"/>
  <c r="CJ42" i="4" s="1"/>
  <c r="CJ38" i="2"/>
  <c r="CJ38" i="4" s="1"/>
  <c r="CJ30" i="2"/>
  <c r="CJ30" i="4" s="1"/>
  <c r="CJ22" i="2"/>
  <c r="CJ22" i="4" s="1"/>
  <c r="CJ18" i="2"/>
  <c r="CJ18" i="4" s="1"/>
  <c r="CJ14" i="2"/>
  <c r="CJ14" i="4" s="1"/>
  <c r="CJ10" i="2"/>
  <c r="CJ10" i="4" s="1"/>
  <c r="CJ6" i="2"/>
  <c r="CJ6" i="4" s="1"/>
  <c r="CJ129" i="2"/>
  <c r="CJ129" i="4" s="1"/>
  <c r="CJ97" i="2"/>
  <c r="CJ97" i="4" s="1"/>
  <c r="CJ57" i="2"/>
  <c r="CJ57" i="4" s="1"/>
  <c r="CJ53" i="2"/>
  <c r="CJ53" i="4" s="1"/>
  <c r="CJ49" i="2"/>
  <c r="CJ49" i="4" s="1"/>
  <c r="CJ25" i="2"/>
  <c r="CJ25" i="4" s="1"/>
  <c r="CJ21" i="2"/>
  <c r="CJ21" i="4" s="1"/>
  <c r="CJ13" i="2"/>
  <c r="CJ13" i="4" s="1"/>
  <c r="CJ5" i="2"/>
  <c r="CJ5" i="4" s="1"/>
  <c r="CJ117" i="2"/>
  <c r="CJ117" i="4" s="1"/>
  <c r="CJ101" i="2"/>
  <c r="CJ101" i="4" s="1"/>
  <c r="CJ72" i="2"/>
  <c r="CJ72" i="4" s="1"/>
  <c r="CJ34" i="2"/>
  <c r="CJ34" i="4" s="1"/>
  <c r="CJ89" i="2"/>
  <c r="CJ89" i="4" s="1"/>
  <c r="CJ85" i="2"/>
  <c r="CJ85" i="4" s="1"/>
  <c r="CJ81" i="2"/>
  <c r="CJ81" i="4" s="1"/>
  <c r="CJ69" i="2"/>
  <c r="CJ69" i="4" s="1"/>
  <c r="CJ65" i="2"/>
  <c r="CJ65" i="4" s="1"/>
  <c r="CJ61" i="2"/>
  <c r="CJ61" i="4" s="1"/>
  <c r="CJ45" i="2"/>
  <c r="CJ45" i="4" s="1"/>
  <c r="CJ41" i="2"/>
  <c r="CJ41" i="4" s="1"/>
  <c r="CJ37" i="2"/>
  <c r="CJ37" i="4" s="1"/>
  <c r="CJ33" i="2"/>
  <c r="CJ33" i="4" s="1"/>
  <c r="CJ29" i="2"/>
  <c r="CJ29" i="4" s="1"/>
  <c r="CJ17" i="2"/>
  <c r="CJ17" i="4" s="1"/>
  <c r="CJ9" i="2"/>
  <c r="CJ9" i="4" s="1"/>
  <c r="CJ96" i="2"/>
  <c r="CJ96" i="4" s="1"/>
  <c r="CJ92" i="2"/>
  <c r="CJ92" i="4" s="1"/>
  <c r="CJ88" i="2"/>
  <c r="CJ88" i="4" s="1"/>
  <c r="CJ84" i="2"/>
  <c r="CJ84" i="4" s="1"/>
  <c r="CJ80" i="2"/>
  <c r="CJ80" i="4" s="1"/>
  <c r="CJ52" i="2"/>
  <c r="CJ52" i="4" s="1"/>
  <c r="CJ24" i="2"/>
  <c r="CJ24" i="4" s="1"/>
  <c r="CJ8" i="2"/>
  <c r="CJ8" i="4" s="1"/>
  <c r="CJ98" i="2"/>
  <c r="CJ98" i="4" s="1"/>
  <c r="CJ113" i="2"/>
  <c r="CJ113" i="4" s="1"/>
  <c r="CJ77" i="2"/>
  <c r="CJ77" i="4" s="1"/>
  <c r="CJ64" i="2"/>
  <c r="CJ64" i="4" s="1"/>
  <c r="CJ60" i="2"/>
  <c r="CJ60" i="4" s="1"/>
  <c r="CJ32" i="2"/>
  <c r="CJ32" i="4" s="1"/>
  <c r="CJ20" i="2"/>
  <c r="CJ20" i="4" s="1"/>
  <c r="CJ91" i="2"/>
  <c r="CJ91" i="4" s="1"/>
  <c r="CJ26" i="2"/>
  <c r="CJ26" i="4" s="1"/>
  <c r="CJ36" i="2"/>
  <c r="CJ36" i="4" s="1"/>
  <c r="CJ3" i="2"/>
  <c r="CJ3" i="4" s="1"/>
  <c r="CJ95" i="2"/>
  <c r="CJ95" i="4" s="1"/>
  <c r="CJ83" i="2"/>
  <c r="CJ83" i="4" s="1"/>
  <c r="CJ51" i="2"/>
  <c r="CJ51" i="4" s="1"/>
  <c r="CJ39" i="2"/>
  <c r="CJ39" i="4" s="1"/>
  <c r="CJ7" i="2"/>
  <c r="CJ7" i="4" s="1"/>
  <c r="CJ123" i="2"/>
  <c r="CJ123" i="4" s="1"/>
  <c r="CJ119" i="2"/>
  <c r="CJ119" i="4" s="1"/>
  <c r="CJ115" i="2"/>
  <c r="CJ115" i="4" s="1"/>
  <c r="CJ111" i="2"/>
  <c r="CJ111" i="4" s="1"/>
  <c r="CJ107" i="2"/>
  <c r="CJ107" i="4" s="1"/>
  <c r="CJ103" i="2"/>
  <c r="CJ103" i="4" s="1"/>
  <c r="CJ99" i="2"/>
  <c r="CJ99" i="4" s="1"/>
  <c r="CJ73" i="2"/>
  <c r="CJ73" i="4" s="1"/>
  <c r="CJ40" i="2"/>
  <c r="CJ40" i="4" s="1"/>
  <c r="CJ4" i="2"/>
  <c r="CJ4" i="4" s="1"/>
  <c r="CJ87" i="2"/>
  <c r="CJ87" i="4" s="1"/>
  <c r="CJ59" i="2"/>
  <c r="CJ59" i="4" s="1"/>
  <c r="CJ47" i="2"/>
  <c r="CJ47" i="4" s="1"/>
  <c r="CJ43" i="2"/>
  <c r="CJ43" i="4" s="1"/>
  <c r="CJ31" i="2"/>
  <c r="CJ31" i="4" s="1"/>
  <c r="CJ27" i="2"/>
  <c r="CJ27" i="4" s="1"/>
  <c r="CJ127" i="2"/>
  <c r="CJ127" i="4" s="1"/>
  <c r="CJ120" i="2"/>
  <c r="CJ120" i="4" s="1"/>
  <c r="CJ112" i="2"/>
  <c r="CJ112" i="4" s="1"/>
  <c r="CJ104" i="2"/>
  <c r="CJ104" i="4" s="1"/>
  <c r="CJ68" i="2"/>
  <c r="CJ68" i="4" s="1"/>
  <c r="CJ56" i="2"/>
  <c r="CJ56" i="4" s="1"/>
  <c r="CJ12" i="2"/>
  <c r="CJ12" i="4" s="1"/>
  <c r="CJ79" i="2"/>
  <c r="CJ79" i="4" s="1"/>
  <c r="CJ55" i="2"/>
  <c r="CJ55" i="4" s="1"/>
  <c r="CJ11" i="2"/>
  <c r="CJ11" i="4" s="1"/>
  <c r="CJ124" i="2"/>
  <c r="CJ124" i="4" s="1"/>
  <c r="CJ108" i="2"/>
  <c r="CJ108" i="4" s="1"/>
  <c r="CJ44" i="2"/>
  <c r="CJ44" i="4" s="1"/>
  <c r="CJ28" i="2"/>
  <c r="CJ28" i="4" s="1"/>
  <c r="CJ16" i="2"/>
  <c r="CJ16" i="4" s="1"/>
  <c r="CJ71" i="2"/>
  <c r="CJ71" i="4" s="1"/>
  <c r="CJ67" i="2"/>
  <c r="CJ67" i="4" s="1"/>
  <c r="CJ63" i="2"/>
  <c r="CJ63" i="4" s="1"/>
  <c r="CJ19" i="2"/>
  <c r="CJ19" i="4" s="1"/>
  <c r="CJ15" i="2"/>
  <c r="CJ15" i="4" s="1"/>
  <c r="CJ76" i="2"/>
  <c r="CJ76" i="4" s="1"/>
  <c r="CJ48" i="2"/>
  <c r="CJ48" i="4" s="1"/>
  <c r="CJ75" i="2"/>
  <c r="CJ75" i="4" s="1"/>
  <c r="CJ35" i="2"/>
  <c r="CJ35" i="4" s="1"/>
  <c r="CJ23" i="2"/>
  <c r="CJ23" i="4" s="1"/>
  <c r="CJ116" i="2"/>
  <c r="CJ116" i="4" s="1"/>
  <c r="CJ100" i="2"/>
  <c r="CJ100" i="4" s="1"/>
  <c r="CL1" i="4" l="1"/>
  <c r="CM2" i="4"/>
  <c r="CL2" i="2"/>
  <c r="CK91" i="2"/>
  <c r="CK91" i="4" s="1"/>
  <c r="CK122" i="2"/>
  <c r="CK122" i="4" s="1"/>
  <c r="CK95" i="2"/>
  <c r="CK95" i="4" s="1"/>
  <c r="CK106" i="2"/>
  <c r="CK106" i="4" s="1"/>
  <c r="CK18" i="2"/>
  <c r="CK18" i="4" s="1"/>
  <c r="CK126" i="2"/>
  <c r="CK126" i="4" s="1"/>
  <c r="CK110" i="2"/>
  <c r="CK110" i="4" s="1"/>
  <c r="CK129" i="2"/>
  <c r="CK129" i="4" s="1"/>
  <c r="CK125" i="2"/>
  <c r="CK125" i="4" s="1"/>
  <c r="CK121" i="2"/>
  <c r="CK121" i="4" s="1"/>
  <c r="CK117" i="2"/>
  <c r="CK117" i="4" s="1"/>
  <c r="CK113" i="2"/>
  <c r="CK113" i="4" s="1"/>
  <c r="CK109" i="2"/>
  <c r="CK109" i="4" s="1"/>
  <c r="CK105" i="2"/>
  <c r="CK105" i="4" s="1"/>
  <c r="CK101" i="2"/>
  <c r="CK101" i="4" s="1"/>
  <c r="CK97" i="2"/>
  <c r="CK97" i="4" s="1"/>
  <c r="CK90" i="2"/>
  <c r="CK90" i="4" s="1"/>
  <c r="CK86" i="2"/>
  <c r="CK86" i="4" s="1"/>
  <c r="CK82" i="2"/>
  <c r="CK82" i="4" s="1"/>
  <c r="CK70" i="2"/>
  <c r="CK70" i="4" s="1"/>
  <c r="CK66" i="2"/>
  <c r="CK66" i="4" s="1"/>
  <c r="CK62" i="2"/>
  <c r="CK62" i="4" s="1"/>
  <c r="CK58" i="2"/>
  <c r="CK58" i="4" s="1"/>
  <c r="CK54" i="2"/>
  <c r="CK54" i="4" s="1"/>
  <c r="CK50" i="2"/>
  <c r="CK50" i="4" s="1"/>
  <c r="CK42" i="2"/>
  <c r="CK42" i="4" s="1"/>
  <c r="CK38" i="2"/>
  <c r="CK38" i="4" s="1"/>
  <c r="CK30" i="2"/>
  <c r="CK30" i="4" s="1"/>
  <c r="CK22" i="2"/>
  <c r="CK22" i="4" s="1"/>
  <c r="CK14" i="2"/>
  <c r="CK14" i="4" s="1"/>
  <c r="CK10" i="2"/>
  <c r="CK10" i="4" s="1"/>
  <c r="CK6" i="2"/>
  <c r="CK6" i="4" s="1"/>
  <c r="CK74" i="2"/>
  <c r="CK74" i="4" s="1"/>
  <c r="CK34" i="2"/>
  <c r="CK34" i="4" s="1"/>
  <c r="CK130" i="2"/>
  <c r="CK130" i="4" s="1"/>
  <c r="CK13" i="2"/>
  <c r="CK13" i="4" s="1"/>
  <c r="CK118" i="2"/>
  <c r="CK118" i="4" s="1"/>
  <c r="CK102" i="2"/>
  <c r="CK102" i="4" s="1"/>
  <c r="CK72" i="2"/>
  <c r="CK72" i="4" s="1"/>
  <c r="CK56" i="2"/>
  <c r="CK56" i="4" s="1"/>
  <c r="CK89" i="2"/>
  <c r="CK89" i="4" s="1"/>
  <c r="CK85" i="2"/>
  <c r="CK85" i="4" s="1"/>
  <c r="CK81" i="2"/>
  <c r="CK81" i="4" s="1"/>
  <c r="CK73" i="2"/>
  <c r="CK73" i="4" s="1"/>
  <c r="CK69" i="2"/>
  <c r="CK69" i="4" s="1"/>
  <c r="CK65" i="2"/>
  <c r="CK65" i="4" s="1"/>
  <c r="CK57" i="2"/>
  <c r="CK57" i="4" s="1"/>
  <c r="CK53" i="2"/>
  <c r="CK53" i="4" s="1"/>
  <c r="CK45" i="2"/>
  <c r="CK45" i="4" s="1"/>
  <c r="CK41" i="2"/>
  <c r="CK41" i="4" s="1"/>
  <c r="CK37" i="2"/>
  <c r="CK37" i="4" s="1"/>
  <c r="CK33" i="2"/>
  <c r="CK33" i="4" s="1"/>
  <c r="CK25" i="2"/>
  <c r="CK25" i="4" s="1"/>
  <c r="CK17" i="2"/>
  <c r="CK17" i="4" s="1"/>
  <c r="CK5" i="2"/>
  <c r="CK5" i="4" s="1"/>
  <c r="CK96" i="2"/>
  <c r="CK96" i="4" s="1"/>
  <c r="CK92" i="2"/>
  <c r="CK92" i="4" s="1"/>
  <c r="CK88" i="2"/>
  <c r="CK88" i="4" s="1"/>
  <c r="CK84" i="2"/>
  <c r="CK84" i="4" s="1"/>
  <c r="CK80" i="2"/>
  <c r="CK80" i="4" s="1"/>
  <c r="CK76" i="2"/>
  <c r="CK76" i="4" s="1"/>
  <c r="CK52" i="2"/>
  <c r="CK52" i="4" s="1"/>
  <c r="CK40" i="2"/>
  <c r="CK40" i="4" s="1"/>
  <c r="CK24" i="2"/>
  <c r="CK24" i="4" s="1"/>
  <c r="CK127" i="2"/>
  <c r="CK127" i="4" s="1"/>
  <c r="CK111" i="2"/>
  <c r="CK111" i="4" s="1"/>
  <c r="CK98" i="2"/>
  <c r="CK98" i="4" s="1"/>
  <c r="CK94" i="2"/>
  <c r="CK94" i="4" s="1"/>
  <c r="CK78" i="2"/>
  <c r="CK78" i="4" s="1"/>
  <c r="CK114" i="2"/>
  <c r="CK114" i="4" s="1"/>
  <c r="CK77" i="2"/>
  <c r="CK77" i="4" s="1"/>
  <c r="CK61" i="2"/>
  <c r="CK61" i="4" s="1"/>
  <c r="CK64" i="2"/>
  <c r="CK64" i="4" s="1"/>
  <c r="CK60" i="2"/>
  <c r="CK60" i="4" s="1"/>
  <c r="CK48" i="2"/>
  <c r="CK48" i="4" s="1"/>
  <c r="CK8" i="2"/>
  <c r="CK8" i="4" s="1"/>
  <c r="CK115" i="2"/>
  <c r="CK115" i="4" s="1"/>
  <c r="CK99" i="2"/>
  <c r="CK99" i="4" s="1"/>
  <c r="CK79" i="2"/>
  <c r="CK79" i="4" s="1"/>
  <c r="CK29" i="2"/>
  <c r="CK29" i="4" s="1"/>
  <c r="CK32" i="2"/>
  <c r="CK32" i="4" s="1"/>
  <c r="CK103" i="2"/>
  <c r="CK103" i="4" s="1"/>
  <c r="CK3" i="2"/>
  <c r="CK3" i="4" s="1"/>
  <c r="CK51" i="2"/>
  <c r="CK51" i="4" s="1"/>
  <c r="CK39" i="2"/>
  <c r="CK39" i="4" s="1"/>
  <c r="CK27" i="2"/>
  <c r="CK27" i="4" s="1"/>
  <c r="CK11" i="2"/>
  <c r="CK11" i="4" s="1"/>
  <c r="CK124" i="2"/>
  <c r="CK124" i="4" s="1"/>
  <c r="CK120" i="2"/>
  <c r="CK120" i="4" s="1"/>
  <c r="CK116" i="2"/>
  <c r="CK116" i="4" s="1"/>
  <c r="CK112" i="2"/>
  <c r="CK112" i="4" s="1"/>
  <c r="CK108" i="2"/>
  <c r="CK108" i="4" s="1"/>
  <c r="CK104" i="2"/>
  <c r="CK104" i="4" s="1"/>
  <c r="CK100" i="2"/>
  <c r="CK100" i="4" s="1"/>
  <c r="CK87" i="2"/>
  <c r="CK87" i="4" s="1"/>
  <c r="CK49" i="2"/>
  <c r="CK49" i="4" s="1"/>
  <c r="CK21" i="2"/>
  <c r="CK21" i="4" s="1"/>
  <c r="CK9" i="2"/>
  <c r="CK9" i="4" s="1"/>
  <c r="CK44" i="2"/>
  <c r="CK44" i="4" s="1"/>
  <c r="CK36" i="2"/>
  <c r="CK36" i="4" s="1"/>
  <c r="CK4" i="2"/>
  <c r="CK4" i="4" s="1"/>
  <c r="CK107" i="2"/>
  <c r="CK107" i="4" s="1"/>
  <c r="CK63" i="2"/>
  <c r="CK63" i="4" s="1"/>
  <c r="CK59" i="2"/>
  <c r="CK59" i="4" s="1"/>
  <c r="CK47" i="2"/>
  <c r="CK47" i="4" s="1"/>
  <c r="CK31" i="2"/>
  <c r="CK31" i="4" s="1"/>
  <c r="CK15" i="2"/>
  <c r="CK15" i="4" s="1"/>
  <c r="CK7" i="2"/>
  <c r="CK7" i="4" s="1"/>
  <c r="CK46" i="2"/>
  <c r="CK46" i="4" s="1"/>
  <c r="CK93" i="2"/>
  <c r="CK93" i="4" s="1"/>
  <c r="CK68" i="2"/>
  <c r="CK68" i="4" s="1"/>
  <c r="CK75" i="2"/>
  <c r="CK75" i="4" s="1"/>
  <c r="CK55" i="2"/>
  <c r="CK55" i="4" s="1"/>
  <c r="CK23" i="2"/>
  <c r="CK23" i="4" s="1"/>
  <c r="CK26" i="2"/>
  <c r="CK26" i="4" s="1"/>
  <c r="CK28" i="2"/>
  <c r="CK28" i="4" s="1"/>
  <c r="CK16" i="2"/>
  <c r="CK16" i="4" s="1"/>
  <c r="CK119" i="2"/>
  <c r="CK119" i="4" s="1"/>
  <c r="CK71" i="2"/>
  <c r="CK71" i="4" s="1"/>
  <c r="CK67" i="2"/>
  <c r="CK67" i="4" s="1"/>
  <c r="CK43" i="2"/>
  <c r="CK43" i="4" s="1"/>
  <c r="CK128" i="2"/>
  <c r="CK128" i="4" s="1"/>
  <c r="CK83" i="2"/>
  <c r="CK83" i="4" s="1"/>
  <c r="CK20" i="2"/>
  <c r="CK20" i="4" s="1"/>
  <c r="CK12" i="2"/>
  <c r="CK12" i="4" s="1"/>
  <c r="CK123" i="2"/>
  <c r="CK123" i="4" s="1"/>
  <c r="CK35" i="2"/>
  <c r="CK35" i="4" s="1"/>
  <c r="CK19" i="2"/>
  <c r="CK19" i="4" s="1"/>
  <c r="CM1" i="4" l="1"/>
  <c r="CN2" i="4"/>
  <c r="CM2" i="2"/>
  <c r="CL103" i="2"/>
  <c r="CL103" i="4" s="1"/>
  <c r="CL119" i="2"/>
  <c r="CL119" i="4" s="1"/>
  <c r="CL92" i="2"/>
  <c r="CL92" i="4" s="1"/>
  <c r="CL99" i="2"/>
  <c r="CL99" i="4" s="1"/>
  <c r="CL115" i="2"/>
  <c r="CL115" i="4" s="1"/>
  <c r="CL123" i="2"/>
  <c r="CL123" i="4" s="1"/>
  <c r="CL111" i="2"/>
  <c r="CL111" i="4" s="1"/>
  <c r="CL127" i="2"/>
  <c r="CL127" i="4" s="1"/>
  <c r="CL96" i="2"/>
  <c r="CL96" i="4" s="1"/>
  <c r="CL107" i="2"/>
  <c r="CL107" i="4" s="1"/>
  <c r="CL50" i="2"/>
  <c r="CL50" i="4" s="1"/>
  <c r="CL22" i="2"/>
  <c r="CL22" i="4" s="1"/>
  <c r="CL18" i="2"/>
  <c r="CL18" i="4" s="1"/>
  <c r="CL10" i="2"/>
  <c r="CL10" i="4" s="1"/>
  <c r="CL129" i="2"/>
  <c r="CL129" i="4" s="1"/>
  <c r="CL125" i="2"/>
  <c r="CL125" i="4" s="1"/>
  <c r="CL121" i="2"/>
  <c r="CL121" i="4" s="1"/>
  <c r="CL117" i="2"/>
  <c r="CL117" i="4" s="1"/>
  <c r="CL113" i="2"/>
  <c r="CL113" i="4" s="1"/>
  <c r="CL109" i="2"/>
  <c r="CL109" i="4" s="1"/>
  <c r="CL105" i="2"/>
  <c r="CL105" i="4" s="1"/>
  <c r="CL101" i="2"/>
  <c r="CL101" i="4" s="1"/>
  <c r="CL97" i="2"/>
  <c r="CL97" i="4" s="1"/>
  <c r="CL130" i="2"/>
  <c r="CL130" i="4" s="1"/>
  <c r="CL126" i="2"/>
  <c r="CL126" i="4" s="1"/>
  <c r="CL122" i="2"/>
  <c r="CL122" i="4" s="1"/>
  <c r="CL118" i="2"/>
  <c r="CL118" i="4" s="1"/>
  <c r="CL114" i="2"/>
  <c r="CL114" i="4" s="1"/>
  <c r="CL110" i="2"/>
  <c r="CL110" i="4" s="1"/>
  <c r="CL106" i="2"/>
  <c r="CL106" i="4" s="1"/>
  <c r="CL102" i="2"/>
  <c r="CL102" i="4" s="1"/>
  <c r="CL98" i="2"/>
  <c r="CL98" i="4" s="1"/>
  <c r="CL94" i="2"/>
  <c r="CL94" i="4" s="1"/>
  <c r="CL90" i="2"/>
  <c r="CL90" i="4" s="1"/>
  <c r="CL86" i="2"/>
  <c r="CL86" i="4" s="1"/>
  <c r="CL82" i="2"/>
  <c r="CL82" i="4" s="1"/>
  <c r="CL74" i="2"/>
  <c r="CL74" i="4" s="1"/>
  <c r="CL70" i="2"/>
  <c r="CL70" i="4" s="1"/>
  <c r="CL66" i="2"/>
  <c r="CL66" i="4" s="1"/>
  <c r="CL58" i="2"/>
  <c r="CL58" i="4" s="1"/>
  <c r="CL54" i="2"/>
  <c r="CL54" i="4" s="1"/>
  <c r="CL42" i="2"/>
  <c r="CL42" i="4" s="1"/>
  <c r="CL38" i="2"/>
  <c r="CL38" i="4" s="1"/>
  <c r="CL30" i="2"/>
  <c r="CL30" i="4" s="1"/>
  <c r="CL14" i="2"/>
  <c r="CL14" i="4" s="1"/>
  <c r="CL6" i="2"/>
  <c r="CL6" i="4" s="1"/>
  <c r="CL62" i="2"/>
  <c r="CL62" i="4" s="1"/>
  <c r="CL34" i="2"/>
  <c r="CL34" i="4" s="1"/>
  <c r="CL13" i="2"/>
  <c r="CL13" i="4" s="1"/>
  <c r="CL72" i="2"/>
  <c r="CL72" i="4" s="1"/>
  <c r="CL78" i="2"/>
  <c r="CL78" i="4" s="1"/>
  <c r="CL26" i="2"/>
  <c r="CL26" i="4" s="1"/>
  <c r="CL89" i="2"/>
  <c r="CL89" i="4" s="1"/>
  <c r="CL85" i="2"/>
  <c r="CL85" i="4" s="1"/>
  <c r="CL81" i="2"/>
  <c r="CL81" i="4" s="1"/>
  <c r="CL77" i="2"/>
  <c r="CL77" i="4" s="1"/>
  <c r="CL73" i="2"/>
  <c r="CL73" i="4" s="1"/>
  <c r="CL69" i="2"/>
  <c r="CL69" i="4" s="1"/>
  <c r="CL65" i="2"/>
  <c r="CL65" i="4" s="1"/>
  <c r="CL57" i="2"/>
  <c r="CL57" i="4" s="1"/>
  <c r="CL53" i="2"/>
  <c r="CL53" i="4" s="1"/>
  <c r="CL49" i="2"/>
  <c r="CL49" i="4" s="1"/>
  <c r="CL41" i="2"/>
  <c r="CL41" i="4" s="1"/>
  <c r="CL37" i="2"/>
  <c r="CL37" i="4" s="1"/>
  <c r="CL33" i="2"/>
  <c r="CL33" i="4" s="1"/>
  <c r="CL25" i="2"/>
  <c r="CL25" i="4" s="1"/>
  <c r="CL21" i="2"/>
  <c r="CL21" i="4" s="1"/>
  <c r="CL76" i="2"/>
  <c r="CL76" i="4" s="1"/>
  <c r="CL60" i="2"/>
  <c r="CL60" i="4" s="1"/>
  <c r="CL52" i="2"/>
  <c r="CL52" i="4" s="1"/>
  <c r="CL40" i="2"/>
  <c r="CL40" i="4" s="1"/>
  <c r="CL24" i="2"/>
  <c r="CL24" i="4" s="1"/>
  <c r="CL128" i="2"/>
  <c r="CL128" i="4" s="1"/>
  <c r="CL112" i="2"/>
  <c r="CL112" i="4" s="1"/>
  <c r="CL61" i="2"/>
  <c r="CL61" i="4" s="1"/>
  <c r="CL45" i="2"/>
  <c r="CL45" i="4" s="1"/>
  <c r="CL29" i="2"/>
  <c r="CL29" i="4" s="1"/>
  <c r="CL17" i="2"/>
  <c r="CL17" i="4" s="1"/>
  <c r="CL9" i="2"/>
  <c r="CL9" i="4" s="1"/>
  <c r="CL5" i="2"/>
  <c r="CL5" i="4" s="1"/>
  <c r="CL64" i="2"/>
  <c r="CL64" i="4" s="1"/>
  <c r="CL48" i="2"/>
  <c r="CL48" i="4" s="1"/>
  <c r="CL36" i="2"/>
  <c r="CL36" i="4" s="1"/>
  <c r="CL28" i="2"/>
  <c r="CL28" i="4" s="1"/>
  <c r="CL12" i="2"/>
  <c r="CL12" i="4" s="1"/>
  <c r="CL116" i="2"/>
  <c r="CL116" i="4" s="1"/>
  <c r="CL100" i="2"/>
  <c r="CL100" i="4" s="1"/>
  <c r="CL80" i="2"/>
  <c r="CL80" i="4" s="1"/>
  <c r="CL46" i="2"/>
  <c r="CL46" i="4" s="1"/>
  <c r="CL32" i="2"/>
  <c r="CL32" i="4" s="1"/>
  <c r="CL8" i="2"/>
  <c r="CL8" i="4" s="1"/>
  <c r="CL104" i="2"/>
  <c r="CL104" i="4" s="1"/>
  <c r="CL91" i="2"/>
  <c r="CL91" i="4" s="1"/>
  <c r="CL79" i="2"/>
  <c r="CL79" i="4" s="1"/>
  <c r="CL51" i="2"/>
  <c r="CL51" i="4" s="1"/>
  <c r="CL39" i="2"/>
  <c r="CL39" i="4" s="1"/>
  <c r="CL27" i="2"/>
  <c r="CL27" i="4" s="1"/>
  <c r="CL88" i="2"/>
  <c r="CL88" i="4" s="1"/>
  <c r="CL16" i="2"/>
  <c r="CL16" i="4" s="1"/>
  <c r="CL4" i="2"/>
  <c r="CL4" i="4" s="1"/>
  <c r="CL108" i="2"/>
  <c r="CL108" i="4" s="1"/>
  <c r="CL3" i="2"/>
  <c r="CL3" i="4" s="1"/>
  <c r="CL83" i="2"/>
  <c r="CL83" i="4" s="1"/>
  <c r="CL75" i="2"/>
  <c r="CL75" i="4" s="1"/>
  <c r="CL59" i="2"/>
  <c r="CL59" i="4" s="1"/>
  <c r="CL47" i="2"/>
  <c r="CL47" i="4" s="1"/>
  <c r="CL43" i="2"/>
  <c r="CL43" i="4" s="1"/>
  <c r="CL31" i="2"/>
  <c r="CL31" i="4" s="1"/>
  <c r="CL15" i="2"/>
  <c r="CL15" i="4" s="1"/>
  <c r="CL93" i="2"/>
  <c r="CL93" i="4" s="1"/>
  <c r="CL124" i="2"/>
  <c r="CL124" i="4" s="1"/>
  <c r="CL23" i="2"/>
  <c r="CL23" i="4" s="1"/>
  <c r="CL11" i="2"/>
  <c r="CL11" i="4" s="1"/>
  <c r="CL7" i="2"/>
  <c r="CL7" i="4" s="1"/>
  <c r="CL44" i="2"/>
  <c r="CL44" i="4" s="1"/>
  <c r="CL120" i="2"/>
  <c r="CL120" i="4" s="1"/>
  <c r="CL87" i="2"/>
  <c r="CL87" i="4" s="1"/>
  <c r="CL67" i="2"/>
  <c r="CL67" i="4" s="1"/>
  <c r="CL35" i="2"/>
  <c r="CL35" i="4" s="1"/>
  <c r="CL19" i="2"/>
  <c r="CL19" i="4" s="1"/>
  <c r="CL84" i="2"/>
  <c r="CL84" i="4" s="1"/>
  <c r="CL68" i="2"/>
  <c r="CL68" i="4" s="1"/>
  <c r="CL56" i="2"/>
  <c r="CL56" i="4" s="1"/>
  <c r="CL20" i="2"/>
  <c r="CL20" i="4" s="1"/>
  <c r="CL71" i="2"/>
  <c r="CL71" i="4" s="1"/>
  <c r="CL63" i="2"/>
  <c r="CL63" i="4" s="1"/>
  <c r="CL55" i="2"/>
  <c r="CL55" i="4" s="1"/>
  <c r="CL95" i="2"/>
  <c r="CL95" i="4" s="1"/>
  <c r="CN1" i="4" l="1"/>
  <c r="CO2" i="4"/>
  <c r="CN2" i="2"/>
  <c r="CM127" i="2"/>
  <c r="CM127" i="4" s="1"/>
  <c r="CM104" i="2"/>
  <c r="CM104" i="4" s="1"/>
  <c r="CM120" i="2"/>
  <c r="CM120" i="4" s="1"/>
  <c r="CM100" i="2"/>
  <c r="CM100" i="4" s="1"/>
  <c r="CM116" i="2"/>
  <c r="CM116" i="4" s="1"/>
  <c r="CM124" i="2"/>
  <c r="CM124" i="4" s="1"/>
  <c r="CM112" i="2"/>
  <c r="CM112" i="4" s="1"/>
  <c r="CM128" i="2"/>
  <c r="CM128" i="4" s="1"/>
  <c r="CM108" i="2"/>
  <c r="CM108" i="4" s="1"/>
  <c r="CM26" i="2"/>
  <c r="CM26" i="4" s="1"/>
  <c r="CM18" i="2"/>
  <c r="CM18" i="4" s="1"/>
  <c r="CM130" i="2"/>
  <c r="CM130" i="4" s="1"/>
  <c r="CM126" i="2"/>
  <c r="CM126" i="4" s="1"/>
  <c r="CM122" i="2"/>
  <c r="CM122" i="4" s="1"/>
  <c r="CM118" i="2"/>
  <c r="CM118" i="4" s="1"/>
  <c r="CM114" i="2"/>
  <c r="CM114" i="4" s="1"/>
  <c r="CM110" i="2"/>
  <c r="CM110" i="4" s="1"/>
  <c r="CM106" i="2"/>
  <c r="CM106" i="4" s="1"/>
  <c r="CM102" i="2"/>
  <c r="CM102" i="4" s="1"/>
  <c r="CM98" i="2"/>
  <c r="CM98" i="4" s="1"/>
  <c r="CM94" i="2"/>
  <c r="CM94" i="4" s="1"/>
  <c r="CM90" i="2"/>
  <c r="CM90" i="4" s="1"/>
  <c r="CM86" i="2"/>
  <c r="CM86" i="4" s="1"/>
  <c r="CM82" i="2"/>
  <c r="CM82" i="4" s="1"/>
  <c r="CM74" i="2"/>
  <c r="CM74" i="4" s="1"/>
  <c r="CM70" i="2"/>
  <c r="CM70" i="4" s="1"/>
  <c r="CM66" i="2"/>
  <c r="CM66" i="4" s="1"/>
  <c r="CM46" i="2"/>
  <c r="CM46" i="4" s="1"/>
  <c r="CM42" i="2"/>
  <c r="CM42" i="4" s="1"/>
  <c r="CM38" i="2"/>
  <c r="CM38" i="4" s="1"/>
  <c r="CM34" i="2"/>
  <c r="CM34" i="4" s="1"/>
  <c r="CM30" i="2"/>
  <c r="CM30" i="4" s="1"/>
  <c r="CM14" i="2"/>
  <c r="CM14" i="4" s="1"/>
  <c r="CM10" i="2"/>
  <c r="CM10" i="4" s="1"/>
  <c r="CM6" i="2"/>
  <c r="CM6" i="4" s="1"/>
  <c r="CM129" i="2"/>
  <c r="CM129" i="4" s="1"/>
  <c r="CM125" i="2"/>
  <c r="CM125" i="4" s="1"/>
  <c r="CM121" i="2"/>
  <c r="CM121" i="4" s="1"/>
  <c r="CM117" i="2"/>
  <c r="CM117" i="4" s="1"/>
  <c r="CM113" i="2"/>
  <c r="CM113" i="4" s="1"/>
  <c r="CM109" i="2"/>
  <c r="CM109" i="4" s="1"/>
  <c r="CM105" i="2"/>
  <c r="CM105" i="4" s="1"/>
  <c r="CM101" i="2"/>
  <c r="CM101" i="4" s="1"/>
  <c r="CM45" i="2"/>
  <c r="CM45" i="4" s="1"/>
  <c r="CM29" i="2"/>
  <c r="CM29" i="4" s="1"/>
  <c r="CM5" i="2"/>
  <c r="CM5" i="4" s="1"/>
  <c r="CM72" i="2"/>
  <c r="CM72" i="4" s="1"/>
  <c r="CM97" i="2"/>
  <c r="CM97" i="4" s="1"/>
  <c r="CM93" i="2"/>
  <c r="CM93" i="4" s="1"/>
  <c r="CM89" i="2"/>
  <c r="CM89" i="4" s="1"/>
  <c r="CM85" i="2"/>
  <c r="CM85" i="4" s="1"/>
  <c r="CM77" i="2"/>
  <c r="CM77" i="4" s="1"/>
  <c r="CM73" i="2"/>
  <c r="CM73" i="4" s="1"/>
  <c r="CM69" i="2"/>
  <c r="CM69" i="4" s="1"/>
  <c r="CM65" i="2"/>
  <c r="CM65" i="4" s="1"/>
  <c r="CM57" i="2"/>
  <c r="CM57" i="4" s="1"/>
  <c r="CM53" i="2"/>
  <c r="CM53" i="4" s="1"/>
  <c r="CM49" i="2"/>
  <c r="CM49" i="4" s="1"/>
  <c r="CM25" i="2"/>
  <c r="CM25" i="4" s="1"/>
  <c r="CM21" i="2"/>
  <c r="CM21" i="4" s="1"/>
  <c r="CM13" i="2"/>
  <c r="CM13" i="4" s="1"/>
  <c r="CM9" i="2"/>
  <c r="CM9" i="4" s="1"/>
  <c r="CM60" i="2"/>
  <c r="CM60" i="4" s="1"/>
  <c r="CM52" i="2"/>
  <c r="CM52" i="4" s="1"/>
  <c r="CM40" i="2"/>
  <c r="CM40" i="4" s="1"/>
  <c r="CM36" i="2"/>
  <c r="CM36" i="4" s="1"/>
  <c r="CM24" i="2"/>
  <c r="CM24" i="4" s="1"/>
  <c r="CM81" i="2"/>
  <c r="CM81" i="4" s="1"/>
  <c r="CM61" i="2"/>
  <c r="CM61" i="4" s="1"/>
  <c r="CM41" i="2"/>
  <c r="CM41" i="4" s="1"/>
  <c r="CM37" i="2"/>
  <c r="CM37" i="4" s="1"/>
  <c r="CM33" i="2"/>
  <c r="CM33" i="4" s="1"/>
  <c r="CM17" i="2"/>
  <c r="CM17" i="4" s="1"/>
  <c r="CM92" i="2"/>
  <c r="CM92" i="4" s="1"/>
  <c r="CM88" i="2"/>
  <c r="CM88" i="4" s="1"/>
  <c r="CM84" i="2"/>
  <c r="CM84" i="4" s="1"/>
  <c r="CM80" i="2"/>
  <c r="CM80" i="4" s="1"/>
  <c r="CM76" i="2"/>
  <c r="CM76" i="4" s="1"/>
  <c r="CM64" i="2"/>
  <c r="CM64" i="4" s="1"/>
  <c r="CM48" i="2"/>
  <c r="CM48" i="4" s="1"/>
  <c r="CM28" i="2"/>
  <c r="CM28" i="4" s="1"/>
  <c r="CM16" i="2"/>
  <c r="CM16" i="4" s="1"/>
  <c r="CM8" i="2"/>
  <c r="CM8" i="4" s="1"/>
  <c r="CM32" i="2"/>
  <c r="CM32" i="4" s="1"/>
  <c r="CM91" i="2"/>
  <c r="CM91" i="4" s="1"/>
  <c r="CM79" i="2"/>
  <c r="CM79" i="4" s="1"/>
  <c r="CM39" i="2"/>
  <c r="CM39" i="4" s="1"/>
  <c r="CM11" i="2"/>
  <c r="CM11" i="4" s="1"/>
  <c r="CM62" i="2"/>
  <c r="CM62" i="4" s="1"/>
  <c r="CM68" i="2"/>
  <c r="CM68" i="4" s="1"/>
  <c r="CM4" i="2"/>
  <c r="CM4" i="4" s="1"/>
  <c r="CM3" i="2"/>
  <c r="CM3" i="4" s="1"/>
  <c r="CM95" i="2"/>
  <c r="CM95" i="4" s="1"/>
  <c r="CM83" i="2"/>
  <c r="CM83" i="4" s="1"/>
  <c r="CM75" i="2"/>
  <c r="CM75" i="4" s="1"/>
  <c r="CM63" i="2"/>
  <c r="CM63" i="4" s="1"/>
  <c r="CM47" i="2"/>
  <c r="CM47" i="4" s="1"/>
  <c r="CM43" i="2"/>
  <c r="CM43" i="4" s="1"/>
  <c r="CM31" i="2"/>
  <c r="CM31" i="4" s="1"/>
  <c r="CM27" i="2"/>
  <c r="CM27" i="4" s="1"/>
  <c r="CM23" i="2"/>
  <c r="CM23" i="4" s="1"/>
  <c r="CM7" i="2"/>
  <c r="CM7" i="4" s="1"/>
  <c r="CM123" i="2"/>
  <c r="CM123" i="4" s="1"/>
  <c r="CM115" i="2"/>
  <c r="CM115" i="4" s="1"/>
  <c r="CM107" i="2"/>
  <c r="CM107" i="4" s="1"/>
  <c r="CM99" i="2"/>
  <c r="CM99" i="4" s="1"/>
  <c r="CM22" i="2"/>
  <c r="CM22" i="4" s="1"/>
  <c r="CM44" i="2"/>
  <c r="CM44" i="4" s="1"/>
  <c r="CM55" i="2"/>
  <c r="CM55" i="4" s="1"/>
  <c r="CM111" i="2"/>
  <c r="CM111" i="4" s="1"/>
  <c r="CM96" i="2"/>
  <c r="CM96" i="4" s="1"/>
  <c r="CM87" i="2"/>
  <c r="CM87" i="4" s="1"/>
  <c r="CM59" i="2"/>
  <c r="CM59" i="4" s="1"/>
  <c r="CM51" i="2"/>
  <c r="CM51" i="4" s="1"/>
  <c r="CM35" i="2"/>
  <c r="CM35" i="4" s="1"/>
  <c r="CM19" i="2"/>
  <c r="CM19" i="4" s="1"/>
  <c r="CM15" i="2"/>
  <c r="CM15" i="4" s="1"/>
  <c r="CM78" i="2"/>
  <c r="CM78" i="4" s="1"/>
  <c r="CM58" i="2"/>
  <c r="CM58" i="4" s="1"/>
  <c r="CM54" i="2"/>
  <c r="CM54" i="4" s="1"/>
  <c r="CM50" i="2"/>
  <c r="CM50" i="4" s="1"/>
  <c r="CM56" i="2"/>
  <c r="CM56" i="4" s="1"/>
  <c r="CM20" i="2"/>
  <c r="CM20" i="4" s="1"/>
  <c r="CM12" i="2"/>
  <c r="CM12" i="4" s="1"/>
  <c r="CM71" i="2"/>
  <c r="CM71" i="4" s="1"/>
  <c r="CM67" i="2"/>
  <c r="CM67" i="4" s="1"/>
  <c r="CM119" i="2"/>
  <c r="CM119" i="4" s="1"/>
  <c r="CM103" i="2"/>
  <c r="CM103" i="4" s="1"/>
  <c r="CO1" i="4" l="1"/>
  <c r="CP2" i="4"/>
  <c r="CO2" i="2"/>
  <c r="CN128" i="2"/>
  <c r="CN128" i="4" s="1"/>
  <c r="CN98" i="2"/>
  <c r="CN98" i="4" s="1"/>
  <c r="CN125" i="2"/>
  <c r="CN125" i="4" s="1"/>
  <c r="CN26" i="2"/>
  <c r="CN26" i="4" s="1"/>
  <c r="CN129" i="2"/>
  <c r="CN129" i="4" s="1"/>
  <c r="CN113" i="2"/>
  <c r="CN113" i="4" s="1"/>
  <c r="CN46" i="2"/>
  <c r="CN46" i="4" s="1"/>
  <c r="CN34" i="2"/>
  <c r="CN34" i="4" s="1"/>
  <c r="CN89" i="2"/>
  <c r="CN89" i="4" s="1"/>
  <c r="CN85" i="2"/>
  <c r="CN85" i="4" s="1"/>
  <c r="CN81" i="2"/>
  <c r="CN81" i="4" s="1"/>
  <c r="CN130" i="2"/>
  <c r="CN130" i="4" s="1"/>
  <c r="CN126" i="2"/>
  <c r="CN126" i="4" s="1"/>
  <c r="CN122" i="2"/>
  <c r="CN122" i="4" s="1"/>
  <c r="CN118" i="2"/>
  <c r="CN118" i="4" s="1"/>
  <c r="CN114" i="2"/>
  <c r="CN114" i="4" s="1"/>
  <c r="CN110" i="2"/>
  <c r="CN110" i="4" s="1"/>
  <c r="CN106" i="2"/>
  <c r="CN106" i="4" s="1"/>
  <c r="CN102" i="2"/>
  <c r="CN102" i="4" s="1"/>
  <c r="CN90" i="2"/>
  <c r="CN90" i="4" s="1"/>
  <c r="CN86" i="2"/>
  <c r="CN86" i="4" s="1"/>
  <c r="CN82" i="2"/>
  <c r="CN82" i="4" s="1"/>
  <c r="CN74" i="2"/>
  <c r="CN74" i="4" s="1"/>
  <c r="CN70" i="2"/>
  <c r="CN70" i="4" s="1"/>
  <c r="CN66" i="2"/>
  <c r="CN66" i="4" s="1"/>
  <c r="CN6" i="2"/>
  <c r="CN6" i="4" s="1"/>
  <c r="CN97" i="2"/>
  <c r="CN97" i="4" s="1"/>
  <c r="CN93" i="2"/>
  <c r="CN93" i="4" s="1"/>
  <c r="CN121" i="2"/>
  <c r="CN121" i="4" s="1"/>
  <c r="CN105" i="2"/>
  <c r="CN105" i="4" s="1"/>
  <c r="CN68" i="2"/>
  <c r="CN68" i="4" s="1"/>
  <c r="CN78" i="2"/>
  <c r="CN78" i="4" s="1"/>
  <c r="CN101" i="2"/>
  <c r="CN101" i="4" s="1"/>
  <c r="CN73" i="2"/>
  <c r="CN73" i="4" s="1"/>
  <c r="CN69" i="2"/>
  <c r="CN69" i="4" s="1"/>
  <c r="CN65" i="2"/>
  <c r="CN65" i="4" s="1"/>
  <c r="CN57" i="2"/>
  <c r="CN57" i="4" s="1"/>
  <c r="CN53" i="2"/>
  <c r="CN53" i="4" s="1"/>
  <c r="CN49" i="2"/>
  <c r="CN49" i="4" s="1"/>
  <c r="CN25" i="2"/>
  <c r="CN25" i="4" s="1"/>
  <c r="CN21" i="2"/>
  <c r="CN21" i="4" s="1"/>
  <c r="CN13" i="2"/>
  <c r="CN13" i="4" s="1"/>
  <c r="CN72" i="2"/>
  <c r="CN72" i="4" s="1"/>
  <c r="CN40" i="2"/>
  <c r="CN40" i="4" s="1"/>
  <c r="CN4" i="2"/>
  <c r="CN4" i="4" s="1"/>
  <c r="CN109" i="2"/>
  <c r="CN109" i="4" s="1"/>
  <c r="CN94" i="2"/>
  <c r="CN94" i="4" s="1"/>
  <c r="CN77" i="2"/>
  <c r="CN77" i="4" s="1"/>
  <c r="CN61" i="2"/>
  <c r="CN61" i="4" s="1"/>
  <c r="CN45" i="2"/>
  <c r="CN45" i="4" s="1"/>
  <c r="CN41" i="2"/>
  <c r="CN41" i="4" s="1"/>
  <c r="CN37" i="2"/>
  <c r="CN37" i="4" s="1"/>
  <c r="CN33" i="2"/>
  <c r="CN33" i="4" s="1"/>
  <c r="CN29" i="2"/>
  <c r="CN29" i="4" s="1"/>
  <c r="CN17" i="2"/>
  <c r="CN17" i="4" s="1"/>
  <c r="CN9" i="2"/>
  <c r="CN9" i="4" s="1"/>
  <c r="CN5" i="2"/>
  <c r="CN5" i="4" s="1"/>
  <c r="CN96" i="2"/>
  <c r="CN96" i="4" s="1"/>
  <c r="CN92" i="2"/>
  <c r="CN92" i="4" s="1"/>
  <c r="CN88" i="2"/>
  <c r="CN88" i="4" s="1"/>
  <c r="CN84" i="2"/>
  <c r="CN84" i="4" s="1"/>
  <c r="CN80" i="2"/>
  <c r="CN80" i="4" s="1"/>
  <c r="CN76" i="2"/>
  <c r="CN76" i="4" s="1"/>
  <c r="CN60" i="2"/>
  <c r="CN60" i="4" s="1"/>
  <c r="CN48" i="2"/>
  <c r="CN48" i="4" s="1"/>
  <c r="CN8" i="2"/>
  <c r="CN8" i="4" s="1"/>
  <c r="CN52" i="2"/>
  <c r="CN52" i="4" s="1"/>
  <c r="CN32" i="2"/>
  <c r="CN32" i="4" s="1"/>
  <c r="CN91" i="2"/>
  <c r="CN91" i="4" s="1"/>
  <c r="CN79" i="2"/>
  <c r="CN79" i="4" s="1"/>
  <c r="CN75" i="2"/>
  <c r="CN75" i="4" s="1"/>
  <c r="CN55" i="2"/>
  <c r="CN55" i="4" s="1"/>
  <c r="CN39" i="2"/>
  <c r="CN39" i="4" s="1"/>
  <c r="CN23" i="2"/>
  <c r="CN23" i="4" s="1"/>
  <c r="CN11" i="2"/>
  <c r="CN11" i="4" s="1"/>
  <c r="CN127" i="2"/>
  <c r="CN127" i="4" s="1"/>
  <c r="CN120" i="2"/>
  <c r="CN120" i="4" s="1"/>
  <c r="CN112" i="2"/>
  <c r="CN112" i="4" s="1"/>
  <c r="CN104" i="2"/>
  <c r="CN104" i="4" s="1"/>
  <c r="CN119" i="2"/>
  <c r="CN119" i="4" s="1"/>
  <c r="CN58" i="2"/>
  <c r="CN58" i="4" s="1"/>
  <c r="CN54" i="2"/>
  <c r="CN54" i="4" s="1"/>
  <c r="CN50" i="2"/>
  <c r="CN50" i="4" s="1"/>
  <c r="CN22" i="2"/>
  <c r="CN22" i="4" s="1"/>
  <c r="CN117" i="2"/>
  <c r="CN117" i="4" s="1"/>
  <c r="CN64" i="2"/>
  <c r="CN64" i="4" s="1"/>
  <c r="CN36" i="2"/>
  <c r="CN36" i="4" s="1"/>
  <c r="CN12" i="2"/>
  <c r="CN12" i="4" s="1"/>
  <c r="CN3" i="2"/>
  <c r="CN3" i="4" s="1"/>
  <c r="CN95" i="2"/>
  <c r="CN95" i="4" s="1"/>
  <c r="CN83" i="2"/>
  <c r="CN83" i="4" s="1"/>
  <c r="CN63" i="2"/>
  <c r="CN63" i="4" s="1"/>
  <c r="CN51" i="2"/>
  <c r="CN51" i="4" s="1"/>
  <c r="CN31" i="2"/>
  <c r="CN31" i="4" s="1"/>
  <c r="CN27" i="2"/>
  <c r="CN27" i="4" s="1"/>
  <c r="CN42" i="2"/>
  <c r="CN42" i="4" s="1"/>
  <c r="CN38" i="2"/>
  <c r="CN38" i="4" s="1"/>
  <c r="CN30" i="2"/>
  <c r="CN30" i="4" s="1"/>
  <c r="CN18" i="2"/>
  <c r="CN18" i="4" s="1"/>
  <c r="CN14" i="2"/>
  <c r="CN14" i="4" s="1"/>
  <c r="CN44" i="2"/>
  <c r="CN44" i="4" s="1"/>
  <c r="CN20" i="2"/>
  <c r="CN20" i="4" s="1"/>
  <c r="CN16" i="2"/>
  <c r="CN16" i="4" s="1"/>
  <c r="CN35" i="2"/>
  <c r="CN35" i="4" s="1"/>
  <c r="CN19" i="2"/>
  <c r="CN19" i="4" s="1"/>
  <c r="CN7" i="2"/>
  <c r="CN7" i="4" s="1"/>
  <c r="CN115" i="2"/>
  <c r="CN115" i="4" s="1"/>
  <c r="CN111" i="2"/>
  <c r="CN111" i="4" s="1"/>
  <c r="CN107" i="2"/>
  <c r="CN107" i="4" s="1"/>
  <c r="CN99" i="2"/>
  <c r="CN99" i="4" s="1"/>
  <c r="CN28" i="2"/>
  <c r="CN28" i="4" s="1"/>
  <c r="CN24" i="2"/>
  <c r="CN24" i="4" s="1"/>
  <c r="CN87" i="2"/>
  <c r="CN87" i="4" s="1"/>
  <c r="CN59" i="2"/>
  <c r="CN59" i="4" s="1"/>
  <c r="CN47" i="2"/>
  <c r="CN47" i="4" s="1"/>
  <c r="CN43" i="2"/>
  <c r="CN43" i="4" s="1"/>
  <c r="CN15" i="2"/>
  <c r="CN15" i="4" s="1"/>
  <c r="CN124" i="2"/>
  <c r="CN124" i="4" s="1"/>
  <c r="CN116" i="2"/>
  <c r="CN116" i="4" s="1"/>
  <c r="CN108" i="2"/>
  <c r="CN108" i="4" s="1"/>
  <c r="CN100" i="2"/>
  <c r="CN100" i="4" s="1"/>
  <c r="CN62" i="2"/>
  <c r="CN62" i="4" s="1"/>
  <c r="CN10" i="2"/>
  <c r="CN10" i="4" s="1"/>
  <c r="CN56" i="2"/>
  <c r="CN56" i="4" s="1"/>
  <c r="CN71" i="2"/>
  <c r="CN71" i="4" s="1"/>
  <c r="CN67" i="2"/>
  <c r="CN67" i="4" s="1"/>
  <c r="CN123" i="2"/>
  <c r="CN123" i="4" s="1"/>
  <c r="CN103" i="2"/>
  <c r="CN103" i="4" s="1"/>
  <c r="CP1" i="4" l="1"/>
  <c r="CQ2" i="4"/>
  <c r="CP2" i="2"/>
  <c r="CO79" i="2"/>
  <c r="CO79" i="4" s="1"/>
  <c r="CO130" i="2"/>
  <c r="CO130" i="4" s="1"/>
  <c r="CO110" i="2"/>
  <c r="CO110" i="4" s="1"/>
  <c r="CO126" i="2"/>
  <c r="CO126" i="4" s="1"/>
  <c r="CO78" i="2"/>
  <c r="CO78" i="4" s="1"/>
  <c r="CO46" i="2"/>
  <c r="CO46" i="4" s="1"/>
  <c r="CO34" i="2"/>
  <c r="CO34" i="4" s="1"/>
  <c r="CO26" i="2"/>
  <c r="CO26" i="4" s="1"/>
  <c r="CO18" i="2"/>
  <c r="CO18" i="4" s="1"/>
  <c r="CO93" i="2"/>
  <c r="CO93" i="4" s="1"/>
  <c r="CO89" i="2"/>
  <c r="CO89" i="4" s="1"/>
  <c r="CO85" i="2"/>
  <c r="CO85" i="4" s="1"/>
  <c r="CO81" i="2"/>
  <c r="CO81" i="4" s="1"/>
  <c r="CO114" i="2"/>
  <c r="CO114" i="4" s="1"/>
  <c r="CO74" i="2"/>
  <c r="CO74" i="4" s="1"/>
  <c r="CO70" i="2"/>
  <c r="CO70" i="4" s="1"/>
  <c r="CO66" i="2"/>
  <c r="CO66" i="4" s="1"/>
  <c r="CO129" i="2"/>
  <c r="CO129" i="4" s="1"/>
  <c r="CO125" i="2"/>
  <c r="CO125" i="4" s="1"/>
  <c r="CO121" i="2"/>
  <c r="CO121" i="4" s="1"/>
  <c r="CO117" i="2"/>
  <c r="CO117" i="4" s="1"/>
  <c r="CO113" i="2"/>
  <c r="CO113" i="4" s="1"/>
  <c r="CO109" i="2"/>
  <c r="CO109" i="4" s="1"/>
  <c r="CO105" i="2"/>
  <c r="CO105" i="4" s="1"/>
  <c r="CO101" i="2"/>
  <c r="CO101" i="4" s="1"/>
  <c r="CO97" i="2"/>
  <c r="CO97" i="4" s="1"/>
  <c r="CO29" i="2"/>
  <c r="CO29" i="4" s="1"/>
  <c r="CO9" i="2"/>
  <c r="CO9" i="4" s="1"/>
  <c r="CO122" i="2"/>
  <c r="CO122" i="4" s="1"/>
  <c r="CO106" i="2"/>
  <c r="CO106" i="4" s="1"/>
  <c r="CO68" i="2"/>
  <c r="CO68" i="4" s="1"/>
  <c r="CO90" i="2"/>
  <c r="CO90" i="4" s="1"/>
  <c r="CO102" i="2"/>
  <c r="CO102" i="4" s="1"/>
  <c r="CO57" i="2"/>
  <c r="CO57" i="4" s="1"/>
  <c r="CO49" i="2"/>
  <c r="CO49" i="4" s="1"/>
  <c r="CO21" i="2"/>
  <c r="CO21" i="4" s="1"/>
  <c r="CO13" i="2"/>
  <c r="CO13" i="4" s="1"/>
  <c r="CO72" i="2"/>
  <c r="CO72" i="4" s="1"/>
  <c r="CO56" i="2"/>
  <c r="CO56" i="4" s="1"/>
  <c r="CO44" i="2"/>
  <c r="CO44" i="4" s="1"/>
  <c r="CO40" i="2"/>
  <c r="CO40" i="4" s="1"/>
  <c r="CO20" i="2"/>
  <c r="CO20" i="4" s="1"/>
  <c r="CO12" i="2"/>
  <c r="CO12" i="4" s="1"/>
  <c r="CO4" i="2"/>
  <c r="CO4" i="4" s="1"/>
  <c r="CO115" i="2"/>
  <c r="CO115" i="4" s="1"/>
  <c r="CO99" i="2"/>
  <c r="CO99" i="4" s="1"/>
  <c r="CO98" i="2"/>
  <c r="CO98" i="4" s="1"/>
  <c r="CO94" i="2"/>
  <c r="CO94" i="4" s="1"/>
  <c r="CO77" i="2"/>
  <c r="CO77" i="4" s="1"/>
  <c r="CO73" i="2"/>
  <c r="CO73" i="4" s="1"/>
  <c r="CO69" i="2"/>
  <c r="CO69" i="4" s="1"/>
  <c r="CO65" i="2"/>
  <c r="CO65" i="4" s="1"/>
  <c r="CO45" i="2"/>
  <c r="CO45" i="4" s="1"/>
  <c r="CO41" i="2"/>
  <c r="CO41" i="4" s="1"/>
  <c r="CO37" i="2"/>
  <c r="CO37" i="4" s="1"/>
  <c r="CO33" i="2"/>
  <c r="CO33" i="4" s="1"/>
  <c r="CO17" i="2"/>
  <c r="CO17" i="4" s="1"/>
  <c r="CO5" i="2"/>
  <c r="CO5" i="4" s="1"/>
  <c r="CO96" i="2"/>
  <c r="CO96" i="4" s="1"/>
  <c r="CO92" i="2"/>
  <c r="CO92" i="4" s="1"/>
  <c r="CO88" i="2"/>
  <c r="CO88" i="4" s="1"/>
  <c r="CO84" i="2"/>
  <c r="CO84" i="4" s="1"/>
  <c r="CO80" i="2"/>
  <c r="CO80" i="4" s="1"/>
  <c r="CO76" i="2"/>
  <c r="CO76" i="4" s="1"/>
  <c r="CO60" i="2"/>
  <c r="CO60" i="4" s="1"/>
  <c r="CO52" i="2"/>
  <c r="CO52" i="4" s="1"/>
  <c r="CO36" i="2"/>
  <c r="CO36" i="4" s="1"/>
  <c r="CO24" i="2"/>
  <c r="CO24" i="4" s="1"/>
  <c r="CO119" i="2"/>
  <c r="CO119" i="4" s="1"/>
  <c r="CO103" i="2"/>
  <c r="CO103" i="4" s="1"/>
  <c r="CO118" i="2"/>
  <c r="CO118" i="4" s="1"/>
  <c r="CO48" i="2"/>
  <c r="CO48" i="4" s="1"/>
  <c r="CO32" i="2"/>
  <c r="CO32" i="4" s="1"/>
  <c r="CO8" i="2"/>
  <c r="CO8" i="4" s="1"/>
  <c r="CO107" i="2"/>
  <c r="CO107" i="4" s="1"/>
  <c r="CO83" i="2"/>
  <c r="CO83" i="4" s="1"/>
  <c r="CO75" i="2"/>
  <c r="CO75" i="4" s="1"/>
  <c r="CO55" i="2"/>
  <c r="CO55" i="4" s="1"/>
  <c r="CO23" i="2"/>
  <c r="CO23" i="4" s="1"/>
  <c r="CO91" i="2"/>
  <c r="CO91" i="4" s="1"/>
  <c r="CO100" i="2"/>
  <c r="CO100" i="4" s="1"/>
  <c r="CO62" i="2"/>
  <c r="CO62" i="4" s="1"/>
  <c r="CO42" i="2"/>
  <c r="CO42" i="4" s="1"/>
  <c r="CO38" i="2"/>
  <c r="CO38" i="4" s="1"/>
  <c r="CO30" i="2"/>
  <c r="CO30" i="4" s="1"/>
  <c r="CO14" i="2"/>
  <c r="CO14" i="4" s="1"/>
  <c r="CO10" i="2"/>
  <c r="CO10" i="4" s="1"/>
  <c r="CO61" i="2"/>
  <c r="CO61" i="4" s="1"/>
  <c r="CO53" i="2"/>
  <c r="CO53" i="4" s="1"/>
  <c r="CO25" i="2"/>
  <c r="CO25" i="4" s="1"/>
  <c r="CO64" i="2"/>
  <c r="CO64" i="4" s="1"/>
  <c r="CO111" i="2"/>
  <c r="CO111" i="4" s="1"/>
  <c r="CO3" i="2"/>
  <c r="CO3" i="4" s="1"/>
  <c r="CO51" i="2"/>
  <c r="CO51" i="4" s="1"/>
  <c r="CO39" i="2"/>
  <c r="CO39" i="4" s="1"/>
  <c r="CO27" i="2"/>
  <c r="CO27" i="4" s="1"/>
  <c r="CO11" i="2"/>
  <c r="CO11" i="4" s="1"/>
  <c r="CO128" i="2"/>
  <c r="CO128" i="4" s="1"/>
  <c r="CO95" i="2"/>
  <c r="CO95" i="4" s="1"/>
  <c r="CO58" i="2"/>
  <c r="CO58" i="4" s="1"/>
  <c r="CO54" i="2"/>
  <c r="CO54" i="4" s="1"/>
  <c r="CO50" i="2"/>
  <c r="CO50" i="4" s="1"/>
  <c r="CO127" i="2"/>
  <c r="CO127" i="4" s="1"/>
  <c r="CO35" i="2"/>
  <c r="CO35" i="4" s="1"/>
  <c r="CO120" i="2"/>
  <c r="CO120" i="4" s="1"/>
  <c r="CO116" i="2"/>
  <c r="CO116" i="4" s="1"/>
  <c r="CO112" i="2"/>
  <c r="CO112" i="4" s="1"/>
  <c r="CO104" i="2"/>
  <c r="CO104" i="4" s="1"/>
  <c r="CO28" i="2"/>
  <c r="CO28" i="4" s="1"/>
  <c r="CO16" i="2"/>
  <c r="CO16" i="4" s="1"/>
  <c r="CO123" i="2"/>
  <c r="CO123" i="4" s="1"/>
  <c r="CO63" i="2"/>
  <c r="CO63" i="4" s="1"/>
  <c r="CO59" i="2"/>
  <c r="CO59" i="4" s="1"/>
  <c r="CO47" i="2"/>
  <c r="CO47" i="4" s="1"/>
  <c r="CO31" i="2"/>
  <c r="CO31" i="4" s="1"/>
  <c r="CO19" i="2"/>
  <c r="CO19" i="4" s="1"/>
  <c r="CO15" i="2"/>
  <c r="CO15" i="4" s="1"/>
  <c r="CO7" i="2"/>
  <c r="CO7" i="4" s="1"/>
  <c r="CO87" i="2"/>
  <c r="CO87" i="4" s="1"/>
  <c r="CO86" i="2"/>
  <c r="CO86" i="4" s="1"/>
  <c r="CO82" i="2"/>
  <c r="CO82" i="4" s="1"/>
  <c r="CO22" i="2"/>
  <c r="CO22" i="4" s="1"/>
  <c r="CO6" i="2"/>
  <c r="CO6" i="4" s="1"/>
  <c r="CO71" i="2"/>
  <c r="CO71" i="4" s="1"/>
  <c r="CO67" i="2"/>
  <c r="CO67" i="4" s="1"/>
  <c r="CO43" i="2"/>
  <c r="CO43" i="4" s="1"/>
  <c r="CO124" i="2"/>
  <c r="CO124" i="4" s="1"/>
  <c r="CO108" i="2"/>
  <c r="CO108" i="4" s="1"/>
  <c r="CQ1" i="4" l="1"/>
  <c r="CR2" i="4"/>
  <c r="CQ2" i="2"/>
  <c r="CP80" i="2"/>
  <c r="CP80" i="4" s="1"/>
  <c r="CP107" i="2"/>
  <c r="CP107" i="4" s="1"/>
  <c r="CP123" i="2"/>
  <c r="CP123" i="4" s="1"/>
  <c r="CP130" i="2"/>
  <c r="CP130" i="4" s="1"/>
  <c r="CP103" i="2"/>
  <c r="CP103" i="4" s="1"/>
  <c r="CP119" i="2"/>
  <c r="CP119" i="4" s="1"/>
  <c r="CP127" i="2"/>
  <c r="CP127" i="4" s="1"/>
  <c r="CP99" i="2"/>
  <c r="CP99" i="4" s="1"/>
  <c r="CP115" i="2"/>
  <c r="CP115" i="4" s="1"/>
  <c r="CP111" i="2"/>
  <c r="CP111" i="4" s="1"/>
  <c r="CP78" i="2"/>
  <c r="CP78" i="4" s="1"/>
  <c r="CP62" i="2"/>
  <c r="CP62" i="4" s="1"/>
  <c r="CP54" i="2"/>
  <c r="CP54" i="4" s="1"/>
  <c r="CP34" i="2"/>
  <c r="CP34" i="4" s="1"/>
  <c r="CP26" i="2"/>
  <c r="CP26" i="4" s="1"/>
  <c r="CP18" i="2"/>
  <c r="CP18" i="4" s="1"/>
  <c r="CP93" i="2"/>
  <c r="CP93" i="4" s="1"/>
  <c r="CP89" i="2"/>
  <c r="CP89" i="4" s="1"/>
  <c r="CP85" i="2"/>
  <c r="CP85" i="4" s="1"/>
  <c r="CP58" i="2"/>
  <c r="CP58" i="4" s="1"/>
  <c r="CP129" i="2"/>
  <c r="CP129" i="4" s="1"/>
  <c r="CP125" i="2"/>
  <c r="CP125" i="4" s="1"/>
  <c r="CP121" i="2"/>
  <c r="CP121" i="4" s="1"/>
  <c r="CP117" i="2"/>
  <c r="CP117" i="4" s="1"/>
  <c r="CP113" i="2"/>
  <c r="CP113" i="4" s="1"/>
  <c r="CP109" i="2"/>
  <c r="CP109" i="4" s="1"/>
  <c r="CP105" i="2"/>
  <c r="CP105" i="4" s="1"/>
  <c r="CP101" i="2"/>
  <c r="CP101" i="4" s="1"/>
  <c r="CP97" i="2"/>
  <c r="CP97" i="4" s="1"/>
  <c r="CP10" i="2"/>
  <c r="CP10" i="4" s="1"/>
  <c r="CP9" i="2"/>
  <c r="CP9" i="4" s="1"/>
  <c r="CP68" i="2"/>
  <c r="CP68" i="4" s="1"/>
  <c r="CP126" i="2"/>
  <c r="CP126" i="4" s="1"/>
  <c r="CP122" i="2"/>
  <c r="CP122" i="4" s="1"/>
  <c r="CP118" i="2"/>
  <c r="CP118" i="4" s="1"/>
  <c r="CP114" i="2"/>
  <c r="CP114" i="4" s="1"/>
  <c r="CP110" i="2"/>
  <c r="CP110" i="4" s="1"/>
  <c r="CP106" i="2"/>
  <c r="CP106" i="4" s="1"/>
  <c r="CP102" i="2"/>
  <c r="CP102" i="4" s="1"/>
  <c r="CP98" i="2"/>
  <c r="CP98" i="4" s="1"/>
  <c r="CP94" i="2"/>
  <c r="CP94" i="4" s="1"/>
  <c r="CP90" i="2"/>
  <c r="CP90" i="4" s="1"/>
  <c r="CP46" i="2"/>
  <c r="CP46" i="4" s="1"/>
  <c r="CP41" i="2"/>
  <c r="CP41" i="4" s="1"/>
  <c r="CP33" i="2"/>
  <c r="CP33" i="4" s="1"/>
  <c r="CP29" i="2"/>
  <c r="CP29" i="4" s="1"/>
  <c r="CP72" i="2"/>
  <c r="CP72" i="4" s="1"/>
  <c r="CP56" i="2"/>
  <c r="CP56" i="4" s="1"/>
  <c r="CP44" i="2"/>
  <c r="CP44" i="4" s="1"/>
  <c r="CP20" i="2"/>
  <c r="CP20" i="4" s="1"/>
  <c r="CP16" i="2"/>
  <c r="CP16" i="4" s="1"/>
  <c r="CP4" i="2"/>
  <c r="CP4" i="4" s="1"/>
  <c r="CP116" i="2"/>
  <c r="CP116" i="4" s="1"/>
  <c r="CP100" i="2"/>
  <c r="CP100" i="4" s="1"/>
  <c r="CP81" i="2"/>
  <c r="CP81" i="4" s="1"/>
  <c r="CP77" i="2"/>
  <c r="CP77" i="4" s="1"/>
  <c r="CP73" i="2"/>
  <c r="CP73" i="4" s="1"/>
  <c r="CP69" i="2"/>
  <c r="CP69" i="4" s="1"/>
  <c r="CP65" i="2"/>
  <c r="CP65" i="4" s="1"/>
  <c r="CP57" i="2"/>
  <c r="CP57" i="4" s="1"/>
  <c r="CP53" i="2"/>
  <c r="CP53" i="4" s="1"/>
  <c r="CP49" i="2"/>
  <c r="CP49" i="4" s="1"/>
  <c r="CP37" i="2"/>
  <c r="CP37" i="4" s="1"/>
  <c r="CP25" i="2"/>
  <c r="CP25" i="4" s="1"/>
  <c r="CP21" i="2"/>
  <c r="CP21" i="4" s="1"/>
  <c r="CP17" i="2"/>
  <c r="CP17" i="4" s="1"/>
  <c r="CP5" i="2"/>
  <c r="CP5" i="4" s="1"/>
  <c r="CP76" i="2"/>
  <c r="CP76" i="4" s="1"/>
  <c r="CP60" i="2"/>
  <c r="CP60" i="4" s="1"/>
  <c r="CP52" i="2"/>
  <c r="CP52" i="4" s="1"/>
  <c r="CP40" i="2"/>
  <c r="CP40" i="4" s="1"/>
  <c r="CP24" i="2"/>
  <c r="CP24" i="4" s="1"/>
  <c r="CP120" i="2"/>
  <c r="CP120" i="4" s="1"/>
  <c r="CP104" i="2"/>
  <c r="CP104" i="4" s="1"/>
  <c r="CP95" i="2"/>
  <c r="CP95" i="4" s="1"/>
  <c r="CP50" i="2"/>
  <c r="CP50" i="4" s="1"/>
  <c r="CP22" i="2"/>
  <c r="CP22" i="4" s="1"/>
  <c r="CP48" i="2"/>
  <c r="CP48" i="4" s="1"/>
  <c r="CP28" i="2"/>
  <c r="CP28" i="4" s="1"/>
  <c r="CP8" i="2"/>
  <c r="CP8" i="4" s="1"/>
  <c r="CP108" i="2"/>
  <c r="CP108" i="4" s="1"/>
  <c r="CP84" i="2"/>
  <c r="CP84" i="4" s="1"/>
  <c r="CP63" i="2"/>
  <c r="CP63" i="4" s="1"/>
  <c r="CP55" i="2"/>
  <c r="CP55" i="4" s="1"/>
  <c r="CP23" i="2"/>
  <c r="CP23" i="4" s="1"/>
  <c r="CP11" i="2"/>
  <c r="CP11" i="4" s="1"/>
  <c r="CP92" i="2"/>
  <c r="CP92" i="4" s="1"/>
  <c r="CP86" i="2"/>
  <c r="CP86" i="4" s="1"/>
  <c r="CP82" i="2"/>
  <c r="CP82" i="4" s="1"/>
  <c r="CP6" i="2"/>
  <c r="CP6" i="4" s="1"/>
  <c r="CP61" i="2"/>
  <c r="CP61" i="4" s="1"/>
  <c r="CP45" i="2"/>
  <c r="CP45" i="4" s="1"/>
  <c r="CP64" i="2"/>
  <c r="CP64" i="4" s="1"/>
  <c r="CP32" i="2"/>
  <c r="CP32" i="4" s="1"/>
  <c r="CP112" i="2"/>
  <c r="CP112" i="4" s="1"/>
  <c r="CP3" i="2"/>
  <c r="CP3" i="4" s="1"/>
  <c r="CP91" i="2"/>
  <c r="CP91" i="4" s="1"/>
  <c r="CP79" i="2"/>
  <c r="CP79" i="4" s="1"/>
  <c r="CP75" i="2"/>
  <c r="CP75" i="4" s="1"/>
  <c r="CP51" i="2"/>
  <c r="CP51" i="4" s="1"/>
  <c r="CP39" i="2"/>
  <c r="CP39" i="4" s="1"/>
  <c r="CP27" i="2"/>
  <c r="CP27" i="4" s="1"/>
  <c r="CP7" i="2"/>
  <c r="CP7" i="4" s="1"/>
  <c r="CP96" i="2"/>
  <c r="CP96" i="4" s="1"/>
  <c r="CP74" i="2"/>
  <c r="CP74" i="4" s="1"/>
  <c r="CP70" i="2"/>
  <c r="CP70" i="4" s="1"/>
  <c r="CP66" i="2"/>
  <c r="CP66" i="4" s="1"/>
  <c r="CP128" i="2"/>
  <c r="CP128" i="4" s="1"/>
  <c r="CP35" i="2"/>
  <c r="CP35" i="4" s="1"/>
  <c r="CP19" i="2"/>
  <c r="CP19" i="4" s="1"/>
  <c r="CP13" i="2"/>
  <c r="CP13" i="4" s="1"/>
  <c r="CP36" i="2"/>
  <c r="CP36" i="4" s="1"/>
  <c r="CP12" i="2"/>
  <c r="CP12" i="4" s="1"/>
  <c r="CP124" i="2"/>
  <c r="CP124" i="4" s="1"/>
  <c r="CP83" i="2"/>
  <c r="CP83" i="4" s="1"/>
  <c r="CP67" i="2"/>
  <c r="CP67" i="4" s="1"/>
  <c r="CP59" i="2"/>
  <c r="CP59" i="4" s="1"/>
  <c r="CP47" i="2"/>
  <c r="CP47" i="4" s="1"/>
  <c r="CP43" i="2"/>
  <c r="CP43" i="4" s="1"/>
  <c r="CP31" i="2"/>
  <c r="CP31" i="4" s="1"/>
  <c r="CP15" i="2"/>
  <c r="CP15" i="4" s="1"/>
  <c r="CP88" i="2"/>
  <c r="CP88" i="4" s="1"/>
  <c r="CP42" i="2"/>
  <c r="CP42" i="4" s="1"/>
  <c r="CP38" i="2"/>
  <c r="CP38" i="4" s="1"/>
  <c r="CP30" i="2"/>
  <c r="CP30" i="4" s="1"/>
  <c r="CP14" i="2"/>
  <c r="CP14" i="4" s="1"/>
  <c r="CP87" i="2"/>
  <c r="CP87" i="4" s="1"/>
  <c r="CP71" i="2"/>
  <c r="CP71" i="4" s="1"/>
  <c r="CR1" i="4" l="1"/>
  <c r="CS2" i="4"/>
  <c r="CR2" i="2"/>
  <c r="CQ127" i="2"/>
  <c r="CQ127" i="4" s="1"/>
  <c r="CQ108" i="2"/>
  <c r="CQ108" i="4" s="1"/>
  <c r="CQ124" i="2"/>
  <c r="CQ124" i="4" s="1"/>
  <c r="CQ104" i="2"/>
  <c r="CQ104" i="4" s="1"/>
  <c r="CQ120" i="2"/>
  <c r="CQ120" i="4" s="1"/>
  <c r="CQ100" i="2"/>
  <c r="CQ100" i="4" s="1"/>
  <c r="CQ116" i="2"/>
  <c r="CQ116" i="4" s="1"/>
  <c r="CQ112" i="2"/>
  <c r="CQ112" i="4" s="1"/>
  <c r="CQ128" i="2"/>
  <c r="CQ128" i="4" s="1"/>
  <c r="CQ78" i="2"/>
  <c r="CQ78" i="4" s="1"/>
  <c r="CQ62" i="2"/>
  <c r="CQ62" i="4" s="1"/>
  <c r="CQ58" i="2"/>
  <c r="CQ58" i="4" s="1"/>
  <c r="CQ54" i="2"/>
  <c r="CQ54" i="4" s="1"/>
  <c r="CQ50" i="2"/>
  <c r="CQ50" i="4" s="1"/>
  <c r="CQ34" i="2"/>
  <c r="CQ34" i="4" s="1"/>
  <c r="CQ26" i="2"/>
  <c r="CQ26" i="4" s="1"/>
  <c r="CQ22" i="2"/>
  <c r="CQ22" i="4" s="1"/>
  <c r="CQ10" i="2"/>
  <c r="CQ10" i="4" s="1"/>
  <c r="CQ18" i="2"/>
  <c r="CQ18" i="4" s="1"/>
  <c r="CQ42" i="2"/>
  <c r="CQ42" i="4" s="1"/>
  <c r="CQ38" i="2"/>
  <c r="CQ38" i="4" s="1"/>
  <c r="CQ30" i="2"/>
  <c r="CQ30" i="4" s="1"/>
  <c r="CQ14" i="2"/>
  <c r="CQ14" i="4" s="1"/>
  <c r="CQ85" i="2"/>
  <c r="CQ85" i="4" s="1"/>
  <c r="CQ46" i="2"/>
  <c r="CQ46" i="4" s="1"/>
  <c r="CQ6" i="2"/>
  <c r="CQ6" i="4" s="1"/>
  <c r="CQ97" i="2"/>
  <c r="CQ97" i="4" s="1"/>
  <c r="CQ72" i="2"/>
  <c r="CQ72" i="4" s="1"/>
  <c r="CQ130" i="2"/>
  <c r="CQ130" i="4" s="1"/>
  <c r="CQ126" i="2"/>
  <c r="CQ126" i="4" s="1"/>
  <c r="CQ122" i="2"/>
  <c r="CQ122" i="4" s="1"/>
  <c r="CQ118" i="2"/>
  <c r="CQ118" i="4" s="1"/>
  <c r="CQ114" i="2"/>
  <c r="CQ114" i="4" s="1"/>
  <c r="CQ110" i="2"/>
  <c r="CQ110" i="4" s="1"/>
  <c r="CQ106" i="2"/>
  <c r="CQ106" i="4" s="1"/>
  <c r="CQ102" i="2"/>
  <c r="CQ102" i="4" s="1"/>
  <c r="CQ98" i="2"/>
  <c r="CQ98" i="4" s="1"/>
  <c r="CQ94" i="2"/>
  <c r="CQ94" i="4" s="1"/>
  <c r="CQ90" i="2"/>
  <c r="CQ90" i="4" s="1"/>
  <c r="CQ74" i="2"/>
  <c r="CQ74" i="4" s="1"/>
  <c r="CQ89" i="2"/>
  <c r="CQ89" i="4" s="1"/>
  <c r="CQ29" i="2"/>
  <c r="CQ29" i="4" s="1"/>
  <c r="CQ5" i="2"/>
  <c r="CQ5" i="4" s="1"/>
  <c r="CQ56" i="2"/>
  <c r="CQ56" i="4" s="1"/>
  <c r="CQ44" i="2"/>
  <c r="CQ44" i="4" s="1"/>
  <c r="CQ20" i="2"/>
  <c r="CQ20" i="4" s="1"/>
  <c r="CQ12" i="2"/>
  <c r="CQ12" i="4" s="1"/>
  <c r="CQ3" i="2"/>
  <c r="CQ3" i="4" s="1"/>
  <c r="CQ95" i="2"/>
  <c r="CQ95" i="4" s="1"/>
  <c r="CQ129" i="2"/>
  <c r="CQ129" i="4" s="1"/>
  <c r="CQ125" i="2"/>
  <c r="CQ125" i="4" s="1"/>
  <c r="CQ121" i="2"/>
  <c r="CQ121" i="4" s="1"/>
  <c r="CQ117" i="2"/>
  <c r="CQ117" i="4" s="1"/>
  <c r="CQ113" i="2"/>
  <c r="CQ113" i="4" s="1"/>
  <c r="CQ109" i="2"/>
  <c r="CQ109" i="4" s="1"/>
  <c r="CQ105" i="2"/>
  <c r="CQ105" i="4" s="1"/>
  <c r="CQ101" i="2"/>
  <c r="CQ101" i="4" s="1"/>
  <c r="CQ77" i="2"/>
  <c r="CQ77" i="4" s="1"/>
  <c r="CQ73" i="2"/>
  <c r="CQ73" i="4" s="1"/>
  <c r="CQ69" i="2"/>
  <c r="CQ69" i="4" s="1"/>
  <c r="CQ65" i="2"/>
  <c r="CQ65" i="4" s="1"/>
  <c r="CQ57" i="2"/>
  <c r="CQ57" i="4" s="1"/>
  <c r="CQ53" i="2"/>
  <c r="CQ53" i="4" s="1"/>
  <c r="CQ49" i="2"/>
  <c r="CQ49" i="4" s="1"/>
  <c r="CQ25" i="2"/>
  <c r="CQ25" i="4" s="1"/>
  <c r="CQ21" i="2"/>
  <c r="CQ21" i="4" s="1"/>
  <c r="CQ13" i="2"/>
  <c r="CQ13" i="4" s="1"/>
  <c r="CQ9" i="2"/>
  <c r="CQ9" i="4" s="1"/>
  <c r="CQ60" i="2"/>
  <c r="CQ60" i="4" s="1"/>
  <c r="CQ52" i="2"/>
  <c r="CQ52" i="4" s="1"/>
  <c r="CQ40" i="2"/>
  <c r="CQ40" i="4" s="1"/>
  <c r="CQ36" i="2"/>
  <c r="CQ36" i="4" s="1"/>
  <c r="CQ24" i="2"/>
  <c r="CQ24" i="4" s="1"/>
  <c r="CQ96" i="2"/>
  <c r="CQ96" i="4" s="1"/>
  <c r="CQ61" i="2"/>
  <c r="CQ61" i="4" s="1"/>
  <c r="CQ41" i="2"/>
  <c r="CQ41" i="4" s="1"/>
  <c r="CQ37" i="2"/>
  <c r="CQ37" i="4" s="1"/>
  <c r="CQ33" i="2"/>
  <c r="CQ33" i="4" s="1"/>
  <c r="CQ17" i="2"/>
  <c r="CQ17" i="4" s="1"/>
  <c r="CQ48" i="2"/>
  <c r="CQ48" i="4" s="1"/>
  <c r="CQ28" i="2"/>
  <c r="CQ28" i="4" s="1"/>
  <c r="CQ16" i="2"/>
  <c r="CQ16" i="4" s="1"/>
  <c r="CQ71" i="2"/>
  <c r="CQ71" i="4" s="1"/>
  <c r="CQ67" i="2"/>
  <c r="CQ67" i="4" s="1"/>
  <c r="CQ63" i="2"/>
  <c r="CQ63" i="4" s="1"/>
  <c r="CQ51" i="2"/>
  <c r="CQ51" i="4" s="1"/>
  <c r="CQ11" i="2"/>
  <c r="CQ11" i="4" s="1"/>
  <c r="CQ75" i="2"/>
  <c r="CQ75" i="4" s="1"/>
  <c r="CQ123" i="2"/>
  <c r="CQ123" i="4" s="1"/>
  <c r="CQ115" i="2"/>
  <c r="CQ115" i="4" s="1"/>
  <c r="CQ107" i="2"/>
  <c r="CQ107" i="4" s="1"/>
  <c r="CQ99" i="2"/>
  <c r="CQ99" i="4" s="1"/>
  <c r="CQ70" i="2"/>
  <c r="CQ70" i="4" s="1"/>
  <c r="CQ66" i="2"/>
  <c r="CQ66" i="4" s="1"/>
  <c r="CQ93" i="2"/>
  <c r="CQ93" i="4" s="1"/>
  <c r="CQ45" i="2"/>
  <c r="CQ45" i="4" s="1"/>
  <c r="CQ32" i="2"/>
  <c r="CQ32" i="4" s="1"/>
  <c r="CQ4" i="2"/>
  <c r="CQ4" i="4" s="1"/>
  <c r="CQ64" i="2"/>
  <c r="CQ64" i="4" s="1"/>
  <c r="CQ91" i="2"/>
  <c r="CQ91" i="4" s="1"/>
  <c r="CQ79" i="2"/>
  <c r="CQ79" i="4" s="1"/>
  <c r="CQ55" i="2"/>
  <c r="CQ55" i="4" s="1"/>
  <c r="CQ47" i="2"/>
  <c r="CQ47" i="4" s="1"/>
  <c r="CQ39" i="2"/>
  <c r="CQ39" i="4" s="1"/>
  <c r="CQ15" i="2"/>
  <c r="CQ15" i="4" s="1"/>
  <c r="CQ86" i="2"/>
  <c r="CQ86" i="4" s="1"/>
  <c r="CQ82" i="2"/>
  <c r="CQ82" i="4" s="1"/>
  <c r="CQ68" i="2"/>
  <c r="CQ68" i="4" s="1"/>
  <c r="CQ35" i="2"/>
  <c r="CQ35" i="4" s="1"/>
  <c r="CQ23" i="2"/>
  <c r="CQ23" i="4" s="1"/>
  <c r="CQ19" i="2"/>
  <c r="CQ19" i="4" s="1"/>
  <c r="CQ81" i="2"/>
  <c r="CQ81" i="4" s="1"/>
  <c r="CQ92" i="2"/>
  <c r="CQ92" i="4" s="1"/>
  <c r="CQ88" i="2"/>
  <c r="CQ88" i="4" s="1"/>
  <c r="CQ84" i="2"/>
  <c r="CQ84" i="4" s="1"/>
  <c r="CQ80" i="2"/>
  <c r="CQ80" i="4" s="1"/>
  <c r="CQ8" i="2"/>
  <c r="CQ8" i="4" s="1"/>
  <c r="CQ83" i="2"/>
  <c r="CQ83" i="4" s="1"/>
  <c r="CQ59" i="2"/>
  <c r="CQ59" i="4" s="1"/>
  <c r="CQ43" i="2"/>
  <c r="CQ43" i="4" s="1"/>
  <c r="CQ31" i="2"/>
  <c r="CQ31" i="4" s="1"/>
  <c r="CQ27" i="2"/>
  <c r="CQ27" i="4" s="1"/>
  <c r="CQ7" i="2"/>
  <c r="CQ7" i="4" s="1"/>
  <c r="CQ119" i="2"/>
  <c r="CQ119" i="4" s="1"/>
  <c r="CQ111" i="2"/>
  <c r="CQ111" i="4" s="1"/>
  <c r="CQ103" i="2"/>
  <c r="CQ103" i="4" s="1"/>
  <c r="CQ76" i="2"/>
  <c r="CQ76" i="4" s="1"/>
  <c r="CQ87" i="2"/>
  <c r="CQ87" i="4" s="1"/>
  <c r="CS1" i="4" l="1"/>
  <c r="CT2" i="4"/>
  <c r="CS2" i="2"/>
  <c r="CR128" i="2"/>
  <c r="CR128" i="4" s="1"/>
  <c r="CR129" i="2"/>
  <c r="CR129" i="4" s="1"/>
  <c r="CR113" i="2"/>
  <c r="CR113" i="4" s="1"/>
  <c r="CR98" i="2"/>
  <c r="CR98" i="4" s="1"/>
  <c r="CR82" i="2"/>
  <c r="CR82" i="4" s="1"/>
  <c r="CR78" i="2"/>
  <c r="CR78" i="4" s="1"/>
  <c r="CR62" i="2"/>
  <c r="CR62" i="4" s="1"/>
  <c r="CR58" i="2"/>
  <c r="CR58" i="4" s="1"/>
  <c r="CR54" i="2"/>
  <c r="CR54" i="4" s="1"/>
  <c r="CR50" i="2"/>
  <c r="CR50" i="4" s="1"/>
  <c r="CR42" i="2"/>
  <c r="CR42" i="4" s="1"/>
  <c r="CR38" i="2"/>
  <c r="CR38" i="4" s="1"/>
  <c r="CR34" i="2"/>
  <c r="CR34" i="4" s="1"/>
  <c r="CR30" i="2"/>
  <c r="CR30" i="4" s="1"/>
  <c r="CR22" i="2"/>
  <c r="CR22" i="4" s="1"/>
  <c r="CR18" i="2"/>
  <c r="CR18" i="4" s="1"/>
  <c r="CR14" i="2"/>
  <c r="CR14" i="4" s="1"/>
  <c r="CR10" i="2"/>
  <c r="CR10" i="4" s="1"/>
  <c r="CR86" i="2"/>
  <c r="CR86" i="4" s="1"/>
  <c r="CR26" i="2"/>
  <c r="CR26" i="4" s="1"/>
  <c r="CR121" i="2"/>
  <c r="CR121" i="4" s="1"/>
  <c r="CR105" i="2"/>
  <c r="CR105" i="4" s="1"/>
  <c r="CR117" i="2"/>
  <c r="CR117" i="4" s="1"/>
  <c r="CR101" i="2"/>
  <c r="CR101" i="4" s="1"/>
  <c r="CR90" i="2"/>
  <c r="CR90" i="4" s="1"/>
  <c r="CR46" i="2"/>
  <c r="CR46" i="4" s="1"/>
  <c r="CR89" i="2"/>
  <c r="CR89" i="4" s="1"/>
  <c r="CR85" i="2"/>
  <c r="CR85" i="4" s="1"/>
  <c r="CR81" i="2"/>
  <c r="CR81" i="4" s="1"/>
  <c r="CR65" i="2"/>
  <c r="CR65" i="4" s="1"/>
  <c r="CR125" i="2"/>
  <c r="CR125" i="4" s="1"/>
  <c r="CR109" i="2"/>
  <c r="CR109" i="4" s="1"/>
  <c r="CR64" i="2"/>
  <c r="CR64" i="4" s="1"/>
  <c r="CR130" i="2"/>
  <c r="CR130" i="4" s="1"/>
  <c r="CR126" i="2"/>
  <c r="CR126" i="4" s="1"/>
  <c r="CR122" i="2"/>
  <c r="CR122" i="4" s="1"/>
  <c r="CR118" i="2"/>
  <c r="CR118" i="4" s="1"/>
  <c r="CR114" i="2"/>
  <c r="CR114" i="4" s="1"/>
  <c r="CR110" i="2"/>
  <c r="CR110" i="4" s="1"/>
  <c r="CR106" i="2"/>
  <c r="CR106" i="4" s="1"/>
  <c r="CR102" i="2"/>
  <c r="CR102" i="4" s="1"/>
  <c r="CR74" i="2"/>
  <c r="CR74" i="4" s="1"/>
  <c r="CR97" i="2"/>
  <c r="CR97" i="4" s="1"/>
  <c r="CR73" i="2"/>
  <c r="CR73" i="4" s="1"/>
  <c r="CR69" i="2"/>
  <c r="CR69" i="4" s="1"/>
  <c r="CR68" i="2"/>
  <c r="CR68" i="4" s="1"/>
  <c r="CR52" i="2"/>
  <c r="CR52" i="4" s="1"/>
  <c r="CR44" i="2"/>
  <c r="CR44" i="4" s="1"/>
  <c r="CR36" i="2"/>
  <c r="CR36" i="4" s="1"/>
  <c r="CR24" i="2"/>
  <c r="CR24" i="4" s="1"/>
  <c r="CR16" i="2"/>
  <c r="CR16" i="4" s="1"/>
  <c r="CR12" i="2"/>
  <c r="CR12" i="4" s="1"/>
  <c r="CR3" i="2"/>
  <c r="CR3" i="4" s="1"/>
  <c r="CR95" i="2"/>
  <c r="CR95" i="4" s="1"/>
  <c r="CR93" i="2"/>
  <c r="CR93" i="4" s="1"/>
  <c r="CR57" i="2"/>
  <c r="CR57" i="4" s="1"/>
  <c r="CR53" i="2"/>
  <c r="CR53" i="4" s="1"/>
  <c r="CR49" i="2"/>
  <c r="CR49" i="4" s="1"/>
  <c r="CR25" i="2"/>
  <c r="CR25" i="4" s="1"/>
  <c r="CR21" i="2"/>
  <c r="CR21" i="4" s="1"/>
  <c r="CR13" i="2"/>
  <c r="CR13" i="4" s="1"/>
  <c r="CR72" i="2"/>
  <c r="CR72" i="4" s="1"/>
  <c r="CR56" i="2"/>
  <c r="CR56" i="4" s="1"/>
  <c r="CR48" i="2"/>
  <c r="CR48" i="4" s="1"/>
  <c r="CR40" i="2"/>
  <c r="CR40" i="4" s="1"/>
  <c r="CR4" i="2"/>
  <c r="CR4" i="4" s="1"/>
  <c r="CR61" i="2"/>
  <c r="CR61" i="4" s="1"/>
  <c r="CR45" i="2"/>
  <c r="CR45" i="4" s="1"/>
  <c r="CR41" i="2"/>
  <c r="CR41" i="4" s="1"/>
  <c r="CR37" i="2"/>
  <c r="CR37" i="4" s="1"/>
  <c r="CR33" i="2"/>
  <c r="CR33" i="4" s="1"/>
  <c r="CR17" i="2"/>
  <c r="CR17" i="4" s="1"/>
  <c r="CR5" i="2"/>
  <c r="CR5" i="4" s="1"/>
  <c r="CR60" i="2"/>
  <c r="CR60" i="4" s="1"/>
  <c r="CR71" i="2"/>
  <c r="CR71" i="4" s="1"/>
  <c r="CR67" i="2"/>
  <c r="CR67" i="4" s="1"/>
  <c r="CR39" i="2"/>
  <c r="CR39" i="4" s="1"/>
  <c r="CR11" i="2"/>
  <c r="CR11" i="4" s="1"/>
  <c r="CR7" i="2"/>
  <c r="CR7" i="4" s="1"/>
  <c r="CR76" i="2"/>
  <c r="CR76" i="4" s="1"/>
  <c r="CR104" i="2"/>
  <c r="CR104" i="4" s="1"/>
  <c r="CR77" i="2"/>
  <c r="CR77" i="4" s="1"/>
  <c r="CR29" i="2"/>
  <c r="CR29" i="4" s="1"/>
  <c r="CR32" i="2"/>
  <c r="CR32" i="4" s="1"/>
  <c r="CR91" i="2"/>
  <c r="CR91" i="4" s="1"/>
  <c r="CR79" i="2"/>
  <c r="CR79" i="4" s="1"/>
  <c r="CR75" i="2"/>
  <c r="CR75" i="4" s="1"/>
  <c r="CR59" i="2"/>
  <c r="CR59" i="4" s="1"/>
  <c r="CR55" i="2"/>
  <c r="CR55" i="4" s="1"/>
  <c r="CR31" i="2"/>
  <c r="CR31" i="4" s="1"/>
  <c r="CR23" i="2"/>
  <c r="CR23" i="4" s="1"/>
  <c r="CR124" i="2"/>
  <c r="CR124" i="4" s="1"/>
  <c r="CR116" i="2"/>
  <c r="CR116" i="4" s="1"/>
  <c r="CR108" i="2"/>
  <c r="CR108" i="4" s="1"/>
  <c r="CR100" i="2"/>
  <c r="CR100" i="4" s="1"/>
  <c r="CR9" i="2"/>
  <c r="CR9" i="4" s="1"/>
  <c r="CR28" i="2"/>
  <c r="CR28" i="4" s="1"/>
  <c r="CR35" i="2"/>
  <c r="CR35" i="4" s="1"/>
  <c r="CR127" i="2"/>
  <c r="CR127" i="4" s="1"/>
  <c r="CR120" i="2"/>
  <c r="CR120" i="4" s="1"/>
  <c r="CR6" i="2"/>
  <c r="CR6" i="4" s="1"/>
  <c r="CR94" i="2"/>
  <c r="CR94" i="4" s="1"/>
  <c r="CR96" i="2"/>
  <c r="CR96" i="4" s="1"/>
  <c r="CR92" i="2"/>
  <c r="CR92" i="4" s="1"/>
  <c r="CR88" i="2"/>
  <c r="CR88" i="4" s="1"/>
  <c r="CR84" i="2"/>
  <c r="CR84" i="4" s="1"/>
  <c r="CR80" i="2"/>
  <c r="CR80" i="4" s="1"/>
  <c r="CR8" i="2"/>
  <c r="CR8" i="4" s="1"/>
  <c r="CR83" i="2"/>
  <c r="CR83" i="4" s="1"/>
  <c r="CR51" i="2"/>
  <c r="CR51" i="4" s="1"/>
  <c r="CR43" i="2"/>
  <c r="CR43" i="4" s="1"/>
  <c r="CR27" i="2"/>
  <c r="CR27" i="4" s="1"/>
  <c r="CR123" i="2"/>
  <c r="CR123" i="4" s="1"/>
  <c r="CR119" i="2"/>
  <c r="CR119" i="4" s="1"/>
  <c r="CR115" i="2"/>
  <c r="CR115" i="4" s="1"/>
  <c r="CR111" i="2"/>
  <c r="CR111" i="4" s="1"/>
  <c r="CR107" i="2"/>
  <c r="CR107" i="4" s="1"/>
  <c r="CR103" i="2"/>
  <c r="CR103" i="4" s="1"/>
  <c r="CR99" i="2"/>
  <c r="CR99" i="4" s="1"/>
  <c r="CR70" i="2"/>
  <c r="CR70" i="4" s="1"/>
  <c r="CR66" i="2"/>
  <c r="CR66" i="4" s="1"/>
  <c r="CR20" i="2"/>
  <c r="CR20" i="4" s="1"/>
  <c r="CR87" i="2"/>
  <c r="CR87" i="4" s="1"/>
  <c r="CR63" i="2"/>
  <c r="CR63" i="4" s="1"/>
  <c r="CR47" i="2"/>
  <c r="CR47" i="4" s="1"/>
  <c r="CR19" i="2"/>
  <c r="CR19" i="4" s="1"/>
  <c r="CR15" i="2"/>
  <c r="CR15" i="4" s="1"/>
  <c r="CR112" i="2"/>
  <c r="CR112" i="4" s="1"/>
  <c r="CT1" i="4" l="1"/>
  <c r="CU2" i="4"/>
  <c r="CS50" i="4"/>
  <c r="CT2" i="2"/>
  <c r="CS83" i="2"/>
  <c r="CS83" i="4" s="1"/>
  <c r="CS95" i="2"/>
  <c r="CS95" i="4" s="1"/>
  <c r="CS126" i="2"/>
  <c r="CS126" i="4" s="1"/>
  <c r="CS114" i="2"/>
  <c r="CS114" i="4" s="1"/>
  <c r="CS98" i="2"/>
  <c r="CS98" i="4" s="1"/>
  <c r="CS94" i="2"/>
  <c r="CS94" i="4" s="1"/>
  <c r="CS90" i="2"/>
  <c r="CS90" i="4" s="1"/>
  <c r="CS86" i="2"/>
  <c r="CS86" i="4" s="1"/>
  <c r="CS82" i="2"/>
  <c r="CS82" i="4" s="1"/>
  <c r="CS78" i="2"/>
  <c r="CS78" i="4" s="1"/>
  <c r="CS74" i="2"/>
  <c r="CS74" i="4" s="1"/>
  <c r="CS62" i="2"/>
  <c r="CS62" i="4" s="1"/>
  <c r="CS58" i="2"/>
  <c r="CS58" i="4" s="1"/>
  <c r="CS54" i="2"/>
  <c r="CS54" i="4" s="1"/>
  <c r="CS50" i="2"/>
  <c r="CS42" i="2"/>
  <c r="CS42" i="4" s="1"/>
  <c r="CS38" i="2"/>
  <c r="CS38" i="4" s="1"/>
  <c r="CS30" i="2"/>
  <c r="CS30" i="4" s="1"/>
  <c r="CS22" i="2"/>
  <c r="CS22" i="4" s="1"/>
  <c r="CS14" i="2"/>
  <c r="CS14" i="4" s="1"/>
  <c r="CS6" i="2"/>
  <c r="CS6" i="4" s="1"/>
  <c r="CS46" i="2"/>
  <c r="CS46" i="4" s="1"/>
  <c r="CS34" i="2"/>
  <c r="CS34" i="4" s="1"/>
  <c r="CS26" i="2"/>
  <c r="CS26" i="4" s="1"/>
  <c r="CS122" i="2"/>
  <c r="CS122" i="4" s="1"/>
  <c r="CS106" i="2"/>
  <c r="CS106" i="4" s="1"/>
  <c r="CS70" i="2"/>
  <c r="CS70" i="4" s="1"/>
  <c r="CS18" i="2"/>
  <c r="CS18" i="4" s="1"/>
  <c r="CS10" i="2"/>
  <c r="CS10" i="4" s="1"/>
  <c r="CS130" i="2"/>
  <c r="CS130" i="4" s="1"/>
  <c r="CS93" i="2"/>
  <c r="CS93" i="4" s="1"/>
  <c r="CS89" i="2"/>
  <c r="CS89" i="4" s="1"/>
  <c r="CS85" i="2"/>
  <c r="CS85" i="4" s="1"/>
  <c r="CS81" i="2"/>
  <c r="CS81" i="4" s="1"/>
  <c r="CS118" i="2"/>
  <c r="CS118" i="4" s="1"/>
  <c r="CS110" i="2"/>
  <c r="CS110" i="4" s="1"/>
  <c r="CS64" i="2"/>
  <c r="CS64" i="4" s="1"/>
  <c r="CS66" i="2"/>
  <c r="CS66" i="4" s="1"/>
  <c r="CS53" i="2"/>
  <c r="CS53" i="4" s="1"/>
  <c r="CS49" i="2"/>
  <c r="CS49" i="4" s="1"/>
  <c r="CS29" i="2"/>
  <c r="CS29" i="4" s="1"/>
  <c r="CS25" i="2"/>
  <c r="CS25" i="4" s="1"/>
  <c r="CS21" i="2"/>
  <c r="CS21" i="4" s="1"/>
  <c r="CS9" i="2"/>
  <c r="CS9" i="4" s="1"/>
  <c r="CS68" i="2"/>
  <c r="CS68" i="4" s="1"/>
  <c r="CS44" i="2"/>
  <c r="CS44" i="4" s="1"/>
  <c r="CS40" i="2"/>
  <c r="CS40" i="4" s="1"/>
  <c r="CS12" i="2"/>
  <c r="CS12" i="4" s="1"/>
  <c r="CS119" i="2"/>
  <c r="CS119" i="4" s="1"/>
  <c r="CS103" i="2"/>
  <c r="CS103" i="4" s="1"/>
  <c r="CS3" i="2"/>
  <c r="CS3" i="4" s="1"/>
  <c r="CS129" i="2"/>
  <c r="CS129" i="4" s="1"/>
  <c r="CS125" i="2"/>
  <c r="CS125" i="4" s="1"/>
  <c r="CS121" i="2"/>
  <c r="CS121" i="4" s="1"/>
  <c r="CS117" i="2"/>
  <c r="CS117" i="4" s="1"/>
  <c r="CS113" i="2"/>
  <c r="CS113" i="4" s="1"/>
  <c r="CS109" i="2"/>
  <c r="CS109" i="4" s="1"/>
  <c r="CS105" i="2"/>
  <c r="CS105" i="4" s="1"/>
  <c r="CS101" i="2"/>
  <c r="CS101" i="4" s="1"/>
  <c r="CS97" i="2"/>
  <c r="CS97" i="4" s="1"/>
  <c r="CS77" i="2"/>
  <c r="CS77" i="4" s="1"/>
  <c r="CS13" i="2"/>
  <c r="CS13" i="4" s="1"/>
  <c r="CS72" i="2"/>
  <c r="CS72" i="4" s="1"/>
  <c r="CS60" i="2"/>
  <c r="CS60" i="4" s="1"/>
  <c r="CS56" i="2"/>
  <c r="CS56" i="4" s="1"/>
  <c r="CS20" i="2"/>
  <c r="CS20" i="4" s="1"/>
  <c r="CS8" i="2"/>
  <c r="CS8" i="4" s="1"/>
  <c r="CS4" i="2"/>
  <c r="CS4" i="4" s="1"/>
  <c r="CS123" i="2"/>
  <c r="CS123" i="4" s="1"/>
  <c r="CS107" i="2"/>
  <c r="CS107" i="4" s="1"/>
  <c r="CS73" i="2"/>
  <c r="CS73" i="4" s="1"/>
  <c r="CS69" i="2"/>
  <c r="CS69" i="4" s="1"/>
  <c r="CS65" i="2"/>
  <c r="CS65" i="4" s="1"/>
  <c r="CS45" i="2"/>
  <c r="CS45" i="4" s="1"/>
  <c r="CS41" i="2"/>
  <c r="CS41" i="4" s="1"/>
  <c r="CS37" i="2"/>
  <c r="CS37" i="4" s="1"/>
  <c r="CS33" i="2"/>
  <c r="CS33" i="4" s="1"/>
  <c r="CS17" i="2"/>
  <c r="CS17" i="4" s="1"/>
  <c r="CS5" i="2"/>
  <c r="CS5" i="4" s="1"/>
  <c r="CS32" i="2"/>
  <c r="CS32" i="4" s="1"/>
  <c r="CS24" i="2"/>
  <c r="CS24" i="4" s="1"/>
  <c r="CS111" i="2"/>
  <c r="CS111" i="4" s="1"/>
  <c r="CS71" i="2"/>
  <c r="CS71" i="4" s="1"/>
  <c r="CS67" i="2"/>
  <c r="CS67" i="4" s="1"/>
  <c r="CS43" i="2"/>
  <c r="CS43" i="4" s="1"/>
  <c r="CS35" i="2"/>
  <c r="CS35" i="4" s="1"/>
  <c r="CS19" i="2"/>
  <c r="CS19" i="4" s="1"/>
  <c r="CS128" i="2"/>
  <c r="CS128" i="4" s="1"/>
  <c r="CS61" i="2"/>
  <c r="CS61" i="4" s="1"/>
  <c r="CS57" i="2"/>
  <c r="CS57" i="4" s="1"/>
  <c r="CS48" i="2"/>
  <c r="CS48" i="4" s="1"/>
  <c r="CS115" i="2"/>
  <c r="CS115" i="4" s="1"/>
  <c r="CS87" i="2"/>
  <c r="CS87" i="4" s="1"/>
  <c r="CS75" i="2"/>
  <c r="CS75" i="4" s="1"/>
  <c r="CS55" i="2"/>
  <c r="CS55" i="4" s="1"/>
  <c r="CS23" i="2"/>
  <c r="CS23" i="4" s="1"/>
  <c r="CS7" i="2"/>
  <c r="CS7" i="4" s="1"/>
  <c r="CS28" i="2"/>
  <c r="CS28" i="4" s="1"/>
  <c r="CS99" i="2"/>
  <c r="CS99" i="4" s="1"/>
  <c r="CS79" i="2"/>
  <c r="CS79" i="4" s="1"/>
  <c r="CS102" i="2"/>
  <c r="CS102" i="4" s="1"/>
  <c r="CS96" i="2"/>
  <c r="CS96" i="4" s="1"/>
  <c r="CS92" i="2"/>
  <c r="CS92" i="4" s="1"/>
  <c r="CS88" i="2"/>
  <c r="CS88" i="4" s="1"/>
  <c r="CS84" i="2"/>
  <c r="CS84" i="4" s="1"/>
  <c r="CS80" i="2"/>
  <c r="CS80" i="4" s="1"/>
  <c r="CS76" i="2"/>
  <c r="CS76" i="4" s="1"/>
  <c r="CS52" i="2"/>
  <c r="CS52" i="4" s="1"/>
  <c r="CS16" i="2"/>
  <c r="CS16" i="4" s="1"/>
  <c r="CS127" i="2"/>
  <c r="CS127" i="4" s="1"/>
  <c r="CS51" i="2"/>
  <c r="CS51" i="4" s="1"/>
  <c r="CS39" i="2"/>
  <c r="CS39" i="4" s="1"/>
  <c r="CS27" i="2"/>
  <c r="CS27" i="4" s="1"/>
  <c r="CS11" i="2"/>
  <c r="CS11" i="4" s="1"/>
  <c r="CS124" i="2"/>
  <c r="CS124" i="4" s="1"/>
  <c r="CS120" i="2"/>
  <c r="CS120" i="4" s="1"/>
  <c r="CS116" i="2"/>
  <c r="CS116" i="4" s="1"/>
  <c r="CS112" i="2"/>
  <c r="CS112" i="4" s="1"/>
  <c r="CS108" i="2"/>
  <c r="CS108" i="4" s="1"/>
  <c r="CS104" i="2"/>
  <c r="CS104" i="4" s="1"/>
  <c r="CS100" i="2"/>
  <c r="CS100" i="4" s="1"/>
  <c r="CS91" i="2"/>
  <c r="CS91" i="4" s="1"/>
  <c r="CS36" i="2"/>
  <c r="CS36" i="4" s="1"/>
  <c r="CS63" i="2"/>
  <c r="CS63" i="4" s="1"/>
  <c r="CS59" i="2"/>
  <c r="CS59" i="4" s="1"/>
  <c r="CS47" i="2"/>
  <c r="CS47" i="4" s="1"/>
  <c r="CS31" i="2"/>
  <c r="CS31" i="4" s="1"/>
  <c r="CS15" i="2"/>
  <c r="CS15" i="4" s="1"/>
  <c r="CU1" i="4" l="1"/>
  <c r="CV2" i="4"/>
  <c r="CU2" i="2"/>
  <c r="CT84" i="2"/>
  <c r="CT84" i="4" s="1"/>
  <c r="CT96" i="2"/>
  <c r="CT96" i="4" s="1"/>
  <c r="CT111" i="2"/>
  <c r="CT111" i="4" s="1"/>
  <c r="CT127" i="2"/>
  <c r="CT127" i="4" s="1"/>
  <c r="CT107" i="2"/>
  <c r="CT107" i="4" s="1"/>
  <c r="CT123" i="2"/>
  <c r="CT123" i="4" s="1"/>
  <c r="CT99" i="2"/>
  <c r="CT99" i="4" s="1"/>
  <c r="CT115" i="2"/>
  <c r="CT115" i="4" s="1"/>
  <c r="CT103" i="2"/>
  <c r="CT103" i="4" s="1"/>
  <c r="CT119" i="2"/>
  <c r="CT119" i="4" s="1"/>
  <c r="CT126" i="2"/>
  <c r="CT126" i="4" s="1"/>
  <c r="CT122" i="2"/>
  <c r="CT122" i="4" s="1"/>
  <c r="CT118" i="2"/>
  <c r="CT118" i="4" s="1"/>
  <c r="CT114" i="2"/>
  <c r="CT114" i="4" s="1"/>
  <c r="CT110" i="2"/>
  <c r="CT110" i="4" s="1"/>
  <c r="CT106" i="2"/>
  <c r="CT106" i="4" s="1"/>
  <c r="CT102" i="2"/>
  <c r="CT102" i="4" s="1"/>
  <c r="CT98" i="2"/>
  <c r="CT98" i="4" s="1"/>
  <c r="CT94" i="2"/>
  <c r="CT94" i="4" s="1"/>
  <c r="CT90" i="2"/>
  <c r="CT90" i="4" s="1"/>
  <c r="CT86" i="2"/>
  <c r="CT86" i="4" s="1"/>
  <c r="CT82" i="2"/>
  <c r="CT82" i="4" s="1"/>
  <c r="CT78" i="2"/>
  <c r="CT78" i="4" s="1"/>
  <c r="CT74" i="2"/>
  <c r="CT74" i="4" s="1"/>
  <c r="CT70" i="2"/>
  <c r="CT70" i="4" s="1"/>
  <c r="CT66" i="2"/>
  <c r="CT66" i="4" s="1"/>
  <c r="CT62" i="2"/>
  <c r="CT62" i="4" s="1"/>
  <c r="CT58" i="2"/>
  <c r="CT58" i="4" s="1"/>
  <c r="CT42" i="2"/>
  <c r="CT42" i="4" s="1"/>
  <c r="CT38" i="2"/>
  <c r="CT38" i="4" s="1"/>
  <c r="CT30" i="2"/>
  <c r="CT30" i="4" s="1"/>
  <c r="CT26" i="2"/>
  <c r="CT26" i="4" s="1"/>
  <c r="CT14" i="2"/>
  <c r="CT14" i="4" s="1"/>
  <c r="CT6" i="2"/>
  <c r="CT6" i="4" s="1"/>
  <c r="CT130" i="2"/>
  <c r="CT130" i="4" s="1"/>
  <c r="CT34" i="2"/>
  <c r="CT34" i="4" s="1"/>
  <c r="CT18" i="2"/>
  <c r="CT18" i="4" s="1"/>
  <c r="CT93" i="2"/>
  <c r="CT93" i="4" s="1"/>
  <c r="CT89" i="2"/>
  <c r="CT89" i="4" s="1"/>
  <c r="CT85" i="2"/>
  <c r="CT85" i="4" s="1"/>
  <c r="CT29" i="2"/>
  <c r="CT29" i="4" s="1"/>
  <c r="CT64" i="2"/>
  <c r="CT64" i="4" s="1"/>
  <c r="CT50" i="2"/>
  <c r="CT50" i="4" s="1"/>
  <c r="CT22" i="2"/>
  <c r="CT22" i="4" s="1"/>
  <c r="CT10" i="2"/>
  <c r="CT10" i="4" s="1"/>
  <c r="CT33" i="2"/>
  <c r="CT33" i="4" s="1"/>
  <c r="CT68" i="2"/>
  <c r="CT68" i="4" s="1"/>
  <c r="CT32" i="2"/>
  <c r="CT32" i="4" s="1"/>
  <c r="CT120" i="2"/>
  <c r="CT120" i="4" s="1"/>
  <c r="CT104" i="2"/>
  <c r="CT104" i="4" s="1"/>
  <c r="CT91" i="2"/>
  <c r="CT91" i="4" s="1"/>
  <c r="CT129" i="2"/>
  <c r="CT129" i="4" s="1"/>
  <c r="CT125" i="2"/>
  <c r="CT125" i="4" s="1"/>
  <c r="CT121" i="2"/>
  <c r="CT121" i="4" s="1"/>
  <c r="CT117" i="2"/>
  <c r="CT117" i="4" s="1"/>
  <c r="CT113" i="2"/>
  <c r="CT113" i="4" s="1"/>
  <c r="CT109" i="2"/>
  <c r="CT109" i="4" s="1"/>
  <c r="CT105" i="2"/>
  <c r="CT105" i="4" s="1"/>
  <c r="CT101" i="2"/>
  <c r="CT101" i="4" s="1"/>
  <c r="CT97" i="2"/>
  <c r="CT97" i="4" s="1"/>
  <c r="CT61" i="2"/>
  <c r="CT61" i="4" s="1"/>
  <c r="CT41" i="2"/>
  <c r="CT41" i="4" s="1"/>
  <c r="CT37" i="2"/>
  <c r="CT37" i="4" s="1"/>
  <c r="CT17" i="2"/>
  <c r="CT17" i="4" s="1"/>
  <c r="CT13" i="2"/>
  <c r="CT13" i="4" s="1"/>
  <c r="CT72" i="2"/>
  <c r="CT72" i="4" s="1"/>
  <c r="CT56" i="2"/>
  <c r="CT56" i="4" s="1"/>
  <c r="CT20" i="2"/>
  <c r="CT20" i="4" s="1"/>
  <c r="CT16" i="2"/>
  <c r="CT16" i="4" s="1"/>
  <c r="CT4" i="2"/>
  <c r="CT4" i="4" s="1"/>
  <c r="CT124" i="2"/>
  <c r="CT124" i="4" s="1"/>
  <c r="CT108" i="2"/>
  <c r="CT108" i="4" s="1"/>
  <c r="CT54" i="2"/>
  <c r="CT54" i="4" s="1"/>
  <c r="CT81" i="2"/>
  <c r="CT81" i="4" s="1"/>
  <c r="CT77" i="2"/>
  <c r="CT77" i="4" s="1"/>
  <c r="CT73" i="2"/>
  <c r="CT73" i="4" s="1"/>
  <c r="CT69" i="2"/>
  <c r="CT69" i="4" s="1"/>
  <c r="CT65" i="2"/>
  <c r="CT65" i="4" s="1"/>
  <c r="CT57" i="2"/>
  <c r="CT57" i="4" s="1"/>
  <c r="CT53" i="2"/>
  <c r="CT53" i="4" s="1"/>
  <c r="CT49" i="2"/>
  <c r="CT49" i="4" s="1"/>
  <c r="CT25" i="2"/>
  <c r="CT25" i="4" s="1"/>
  <c r="CT21" i="2"/>
  <c r="CT21" i="4" s="1"/>
  <c r="CT9" i="2"/>
  <c r="CT9" i="4" s="1"/>
  <c r="CT5" i="2"/>
  <c r="CT5" i="4" s="1"/>
  <c r="CT24" i="2"/>
  <c r="CT24" i="4" s="1"/>
  <c r="CT112" i="2"/>
  <c r="CT112" i="4" s="1"/>
  <c r="CT67" i="2"/>
  <c r="CT67" i="4" s="1"/>
  <c r="CT87" i="2"/>
  <c r="CT87" i="4" s="1"/>
  <c r="CT35" i="2"/>
  <c r="CT35" i="4" s="1"/>
  <c r="CT19" i="2"/>
  <c r="CT19" i="4" s="1"/>
  <c r="CT46" i="2"/>
  <c r="CT46" i="4" s="1"/>
  <c r="CT45" i="2"/>
  <c r="CT45" i="4" s="1"/>
  <c r="CT48" i="2"/>
  <c r="CT48" i="4" s="1"/>
  <c r="CT44" i="2"/>
  <c r="CT44" i="4" s="1"/>
  <c r="CT28" i="2"/>
  <c r="CT28" i="4" s="1"/>
  <c r="CT8" i="2"/>
  <c r="CT8" i="4" s="1"/>
  <c r="CT116" i="2"/>
  <c r="CT116" i="4" s="1"/>
  <c r="CT88" i="2"/>
  <c r="CT88" i="4" s="1"/>
  <c r="CT3" i="2"/>
  <c r="CT3" i="4" s="1"/>
  <c r="CT63" i="2"/>
  <c r="CT63" i="4" s="1"/>
  <c r="CT55" i="2"/>
  <c r="CT55" i="4" s="1"/>
  <c r="CT23" i="2"/>
  <c r="CT23" i="4" s="1"/>
  <c r="CT11" i="2"/>
  <c r="CT11" i="4" s="1"/>
  <c r="CT100" i="2"/>
  <c r="CT100" i="4" s="1"/>
  <c r="CT15" i="2"/>
  <c r="CT15" i="4" s="1"/>
  <c r="CT80" i="2"/>
  <c r="CT80" i="4" s="1"/>
  <c r="CT76" i="2"/>
  <c r="CT76" i="4" s="1"/>
  <c r="CT52" i="2"/>
  <c r="CT52" i="4" s="1"/>
  <c r="CT40" i="2"/>
  <c r="CT40" i="4" s="1"/>
  <c r="CT128" i="2"/>
  <c r="CT128" i="4" s="1"/>
  <c r="CT79" i="2"/>
  <c r="CT79" i="4" s="1"/>
  <c r="CT75" i="2"/>
  <c r="CT75" i="4" s="1"/>
  <c r="CT51" i="2"/>
  <c r="CT51" i="4" s="1"/>
  <c r="CT39" i="2"/>
  <c r="CT39" i="4" s="1"/>
  <c r="CT27" i="2"/>
  <c r="CT27" i="4" s="1"/>
  <c r="CT7" i="2"/>
  <c r="CT7" i="4" s="1"/>
  <c r="CT92" i="2"/>
  <c r="CT92" i="4" s="1"/>
  <c r="CT95" i="2"/>
  <c r="CT95" i="4" s="1"/>
  <c r="CT60" i="2"/>
  <c r="CT60" i="4" s="1"/>
  <c r="CT36" i="2"/>
  <c r="CT36" i="4" s="1"/>
  <c r="CT12" i="2"/>
  <c r="CT12" i="4" s="1"/>
  <c r="CT83" i="2"/>
  <c r="CT83" i="4" s="1"/>
  <c r="CT71" i="2"/>
  <c r="CT71" i="4" s="1"/>
  <c r="CT59" i="2"/>
  <c r="CT59" i="4" s="1"/>
  <c r="CT47" i="2"/>
  <c r="CT47" i="4" s="1"/>
  <c r="CT43" i="2"/>
  <c r="CT43" i="4" s="1"/>
  <c r="CT31" i="2"/>
  <c r="CT31" i="4" s="1"/>
  <c r="CV1" i="4" l="1"/>
  <c r="CW2" i="4"/>
  <c r="CV2" i="2"/>
  <c r="CU127" i="2"/>
  <c r="CU127" i="4" s="1"/>
  <c r="CU112" i="2"/>
  <c r="CU112" i="4" s="1"/>
  <c r="CU128" i="2"/>
  <c r="CU128" i="4" s="1"/>
  <c r="CU108" i="2"/>
  <c r="CU108" i="4" s="1"/>
  <c r="CU124" i="2"/>
  <c r="CU124" i="4" s="1"/>
  <c r="CU116" i="2"/>
  <c r="CU116" i="4" s="1"/>
  <c r="CU104" i="2"/>
  <c r="CU104" i="4" s="1"/>
  <c r="CU120" i="2"/>
  <c r="CU120" i="4" s="1"/>
  <c r="CU100" i="2"/>
  <c r="CU100" i="4" s="1"/>
  <c r="CU130" i="2"/>
  <c r="CU130" i="4" s="1"/>
  <c r="CU126" i="2"/>
  <c r="CU126" i="4" s="1"/>
  <c r="CU122" i="2"/>
  <c r="CU122" i="4" s="1"/>
  <c r="CU118" i="2"/>
  <c r="CU118" i="4" s="1"/>
  <c r="CU114" i="2"/>
  <c r="CU114" i="4" s="1"/>
  <c r="CU110" i="2"/>
  <c r="CU110" i="4" s="1"/>
  <c r="CU106" i="2"/>
  <c r="CU106" i="4" s="1"/>
  <c r="CU102" i="2"/>
  <c r="CU102" i="4" s="1"/>
  <c r="CU98" i="2"/>
  <c r="CU98" i="4" s="1"/>
  <c r="CU94" i="2"/>
  <c r="CU94" i="4" s="1"/>
  <c r="CU90" i="2"/>
  <c r="CU90" i="4" s="1"/>
  <c r="CU86" i="2"/>
  <c r="CU86" i="4" s="1"/>
  <c r="CU82" i="2"/>
  <c r="CU82" i="4" s="1"/>
  <c r="CU74" i="2"/>
  <c r="CU74" i="4" s="1"/>
  <c r="CU70" i="2"/>
  <c r="CU70" i="4" s="1"/>
  <c r="CU66" i="2"/>
  <c r="CU66" i="4" s="1"/>
  <c r="CU46" i="2"/>
  <c r="CU46" i="4" s="1"/>
  <c r="CU10" i="2"/>
  <c r="CU10" i="4" s="1"/>
  <c r="CU78" i="2"/>
  <c r="CU78" i="4" s="1"/>
  <c r="CU58" i="2"/>
  <c r="CU58" i="4" s="1"/>
  <c r="CU54" i="2"/>
  <c r="CU54" i="4" s="1"/>
  <c r="CU50" i="2"/>
  <c r="CU50" i="4" s="1"/>
  <c r="CU22" i="2"/>
  <c r="CU22" i="4" s="1"/>
  <c r="CU18" i="2"/>
  <c r="CU18" i="4" s="1"/>
  <c r="CU93" i="2"/>
  <c r="CU93" i="4" s="1"/>
  <c r="CU89" i="2"/>
  <c r="CU89" i="4" s="1"/>
  <c r="CU42" i="2"/>
  <c r="CU42" i="4" s="1"/>
  <c r="CU38" i="2"/>
  <c r="CU38" i="4" s="1"/>
  <c r="CU30" i="2"/>
  <c r="CU30" i="4" s="1"/>
  <c r="CU26" i="2"/>
  <c r="CU26" i="4" s="1"/>
  <c r="CU14" i="2"/>
  <c r="CU14" i="4" s="1"/>
  <c r="CU62" i="2"/>
  <c r="CU62" i="4" s="1"/>
  <c r="CU85" i="2"/>
  <c r="CU85" i="4" s="1"/>
  <c r="CU61" i="2"/>
  <c r="CU61" i="4" s="1"/>
  <c r="CU41" i="2"/>
  <c r="CU41" i="4" s="1"/>
  <c r="CU37" i="2"/>
  <c r="CU37" i="4" s="1"/>
  <c r="CU33" i="2"/>
  <c r="CU33" i="4" s="1"/>
  <c r="CU17" i="2"/>
  <c r="CU17" i="4" s="1"/>
  <c r="CU92" i="2"/>
  <c r="CU92" i="4" s="1"/>
  <c r="CU88" i="2"/>
  <c r="CU88" i="4" s="1"/>
  <c r="CU84" i="2"/>
  <c r="CU84" i="4" s="1"/>
  <c r="CU80" i="2"/>
  <c r="CU80" i="4" s="1"/>
  <c r="CU72" i="2"/>
  <c r="CU72" i="4" s="1"/>
  <c r="CU34" i="2"/>
  <c r="CU34" i="4" s="1"/>
  <c r="CU6" i="2"/>
  <c r="CU6" i="4" s="1"/>
  <c r="CU81" i="2"/>
  <c r="CU81" i="4" s="1"/>
  <c r="CU5" i="2"/>
  <c r="CU5" i="4" s="1"/>
  <c r="CU32" i="2"/>
  <c r="CU32" i="4" s="1"/>
  <c r="CU68" i="2"/>
  <c r="CU68" i="4" s="1"/>
  <c r="CU91" i="2"/>
  <c r="CU91" i="4" s="1"/>
  <c r="CU45" i="2"/>
  <c r="CU45" i="4" s="1"/>
  <c r="CU29" i="2"/>
  <c r="CU29" i="4" s="1"/>
  <c r="CU64" i="2"/>
  <c r="CU64" i="4" s="1"/>
  <c r="CU56" i="2"/>
  <c r="CU56" i="4" s="1"/>
  <c r="CU44" i="2"/>
  <c r="CU44" i="4" s="1"/>
  <c r="CU20" i="2"/>
  <c r="CU20" i="4" s="1"/>
  <c r="CU12" i="2"/>
  <c r="CU12" i="4" s="1"/>
  <c r="CU3" i="2"/>
  <c r="CU3" i="4" s="1"/>
  <c r="CU95" i="2"/>
  <c r="CU95" i="4" s="1"/>
  <c r="CU77" i="2"/>
  <c r="CU77" i="4" s="1"/>
  <c r="CU73" i="2"/>
  <c r="CU73" i="4" s="1"/>
  <c r="CU69" i="2"/>
  <c r="CU69" i="4" s="1"/>
  <c r="CU65" i="2"/>
  <c r="CU65" i="4" s="1"/>
  <c r="CU57" i="2"/>
  <c r="CU57" i="4" s="1"/>
  <c r="CU53" i="2"/>
  <c r="CU53" i="4" s="1"/>
  <c r="CU49" i="2"/>
  <c r="CU49" i="4" s="1"/>
  <c r="CU25" i="2"/>
  <c r="CU25" i="4" s="1"/>
  <c r="CU21" i="2"/>
  <c r="CU21" i="4" s="1"/>
  <c r="CU24" i="2"/>
  <c r="CU24" i="4" s="1"/>
  <c r="CU87" i="2"/>
  <c r="CU87" i="4" s="1"/>
  <c r="CU51" i="2"/>
  <c r="CU51" i="4" s="1"/>
  <c r="CU35" i="2"/>
  <c r="CU35" i="4" s="1"/>
  <c r="CU19" i="2"/>
  <c r="CU19" i="4" s="1"/>
  <c r="CU9" i="2"/>
  <c r="CU9" i="4" s="1"/>
  <c r="CU97" i="2"/>
  <c r="CU97" i="4" s="1"/>
  <c r="CU48" i="2"/>
  <c r="CU48" i="4" s="1"/>
  <c r="CU28" i="2"/>
  <c r="CU28" i="4" s="1"/>
  <c r="CU16" i="2"/>
  <c r="CU16" i="4" s="1"/>
  <c r="CU4" i="2"/>
  <c r="CU4" i="4" s="1"/>
  <c r="CU71" i="2"/>
  <c r="CU71" i="4" s="1"/>
  <c r="CU67" i="2"/>
  <c r="CU67" i="4" s="1"/>
  <c r="CU47" i="2"/>
  <c r="CU47" i="4" s="1"/>
  <c r="CU11" i="2"/>
  <c r="CU11" i="4" s="1"/>
  <c r="CU119" i="2"/>
  <c r="CU119" i="4" s="1"/>
  <c r="CU111" i="2"/>
  <c r="CU111" i="4" s="1"/>
  <c r="CU103" i="2"/>
  <c r="CU103" i="4" s="1"/>
  <c r="CU13" i="2"/>
  <c r="CU13" i="4" s="1"/>
  <c r="CU8" i="2"/>
  <c r="CU8" i="4" s="1"/>
  <c r="CU59" i="2"/>
  <c r="CU59" i="4" s="1"/>
  <c r="CU55" i="2"/>
  <c r="CU55" i="4" s="1"/>
  <c r="CU43" i="2"/>
  <c r="CU43" i="4" s="1"/>
  <c r="CU23" i="2"/>
  <c r="CU23" i="4" s="1"/>
  <c r="CU15" i="2"/>
  <c r="CU15" i="4" s="1"/>
  <c r="CU7" i="2"/>
  <c r="CU7" i="4" s="1"/>
  <c r="CU115" i="2"/>
  <c r="CU115" i="4" s="1"/>
  <c r="CU107" i="2"/>
  <c r="CU107" i="4" s="1"/>
  <c r="CU99" i="2"/>
  <c r="CU99" i="4" s="1"/>
  <c r="CU129" i="2"/>
  <c r="CU129" i="4" s="1"/>
  <c r="CU125" i="2"/>
  <c r="CU125" i="4" s="1"/>
  <c r="CU121" i="2"/>
  <c r="CU121" i="4" s="1"/>
  <c r="CU117" i="2"/>
  <c r="CU117" i="4" s="1"/>
  <c r="CU113" i="2"/>
  <c r="CU113" i="4" s="1"/>
  <c r="CU109" i="2"/>
  <c r="CU109" i="4" s="1"/>
  <c r="CU105" i="2"/>
  <c r="CU105" i="4" s="1"/>
  <c r="CU101" i="2"/>
  <c r="CU101" i="4" s="1"/>
  <c r="CU52" i="2"/>
  <c r="CU52" i="4" s="1"/>
  <c r="CU40" i="2"/>
  <c r="CU40" i="4" s="1"/>
  <c r="CU36" i="2"/>
  <c r="CU36" i="4" s="1"/>
  <c r="CU79" i="2"/>
  <c r="CU79" i="4" s="1"/>
  <c r="CU75" i="2"/>
  <c r="CU75" i="4" s="1"/>
  <c r="CU63" i="2"/>
  <c r="CU63" i="4" s="1"/>
  <c r="CU39" i="2"/>
  <c r="CU39" i="4" s="1"/>
  <c r="CU27" i="2"/>
  <c r="CU27" i="4" s="1"/>
  <c r="CU96" i="2"/>
  <c r="CU96" i="4" s="1"/>
  <c r="CU76" i="2"/>
  <c r="CU76" i="4" s="1"/>
  <c r="CU60" i="2"/>
  <c r="CU60" i="4" s="1"/>
  <c r="CU83" i="2"/>
  <c r="CU83" i="4" s="1"/>
  <c r="CU31" i="2"/>
  <c r="CU31" i="4" s="1"/>
  <c r="CU123" i="2"/>
  <c r="CU123" i="4" s="1"/>
  <c r="CW1" i="4" l="1"/>
  <c r="CX2" i="4"/>
  <c r="CW2" i="2"/>
  <c r="CV128" i="2"/>
  <c r="CV128" i="4" s="1"/>
  <c r="CV117" i="2"/>
  <c r="CV117" i="4" s="1"/>
  <c r="CV101" i="2"/>
  <c r="CV101" i="4" s="1"/>
  <c r="CV130" i="2"/>
  <c r="CV130" i="4" s="1"/>
  <c r="CV126" i="2"/>
  <c r="CV126" i="4" s="1"/>
  <c r="CV122" i="2"/>
  <c r="CV122" i="4" s="1"/>
  <c r="CV118" i="2"/>
  <c r="CV118" i="4" s="1"/>
  <c r="CV114" i="2"/>
  <c r="CV114" i="4" s="1"/>
  <c r="CV110" i="2"/>
  <c r="CV110" i="4" s="1"/>
  <c r="CV106" i="2"/>
  <c r="CV106" i="4" s="1"/>
  <c r="CV102" i="2"/>
  <c r="CV102" i="4" s="1"/>
  <c r="CV94" i="2"/>
  <c r="CV94" i="4" s="1"/>
  <c r="CV74" i="2"/>
  <c r="CV74" i="4" s="1"/>
  <c r="CV70" i="2"/>
  <c r="CV70" i="4" s="1"/>
  <c r="CV66" i="2"/>
  <c r="CV66" i="4" s="1"/>
  <c r="CV78" i="2"/>
  <c r="CV78" i="4" s="1"/>
  <c r="CV62" i="2"/>
  <c r="CV62" i="4" s="1"/>
  <c r="CV58" i="2"/>
  <c r="CV58" i="4" s="1"/>
  <c r="CV54" i="2"/>
  <c r="CV54" i="4" s="1"/>
  <c r="CV50" i="2"/>
  <c r="CV50" i="4" s="1"/>
  <c r="CV42" i="2"/>
  <c r="CV42" i="4" s="1"/>
  <c r="CV38" i="2"/>
  <c r="CV38" i="4" s="1"/>
  <c r="CV30" i="2"/>
  <c r="CV30" i="4" s="1"/>
  <c r="CV22" i="2"/>
  <c r="CV22" i="4" s="1"/>
  <c r="CV18" i="2"/>
  <c r="CV18" i="4" s="1"/>
  <c r="CV14" i="2"/>
  <c r="CV14" i="4" s="1"/>
  <c r="CV10" i="2"/>
  <c r="CV10" i="4" s="1"/>
  <c r="CV90" i="2"/>
  <c r="CV90" i="4" s="1"/>
  <c r="CV86" i="2"/>
  <c r="CV86" i="4" s="1"/>
  <c r="CV82" i="2"/>
  <c r="CV82" i="4" s="1"/>
  <c r="CV34" i="2"/>
  <c r="CV34" i="4" s="1"/>
  <c r="CV26" i="2"/>
  <c r="CV26" i="4" s="1"/>
  <c r="CV125" i="2"/>
  <c r="CV125" i="4" s="1"/>
  <c r="CV109" i="2"/>
  <c r="CV109" i="4" s="1"/>
  <c r="CV46" i="2"/>
  <c r="CV46" i="4" s="1"/>
  <c r="CV97" i="2"/>
  <c r="CV97" i="4" s="1"/>
  <c r="CV61" i="2"/>
  <c r="CV61" i="4" s="1"/>
  <c r="CV45" i="2"/>
  <c r="CV45" i="4" s="1"/>
  <c r="CV41" i="2"/>
  <c r="CV41" i="4" s="1"/>
  <c r="CV37" i="2"/>
  <c r="CV37" i="4" s="1"/>
  <c r="CV33" i="2"/>
  <c r="CV33" i="4" s="1"/>
  <c r="CV29" i="2"/>
  <c r="CV29" i="4" s="1"/>
  <c r="CV17" i="2"/>
  <c r="CV17" i="4" s="1"/>
  <c r="CV9" i="2"/>
  <c r="CV9" i="4" s="1"/>
  <c r="CV5" i="2"/>
  <c r="CV5" i="4" s="1"/>
  <c r="CV113" i="2"/>
  <c r="CV113" i="4" s="1"/>
  <c r="CV96" i="2"/>
  <c r="CV96" i="4" s="1"/>
  <c r="CV92" i="2"/>
  <c r="CV92" i="4" s="1"/>
  <c r="CV88" i="2"/>
  <c r="CV88" i="4" s="1"/>
  <c r="CV84" i="2"/>
  <c r="CV84" i="4" s="1"/>
  <c r="CV80" i="2"/>
  <c r="CV80" i="4" s="1"/>
  <c r="CV105" i="2"/>
  <c r="CV105" i="4" s="1"/>
  <c r="CV73" i="2"/>
  <c r="CV73" i="4" s="1"/>
  <c r="CV65" i="2"/>
  <c r="CV65" i="4" s="1"/>
  <c r="CV64" i="2"/>
  <c r="CV64" i="4" s="1"/>
  <c r="CV52" i="2"/>
  <c r="CV52" i="4" s="1"/>
  <c r="CV32" i="2"/>
  <c r="CV32" i="4" s="1"/>
  <c r="CV24" i="2"/>
  <c r="CV24" i="4" s="1"/>
  <c r="CV91" i="2"/>
  <c r="CV91" i="4" s="1"/>
  <c r="CV121" i="2"/>
  <c r="CV121" i="4" s="1"/>
  <c r="CV89" i="2"/>
  <c r="CV89" i="4" s="1"/>
  <c r="CV85" i="2"/>
  <c r="CV85" i="4" s="1"/>
  <c r="CV81" i="2"/>
  <c r="CV81" i="4" s="1"/>
  <c r="CV68" i="2"/>
  <c r="CV68" i="4" s="1"/>
  <c r="CV48" i="2"/>
  <c r="CV48" i="4" s="1"/>
  <c r="CV44" i="2"/>
  <c r="CV44" i="4" s="1"/>
  <c r="CV36" i="2"/>
  <c r="CV36" i="4" s="1"/>
  <c r="CV16" i="2"/>
  <c r="CV16" i="4" s="1"/>
  <c r="CV12" i="2"/>
  <c r="CV12" i="4" s="1"/>
  <c r="CV3" i="2"/>
  <c r="CV3" i="4" s="1"/>
  <c r="CV95" i="2"/>
  <c r="CV95" i="4" s="1"/>
  <c r="CV93" i="2"/>
  <c r="CV93" i="4" s="1"/>
  <c r="CV57" i="2"/>
  <c r="CV57" i="4" s="1"/>
  <c r="CV53" i="2"/>
  <c r="CV53" i="4" s="1"/>
  <c r="CV49" i="2"/>
  <c r="CV49" i="4" s="1"/>
  <c r="CV25" i="2"/>
  <c r="CV25" i="4" s="1"/>
  <c r="CV21" i="2"/>
  <c r="CV21" i="4" s="1"/>
  <c r="CV98" i="2"/>
  <c r="CV98" i="4" s="1"/>
  <c r="CV60" i="2"/>
  <c r="CV60" i="4" s="1"/>
  <c r="CV87" i="2"/>
  <c r="CV87" i="4" s="1"/>
  <c r="CV47" i="2"/>
  <c r="CV47" i="4" s="1"/>
  <c r="CV39" i="2"/>
  <c r="CV39" i="4" s="1"/>
  <c r="CV35" i="2"/>
  <c r="CV35" i="4" s="1"/>
  <c r="CV7" i="2"/>
  <c r="CV7" i="4" s="1"/>
  <c r="CV124" i="2"/>
  <c r="CV124" i="4" s="1"/>
  <c r="CV116" i="2"/>
  <c r="CV116" i="4" s="1"/>
  <c r="CV108" i="2"/>
  <c r="CV108" i="4" s="1"/>
  <c r="CV100" i="2"/>
  <c r="CV100" i="4" s="1"/>
  <c r="CV77" i="2"/>
  <c r="CV77" i="4" s="1"/>
  <c r="CV71" i="2"/>
  <c r="CV71" i="4" s="1"/>
  <c r="CV67" i="2"/>
  <c r="CV67" i="4" s="1"/>
  <c r="CV63" i="2"/>
  <c r="CV63" i="4" s="1"/>
  <c r="CV43" i="2"/>
  <c r="CV43" i="4" s="1"/>
  <c r="CV31" i="2"/>
  <c r="CV31" i="4" s="1"/>
  <c r="CV11" i="2"/>
  <c r="CV11" i="4" s="1"/>
  <c r="CV123" i="2"/>
  <c r="CV123" i="4" s="1"/>
  <c r="CV119" i="2"/>
  <c r="CV119" i="4" s="1"/>
  <c r="CV115" i="2"/>
  <c r="CV115" i="4" s="1"/>
  <c r="CV111" i="2"/>
  <c r="CV111" i="4" s="1"/>
  <c r="CV107" i="2"/>
  <c r="CV107" i="4" s="1"/>
  <c r="CV103" i="2"/>
  <c r="CV103" i="4" s="1"/>
  <c r="CV99" i="2"/>
  <c r="CV99" i="4" s="1"/>
  <c r="CV6" i="2"/>
  <c r="CV6" i="4" s="1"/>
  <c r="CV76" i="2"/>
  <c r="CV76" i="4" s="1"/>
  <c r="CV28" i="2"/>
  <c r="CV28" i="4" s="1"/>
  <c r="CV20" i="2"/>
  <c r="CV20" i="4" s="1"/>
  <c r="CV8" i="2"/>
  <c r="CV8" i="4" s="1"/>
  <c r="CV15" i="2"/>
  <c r="CV15" i="4" s="1"/>
  <c r="CV69" i="2"/>
  <c r="CV69" i="4" s="1"/>
  <c r="CV13" i="2"/>
  <c r="CV13" i="4" s="1"/>
  <c r="CV72" i="2"/>
  <c r="CV72" i="4" s="1"/>
  <c r="CV40" i="2"/>
  <c r="CV40" i="4" s="1"/>
  <c r="CV4" i="2"/>
  <c r="CV4" i="4" s="1"/>
  <c r="CV79" i="2"/>
  <c r="CV79" i="4" s="1"/>
  <c r="CV75" i="2"/>
  <c r="CV75" i="4" s="1"/>
  <c r="CV55" i="2"/>
  <c r="CV55" i="4" s="1"/>
  <c r="CV23" i="2"/>
  <c r="CV23" i="4" s="1"/>
  <c r="CV127" i="2"/>
  <c r="CV127" i="4" s="1"/>
  <c r="CV120" i="2"/>
  <c r="CV120" i="4" s="1"/>
  <c r="CV112" i="2"/>
  <c r="CV112" i="4" s="1"/>
  <c r="CV104" i="2"/>
  <c r="CV104" i="4" s="1"/>
  <c r="CV129" i="2"/>
  <c r="CV129" i="4" s="1"/>
  <c r="CV56" i="2"/>
  <c r="CV56" i="4" s="1"/>
  <c r="CV83" i="2"/>
  <c r="CV83" i="4" s="1"/>
  <c r="CV59" i="2"/>
  <c r="CV59" i="4" s="1"/>
  <c r="CV51" i="2"/>
  <c r="CV51" i="4" s="1"/>
  <c r="CV27" i="2"/>
  <c r="CV27" i="4" s="1"/>
  <c r="CV19" i="2"/>
  <c r="CV19" i="4" s="1"/>
  <c r="CX1" i="4" l="1"/>
  <c r="CY2" i="4"/>
  <c r="CX2" i="2"/>
  <c r="CW87" i="2"/>
  <c r="CW87" i="4" s="1"/>
  <c r="CW118" i="2"/>
  <c r="CW118" i="4" s="1"/>
  <c r="CW130" i="2"/>
  <c r="CW130" i="4" s="1"/>
  <c r="CW102" i="2"/>
  <c r="CW102" i="4" s="1"/>
  <c r="CW122" i="2"/>
  <c r="CW122" i="4" s="1"/>
  <c r="CW106" i="2"/>
  <c r="CW106" i="4" s="1"/>
  <c r="CW98" i="2"/>
  <c r="CW98" i="4" s="1"/>
  <c r="CW94" i="2"/>
  <c r="CW94" i="4" s="1"/>
  <c r="CW90" i="2"/>
  <c r="CW90" i="4" s="1"/>
  <c r="CW86" i="2"/>
  <c r="CW86" i="4" s="1"/>
  <c r="CW82" i="2"/>
  <c r="CW82" i="4" s="1"/>
  <c r="CW78" i="2"/>
  <c r="CW78" i="4" s="1"/>
  <c r="CW62" i="2"/>
  <c r="CW62" i="4" s="1"/>
  <c r="CW58" i="2"/>
  <c r="CW58" i="4" s="1"/>
  <c r="CW54" i="2"/>
  <c r="CW54" i="4" s="1"/>
  <c r="CW50" i="2"/>
  <c r="CW50" i="4" s="1"/>
  <c r="CW42" i="2"/>
  <c r="CW42" i="4" s="1"/>
  <c r="CW38" i="2"/>
  <c r="CW38" i="4" s="1"/>
  <c r="CW30" i="2"/>
  <c r="CW30" i="4" s="1"/>
  <c r="CW22" i="2"/>
  <c r="CW22" i="4" s="1"/>
  <c r="CW14" i="2"/>
  <c r="CW14" i="4" s="1"/>
  <c r="CW6" i="2"/>
  <c r="CW6" i="4" s="1"/>
  <c r="CW74" i="2"/>
  <c r="CW74" i="4" s="1"/>
  <c r="CW66" i="2"/>
  <c r="CW66" i="4" s="1"/>
  <c r="CW46" i="2"/>
  <c r="CW46" i="4" s="1"/>
  <c r="CW34" i="2"/>
  <c r="CW34" i="4" s="1"/>
  <c r="CW26" i="2"/>
  <c r="CW26" i="4" s="1"/>
  <c r="CW126" i="2"/>
  <c r="CW126" i="4" s="1"/>
  <c r="CW110" i="2"/>
  <c r="CW110" i="4" s="1"/>
  <c r="CW93" i="2"/>
  <c r="CW93" i="4" s="1"/>
  <c r="CW73" i="2"/>
  <c r="CW73" i="4" s="1"/>
  <c r="CW69" i="2"/>
  <c r="CW69" i="4" s="1"/>
  <c r="CW65" i="2"/>
  <c r="CW65" i="4" s="1"/>
  <c r="CW61" i="2"/>
  <c r="CW61" i="4" s="1"/>
  <c r="CW45" i="2"/>
  <c r="CW45" i="4" s="1"/>
  <c r="CW41" i="2"/>
  <c r="CW41" i="4" s="1"/>
  <c r="CW37" i="2"/>
  <c r="CW37" i="4" s="1"/>
  <c r="CW33" i="2"/>
  <c r="CW33" i="4" s="1"/>
  <c r="CW17" i="2"/>
  <c r="CW17" i="4" s="1"/>
  <c r="CW5" i="2"/>
  <c r="CW5" i="4" s="1"/>
  <c r="CW114" i="2"/>
  <c r="CW114" i="4" s="1"/>
  <c r="CW96" i="2"/>
  <c r="CW96" i="4" s="1"/>
  <c r="CW92" i="2"/>
  <c r="CW92" i="4" s="1"/>
  <c r="CW88" i="2"/>
  <c r="CW88" i="4" s="1"/>
  <c r="CW84" i="2"/>
  <c r="CW84" i="4" s="1"/>
  <c r="CW80" i="2"/>
  <c r="CW80" i="4" s="1"/>
  <c r="CW76" i="2"/>
  <c r="CW76" i="4" s="1"/>
  <c r="CW70" i="2"/>
  <c r="CW70" i="4" s="1"/>
  <c r="CW57" i="2"/>
  <c r="CW57" i="4" s="1"/>
  <c r="CW53" i="2"/>
  <c r="CW53" i="4" s="1"/>
  <c r="CW49" i="2"/>
  <c r="CW49" i="4" s="1"/>
  <c r="CW25" i="2"/>
  <c r="CW25" i="4" s="1"/>
  <c r="CW21" i="2"/>
  <c r="CW21" i="4" s="1"/>
  <c r="CW64" i="2"/>
  <c r="CW64" i="4" s="1"/>
  <c r="CW48" i="2"/>
  <c r="CW48" i="4" s="1"/>
  <c r="CW40" i="2"/>
  <c r="CW40" i="4" s="1"/>
  <c r="CW28" i="2"/>
  <c r="CW28" i="4" s="1"/>
  <c r="CW123" i="2"/>
  <c r="CW123" i="4" s="1"/>
  <c r="CW107" i="2"/>
  <c r="CW107" i="4" s="1"/>
  <c r="CW91" i="2"/>
  <c r="CW91" i="4" s="1"/>
  <c r="CW89" i="2"/>
  <c r="CW89" i="4" s="1"/>
  <c r="CW85" i="2"/>
  <c r="CW85" i="4" s="1"/>
  <c r="CW81" i="2"/>
  <c r="CW81" i="4" s="1"/>
  <c r="CW29" i="2"/>
  <c r="CW29" i="4" s="1"/>
  <c r="CW9" i="2"/>
  <c r="CW9" i="4" s="1"/>
  <c r="CW68" i="2"/>
  <c r="CW68" i="4" s="1"/>
  <c r="CW44" i="2"/>
  <c r="CW44" i="4" s="1"/>
  <c r="CW36" i="2"/>
  <c r="CW36" i="4" s="1"/>
  <c r="CW12" i="2"/>
  <c r="CW12" i="4" s="1"/>
  <c r="CW127" i="2"/>
  <c r="CW127" i="4" s="1"/>
  <c r="CW111" i="2"/>
  <c r="CW111" i="4" s="1"/>
  <c r="CW3" i="2"/>
  <c r="CW3" i="4" s="1"/>
  <c r="CW60" i="2"/>
  <c r="CW60" i="4" s="1"/>
  <c r="CW32" i="2"/>
  <c r="CW32" i="4" s="1"/>
  <c r="CW20" i="2"/>
  <c r="CW20" i="4" s="1"/>
  <c r="CW16" i="2"/>
  <c r="CW16" i="4" s="1"/>
  <c r="CW115" i="2"/>
  <c r="CW115" i="4" s="1"/>
  <c r="CW63" i="2"/>
  <c r="CW63" i="4" s="1"/>
  <c r="CW59" i="2"/>
  <c r="CW59" i="4" s="1"/>
  <c r="CW47" i="2"/>
  <c r="CW47" i="4" s="1"/>
  <c r="CW35" i="2"/>
  <c r="CW35" i="4" s="1"/>
  <c r="CW31" i="2"/>
  <c r="CW31" i="4" s="1"/>
  <c r="CW15" i="2"/>
  <c r="CW15" i="4" s="1"/>
  <c r="CW95" i="2"/>
  <c r="CW95" i="4" s="1"/>
  <c r="CW18" i="2"/>
  <c r="CW18" i="4" s="1"/>
  <c r="CW10" i="2"/>
  <c r="CW10" i="4" s="1"/>
  <c r="CW77" i="2"/>
  <c r="CW77" i="4" s="1"/>
  <c r="CW13" i="2"/>
  <c r="CW13" i="4" s="1"/>
  <c r="CW24" i="2"/>
  <c r="CW24" i="4" s="1"/>
  <c r="CW8" i="2"/>
  <c r="CW8" i="4" s="1"/>
  <c r="CW119" i="2"/>
  <c r="CW119" i="4" s="1"/>
  <c r="CW71" i="2"/>
  <c r="CW71" i="4" s="1"/>
  <c r="CW67" i="2"/>
  <c r="CW67" i="4" s="1"/>
  <c r="CW43" i="2"/>
  <c r="CW43" i="4" s="1"/>
  <c r="CW124" i="2"/>
  <c r="CW124" i="4" s="1"/>
  <c r="CW120" i="2"/>
  <c r="CW120" i="4" s="1"/>
  <c r="CW116" i="2"/>
  <c r="CW116" i="4" s="1"/>
  <c r="CW112" i="2"/>
  <c r="CW112" i="4" s="1"/>
  <c r="CW108" i="2"/>
  <c r="CW108" i="4" s="1"/>
  <c r="CW104" i="2"/>
  <c r="CW104" i="4" s="1"/>
  <c r="CW100" i="2"/>
  <c r="CW100" i="4" s="1"/>
  <c r="CW79" i="2"/>
  <c r="CW79" i="4" s="1"/>
  <c r="CW103" i="2"/>
  <c r="CW103" i="4" s="1"/>
  <c r="CW39" i="2"/>
  <c r="CW39" i="4" s="1"/>
  <c r="CW27" i="2"/>
  <c r="CW27" i="4" s="1"/>
  <c r="CW11" i="2"/>
  <c r="CW11" i="4" s="1"/>
  <c r="CW7" i="2"/>
  <c r="CW7" i="4" s="1"/>
  <c r="CW128" i="2"/>
  <c r="CW128" i="4" s="1"/>
  <c r="CW83" i="2"/>
  <c r="CW83" i="4" s="1"/>
  <c r="CW129" i="2"/>
  <c r="CW129" i="4" s="1"/>
  <c r="CW125" i="2"/>
  <c r="CW125" i="4" s="1"/>
  <c r="CW121" i="2"/>
  <c r="CW121" i="4" s="1"/>
  <c r="CW117" i="2"/>
  <c r="CW117" i="4" s="1"/>
  <c r="CW113" i="2"/>
  <c r="CW113" i="4" s="1"/>
  <c r="CW109" i="2"/>
  <c r="CW109" i="4" s="1"/>
  <c r="CW105" i="2"/>
  <c r="CW105" i="4" s="1"/>
  <c r="CW101" i="2"/>
  <c r="CW101" i="4" s="1"/>
  <c r="CW97" i="2"/>
  <c r="CW97" i="4" s="1"/>
  <c r="CW72" i="2"/>
  <c r="CW72" i="4" s="1"/>
  <c r="CW56" i="2"/>
  <c r="CW56" i="4" s="1"/>
  <c r="CW4" i="2"/>
  <c r="CW4" i="4" s="1"/>
  <c r="CW99" i="2"/>
  <c r="CW99" i="4" s="1"/>
  <c r="CW75" i="2"/>
  <c r="CW75" i="4" s="1"/>
  <c r="CW55" i="2"/>
  <c r="CW55" i="4" s="1"/>
  <c r="CW23" i="2"/>
  <c r="CW23" i="4" s="1"/>
  <c r="CW52" i="2"/>
  <c r="CW52" i="4" s="1"/>
  <c r="CW51" i="2"/>
  <c r="CW51" i="4" s="1"/>
  <c r="CW19" i="2"/>
  <c r="CW19" i="4" s="1"/>
  <c r="CY1" i="4" l="1"/>
  <c r="CZ2" i="4"/>
  <c r="CY2" i="2"/>
  <c r="CX99" i="2"/>
  <c r="CX99" i="4" s="1"/>
  <c r="CX115" i="2"/>
  <c r="CX115" i="4" s="1"/>
  <c r="CX130" i="2"/>
  <c r="CX130" i="4" s="1"/>
  <c r="CX111" i="2"/>
  <c r="CX111" i="4" s="1"/>
  <c r="CX127" i="2"/>
  <c r="CX127" i="4" s="1"/>
  <c r="CX119" i="2"/>
  <c r="CX119" i="4" s="1"/>
  <c r="CX88" i="2"/>
  <c r="CX88" i="4" s="1"/>
  <c r="CX107" i="2"/>
  <c r="CX107" i="4" s="1"/>
  <c r="CX123" i="2"/>
  <c r="CX123" i="4" s="1"/>
  <c r="CX103" i="2"/>
  <c r="CX103" i="4" s="1"/>
  <c r="CX74" i="2"/>
  <c r="CX74" i="4" s="1"/>
  <c r="CX126" i="2"/>
  <c r="CX126" i="4" s="1"/>
  <c r="CX122" i="2"/>
  <c r="CX122" i="4" s="1"/>
  <c r="CX118" i="2"/>
  <c r="CX118" i="4" s="1"/>
  <c r="CX114" i="2"/>
  <c r="CX114" i="4" s="1"/>
  <c r="CX110" i="2"/>
  <c r="CX110" i="4" s="1"/>
  <c r="CX106" i="2"/>
  <c r="CX106" i="4" s="1"/>
  <c r="CX102" i="2"/>
  <c r="CX102" i="4" s="1"/>
  <c r="CX98" i="2"/>
  <c r="CX98" i="4" s="1"/>
  <c r="CX94" i="2"/>
  <c r="CX94" i="4" s="1"/>
  <c r="CX90" i="2"/>
  <c r="CX90" i="4" s="1"/>
  <c r="CX86" i="2"/>
  <c r="CX86" i="4" s="1"/>
  <c r="CX82" i="2"/>
  <c r="CX82" i="4" s="1"/>
  <c r="CX78" i="2"/>
  <c r="CX78" i="4" s="1"/>
  <c r="CX70" i="2"/>
  <c r="CX70" i="4" s="1"/>
  <c r="CX66" i="2"/>
  <c r="CX66" i="4" s="1"/>
  <c r="CX62" i="2"/>
  <c r="CX62" i="4" s="1"/>
  <c r="CX42" i="2"/>
  <c r="CX42" i="4" s="1"/>
  <c r="CX38" i="2"/>
  <c r="CX38" i="4" s="1"/>
  <c r="CX30" i="2"/>
  <c r="CX30" i="4" s="1"/>
  <c r="CX14" i="2"/>
  <c r="CX14" i="4" s="1"/>
  <c r="CX6" i="2"/>
  <c r="CX6" i="4" s="1"/>
  <c r="CX46" i="2"/>
  <c r="CX46" i="4" s="1"/>
  <c r="CX34" i="2"/>
  <c r="CX34" i="4" s="1"/>
  <c r="CX26" i="2"/>
  <c r="CX26" i="4" s="1"/>
  <c r="CX93" i="2"/>
  <c r="CX93" i="4" s="1"/>
  <c r="CX81" i="2"/>
  <c r="CX81" i="4" s="1"/>
  <c r="CX77" i="2"/>
  <c r="CX77" i="4" s="1"/>
  <c r="CX73" i="2"/>
  <c r="CX73" i="4" s="1"/>
  <c r="CX69" i="2"/>
  <c r="CX69" i="4" s="1"/>
  <c r="CX65" i="2"/>
  <c r="CX65" i="4" s="1"/>
  <c r="CX61" i="2"/>
  <c r="CX61" i="4" s="1"/>
  <c r="CX57" i="2"/>
  <c r="CX57" i="4" s="1"/>
  <c r="CX53" i="2"/>
  <c r="CX53" i="4" s="1"/>
  <c r="CX49" i="2"/>
  <c r="CX49" i="4" s="1"/>
  <c r="CX45" i="2"/>
  <c r="CX45" i="4" s="1"/>
  <c r="CX29" i="2"/>
  <c r="CX29" i="4" s="1"/>
  <c r="CX25" i="2"/>
  <c r="CX25" i="4" s="1"/>
  <c r="CX21" i="2"/>
  <c r="CX21" i="4" s="1"/>
  <c r="CX5" i="2"/>
  <c r="CX5" i="4" s="1"/>
  <c r="CX76" i="2"/>
  <c r="CX76" i="4" s="1"/>
  <c r="CX60" i="2"/>
  <c r="CX60" i="4" s="1"/>
  <c r="CX54" i="2"/>
  <c r="CX54" i="4" s="1"/>
  <c r="CX64" i="2"/>
  <c r="CX64" i="4" s="1"/>
  <c r="CX48" i="2"/>
  <c r="CX48" i="4" s="1"/>
  <c r="CX36" i="2"/>
  <c r="CX36" i="4" s="1"/>
  <c r="CX28" i="2"/>
  <c r="CX28" i="4" s="1"/>
  <c r="CX12" i="2"/>
  <c r="CX12" i="4" s="1"/>
  <c r="CX124" i="2"/>
  <c r="CX124" i="4" s="1"/>
  <c r="CX108" i="2"/>
  <c r="CX108" i="4" s="1"/>
  <c r="CX95" i="2"/>
  <c r="CX95" i="4" s="1"/>
  <c r="CX92" i="2"/>
  <c r="CX92" i="4" s="1"/>
  <c r="CX10" i="2"/>
  <c r="CX10" i="4" s="1"/>
  <c r="CX89" i="2"/>
  <c r="CX89" i="4" s="1"/>
  <c r="CX85" i="2"/>
  <c r="CX85" i="4" s="1"/>
  <c r="CX41" i="2"/>
  <c r="CX41" i="4" s="1"/>
  <c r="CX37" i="2"/>
  <c r="CX37" i="4" s="1"/>
  <c r="CX33" i="2"/>
  <c r="CX33" i="4" s="1"/>
  <c r="CX17" i="2"/>
  <c r="CX17" i="4" s="1"/>
  <c r="CX68" i="2"/>
  <c r="CX68" i="4" s="1"/>
  <c r="CX44" i="2"/>
  <c r="CX44" i="4" s="1"/>
  <c r="CX32" i="2"/>
  <c r="CX32" i="4" s="1"/>
  <c r="CX128" i="2"/>
  <c r="CX128" i="4" s="1"/>
  <c r="CX112" i="2"/>
  <c r="CX112" i="4" s="1"/>
  <c r="CX91" i="2"/>
  <c r="CX91" i="4" s="1"/>
  <c r="CX58" i="2"/>
  <c r="CX58" i="4" s="1"/>
  <c r="CX56" i="2"/>
  <c r="CX56" i="4" s="1"/>
  <c r="CX20" i="2"/>
  <c r="CX20" i="4" s="1"/>
  <c r="CX116" i="2"/>
  <c r="CX116" i="4" s="1"/>
  <c r="CX83" i="2"/>
  <c r="CX83" i="4" s="1"/>
  <c r="CX59" i="2"/>
  <c r="CX59" i="4" s="1"/>
  <c r="CX47" i="2"/>
  <c r="CX47" i="4" s="1"/>
  <c r="CX43" i="2"/>
  <c r="CX43" i="4" s="1"/>
  <c r="CX31" i="2"/>
  <c r="CX31" i="4" s="1"/>
  <c r="CX15" i="2"/>
  <c r="CX15" i="4" s="1"/>
  <c r="CX96" i="2"/>
  <c r="CX96" i="4" s="1"/>
  <c r="CX84" i="2"/>
  <c r="CX84" i="4" s="1"/>
  <c r="CX50" i="2"/>
  <c r="CX50" i="4" s="1"/>
  <c r="CX22" i="2"/>
  <c r="CX22" i="4" s="1"/>
  <c r="CX9" i="2"/>
  <c r="CX9" i="4" s="1"/>
  <c r="CX24" i="2"/>
  <c r="CX24" i="4" s="1"/>
  <c r="CX8" i="2"/>
  <c r="CX8" i="4" s="1"/>
  <c r="CX120" i="2"/>
  <c r="CX120" i="4" s="1"/>
  <c r="CX87" i="2"/>
  <c r="CX87" i="4" s="1"/>
  <c r="CX35" i="2"/>
  <c r="CX35" i="4" s="1"/>
  <c r="CX19" i="2"/>
  <c r="CX19" i="4" s="1"/>
  <c r="CX80" i="2"/>
  <c r="CX80" i="4" s="1"/>
  <c r="CX104" i="2"/>
  <c r="CX104" i="4" s="1"/>
  <c r="CX71" i="2"/>
  <c r="CX71" i="4" s="1"/>
  <c r="CX3" i="2"/>
  <c r="CX3" i="4" s="1"/>
  <c r="CX51" i="2"/>
  <c r="CX51" i="4" s="1"/>
  <c r="CX39" i="2"/>
  <c r="CX39" i="4" s="1"/>
  <c r="CX27" i="2"/>
  <c r="CX27" i="4" s="1"/>
  <c r="CX7" i="2"/>
  <c r="CX7" i="4" s="1"/>
  <c r="CX129" i="2"/>
  <c r="CX129" i="4" s="1"/>
  <c r="CX125" i="2"/>
  <c r="CX125" i="4" s="1"/>
  <c r="CX121" i="2"/>
  <c r="CX121" i="4" s="1"/>
  <c r="CX117" i="2"/>
  <c r="CX117" i="4" s="1"/>
  <c r="CX113" i="2"/>
  <c r="CX113" i="4" s="1"/>
  <c r="CX109" i="2"/>
  <c r="CX109" i="4" s="1"/>
  <c r="CX105" i="2"/>
  <c r="CX105" i="4" s="1"/>
  <c r="CX101" i="2"/>
  <c r="CX101" i="4" s="1"/>
  <c r="CX97" i="2"/>
  <c r="CX97" i="4" s="1"/>
  <c r="CX13" i="2"/>
  <c r="CX13" i="4" s="1"/>
  <c r="CX72" i="2"/>
  <c r="CX72" i="4" s="1"/>
  <c r="CX16" i="2"/>
  <c r="CX16" i="4" s="1"/>
  <c r="CX4" i="2"/>
  <c r="CX4" i="4" s="1"/>
  <c r="CX100" i="2"/>
  <c r="CX100" i="4" s="1"/>
  <c r="CX75" i="2"/>
  <c r="CX75" i="4" s="1"/>
  <c r="CX63" i="2"/>
  <c r="CX63" i="4" s="1"/>
  <c r="CX55" i="2"/>
  <c r="CX55" i="4" s="1"/>
  <c r="CX23" i="2"/>
  <c r="CX23" i="4" s="1"/>
  <c r="CX11" i="2"/>
  <c r="CX11" i="4" s="1"/>
  <c r="CX18" i="2"/>
  <c r="CX18" i="4" s="1"/>
  <c r="CX52" i="2"/>
  <c r="CX52" i="4" s="1"/>
  <c r="CX40" i="2"/>
  <c r="CX40" i="4" s="1"/>
  <c r="CX79" i="2"/>
  <c r="CX79" i="4" s="1"/>
  <c r="CX67" i="2"/>
  <c r="CX67" i="4" s="1"/>
  <c r="CZ1" i="4" l="1"/>
  <c r="DA2" i="4"/>
  <c r="CZ2" i="2"/>
  <c r="CY127" i="2"/>
  <c r="CY127" i="4" s="1"/>
  <c r="CY100" i="2"/>
  <c r="CY100" i="4" s="1"/>
  <c r="CY116" i="2"/>
  <c r="CY116" i="4" s="1"/>
  <c r="CY112" i="2"/>
  <c r="CY112" i="4" s="1"/>
  <c r="CY128" i="2"/>
  <c r="CY128" i="4" s="1"/>
  <c r="CY120" i="2"/>
  <c r="CY120" i="4" s="1"/>
  <c r="CY108" i="2"/>
  <c r="CY108" i="4" s="1"/>
  <c r="CY124" i="2"/>
  <c r="CY124" i="4" s="1"/>
  <c r="CY104" i="2"/>
  <c r="CY104" i="4" s="1"/>
  <c r="CY34" i="2"/>
  <c r="CY34" i="4" s="1"/>
  <c r="CY14" i="2"/>
  <c r="CY14" i="4" s="1"/>
  <c r="CY10" i="2"/>
  <c r="CY10" i="4" s="1"/>
  <c r="CY89" i="2"/>
  <c r="CY89" i="4" s="1"/>
  <c r="CY130" i="2"/>
  <c r="CY130" i="4" s="1"/>
  <c r="CY126" i="2"/>
  <c r="CY126" i="4" s="1"/>
  <c r="CY122" i="2"/>
  <c r="CY122" i="4" s="1"/>
  <c r="CY118" i="2"/>
  <c r="CY118" i="4" s="1"/>
  <c r="CY114" i="2"/>
  <c r="CY114" i="4" s="1"/>
  <c r="CY110" i="2"/>
  <c r="CY110" i="4" s="1"/>
  <c r="CY106" i="2"/>
  <c r="CY106" i="4" s="1"/>
  <c r="CY102" i="2"/>
  <c r="CY102" i="4" s="1"/>
  <c r="CY98" i="2"/>
  <c r="CY98" i="4" s="1"/>
  <c r="CY94" i="2"/>
  <c r="CY94" i="4" s="1"/>
  <c r="CY90" i="2"/>
  <c r="CY90" i="4" s="1"/>
  <c r="CY86" i="2"/>
  <c r="CY86" i="4" s="1"/>
  <c r="CY82" i="2"/>
  <c r="CY82" i="4" s="1"/>
  <c r="CY78" i="2"/>
  <c r="CY78" i="4" s="1"/>
  <c r="CY74" i="2"/>
  <c r="CY74" i="4" s="1"/>
  <c r="CY70" i="2"/>
  <c r="CY70" i="4" s="1"/>
  <c r="CY66" i="2"/>
  <c r="CY66" i="4" s="1"/>
  <c r="CY62" i="2"/>
  <c r="CY62" i="4" s="1"/>
  <c r="CY46" i="2"/>
  <c r="CY46" i="4" s="1"/>
  <c r="CY26" i="2"/>
  <c r="CY26" i="4" s="1"/>
  <c r="CY18" i="2"/>
  <c r="CY18" i="4" s="1"/>
  <c r="CY6" i="2"/>
  <c r="CY6" i="4" s="1"/>
  <c r="CY129" i="2"/>
  <c r="CY129" i="4" s="1"/>
  <c r="CY125" i="2"/>
  <c r="CY125" i="4" s="1"/>
  <c r="CY121" i="2"/>
  <c r="CY121" i="4" s="1"/>
  <c r="CY117" i="2"/>
  <c r="CY117" i="4" s="1"/>
  <c r="CY113" i="2"/>
  <c r="CY113" i="4" s="1"/>
  <c r="CY109" i="2"/>
  <c r="CY109" i="4" s="1"/>
  <c r="CY105" i="2"/>
  <c r="CY105" i="4" s="1"/>
  <c r="CY101" i="2"/>
  <c r="CY101" i="4" s="1"/>
  <c r="CY85" i="2"/>
  <c r="CY85" i="4" s="1"/>
  <c r="CY58" i="2"/>
  <c r="CY58" i="4" s="1"/>
  <c r="CY54" i="2"/>
  <c r="CY54" i="4" s="1"/>
  <c r="CY50" i="2"/>
  <c r="CY50" i="4" s="1"/>
  <c r="CY22" i="2"/>
  <c r="CY22" i="4" s="1"/>
  <c r="CY77" i="2"/>
  <c r="CY77" i="4" s="1"/>
  <c r="CY73" i="2"/>
  <c r="CY73" i="4" s="1"/>
  <c r="CY69" i="2"/>
  <c r="CY69" i="4" s="1"/>
  <c r="CY65" i="2"/>
  <c r="CY65" i="4" s="1"/>
  <c r="CY57" i="2"/>
  <c r="CY57" i="4" s="1"/>
  <c r="CY53" i="2"/>
  <c r="CY53" i="4" s="1"/>
  <c r="CY49" i="2"/>
  <c r="CY49" i="4" s="1"/>
  <c r="CY45" i="2"/>
  <c r="CY45" i="4" s="1"/>
  <c r="CY25" i="2"/>
  <c r="CY25" i="4" s="1"/>
  <c r="CY21" i="2"/>
  <c r="CY21" i="4" s="1"/>
  <c r="CY13" i="2"/>
  <c r="CY13" i="4" s="1"/>
  <c r="CY9" i="2"/>
  <c r="CY9" i="4" s="1"/>
  <c r="CY76" i="2"/>
  <c r="CY76" i="4" s="1"/>
  <c r="CY68" i="2"/>
  <c r="CY68" i="4" s="1"/>
  <c r="CY60" i="2"/>
  <c r="CY60" i="4" s="1"/>
  <c r="CY42" i="2"/>
  <c r="CY42" i="4" s="1"/>
  <c r="CY30" i="2"/>
  <c r="CY30" i="4" s="1"/>
  <c r="CY97" i="2"/>
  <c r="CY97" i="4" s="1"/>
  <c r="CY93" i="2"/>
  <c r="CY93" i="4" s="1"/>
  <c r="CY61" i="2"/>
  <c r="CY61" i="4" s="1"/>
  <c r="CY41" i="2"/>
  <c r="CY41" i="4" s="1"/>
  <c r="CY37" i="2"/>
  <c r="CY37" i="4" s="1"/>
  <c r="CY33" i="2"/>
  <c r="CY33" i="4" s="1"/>
  <c r="CY17" i="2"/>
  <c r="CY17" i="4" s="1"/>
  <c r="CY92" i="2"/>
  <c r="CY92" i="4" s="1"/>
  <c r="CY88" i="2"/>
  <c r="CY88" i="4" s="1"/>
  <c r="CY84" i="2"/>
  <c r="CY84" i="4" s="1"/>
  <c r="CY80" i="2"/>
  <c r="CY80" i="4" s="1"/>
  <c r="CY48" i="2"/>
  <c r="CY48" i="4" s="1"/>
  <c r="CY28" i="2"/>
  <c r="CY28" i="4" s="1"/>
  <c r="CY16" i="2"/>
  <c r="CY16" i="4" s="1"/>
  <c r="CY8" i="2"/>
  <c r="CY8" i="4" s="1"/>
  <c r="CY96" i="2"/>
  <c r="CY96" i="4" s="1"/>
  <c r="CY81" i="2"/>
  <c r="CY81" i="4" s="1"/>
  <c r="CY32" i="2"/>
  <c r="CY32" i="4" s="1"/>
  <c r="CY72" i="2"/>
  <c r="CY72" i="4" s="1"/>
  <c r="CY91" i="2"/>
  <c r="CY91" i="4" s="1"/>
  <c r="CY56" i="2"/>
  <c r="CY56" i="4" s="1"/>
  <c r="CY44" i="2"/>
  <c r="CY44" i="4" s="1"/>
  <c r="CY20" i="2"/>
  <c r="CY20" i="4" s="1"/>
  <c r="CY12" i="2"/>
  <c r="CY12" i="4" s="1"/>
  <c r="CY75" i="2"/>
  <c r="CY75" i="4" s="1"/>
  <c r="CY83" i="2"/>
  <c r="CY83" i="4" s="1"/>
  <c r="CY55" i="2"/>
  <c r="CY55" i="4" s="1"/>
  <c r="CY43" i="2"/>
  <c r="CY43" i="4" s="1"/>
  <c r="CY31" i="2"/>
  <c r="CY31" i="4" s="1"/>
  <c r="CY23" i="2"/>
  <c r="CY23" i="4" s="1"/>
  <c r="CY7" i="2"/>
  <c r="CY7" i="4" s="1"/>
  <c r="CY119" i="2"/>
  <c r="CY119" i="4" s="1"/>
  <c r="CY111" i="2"/>
  <c r="CY111" i="4" s="1"/>
  <c r="CY103" i="2"/>
  <c r="CY103" i="4" s="1"/>
  <c r="CY38" i="2"/>
  <c r="CY38" i="4" s="1"/>
  <c r="CY24" i="2"/>
  <c r="CY24" i="4" s="1"/>
  <c r="CY87" i="2"/>
  <c r="CY87" i="4" s="1"/>
  <c r="CY63" i="2"/>
  <c r="CY63" i="4" s="1"/>
  <c r="CY51" i="2"/>
  <c r="CY51" i="4" s="1"/>
  <c r="CY47" i="2"/>
  <c r="CY47" i="4" s="1"/>
  <c r="CY35" i="2"/>
  <c r="CY35" i="4" s="1"/>
  <c r="CY19" i="2"/>
  <c r="CY19" i="4" s="1"/>
  <c r="CY15" i="2"/>
  <c r="CY15" i="4" s="1"/>
  <c r="CY36" i="2"/>
  <c r="CY36" i="4" s="1"/>
  <c r="CY4" i="2"/>
  <c r="CY4" i="4" s="1"/>
  <c r="CY39" i="2"/>
  <c r="CY39" i="4" s="1"/>
  <c r="CY29" i="2"/>
  <c r="CY29" i="4" s="1"/>
  <c r="CY5" i="2"/>
  <c r="CY5" i="4" s="1"/>
  <c r="CY3" i="2"/>
  <c r="CY3" i="4" s="1"/>
  <c r="CY95" i="2"/>
  <c r="CY95" i="4" s="1"/>
  <c r="CY71" i="2"/>
  <c r="CY71" i="4" s="1"/>
  <c r="CY67" i="2"/>
  <c r="CY67" i="4" s="1"/>
  <c r="CY11" i="2"/>
  <c r="CY11" i="4" s="1"/>
  <c r="CY123" i="2"/>
  <c r="CY123" i="4" s="1"/>
  <c r="CY115" i="2"/>
  <c r="CY115" i="4" s="1"/>
  <c r="CY107" i="2"/>
  <c r="CY107" i="4" s="1"/>
  <c r="CY99" i="2"/>
  <c r="CY99" i="4" s="1"/>
  <c r="CY64" i="2"/>
  <c r="CY64" i="4" s="1"/>
  <c r="CY52" i="2"/>
  <c r="CY52" i="4" s="1"/>
  <c r="CY40" i="2"/>
  <c r="CY40" i="4" s="1"/>
  <c r="CY79" i="2"/>
  <c r="CY79" i="4" s="1"/>
  <c r="CY59" i="2"/>
  <c r="CY59" i="4" s="1"/>
  <c r="CY27" i="2"/>
  <c r="CY27" i="4" s="1"/>
  <c r="DA1" i="4" l="1"/>
  <c r="DB2" i="4"/>
  <c r="DA2" i="2"/>
  <c r="CZ128" i="2"/>
  <c r="CZ128" i="4" s="1"/>
  <c r="CZ59" i="2"/>
  <c r="CZ59" i="4" s="1"/>
  <c r="CZ121" i="2"/>
  <c r="CZ121" i="4" s="1"/>
  <c r="CZ90" i="2"/>
  <c r="CZ90" i="4" s="1"/>
  <c r="CZ78" i="2"/>
  <c r="CZ78" i="4" s="1"/>
  <c r="CZ46" i="2"/>
  <c r="CZ46" i="4" s="1"/>
  <c r="CZ130" i="2"/>
  <c r="CZ130" i="4" s="1"/>
  <c r="CZ126" i="2"/>
  <c r="CZ126" i="4" s="1"/>
  <c r="CZ122" i="2"/>
  <c r="CZ122" i="4" s="1"/>
  <c r="CZ118" i="2"/>
  <c r="CZ118" i="4" s="1"/>
  <c r="CZ114" i="2"/>
  <c r="CZ114" i="4" s="1"/>
  <c r="CZ110" i="2"/>
  <c r="CZ110" i="4" s="1"/>
  <c r="CZ106" i="2"/>
  <c r="CZ106" i="4" s="1"/>
  <c r="CZ102" i="2"/>
  <c r="CZ102" i="4" s="1"/>
  <c r="CZ98" i="2"/>
  <c r="CZ98" i="4" s="1"/>
  <c r="CZ74" i="2"/>
  <c r="CZ74" i="4" s="1"/>
  <c r="CZ70" i="2"/>
  <c r="CZ70" i="4" s="1"/>
  <c r="CZ66" i="2"/>
  <c r="CZ66" i="4" s="1"/>
  <c r="CZ34" i="2"/>
  <c r="CZ34" i="4" s="1"/>
  <c r="CZ97" i="2"/>
  <c r="CZ97" i="4" s="1"/>
  <c r="CZ93" i="2"/>
  <c r="CZ93" i="4" s="1"/>
  <c r="CZ62" i="2"/>
  <c r="CZ62" i="4" s="1"/>
  <c r="CZ58" i="2"/>
  <c r="CZ58" i="4" s="1"/>
  <c r="CZ54" i="2"/>
  <c r="CZ54" i="4" s="1"/>
  <c r="CZ50" i="2"/>
  <c r="CZ50" i="4" s="1"/>
  <c r="CZ42" i="2"/>
  <c r="CZ42" i="4" s="1"/>
  <c r="CZ38" i="2"/>
  <c r="CZ38" i="4" s="1"/>
  <c r="CZ30" i="2"/>
  <c r="CZ30" i="4" s="1"/>
  <c r="CZ22" i="2"/>
  <c r="CZ22" i="4" s="1"/>
  <c r="CZ18" i="2"/>
  <c r="CZ18" i="4" s="1"/>
  <c r="CZ14" i="2"/>
  <c r="CZ14" i="4" s="1"/>
  <c r="CZ10" i="2"/>
  <c r="CZ10" i="4" s="1"/>
  <c r="CZ6" i="2"/>
  <c r="CZ6" i="4" s="1"/>
  <c r="CZ129" i="2"/>
  <c r="CZ129" i="4" s="1"/>
  <c r="CZ113" i="2"/>
  <c r="CZ113" i="4" s="1"/>
  <c r="CZ26" i="2"/>
  <c r="CZ26" i="4" s="1"/>
  <c r="CZ77" i="2"/>
  <c r="CZ77" i="4" s="1"/>
  <c r="CZ57" i="2"/>
  <c r="CZ57" i="4" s="1"/>
  <c r="CZ53" i="2"/>
  <c r="CZ53" i="4" s="1"/>
  <c r="CZ49" i="2"/>
  <c r="CZ49" i="4" s="1"/>
  <c r="CZ25" i="2"/>
  <c r="CZ25" i="4" s="1"/>
  <c r="CZ21" i="2"/>
  <c r="CZ21" i="4" s="1"/>
  <c r="CZ13" i="2"/>
  <c r="CZ13" i="4" s="1"/>
  <c r="CZ72" i="2"/>
  <c r="CZ72" i="4" s="1"/>
  <c r="CZ60" i="2"/>
  <c r="CZ60" i="4" s="1"/>
  <c r="CZ109" i="2"/>
  <c r="CZ109" i="4" s="1"/>
  <c r="CZ82" i="2"/>
  <c r="CZ82" i="4" s="1"/>
  <c r="CZ61" i="2"/>
  <c r="CZ61" i="4" s="1"/>
  <c r="CZ45" i="2"/>
  <c r="CZ45" i="4" s="1"/>
  <c r="CZ41" i="2"/>
  <c r="CZ41" i="4" s="1"/>
  <c r="CZ37" i="2"/>
  <c r="CZ37" i="4" s="1"/>
  <c r="CZ33" i="2"/>
  <c r="CZ33" i="4" s="1"/>
  <c r="CZ29" i="2"/>
  <c r="CZ29" i="4" s="1"/>
  <c r="CZ17" i="2"/>
  <c r="CZ17" i="4" s="1"/>
  <c r="CZ9" i="2"/>
  <c r="CZ9" i="4" s="1"/>
  <c r="CZ5" i="2"/>
  <c r="CZ5" i="4" s="1"/>
  <c r="CZ96" i="2"/>
  <c r="CZ96" i="4" s="1"/>
  <c r="CZ92" i="2"/>
  <c r="CZ92" i="4" s="1"/>
  <c r="CZ88" i="2"/>
  <c r="CZ88" i="4" s="1"/>
  <c r="CZ84" i="2"/>
  <c r="CZ84" i="4" s="1"/>
  <c r="CZ80" i="2"/>
  <c r="CZ80" i="4" s="1"/>
  <c r="CZ56" i="2"/>
  <c r="CZ56" i="4" s="1"/>
  <c r="CZ28" i="2"/>
  <c r="CZ28" i="4" s="1"/>
  <c r="CZ8" i="2"/>
  <c r="CZ8" i="4" s="1"/>
  <c r="CZ125" i="2"/>
  <c r="CZ125" i="4" s="1"/>
  <c r="CZ69" i="2"/>
  <c r="CZ69" i="4" s="1"/>
  <c r="CZ65" i="2"/>
  <c r="CZ65" i="4" s="1"/>
  <c r="CZ64" i="2"/>
  <c r="CZ64" i="4" s="1"/>
  <c r="CZ52" i="2"/>
  <c r="CZ52" i="4" s="1"/>
  <c r="CZ48" i="2"/>
  <c r="CZ48" i="4" s="1"/>
  <c r="CZ32" i="2"/>
  <c r="CZ32" i="4" s="1"/>
  <c r="CZ24" i="2"/>
  <c r="CZ24" i="4" s="1"/>
  <c r="CZ91" i="2"/>
  <c r="CZ91" i="4" s="1"/>
  <c r="CZ86" i="2"/>
  <c r="CZ86" i="4" s="1"/>
  <c r="CZ68" i="2"/>
  <c r="CZ68" i="4" s="1"/>
  <c r="CZ44" i="2"/>
  <c r="CZ44" i="4" s="1"/>
  <c r="CZ16" i="2"/>
  <c r="CZ16" i="4" s="1"/>
  <c r="CZ12" i="2"/>
  <c r="CZ12" i="4" s="1"/>
  <c r="CZ83" i="2"/>
  <c r="CZ83" i="4" s="1"/>
  <c r="CZ63" i="2"/>
  <c r="CZ63" i="4" s="1"/>
  <c r="CZ51" i="2"/>
  <c r="CZ51" i="4" s="1"/>
  <c r="CZ19" i="2"/>
  <c r="CZ19" i="4" s="1"/>
  <c r="CZ15" i="2"/>
  <c r="CZ15" i="4" s="1"/>
  <c r="CZ123" i="2"/>
  <c r="CZ123" i="4" s="1"/>
  <c r="CZ119" i="2"/>
  <c r="CZ119" i="4" s="1"/>
  <c r="CZ115" i="2"/>
  <c r="CZ115" i="4" s="1"/>
  <c r="CZ111" i="2"/>
  <c r="CZ111" i="4" s="1"/>
  <c r="CZ107" i="2"/>
  <c r="CZ107" i="4" s="1"/>
  <c r="CZ103" i="2"/>
  <c r="CZ103" i="4" s="1"/>
  <c r="CZ99" i="2"/>
  <c r="CZ99" i="4" s="1"/>
  <c r="CZ124" i="2"/>
  <c r="CZ124" i="4" s="1"/>
  <c r="CZ116" i="2"/>
  <c r="CZ116" i="4" s="1"/>
  <c r="CZ108" i="2"/>
  <c r="CZ108" i="4" s="1"/>
  <c r="CZ100" i="2"/>
  <c r="CZ100" i="4" s="1"/>
  <c r="CZ105" i="2"/>
  <c r="CZ105" i="4" s="1"/>
  <c r="CZ87" i="2"/>
  <c r="CZ87" i="4" s="1"/>
  <c r="CZ47" i="2"/>
  <c r="CZ47" i="4" s="1"/>
  <c r="CZ39" i="2"/>
  <c r="CZ39" i="4" s="1"/>
  <c r="CZ127" i="2"/>
  <c r="CZ127" i="4" s="1"/>
  <c r="CZ120" i="2"/>
  <c r="CZ120" i="4" s="1"/>
  <c r="CZ112" i="2"/>
  <c r="CZ112" i="4" s="1"/>
  <c r="CZ104" i="2"/>
  <c r="CZ104" i="4" s="1"/>
  <c r="CZ89" i="2"/>
  <c r="CZ89" i="4" s="1"/>
  <c r="CZ40" i="2"/>
  <c r="CZ40" i="4" s="1"/>
  <c r="CZ20" i="2"/>
  <c r="CZ20" i="4" s="1"/>
  <c r="CZ4" i="2"/>
  <c r="CZ4" i="4" s="1"/>
  <c r="CZ75" i="2"/>
  <c r="CZ75" i="4" s="1"/>
  <c r="CZ23" i="2"/>
  <c r="CZ23" i="4" s="1"/>
  <c r="CZ94" i="2"/>
  <c r="CZ94" i="4" s="1"/>
  <c r="CZ85" i="2"/>
  <c r="CZ85" i="4" s="1"/>
  <c r="CZ81" i="2"/>
  <c r="CZ81" i="4" s="1"/>
  <c r="CZ73" i="2"/>
  <c r="CZ73" i="4" s="1"/>
  <c r="CZ117" i="2"/>
  <c r="CZ117" i="4" s="1"/>
  <c r="CZ101" i="2"/>
  <c r="CZ101" i="4" s="1"/>
  <c r="CZ36" i="2"/>
  <c r="CZ36" i="4" s="1"/>
  <c r="CZ76" i="2"/>
  <c r="CZ76" i="4" s="1"/>
  <c r="CZ3" i="2"/>
  <c r="CZ3" i="4" s="1"/>
  <c r="CZ95" i="2"/>
  <c r="CZ95" i="4" s="1"/>
  <c r="CZ71" i="2"/>
  <c r="CZ71" i="4" s="1"/>
  <c r="CZ67" i="2"/>
  <c r="CZ67" i="4" s="1"/>
  <c r="CZ43" i="2"/>
  <c r="CZ43" i="4" s="1"/>
  <c r="CZ31" i="2"/>
  <c r="CZ31" i="4" s="1"/>
  <c r="CZ11" i="2"/>
  <c r="CZ11" i="4" s="1"/>
  <c r="CZ79" i="2"/>
  <c r="CZ79" i="4" s="1"/>
  <c r="CZ55" i="2"/>
  <c r="CZ55" i="4" s="1"/>
  <c r="CZ35" i="2"/>
  <c r="CZ35" i="4" s="1"/>
  <c r="CZ27" i="2"/>
  <c r="CZ27" i="4" s="1"/>
  <c r="CZ7" i="2"/>
  <c r="CZ7" i="4" s="1"/>
  <c r="DB1" i="4" l="1"/>
  <c r="DC2" i="4"/>
  <c r="DB2" i="2"/>
  <c r="DA60" i="2"/>
  <c r="DA60" i="4" s="1"/>
  <c r="DA95" i="2"/>
  <c r="DA95" i="4" s="1"/>
  <c r="DA106" i="2"/>
  <c r="DA106" i="4" s="1"/>
  <c r="DA91" i="2"/>
  <c r="DA91" i="4" s="1"/>
  <c r="DA122" i="2"/>
  <c r="DA122" i="4" s="1"/>
  <c r="DA126" i="2"/>
  <c r="DA126" i="4" s="1"/>
  <c r="DA110" i="2"/>
  <c r="DA110" i="4" s="1"/>
  <c r="DA18" i="2"/>
  <c r="DA18" i="4" s="1"/>
  <c r="DA98" i="2"/>
  <c r="DA98" i="4" s="1"/>
  <c r="DA94" i="2"/>
  <c r="DA94" i="4" s="1"/>
  <c r="DA10" i="2"/>
  <c r="DA10" i="4" s="1"/>
  <c r="DA130" i="2"/>
  <c r="DA130" i="4" s="1"/>
  <c r="DA129" i="2"/>
  <c r="DA129" i="4" s="1"/>
  <c r="DA125" i="2"/>
  <c r="DA125" i="4" s="1"/>
  <c r="DA121" i="2"/>
  <c r="DA121" i="4" s="1"/>
  <c r="DA117" i="2"/>
  <c r="DA117" i="4" s="1"/>
  <c r="DA113" i="2"/>
  <c r="DA113" i="4" s="1"/>
  <c r="DA109" i="2"/>
  <c r="DA109" i="4" s="1"/>
  <c r="DA105" i="2"/>
  <c r="DA105" i="4" s="1"/>
  <c r="DA101" i="2"/>
  <c r="DA101" i="4" s="1"/>
  <c r="DA97" i="2"/>
  <c r="DA97" i="4" s="1"/>
  <c r="DA90" i="2"/>
  <c r="DA90" i="4" s="1"/>
  <c r="DA86" i="2"/>
  <c r="DA86" i="4" s="1"/>
  <c r="DA82" i="2"/>
  <c r="DA82" i="4" s="1"/>
  <c r="DA78" i="2"/>
  <c r="DA78" i="4" s="1"/>
  <c r="DA62" i="2"/>
  <c r="DA62" i="4" s="1"/>
  <c r="DA58" i="2"/>
  <c r="DA58" i="4" s="1"/>
  <c r="DA54" i="2"/>
  <c r="DA54" i="4" s="1"/>
  <c r="DA50" i="2"/>
  <c r="DA50" i="4" s="1"/>
  <c r="DA42" i="2"/>
  <c r="DA42" i="4" s="1"/>
  <c r="DA38" i="2"/>
  <c r="DA38" i="4" s="1"/>
  <c r="DA30" i="2"/>
  <c r="DA30" i="4" s="1"/>
  <c r="DA22" i="2"/>
  <c r="DA22" i="4" s="1"/>
  <c r="DA14" i="2"/>
  <c r="DA14" i="4" s="1"/>
  <c r="DA6" i="2"/>
  <c r="DA6" i="4" s="1"/>
  <c r="DA114" i="2"/>
  <c r="DA114" i="4" s="1"/>
  <c r="DA46" i="2"/>
  <c r="DA46" i="4" s="1"/>
  <c r="DA26" i="2"/>
  <c r="DA26" i="4" s="1"/>
  <c r="DA61" i="2"/>
  <c r="DA61" i="4" s="1"/>
  <c r="DA13" i="2"/>
  <c r="DA13" i="4" s="1"/>
  <c r="DA72" i="2"/>
  <c r="DA72" i="4" s="1"/>
  <c r="DA56" i="2"/>
  <c r="DA56" i="4" s="1"/>
  <c r="DA74" i="2"/>
  <c r="DA74" i="4" s="1"/>
  <c r="DA66" i="2"/>
  <c r="DA66" i="4" s="1"/>
  <c r="DA34" i="2"/>
  <c r="DA34" i="4" s="1"/>
  <c r="DA93" i="2"/>
  <c r="DA93" i="4" s="1"/>
  <c r="DA73" i="2"/>
  <c r="DA73" i="4" s="1"/>
  <c r="DA69" i="2"/>
  <c r="DA69" i="4" s="1"/>
  <c r="DA65" i="2"/>
  <c r="DA65" i="4" s="1"/>
  <c r="DA49" i="2"/>
  <c r="DA49" i="4" s="1"/>
  <c r="DA45" i="2"/>
  <c r="DA45" i="4" s="1"/>
  <c r="DA41" i="2"/>
  <c r="DA41" i="4" s="1"/>
  <c r="DA37" i="2"/>
  <c r="DA37" i="4" s="1"/>
  <c r="DA33" i="2"/>
  <c r="DA33" i="4" s="1"/>
  <c r="DA21" i="2"/>
  <c r="DA21" i="4" s="1"/>
  <c r="DA17" i="2"/>
  <c r="DA17" i="4" s="1"/>
  <c r="DA5" i="2"/>
  <c r="DA5" i="4" s="1"/>
  <c r="DA96" i="2"/>
  <c r="DA96" i="4" s="1"/>
  <c r="DA92" i="2"/>
  <c r="DA92" i="4" s="1"/>
  <c r="DA88" i="2"/>
  <c r="DA88" i="4" s="1"/>
  <c r="DA84" i="2"/>
  <c r="DA84" i="4" s="1"/>
  <c r="DA80" i="2"/>
  <c r="DA80" i="4" s="1"/>
  <c r="DA76" i="2"/>
  <c r="DA76" i="4" s="1"/>
  <c r="DA52" i="2"/>
  <c r="DA52" i="4" s="1"/>
  <c r="DA28" i="2"/>
  <c r="DA28" i="4" s="1"/>
  <c r="DA24" i="2"/>
  <c r="DA24" i="4" s="1"/>
  <c r="DA127" i="2"/>
  <c r="DA127" i="4" s="1"/>
  <c r="DA111" i="2"/>
  <c r="DA111" i="4" s="1"/>
  <c r="DA79" i="2"/>
  <c r="DA79" i="4" s="1"/>
  <c r="DA77" i="2"/>
  <c r="DA77" i="4" s="1"/>
  <c r="DA57" i="2"/>
  <c r="DA57" i="4" s="1"/>
  <c r="DA53" i="2"/>
  <c r="DA53" i="4" s="1"/>
  <c r="DA25" i="2"/>
  <c r="DA25" i="4" s="1"/>
  <c r="DA64" i="2"/>
  <c r="DA64" i="4" s="1"/>
  <c r="DA48" i="2"/>
  <c r="DA48" i="4" s="1"/>
  <c r="DA44" i="2"/>
  <c r="DA44" i="4" s="1"/>
  <c r="DA40" i="2"/>
  <c r="DA40" i="4" s="1"/>
  <c r="DA36" i="2"/>
  <c r="DA36" i="4" s="1"/>
  <c r="DA115" i="2"/>
  <c r="DA115" i="4" s="1"/>
  <c r="DA99" i="2"/>
  <c r="DA99" i="4" s="1"/>
  <c r="DA70" i="2"/>
  <c r="DA70" i="4" s="1"/>
  <c r="DA118" i="2"/>
  <c r="DA118" i="4" s="1"/>
  <c r="DA102" i="2"/>
  <c r="DA102" i="4" s="1"/>
  <c r="DA68" i="2"/>
  <c r="DA68" i="4" s="1"/>
  <c r="DA12" i="2"/>
  <c r="DA12" i="4" s="1"/>
  <c r="DA8" i="2"/>
  <c r="DA8" i="4" s="1"/>
  <c r="DA119" i="2"/>
  <c r="DA119" i="4" s="1"/>
  <c r="DA51" i="2"/>
  <c r="DA51" i="4" s="1"/>
  <c r="DA39" i="2"/>
  <c r="DA39" i="4" s="1"/>
  <c r="DA27" i="2"/>
  <c r="DA27" i="4" s="1"/>
  <c r="DA11" i="2"/>
  <c r="DA11" i="4" s="1"/>
  <c r="DA124" i="2"/>
  <c r="DA124" i="4" s="1"/>
  <c r="DA120" i="2"/>
  <c r="DA120" i="4" s="1"/>
  <c r="DA116" i="2"/>
  <c r="DA116" i="4" s="1"/>
  <c r="DA112" i="2"/>
  <c r="DA112" i="4" s="1"/>
  <c r="DA108" i="2"/>
  <c r="DA108" i="4" s="1"/>
  <c r="DA104" i="2"/>
  <c r="DA104" i="4" s="1"/>
  <c r="DA100" i="2"/>
  <c r="DA100" i="4" s="1"/>
  <c r="DA29" i="2"/>
  <c r="DA29" i="4" s="1"/>
  <c r="DA32" i="2"/>
  <c r="DA32" i="4" s="1"/>
  <c r="DA20" i="2"/>
  <c r="DA20" i="4" s="1"/>
  <c r="DA123" i="2"/>
  <c r="DA123" i="4" s="1"/>
  <c r="DA63" i="2"/>
  <c r="DA63" i="4" s="1"/>
  <c r="DA59" i="2"/>
  <c r="DA59" i="4" s="1"/>
  <c r="DA47" i="2"/>
  <c r="DA47" i="4" s="1"/>
  <c r="DA35" i="2"/>
  <c r="DA35" i="4" s="1"/>
  <c r="DA31" i="2"/>
  <c r="DA31" i="4" s="1"/>
  <c r="DA19" i="2"/>
  <c r="DA19" i="4" s="1"/>
  <c r="DA15" i="2"/>
  <c r="DA15" i="4" s="1"/>
  <c r="DA83" i="2"/>
  <c r="DA83" i="4" s="1"/>
  <c r="DA89" i="2"/>
  <c r="DA89" i="4" s="1"/>
  <c r="DA16" i="2"/>
  <c r="DA16" i="4" s="1"/>
  <c r="DA4" i="2"/>
  <c r="DA4" i="4" s="1"/>
  <c r="DA107" i="2"/>
  <c r="DA107" i="4" s="1"/>
  <c r="DA85" i="2"/>
  <c r="DA85" i="4" s="1"/>
  <c r="DA81" i="2"/>
  <c r="DA81" i="4" s="1"/>
  <c r="DA9" i="2"/>
  <c r="DA9" i="4" s="1"/>
  <c r="DA103" i="2"/>
  <c r="DA103" i="4" s="1"/>
  <c r="DA3" i="2"/>
  <c r="DA3" i="4" s="1"/>
  <c r="DA71" i="2"/>
  <c r="DA71" i="4" s="1"/>
  <c r="DA67" i="2"/>
  <c r="DA67" i="4" s="1"/>
  <c r="DA43" i="2"/>
  <c r="DA43" i="4" s="1"/>
  <c r="DA7" i="2"/>
  <c r="DA7" i="4" s="1"/>
  <c r="DA128" i="2"/>
  <c r="DA128" i="4" s="1"/>
  <c r="DA75" i="2"/>
  <c r="DA75" i="4" s="1"/>
  <c r="DA55" i="2"/>
  <c r="DA55" i="4" s="1"/>
  <c r="DA23" i="2"/>
  <c r="DA23" i="4" s="1"/>
  <c r="DA87" i="2"/>
  <c r="DA87" i="4" s="1"/>
  <c r="DC1" i="4" l="1"/>
  <c r="DD2" i="4"/>
  <c r="DC2" i="2"/>
  <c r="DB103" i="2"/>
  <c r="DB103" i="4" s="1"/>
  <c r="DB119" i="2"/>
  <c r="DB119" i="4" s="1"/>
  <c r="DB96" i="2"/>
  <c r="DB96" i="4" s="1"/>
  <c r="DB99" i="2"/>
  <c r="DB99" i="4" s="1"/>
  <c r="DB115" i="2"/>
  <c r="DB115" i="4" s="1"/>
  <c r="DB107" i="2"/>
  <c r="DB107" i="4" s="1"/>
  <c r="DB92" i="2"/>
  <c r="DB92" i="4" s="1"/>
  <c r="DB111" i="2"/>
  <c r="DB111" i="4" s="1"/>
  <c r="DB127" i="2"/>
  <c r="DB127" i="4" s="1"/>
  <c r="DB123" i="2"/>
  <c r="DB123" i="4" s="1"/>
  <c r="DB130" i="2"/>
  <c r="DB130" i="4" s="1"/>
  <c r="DB46" i="2"/>
  <c r="DB46" i="4" s="1"/>
  <c r="DB18" i="2"/>
  <c r="DB18" i="4" s="1"/>
  <c r="DB74" i="2"/>
  <c r="DB74" i="4" s="1"/>
  <c r="DB62" i="2"/>
  <c r="DB62" i="4" s="1"/>
  <c r="DB26" i="2"/>
  <c r="DB26" i="4" s="1"/>
  <c r="DB129" i="2"/>
  <c r="DB129" i="4" s="1"/>
  <c r="DB125" i="2"/>
  <c r="DB125" i="4" s="1"/>
  <c r="DB121" i="2"/>
  <c r="DB121" i="4" s="1"/>
  <c r="DB117" i="2"/>
  <c r="DB117" i="4" s="1"/>
  <c r="DB113" i="2"/>
  <c r="DB113" i="4" s="1"/>
  <c r="DB109" i="2"/>
  <c r="DB109" i="4" s="1"/>
  <c r="DB105" i="2"/>
  <c r="DB105" i="4" s="1"/>
  <c r="DB101" i="2"/>
  <c r="DB101" i="4" s="1"/>
  <c r="DB97" i="2"/>
  <c r="DB97" i="4" s="1"/>
  <c r="DB126" i="2"/>
  <c r="DB126" i="4" s="1"/>
  <c r="DB122" i="2"/>
  <c r="DB122" i="4" s="1"/>
  <c r="DB118" i="2"/>
  <c r="DB118" i="4" s="1"/>
  <c r="DB114" i="2"/>
  <c r="DB114" i="4" s="1"/>
  <c r="DB110" i="2"/>
  <c r="DB110" i="4" s="1"/>
  <c r="DB106" i="2"/>
  <c r="DB106" i="4" s="1"/>
  <c r="DB102" i="2"/>
  <c r="DB102" i="4" s="1"/>
  <c r="DB98" i="2"/>
  <c r="DB98" i="4" s="1"/>
  <c r="DB94" i="2"/>
  <c r="DB94" i="4" s="1"/>
  <c r="DB90" i="2"/>
  <c r="DB90" i="4" s="1"/>
  <c r="DB86" i="2"/>
  <c r="DB86" i="4" s="1"/>
  <c r="DB82" i="2"/>
  <c r="DB82" i="4" s="1"/>
  <c r="DB78" i="2"/>
  <c r="DB78" i="4" s="1"/>
  <c r="DB70" i="2"/>
  <c r="DB70" i="4" s="1"/>
  <c r="DB66" i="2"/>
  <c r="DB66" i="4" s="1"/>
  <c r="DB50" i="2"/>
  <c r="DB50" i="4" s="1"/>
  <c r="DB42" i="2"/>
  <c r="DB42" i="4" s="1"/>
  <c r="DB38" i="2"/>
  <c r="DB38" i="4" s="1"/>
  <c r="DB30" i="2"/>
  <c r="DB30" i="4" s="1"/>
  <c r="DB22" i="2"/>
  <c r="DB22" i="4" s="1"/>
  <c r="DB14" i="2"/>
  <c r="DB14" i="4" s="1"/>
  <c r="DB6" i="2"/>
  <c r="DB6" i="4" s="1"/>
  <c r="DB10" i="2"/>
  <c r="DB10" i="4" s="1"/>
  <c r="DB45" i="2"/>
  <c r="DB45" i="4" s="1"/>
  <c r="DB72" i="2"/>
  <c r="DB72" i="4" s="1"/>
  <c r="DB58" i="2"/>
  <c r="DB58" i="4" s="1"/>
  <c r="DB34" i="2"/>
  <c r="DB34" i="4" s="1"/>
  <c r="DB93" i="2"/>
  <c r="DB93" i="4" s="1"/>
  <c r="DB81" i="2"/>
  <c r="DB81" i="4" s="1"/>
  <c r="DB77" i="2"/>
  <c r="DB77" i="4" s="1"/>
  <c r="DB73" i="2"/>
  <c r="DB73" i="4" s="1"/>
  <c r="DB69" i="2"/>
  <c r="DB69" i="4" s="1"/>
  <c r="DB65" i="2"/>
  <c r="DB65" i="4" s="1"/>
  <c r="DB57" i="2"/>
  <c r="DB57" i="4" s="1"/>
  <c r="DB53" i="2"/>
  <c r="DB53" i="4" s="1"/>
  <c r="DB49" i="2"/>
  <c r="DB49" i="4" s="1"/>
  <c r="DB25" i="2"/>
  <c r="DB25" i="4" s="1"/>
  <c r="DB21" i="2"/>
  <c r="DB21" i="4" s="1"/>
  <c r="DB13" i="2"/>
  <c r="DB13" i="4" s="1"/>
  <c r="DB5" i="2"/>
  <c r="DB5" i="4" s="1"/>
  <c r="DB76" i="2"/>
  <c r="DB76" i="4" s="1"/>
  <c r="DB60" i="2"/>
  <c r="DB60" i="4" s="1"/>
  <c r="DB52" i="2"/>
  <c r="DB52" i="4" s="1"/>
  <c r="DB44" i="2"/>
  <c r="DB44" i="4" s="1"/>
  <c r="DB40" i="2"/>
  <c r="DB40" i="4" s="1"/>
  <c r="DB24" i="2"/>
  <c r="DB24" i="4" s="1"/>
  <c r="DB8" i="2"/>
  <c r="DB8" i="4" s="1"/>
  <c r="DB128" i="2"/>
  <c r="DB128" i="4" s="1"/>
  <c r="DB112" i="2"/>
  <c r="DB112" i="4" s="1"/>
  <c r="DB80" i="2"/>
  <c r="DB80" i="4" s="1"/>
  <c r="DB3" i="2"/>
  <c r="DB3" i="4" s="1"/>
  <c r="DB41" i="2"/>
  <c r="DB41" i="4" s="1"/>
  <c r="DB37" i="2"/>
  <c r="DB37" i="4" s="1"/>
  <c r="DB33" i="2"/>
  <c r="DB33" i="4" s="1"/>
  <c r="DB64" i="2"/>
  <c r="DB64" i="4" s="1"/>
  <c r="DB48" i="2"/>
  <c r="DB48" i="4" s="1"/>
  <c r="DB36" i="2"/>
  <c r="DB36" i="4" s="1"/>
  <c r="DB28" i="2"/>
  <c r="DB28" i="4" s="1"/>
  <c r="DB12" i="2"/>
  <c r="DB12" i="4" s="1"/>
  <c r="DB116" i="2"/>
  <c r="DB116" i="4" s="1"/>
  <c r="DB100" i="2"/>
  <c r="DB100" i="4" s="1"/>
  <c r="DB29" i="2"/>
  <c r="DB29" i="4" s="1"/>
  <c r="DB17" i="2"/>
  <c r="DB17" i="4" s="1"/>
  <c r="DB68" i="2"/>
  <c r="DB68" i="4" s="1"/>
  <c r="DB120" i="2"/>
  <c r="DB120" i="4" s="1"/>
  <c r="DB79" i="2"/>
  <c r="DB79" i="4" s="1"/>
  <c r="DB71" i="2"/>
  <c r="DB71" i="4" s="1"/>
  <c r="DB51" i="2"/>
  <c r="DB51" i="4" s="1"/>
  <c r="DB39" i="2"/>
  <c r="DB39" i="4" s="1"/>
  <c r="DB27" i="2"/>
  <c r="DB27" i="4" s="1"/>
  <c r="DB7" i="2"/>
  <c r="DB7" i="4" s="1"/>
  <c r="DB54" i="2"/>
  <c r="DB54" i="4" s="1"/>
  <c r="DB9" i="2"/>
  <c r="DB9" i="4" s="1"/>
  <c r="DB56" i="2"/>
  <c r="DB56" i="4" s="1"/>
  <c r="DB20" i="2"/>
  <c r="DB20" i="4" s="1"/>
  <c r="DB124" i="2"/>
  <c r="DB124" i="4" s="1"/>
  <c r="DB83" i="2"/>
  <c r="DB83" i="4" s="1"/>
  <c r="DB59" i="2"/>
  <c r="DB59" i="4" s="1"/>
  <c r="DB47" i="2"/>
  <c r="DB47" i="4" s="1"/>
  <c r="DB43" i="2"/>
  <c r="DB43" i="4" s="1"/>
  <c r="DB31" i="2"/>
  <c r="DB31" i="4" s="1"/>
  <c r="DB15" i="2"/>
  <c r="DB15" i="4" s="1"/>
  <c r="DB84" i="2"/>
  <c r="DB84" i="4" s="1"/>
  <c r="DB95" i="2"/>
  <c r="DB95" i="4" s="1"/>
  <c r="DB89" i="2"/>
  <c r="DB89" i="4" s="1"/>
  <c r="DB16" i="2"/>
  <c r="DB16" i="4" s="1"/>
  <c r="DB4" i="2"/>
  <c r="DB4" i="4" s="1"/>
  <c r="DB108" i="2"/>
  <c r="DB108" i="4" s="1"/>
  <c r="DB75" i="2"/>
  <c r="DB75" i="4" s="1"/>
  <c r="DB63" i="2"/>
  <c r="DB63" i="4" s="1"/>
  <c r="DB55" i="2"/>
  <c r="DB55" i="4" s="1"/>
  <c r="DB23" i="2"/>
  <c r="DB23" i="4" s="1"/>
  <c r="DB88" i="2"/>
  <c r="DB88" i="4" s="1"/>
  <c r="DB85" i="2"/>
  <c r="DB85" i="4" s="1"/>
  <c r="DB61" i="2"/>
  <c r="DB61" i="4" s="1"/>
  <c r="DB32" i="2"/>
  <c r="DB32" i="4" s="1"/>
  <c r="DB104" i="2"/>
  <c r="DB104" i="4" s="1"/>
  <c r="DB91" i="2"/>
  <c r="DB91" i="4" s="1"/>
  <c r="DB87" i="2"/>
  <c r="DB87" i="4" s="1"/>
  <c r="DB35" i="2"/>
  <c r="DB35" i="4" s="1"/>
  <c r="DB19" i="2"/>
  <c r="DB19" i="4" s="1"/>
  <c r="DB11" i="2"/>
  <c r="DB11" i="4" s="1"/>
  <c r="DB67" i="2"/>
  <c r="DB67" i="4" s="1"/>
  <c r="DD1" i="4" l="1"/>
  <c r="DE2" i="4"/>
  <c r="DD2" i="2"/>
  <c r="DC127" i="2"/>
  <c r="DC127" i="4" s="1"/>
  <c r="DC104" i="2"/>
  <c r="DC104" i="4" s="1"/>
  <c r="DC120" i="2"/>
  <c r="DC120" i="4" s="1"/>
  <c r="DC100" i="2"/>
  <c r="DC100" i="4" s="1"/>
  <c r="DC116" i="2"/>
  <c r="DC116" i="4" s="1"/>
  <c r="DC108" i="2"/>
  <c r="DC108" i="4" s="1"/>
  <c r="DC112" i="2"/>
  <c r="DC112" i="4" s="1"/>
  <c r="DC128" i="2"/>
  <c r="DC128" i="4" s="1"/>
  <c r="DC124" i="2"/>
  <c r="DC124" i="4" s="1"/>
  <c r="DC38" i="2"/>
  <c r="DC38" i="4" s="1"/>
  <c r="DC34" i="2"/>
  <c r="DC34" i="4" s="1"/>
  <c r="DC10" i="2"/>
  <c r="DC10" i="4" s="1"/>
  <c r="DC62" i="2"/>
  <c r="DC62" i="4" s="1"/>
  <c r="DC18" i="2"/>
  <c r="DC18" i="4" s="1"/>
  <c r="DC97" i="2"/>
  <c r="DC97" i="4" s="1"/>
  <c r="DC89" i="2"/>
  <c r="DC89" i="4" s="1"/>
  <c r="DC85" i="2"/>
  <c r="DC85" i="4" s="1"/>
  <c r="DC93" i="2"/>
  <c r="DC93" i="4" s="1"/>
  <c r="DC130" i="2"/>
  <c r="DC130" i="4" s="1"/>
  <c r="DC126" i="2"/>
  <c r="DC126" i="4" s="1"/>
  <c r="DC122" i="2"/>
  <c r="DC122" i="4" s="1"/>
  <c r="DC118" i="2"/>
  <c r="DC118" i="4" s="1"/>
  <c r="DC114" i="2"/>
  <c r="DC114" i="4" s="1"/>
  <c r="DC110" i="2"/>
  <c r="DC110" i="4" s="1"/>
  <c r="DC106" i="2"/>
  <c r="DC106" i="4" s="1"/>
  <c r="DC102" i="2"/>
  <c r="DC102" i="4" s="1"/>
  <c r="DC98" i="2"/>
  <c r="DC98" i="4" s="1"/>
  <c r="DC94" i="2"/>
  <c r="DC94" i="4" s="1"/>
  <c r="DC90" i="2"/>
  <c r="DC90" i="4" s="1"/>
  <c r="DC86" i="2"/>
  <c r="DC86" i="4" s="1"/>
  <c r="DC82" i="2"/>
  <c r="DC82" i="4" s="1"/>
  <c r="DC78" i="2"/>
  <c r="DC78" i="4" s="1"/>
  <c r="DC74" i="2"/>
  <c r="DC74" i="4" s="1"/>
  <c r="DC70" i="2"/>
  <c r="DC70" i="4" s="1"/>
  <c r="DC66" i="2"/>
  <c r="DC66" i="4" s="1"/>
  <c r="DC46" i="2"/>
  <c r="DC46" i="4" s="1"/>
  <c r="DC6" i="2"/>
  <c r="DC6" i="4" s="1"/>
  <c r="DC129" i="2"/>
  <c r="DC129" i="4" s="1"/>
  <c r="DC125" i="2"/>
  <c r="DC125" i="4" s="1"/>
  <c r="DC121" i="2"/>
  <c r="DC121" i="4" s="1"/>
  <c r="DC117" i="2"/>
  <c r="DC117" i="4" s="1"/>
  <c r="DC113" i="2"/>
  <c r="DC113" i="4" s="1"/>
  <c r="DC109" i="2"/>
  <c r="DC109" i="4" s="1"/>
  <c r="DC105" i="2"/>
  <c r="DC105" i="4" s="1"/>
  <c r="DC101" i="2"/>
  <c r="DC101" i="4" s="1"/>
  <c r="DC58" i="2"/>
  <c r="DC58" i="4" s="1"/>
  <c r="DC54" i="2"/>
  <c r="DC54" i="4" s="1"/>
  <c r="DC50" i="2"/>
  <c r="DC50" i="4" s="1"/>
  <c r="DC22" i="2"/>
  <c r="DC22" i="4" s="1"/>
  <c r="DC29" i="2"/>
  <c r="DC29" i="4" s="1"/>
  <c r="DC76" i="2"/>
  <c r="DC76" i="4" s="1"/>
  <c r="DC68" i="2"/>
  <c r="DC68" i="4" s="1"/>
  <c r="DC77" i="2"/>
  <c r="DC77" i="4" s="1"/>
  <c r="DC73" i="2"/>
  <c r="DC73" i="4" s="1"/>
  <c r="DC69" i="2"/>
  <c r="DC69" i="4" s="1"/>
  <c r="DC65" i="2"/>
  <c r="DC65" i="4" s="1"/>
  <c r="DC57" i="2"/>
  <c r="DC57" i="4" s="1"/>
  <c r="DC53" i="2"/>
  <c r="DC53" i="4" s="1"/>
  <c r="DC49" i="2"/>
  <c r="DC49" i="4" s="1"/>
  <c r="DC25" i="2"/>
  <c r="DC25" i="4" s="1"/>
  <c r="DC21" i="2"/>
  <c r="DC21" i="4" s="1"/>
  <c r="DC13" i="2"/>
  <c r="DC13" i="4" s="1"/>
  <c r="DC9" i="2"/>
  <c r="DC9" i="4" s="1"/>
  <c r="DC5" i="2"/>
  <c r="DC5" i="4" s="1"/>
  <c r="DC72" i="2"/>
  <c r="DC72" i="4" s="1"/>
  <c r="DC60" i="2"/>
  <c r="DC60" i="4" s="1"/>
  <c r="DC52" i="2"/>
  <c r="DC52" i="4" s="1"/>
  <c r="DC40" i="2"/>
  <c r="DC40" i="4" s="1"/>
  <c r="DC36" i="2"/>
  <c r="DC36" i="4" s="1"/>
  <c r="DC24" i="2"/>
  <c r="DC24" i="4" s="1"/>
  <c r="DC4" i="2"/>
  <c r="DC4" i="4" s="1"/>
  <c r="DC61" i="2"/>
  <c r="DC61" i="4" s="1"/>
  <c r="DC41" i="2"/>
  <c r="DC41" i="4" s="1"/>
  <c r="DC37" i="2"/>
  <c r="DC37" i="4" s="1"/>
  <c r="DC33" i="2"/>
  <c r="DC33" i="4" s="1"/>
  <c r="DC17" i="2"/>
  <c r="DC17" i="4" s="1"/>
  <c r="DC92" i="2"/>
  <c r="DC92" i="4" s="1"/>
  <c r="DC88" i="2"/>
  <c r="DC88" i="4" s="1"/>
  <c r="DC84" i="2"/>
  <c r="DC84" i="4" s="1"/>
  <c r="DC80" i="2"/>
  <c r="DC80" i="4" s="1"/>
  <c r="DC48" i="2"/>
  <c r="DC48" i="4" s="1"/>
  <c r="DC28" i="2"/>
  <c r="DC28" i="4" s="1"/>
  <c r="DC16" i="2"/>
  <c r="DC16" i="4" s="1"/>
  <c r="DC8" i="2"/>
  <c r="DC8" i="4" s="1"/>
  <c r="DC14" i="2"/>
  <c r="DC14" i="4" s="1"/>
  <c r="DC45" i="2"/>
  <c r="DC45" i="4" s="1"/>
  <c r="DC12" i="2"/>
  <c r="DC12" i="4" s="1"/>
  <c r="DC79" i="2"/>
  <c r="DC79" i="4" s="1"/>
  <c r="DC59" i="2"/>
  <c r="DC59" i="4" s="1"/>
  <c r="DC55" i="2"/>
  <c r="DC55" i="4" s="1"/>
  <c r="DC51" i="2"/>
  <c r="DC51" i="4" s="1"/>
  <c r="DC39" i="2"/>
  <c r="DC39" i="4" s="1"/>
  <c r="DC15" i="2"/>
  <c r="DC15" i="4" s="1"/>
  <c r="DC11" i="2"/>
  <c r="DC11" i="4" s="1"/>
  <c r="DC103" i="2"/>
  <c r="DC103" i="4" s="1"/>
  <c r="DC42" i="2"/>
  <c r="DC42" i="4" s="1"/>
  <c r="DC30" i="2"/>
  <c r="DC30" i="4" s="1"/>
  <c r="DC26" i="2"/>
  <c r="DC26" i="4" s="1"/>
  <c r="DC81" i="2"/>
  <c r="DC81" i="4" s="1"/>
  <c r="DC64" i="2"/>
  <c r="DC64" i="4" s="1"/>
  <c r="DC56" i="2"/>
  <c r="DC56" i="4" s="1"/>
  <c r="DC44" i="2"/>
  <c r="DC44" i="4" s="1"/>
  <c r="DC20" i="2"/>
  <c r="DC20" i="4" s="1"/>
  <c r="DC83" i="2"/>
  <c r="DC83" i="4" s="1"/>
  <c r="DC43" i="2"/>
  <c r="DC43" i="4" s="1"/>
  <c r="DC31" i="2"/>
  <c r="DC31" i="4" s="1"/>
  <c r="DC7" i="2"/>
  <c r="DC7" i="4" s="1"/>
  <c r="DC123" i="2"/>
  <c r="DC123" i="4" s="1"/>
  <c r="DC115" i="2"/>
  <c r="DC115" i="4" s="1"/>
  <c r="DC107" i="2"/>
  <c r="DC107" i="4" s="1"/>
  <c r="DC99" i="2"/>
  <c r="DC99" i="4" s="1"/>
  <c r="DC96" i="2"/>
  <c r="DC96" i="4" s="1"/>
  <c r="DC3" i="2"/>
  <c r="DC3" i="4" s="1"/>
  <c r="DC75" i="2"/>
  <c r="DC75" i="4" s="1"/>
  <c r="DC71" i="2"/>
  <c r="DC71" i="4" s="1"/>
  <c r="DC67" i="2"/>
  <c r="DC67" i="4" s="1"/>
  <c r="DC63" i="2"/>
  <c r="DC63" i="4" s="1"/>
  <c r="DC23" i="2"/>
  <c r="DC23" i="4" s="1"/>
  <c r="DC119" i="2"/>
  <c r="DC119" i="4" s="1"/>
  <c r="DC32" i="2"/>
  <c r="DC32" i="4" s="1"/>
  <c r="DC91" i="2"/>
  <c r="DC91" i="4" s="1"/>
  <c r="DC87" i="2"/>
  <c r="DC87" i="4" s="1"/>
  <c r="DC47" i="2"/>
  <c r="DC47" i="4" s="1"/>
  <c r="DC35" i="2"/>
  <c r="DC35" i="4" s="1"/>
  <c r="DC19" i="2"/>
  <c r="DC19" i="4" s="1"/>
  <c r="DC95" i="2"/>
  <c r="DC95" i="4" s="1"/>
  <c r="DC27" i="2"/>
  <c r="DC27" i="4" s="1"/>
  <c r="DC111" i="2"/>
  <c r="DC111" i="4" s="1"/>
  <c r="DE1" i="4" l="1"/>
  <c r="DF2" i="4"/>
  <c r="DE2" i="2"/>
  <c r="DD128" i="2"/>
  <c r="DD128" i="4" s="1"/>
  <c r="DD63" i="2"/>
  <c r="DD63" i="4" s="1"/>
  <c r="DD125" i="2"/>
  <c r="DD125" i="4" s="1"/>
  <c r="DD129" i="2"/>
  <c r="DD129" i="4" s="1"/>
  <c r="DD113" i="2"/>
  <c r="DD113" i="4" s="1"/>
  <c r="DD78" i="2"/>
  <c r="DD78" i="4" s="1"/>
  <c r="DD26" i="2"/>
  <c r="DD26" i="4" s="1"/>
  <c r="DD94" i="2"/>
  <c r="DD94" i="4" s="1"/>
  <c r="DD46" i="2"/>
  <c r="DD46" i="4" s="1"/>
  <c r="DD98" i="2"/>
  <c r="DD98" i="4" s="1"/>
  <c r="DD89" i="2"/>
  <c r="DD89" i="4" s="1"/>
  <c r="DD85" i="2"/>
  <c r="DD85" i="4" s="1"/>
  <c r="DD81" i="2"/>
  <c r="DD81" i="4" s="1"/>
  <c r="DD109" i="2"/>
  <c r="DD109" i="4" s="1"/>
  <c r="DD130" i="2"/>
  <c r="DD130" i="4" s="1"/>
  <c r="DD126" i="2"/>
  <c r="DD126" i="4" s="1"/>
  <c r="DD122" i="2"/>
  <c r="DD122" i="4" s="1"/>
  <c r="DD118" i="2"/>
  <c r="DD118" i="4" s="1"/>
  <c r="DD114" i="2"/>
  <c r="DD114" i="4" s="1"/>
  <c r="DD110" i="2"/>
  <c r="DD110" i="4" s="1"/>
  <c r="DD106" i="2"/>
  <c r="DD106" i="4" s="1"/>
  <c r="DD102" i="2"/>
  <c r="DD102" i="4" s="1"/>
  <c r="DD74" i="2"/>
  <c r="DD74" i="4" s="1"/>
  <c r="DD70" i="2"/>
  <c r="DD70" i="4" s="1"/>
  <c r="DD66" i="2"/>
  <c r="DD66" i="4" s="1"/>
  <c r="DD6" i="2"/>
  <c r="DD6" i="4" s="1"/>
  <c r="DD93" i="2"/>
  <c r="DD93" i="4" s="1"/>
  <c r="DD82" i="2"/>
  <c r="DD82" i="4" s="1"/>
  <c r="DD62" i="2"/>
  <c r="DD62" i="4" s="1"/>
  <c r="DD58" i="2"/>
  <c r="DD58" i="4" s="1"/>
  <c r="DD54" i="2"/>
  <c r="DD54" i="4" s="1"/>
  <c r="DD50" i="2"/>
  <c r="DD50" i="4" s="1"/>
  <c r="DD42" i="2"/>
  <c r="DD42" i="4" s="1"/>
  <c r="DD38" i="2"/>
  <c r="DD38" i="4" s="1"/>
  <c r="DD30" i="2"/>
  <c r="DD30" i="4" s="1"/>
  <c r="DD22" i="2"/>
  <c r="DD22" i="4" s="1"/>
  <c r="DD18" i="2"/>
  <c r="DD18" i="4" s="1"/>
  <c r="DD14" i="2"/>
  <c r="DD14" i="4" s="1"/>
  <c r="DD10" i="2"/>
  <c r="DD10" i="4" s="1"/>
  <c r="DD101" i="2"/>
  <c r="DD101" i="4" s="1"/>
  <c r="DD77" i="2"/>
  <c r="DD77" i="4" s="1"/>
  <c r="DD76" i="2"/>
  <c r="DD76" i="4" s="1"/>
  <c r="DD68" i="2"/>
  <c r="DD68" i="4" s="1"/>
  <c r="DD60" i="2"/>
  <c r="DD60" i="4" s="1"/>
  <c r="DD90" i="2"/>
  <c r="DD90" i="4" s="1"/>
  <c r="DD86" i="2"/>
  <c r="DD86" i="4" s="1"/>
  <c r="DD34" i="2"/>
  <c r="DD34" i="4" s="1"/>
  <c r="DD97" i="2"/>
  <c r="DD97" i="4" s="1"/>
  <c r="DD57" i="2"/>
  <c r="DD57" i="4" s="1"/>
  <c r="DD53" i="2"/>
  <c r="DD53" i="4" s="1"/>
  <c r="DD49" i="2"/>
  <c r="DD49" i="4" s="1"/>
  <c r="DD25" i="2"/>
  <c r="DD25" i="4" s="1"/>
  <c r="DD21" i="2"/>
  <c r="DD21" i="4" s="1"/>
  <c r="DD13" i="2"/>
  <c r="DD13" i="4" s="1"/>
  <c r="DD72" i="2"/>
  <c r="DD72" i="4" s="1"/>
  <c r="DD56" i="2"/>
  <c r="DD56" i="4" s="1"/>
  <c r="DD52" i="2"/>
  <c r="DD52" i="4" s="1"/>
  <c r="DD40" i="2"/>
  <c r="DD40" i="4" s="1"/>
  <c r="DD28" i="2"/>
  <c r="DD28" i="4" s="1"/>
  <c r="DD24" i="2"/>
  <c r="DD24" i="4" s="1"/>
  <c r="DD20" i="2"/>
  <c r="DD20" i="4" s="1"/>
  <c r="DD12" i="2"/>
  <c r="DD12" i="4" s="1"/>
  <c r="DD4" i="2"/>
  <c r="DD4" i="4" s="1"/>
  <c r="DD117" i="2"/>
  <c r="DD117" i="4" s="1"/>
  <c r="DD73" i="2"/>
  <c r="DD73" i="4" s="1"/>
  <c r="DD69" i="2"/>
  <c r="DD69" i="4" s="1"/>
  <c r="DD65" i="2"/>
  <c r="DD65" i="4" s="1"/>
  <c r="DD61" i="2"/>
  <c r="DD61" i="4" s="1"/>
  <c r="DD45" i="2"/>
  <c r="DD45" i="4" s="1"/>
  <c r="DD41" i="2"/>
  <c r="DD41" i="4" s="1"/>
  <c r="DD37" i="2"/>
  <c r="DD37" i="4" s="1"/>
  <c r="DD33" i="2"/>
  <c r="DD33" i="4" s="1"/>
  <c r="DD29" i="2"/>
  <c r="DD29" i="4" s="1"/>
  <c r="DD17" i="2"/>
  <c r="DD17" i="4" s="1"/>
  <c r="DD9" i="2"/>
  <c r="DD9" i="4" s="1"/>
  <c r="DD5" i="2"/>
  <c r="DD5" i="4" s="1"/>
  <c r="DD96" i="2"/>
  <c r="DD96" i="4" s="1"/>
  <c r="DD92" i="2"/>
  <c r="DD92" i="4" s="1"/>
  <c r="DD88" i="2"/>
  <c r="DD88" i="4" s="1"/>
  <c r="DD84" i="2"/>
  <c r="DD84" i="4" s="1"/>
  <c r="DD80" i="2"/>
  <c r="DD80" i="4" s="1"/>
  <c r="DD8" i="2"/>
  <c r="DD8" i="4" s="1"/>
  <c r="DD48" i="2"/>
  <c r="DD48" i="4" s="1"/>
  <c r="DD79" i="2"/>
  <c r="DD79" i="4" s="1"/>
  <c r="DD75" i="2"/>
  <c r="DD75" i="4" s="1"/>
  <c r="DD59" i="2"/>
  <c r="DD59" i="4" s="1"/>
  <c r="DD55" i="2"/>
  <c r="DD55" i="4" s="1"/>
  <c r="DD23" i="2"/>
  <c r="DD23" i="4" s="1"/>
  <c r="DD19" i="2"/>
  <c r="DD19" i="4" s="1"/>
  <c r="DD15" i="2"/>
  <c r="DD15" i="4" s="1"/>
  <c r="DD127" i="2"/>
  <c r="DD127" i="4" s="1"/>
  <c r="DD120" i="2"/>
  <c r="DD120" i="4" s="1"/>
  <c r="DD112" i="2"/>
  <c r="DD112" i="4" s="1"/>
  <c r="DD104" i="2"/>
  <c r="DD104" i="4" s="1"/>
  <c r="DD44" i="2"/>
  <c r="DD44" i="4" s="1"/>
  <c r="DD16" i="2"/>
  <c r="DD16" i="4" s="1"/>
  <c r="DD83" i="2"/>
  <c r="DD83" i="4" s="1"/>
  <c r="DD51" i="2"/>
  <c r="DD51" i="4" s="1"/>
  <c r="DD39" i="2"/>
  <c r="DD39" i="4" s="1"/>
  <c r="DD35" i="2"/>
  <c r="DD35" i="4" s="1"/>
  <c r="DD7" i="2"/>
  <c r="DD7" i="4" s="1"/>
  <c r="DD3" i="2"/>
  <c r="DD3" i="4" s="1"/>
  <c r="DD71" i="2"/>
  <c r="DD71" i="4" s="1"/>
  <c r="DD67" i="2"/>
  <c r="DD67" i="4" s="1"/>
  <c r="DD43" i="2"/>
  <c r="DD43" i="4" s="1"/>
  <c r="DD11" i="2"/>
  <c r="DD11" i="4" s="1"/>
  <c r="DD123" i="2"/>
  <c r="DD123" i="4" s="1"/>
  <c r="DD111" i="2"/>
  <c r="DD111" i="4" s="1"/>
  <c r="DD103" i="2"/>
  <c r="DD103" i="4" s="1"/>
  <c r="DD121" i="2"/>
  <c r="DD121" i="4" s="1"/>
  <c r="DD105" i="2"/>
  <c r="DD105" i="4" s="1"/>
  <c r="DD64" i="2"/>
  <c r="DD64" i="4" s="1"/>
  <c r="DD32" i="2"/>
  <c r="DD32" i="4" s="1"/>
  <c r="DD91" i="2"/>
  <c r="DD91" i="4" s="1"/>
  <c r="DD87" i="2"/>
  <c r="DD87" i="4" s="1"/>
  <c r="DD47" i="2"/>
  <c r="DD47" i="4" s="1"/>
  <c r="DD31" i="2"/>
  <c r="DD31" i="4" s="1"/>
  <c r="DD27" i="2"/>
  <c r="DD27" i="4" s="1"/>
  <c r="DD124" i="2"/>
  <c r="DD124" i="4" s="1"/>
  <c r="DD116" i="2"/>
  <c r="DD116" i="4" s="1"/>
  <c r="DD108" i="2"/>
  <c r="DD108" i="4" s="1"/>
  <c r="DD100" i="2"/>
  <c r="DD100" i="4" s="1"/>
  <c r="DD36" i="2"/>
  <c r="DD36" i="4" s="1"/>
  <c r="DD95" i="2"/>
  <c r="DD95" i="4" s="1"/>
  <c r="DD119" i="2"/>
  <c r="DD119" i="4" s="1"/>
  <c r="DD115" i="2"/>
  <c r="DD115" i="4" s="1"/>
  <c r="DD107" i="2"/>
  <c r="DD107" i="4" s="1"/>
  <c r="DD99" i="2"/>
  <c r="DD99" i="4" s="1"/>
  <c r="DF1" i="4" l="1"/>
  <c r="DG2" i="4"/>
  <c r="DF2" i="2"/>
  <c r="DE79" i="2"/>
  <c r="DE79" i="4" s="1"/>
  <c r="DE110" i="2"/>
  <c r="DE110" i="4" s="1"/>
  <c r="DE126" i="2"/>
  <c r="DE126" i="4" s="1"/>
  <c r="DE130" i="2"/>
  <c r="DE130" i="4" s="1"/>
  <c r="DE46" i="2"/>
  <c r="DE46" i="4" s="1"/>
  <c r="DE34" i="2"/>
  <c r="DE34" i="4" s="1"/>
  <c r="DE26" i="2"/>
  <c r="DE26" i="4" s="1"/>
  <c r="DE114" i="2"/>
  <c r="DE114" i="4" s="1"/>
  <c r="DE98" i="2"/>
  <c r="DE98" i="4" s="1"/>
  <c r="DE94" i="2"/>
  <c r="DE94" i="4" s="1"/>
  <c r="DE18" i="2"/>
  <c r="DE18" i="4" s="1"/>
  <c r="DE10" i="2"/>
  <c r="DE10" i="4" s="1"/>
  <c r="DE93" i="2"/>
  <c r="DE93" i="4" s="1"/>
  <c r="DE89" i="2"/>
  <c r="DE89" i="4" s="1"/>
  <c r="DE85" i="2"/>
  <c r="DE85" i="4" s="1"/>
  <c r="DE81" i="2"/>
  <c r="DE81" i="4" s="1"/>
  <c r="DE129" i="2"/>
  <c r="DE129" i="4" s="1"/>
  <c r="DE125" i="2"/>
  <c r="DE125" i="4" s="1"/>
  <c r="DE121" i="2"/>
  <c r="DE121" i="4" s="1"/>
  <c r="DE117" i="2"/>
  <c r="DE117" i="4" s="1"/>
  <c r="DE113" i="2"/>
  <c r="DE113" i="4" s="1"/>
  <c r="DE109" i="2"/>
  <c r="DE109" i="4" s="1"/>
  <c r="DE105" i="2"/>
  <c r="DE105" i="4" s="1"/>
  <c r="DE101" i="2"/>
  <c r="DE101" i="4" s="1"/>
  <c r="DE97" i="2"/>
  <c r="DE97" i="4" s="1"/>
  <c r="DE86" i="2"/>
  <c r="DE86" i="4" s="1"/>
  <c r="DE82" i="2"/>
  <c r="DE82" i="4" s="1"/>
  <c r="DE62" i="2"/>
  <c r="DE62" i="4" s="1"/>
  <c r="DE58" i="2"/>
  <c r="DE58" i="4" s="1"/>
  <c r="DE54" i="2"/>
  <c r="DE54" i="4" s="1"/>
  <c r="DE50" i="2"/>
  <c r="DE50" i="4" s="1"/>
  <c r="DE42" i="2"/>
  <c r="DE42" i="4" s="1"/>
  <c r="DE38" i="2"/>
  <c r="DE38" i="4" s="1"/>
  <c r="DE30" i="2"/>
  <c r="DE30" i="4" s="1"/>
  <c r="DE22" i="2"/>
  <c r="DE22" i="4" s="1"/>
  <c r="DE14" i="2"/>
  <c r="DE14" i="4" s="1"/>
  <c r="DE6" i="2"/>
  <c r="DE6" i="4" s="1"/>
  <c r="DE102" i="2"/>
  <c r="DE102" i="4" s="1"/>
  <c r="DE77" i="2"/>
  <c r="DE77" i="4" s="1"/>
  <c r="DE29" i="2"/>
  <c r="DE29" i="4" s="1"/>
  <c r="DE9" i="2"/>
  <c r="DE9" i="4" s="1"/>
  <c r="DE68" i="2"/>
  <c r="DE68" i="4" s="1"/>
  <c r="DE60" i="2"/>
  <c r="DE60" i="4" s="1"/>
  <c r="DE78" i="2"/>
  <c r="DE78" i="4" s="1"/>
  <c r="DE70" i="2"/>
  <c r="DE70" i="4" s="1"/>
  <c r="DE61" i="2"/>
  <c r="DE61" i="4" s="1"/>
  <c r="DE53" i="2"/>
  <c r="DE53" i="4" s="1"/>
  <c r="DE25" i="2"/>
  <c r="DE25" i="4" s="1"/>
  <c r="DE13" i="2"/>
  <c r="DE13" i="4" s="1"/>
  <c r="DE72" i="2"/>
  <c r="DE72" i="4" s="1"/>
  <c r="DE56" i="2"/>
  <c r="DE56" i="4" s="1"/>
  <c r="DE20" i="2"/>
  <c r="DE20" i="4" s="1"/>
  <c r="DE8" i="2"/>
  <c r="DE8" i="4" s="1"/>
  <c r="DE4" i="2"/>
  <c r="DE4" i="4" s="1"/>
  <c r="DE115" i="2"/>
  <c r="DE115" i="4" s="1"/>
  <c r="DE99" i="2"/>
  <c r="DE99" i="4" s="1"/>
  <c r="DE90" i="2"/>
  <c r="DE90" i="4" s="1"/>
  <c r="DE74" i="2"/>
  <c r="DE74" i="4" s="1"/>
  <c r="DE118" i="2"/>
  <c r="DE118" i="4" s="1"/>
  <c r="DE73" i="2"/>
  <c r="DE73" i="4" s="1"/>
  <c r="DE69" i="2"/>
  <c r="DE69" i="4" s="1"/>
  <c r="DE65" i="2"/>
  <c r="DE65" i="4" s="1"/>
  <c r="DE57" i="2"/>
  <c r="DE57" i="4" s="1"/>
  <c r="DE49" i="2"/>
  <c r="DE49" i="4" s="1"/>
  <c r="DE45" i="2"/>
  <c r="DE45" i="4" s="1"/>
  <c r="DE41" i="2"/>
  <c r="DE41" i="4" s="1"/>
  <c r="DE37" i="2"/>
  <c r="DE37" i="4" s="1"/>
  <c r="DE33" i="2"/>
  <c r="DE33" i="4" s="1"/>
  <c r="DE21" i="2"/>
  <c r="DE21" i="4" s="1"/>
  <c r="DE17" i="2"/>
  <c r="DE17" i="4" s="1"/>
  <c r="DE5" i="2"/>
  <c r="DE5" i="4" s="1"/>
  <c r="DE96" i="2"/>
  <c r="DE96" i="4" s="1"/>
  <c r="DE92" i="2"/>
  <c r="DE92" i="4" s="1"/>
  <c r="DE88" i="2"/>
  <c r="DE88" i="4" s="1"/>
  <c r="DE84" i="2"/>
  <c r="DE84" i="4" s="1"/>
  <c r="DE80" i="2"/>
  <c r="DE80" i="4" s="1"/>
  <c r="DE76" i="2"/>
  <c r="DE76" i="4" s="1"/>
  <c r="DE52" i="2"/>
  <c r="DE52" i="4" s="1"/>
  <c r="DE24" i="2"/>
  <c r="DE24" i="4" s="1"/>
  <c r="DE119" i="2"/>
  <c r="DE119" i="4" s="1"/>
  <c r="DE103" i="2"/>
  <c r="DE103" i="4" s="1"/>
  <c r="DE83" i="2"/>
  <c r="DE83" i="4" s="1"/>
  <c r="DE122" i="2"/>
  <c r="DE122" i="4" s="1"/>
  <c r="DE106" i="2"/>
  <c r="DE106" i="4" s="1"/>
  <c r="DE36" i="2"/>
  <c r="DE36" i="4" s="1"/>
  <c r="DE123" i="2"/>
  <c r="DE123" i="4" s="1"/>
  <c r="DE75" i="2"/>
  <c r="DE75" i="4" s="1"/>
  <c r="DE55" i="2"/>
  <c r="DE55" i="4" s="1"/>
  <c r="DE23" i="2"/>
  <c r="DE23" i="4" s="1"/>
  <c r="DE19" i="2"/>
  <c r="DE19" i="4" s="1"/>
  <c r="DE7" i="2"/>
  <c r="DE7" i="4" s="1"/>
  <c r="DE112" i="2"/>
  <c r="DE112" i="4" s="1"/>
  <c r="DE91" i="2"/>
  <c r="DE91" i="4" s="1"/>
  <c r="DE66" i="2"/>
  <c r="DE66" i="4" s="1"/>
  <c r="DE32" i="2"/>
  <c r="DE32" i="4" s="1"/>
  <c r="DE12" i="2"/>
  <c r="DE12" i="4" s="1"/>
  <c r="DE127" i="2"/>
  <c r="DE127" i="4" s="1"/>
  <c r="DE51" i="2"/>
  <c r="DE51" i="4" s="1"/>
  <c r="DE39" i="2"/>
  <c r="DE39" i="4" s="1"/>
  <c r="DE35" i="2"/>
  <c r="DE35" i="4" s="1"/>
  <c r="DE27" i="2"/>
  <c r="DE27" i="4" s="1"/>
  <c r="DE11" i="2"/>
  <c r="DE11" i="4" s="1"/>
  <c r="DE128" i="2"/>
  <c r="DE128" i="4" s="1"/>
  <c r="DE87" i="2"/>
  <c r="DE87" i="4" s="1"/>
  <c r="DE111" i="2"/>
  <c r="DE111" i="4" s="1"/>
  <c r="DE3" i="2"/>
  <c r="DE3" i="4" s="1"/>
  <c r="DE71" i="2"/>
  <c r="DE71" i="4" s="1"/>
  <c r="DE67" i="2"/>
  <c r="DE67" i="4" s="1"/>
  <c r="DE43" i="2"/>
  <c r="DE43" i="4" s="1"/>
  <c r="DE124" i="2"/>
  <c r="DE124" i="4" s="1"/>
  <c r="DE108" i="2"/>
  <c r="DE108" i="4" s="1"/>
  <c r="DE64" i="2"/>
  <c r="DE64" i="4" s="1"/>
  <c r="DE48" i="2"/>
  <c r="DE48" i="4" s="1"/>
  <c r="DE44" i="2"/>
  <c r="DE44" i="4" s="1"/>
  <c r="DE40" i="2"/>
  <c r="DE40" i="4" s="1"/>
  <c r="DE107" i="2"/>
  <c r="DE107" i="4" s="1"/>
  <c r="DE63" i="2"/>
  <c r="DE63" i="4" s="1"/>
  <c r="DE59" i="2"/>
  <c r="DE59" i="4" s="1"/>
  <c r="DE47" i="2"/>
  <c r="DE47" i="4" s="1"/>
  <c r="DE31" i="2"/>
  <c r="DE31" i="4" s="1"/>
  <c r="DE15" i="2"/>
  <c r="DE15" i="4" s="1"/>
  <c r="DE28" i="2"/>
  <c r="DE28" i="4" s="1"/>
  <c r="DE16" i="2"/>
  <c r="DE16" i="4" s="1"/>
  <c r="DE120" i="2"/>
  <c r="DE120" i="4" s="1"/>
  <c r="DE116" i="2"/>
  <c r="DE116" i="4" s="1"/>
  <c r="DE104" i="2"/>
  <c r="DE104" i="4" s="1"/>
  <c r="DE100" i="2"/>
  <c r="DE100" i="4" s="1"/>
  <c r="DE95" i="2"/>
  <c r="DE95" i="4" s="1"/>
  <c r="DG1" i="4" l="1"/>
  <c r="DH2" i="4"/>
  <c r="DG2" i="2"/>
  <c r="DF80" i="2"/>
  <c r="DF80" i="4" s="1"/>
  <c r="DF107" i="2"/>
  <c r="DF107" i="4" s="1"/>
  <c r="DF123" i="2"/>
  <c r="DF123" i="4" s="1"/>
  <c r="DF130" i="2"/>
  <c r="DF130" i="4" s="1"/>
  <c r="DF103" i="2"/>
  <c r="DF103" i="4" s="1"/>
  <c r="DF119" i="2"/>
  <c r="DF119" i="4" s="1"/>
  <c r="DF111" i="2"/>
  <c r="DF111" i="4" s="1"/>
  <c r="DF99" i="2"/>
  <c r="DF99" i="4" s="1"/>
  <c r="DF115" i="2"/>
  <c r="DF115" i="4" s="1"/>
  <c r="DF127" i="2"/>
  <c r="DF127" i="4" s="1"/>
  <c r="DF50" i="2"/>
  <c r="DF50" i="4" s="1"/>
  <c r="DF46" i="2"/>
  <c r="DF46" i="4" s="1"/>
  <c r="DF34" i="2"/>
  <c r="DF34" i="4" s="1"/>
  <c r="DF22" i="2"/>
  <c r="DF22" i="4" s="1"/>
  <c r="DF18" i="2"/>
  <c r="DF18" i="4" s="1"/>
  <c r="DF93" i="2"/>
  <c r="DF93" i="4" s="1"/>
  <c r="DF89" i="2"/>
  <c r="DF89" i="4" s="1"/>
  <c r="DF85" i="2"/>
  <c r="DF85" i="4" s="1"/>
  <c r="DF74" i="2"/>
  <c r="DF74" i="4" s="1"/>
  <c r="DF62" i="2"/>
  <c r="DF62" i="4" s="1"/>
  <c r="DF54" i="2"/>
  <c r="DF54" i="4" s="1"/>
  <c r="DF10" i="2"/>
  <c r="DF10" i="4" s="1"/>
  <c r="DF129" i="2"/>
  <c r="DF129" i="4" s="1"/>
  <c r="DF125" i="2"/>
  <c r="DF125" i="4" s="1"/>
  <c r="DF121" i="2"/>
  <c r="DF121" i="4" s="1"/>
  <c r="DF117" i="2"/>
  <c r="DF117" i="4" s="1"/>
  <c r="DF113" i="2"/>
  <c r="DF113" i="4" s="1"/>
  <c r="DF109" i="2"/>
  <c r="DF109" i="4" s="1"/>
  <c r="DF105" i="2"/>
  <c r="DF105" i="4" s="1"/>
  <c r="DF101" i="2"/>
  <c r="DF101" i="4" s="1"/>
  <c r="DF97" i="2"/>
  <c r="DF97" i="4" s="1"/>
  <c r="DF86" i="2"/>
  <c r="DF86" i="4" s="1"/>
  <c r="DF82" i="2"/>
  <c r="DF82" i="4" s="1"/>
  <c r="DF70" i="2"/>
  <c r="DF70" i="4" s="1"/>
  <c r="DF66" i="2"/>
  <c r="DF66" i="4" s="1"/>
  <c r="DF42" i="2"/>
  <c r="DF42" i="4" s="1"/>
  <c r="DF38" i="2"/>
  <c r="DF38" i="4" s="1"/>
  <c r="DF30" i="2"/>
  <c r="DF30" i="4" s="1"/>
  <c r="DF26" i="2"/>
  <c r="DF26" i="4" s="1"/>
  <c r="DF14" i="2"/>
  <c r="DF14" i="4" s="1"/>
  <c r="DF6" i="2"/>
  <c r="DF6" i="4" s="1"/>
  <c r="DF13" i="2"/>
  <c r="DF13" i="4" s="1"/>
  <c r="DF68" i="2"/>
  <c r="DF68" i="4" s="1"/>
  <c r="DF61" i="2"/>
  <c r="DF61" i="4" s="1"/>
  <c r="DF45" i="2"/>
  <c r="DF45" i="4" s="1"/>
  <c r="DF9" i="2"/>
  <c r="DF9" i="4" s="1"/>
  <c r="DF72" i="2"/>
  <c r="DF72" i="4" s="1"/>
  <c r="DF56" i="2"/>
  <c r="DF56" i="4" s="1"/>
  <c r="DF20" i="2"/>
  <c r="DF20" i="4" s="1"/>
  <c r="DF16" i="2"/>
  <c r="DF16" i="4" s="1"/>
  <c r="DF8" i="2"/>
  <c r="DF8" i="4" s="1"/>
  <c r="DF4" i="2"/>
  <c r="DF4" i="4" s="1"/>
  <c r="DF116" i="2"/>
  <c r="DF116" i="4" s="1"/>
  <c r="DF100" i="2"/>
  <c r="DF100" i="4" s="1"/>
  <c r="DF3" i="2"/>
  <c r="DF3" i="4" s="1"/>
  <c r="DF126" i="2"/>
  <c r="DF126" i="4" s="1"/>
  <c r="DF122" i="2"/>
  <c r="DF122" i="4" s="1"/>
  <c r="DF118" i="2"/>
  <c r="DF118" i="4" s="1"/>
  <c r="DF114" i="2"/>
  <c r="DF114" i="4" s="1"/>
  <c r="DF110" i="2"/>
  <c r="DF110" i="4" s="1"/>
  <c r="DF106" i="2"/>
  <c r="DF106" i="4" s="1"/>
  <c r="DF102" i="2"/>
  <c r="DF102" i="4" s="1"/>
  <c r="DF98" i="2"/>
  <c r="DF98" i="4" s="1"/>
  <c r="DF94" i="2"/>
  <c r="DF94" i="4" s="1"/>
  <c r="DF90" i="2"/>
  <c r="DF90" i="4" s="1"/>
  <c r="DF78" i="2"/>
  <c r="DF78" i="4" s="1"/>
  <c r="DF81" i="2"/>
  <c r="DF81" i="4" s="1"/>
  <c r="DF77" i="2"/>
  <c r="DF77" i="4" s="1"/>
  <c r="DF73" i="2"/>
  <c r="DF73" i="4" s="1"/>
  <c r="DF69" i="2"/>
  <c r="DF69" i="4" s="1"/>
  <c r="DF65" i="2"/>
  <c r="DF65" i="4" s="1"/>
  <c r="DF57" i="2"/>
  <c r="DF57" i="4" s="1"/>
  <c r="DF53" i="2"/>
  <c r="DF53" i="4" s="1"/>
  <c r="DF49" i="2"/>
  <c r="DF49" i="4" s="1"/>
  <c r="DF41" i="2"/>
  <c r="DF41" i="4" s="1"/>
  <c r="DF33" i="2"/>
  <c r="DF33" i="4" s="1"/>
  <c r="DF25" i="2"/>
  <c r="DF25" i="4" s="1"/>
  <c r="DF21" i="2"/>
  <c r="DF21" i="4" s="1"/>
  <c r="DF5" i="2"/>
  <c r="DF5" i="4" s="1"/>
  <c r="DF76" i="2"/>
  <c r="DF76" i="4" s="1"/>
  <c r="DF60" i="2"/>
  <c r="DF60" i="4" s="1"/>
  <c r="DF52" i="2"/>
  <c r="DF52" i="4" s="1"/>
  <c r="DF40" i="2"/>
  <c r="DF40" i="4" s="1"/>
  <c r="DF24" i="2"/>
  <c r="DF24" i="4" s="1"/>
  <c r="DF120" i="2"/>
  <c r="DF120" i="4" s="1"/>
  <c r="DF104" i="2"/>
  <c r="DF104" i="4" s="1"/>
  <c r="DF84" i="2"/>
  <c r="DF84" i="4" s="1"/>
  <c r="DF37" i="2"/>
  <c r="DF37" i="4" s="1"/>
  <c r="DF36" i="2"/>
  <c r="DF36" i="4" s="1"/>
  <c r="DF12" i="2"/>
  <c r="DF12" i="4" s="1"/>
  <c r="DF124" i="2"/>
  <c r="DF124" i="4" s="1"/>
  <c r="DF71" i="2"/>
  <c r="DF71" i="4" s="1"/>
  <c r="DF63" i="2"/>
  <c r="DF63" i="4" s="1"/>
  <c r="DF55" i="2"/>
  <c r="DF55" i="4" s="1"/>
  <c r="DF23" i="2"/>
  <c r="DF23" i="4" s="1"/>
  <c r="DF96" i="2"/>
  <c r="DF96" i="4" s="1"/>
  <c r="DF58" i="2"/>
  <c r="DF58" i="4" s="1"/>
  <c r="DF128" i="2"/>
  <c r="DF128" i="4" s="1"/>
  <c r="DF79" i="2"/>
  <c r="DF79" i="4" s="1"/>
  <c r="DF51" i="2"/>
  <c r="DF51" i="4" s="1"/>
  <c r="DF39" i="2"/>
  <c r="DF39" i="4" s="1"/>
  <c r="DF27" i="2"/>
  <c r="DF27" i="4" s="1"/>
  <c r="DF7" i="2"/>
  <c r="DF7" i="4" s="1"/>
  <c r="DF88" i="2"/>
  <c r="DF88" i="4" s="1"/>
  <c r="DF32" i="2"/>
  <c r="DF32" i="4" s="1"/>
  <c r="DF112" i="2"/>
  <c r="DF112" i="4" s="1"/>
  <c r="DF95" i="2"/>
  <c r="DF95" i="4" s="1"/>
  <c r="DF87" i="2"/>
  <c r="DF87" i="4" s="1"/>
  <c r="DF35" i="2"/>
  <c r="DF35" i="4" s="1"/>
  <c r="DF29" i="2"/>
  <c r="DF29" i="4" s="1"/>
  <c r="DF17" i="2"/>
  <c r="DF17" i="4" s="1"/>
  <c r="DF64" i="2"/>
  <c r="DF64" i="4" s="1"/>
  <c r="DF48" i="2"/>
  <c r="DF48" i="4" s="1"/>
  <c r="DF44" i="2"/>
  <c r="DF44" i="4" s="1"/>
  <c r="DF28" i="2"/>
  <c r="DF28" i="4" s="1"/>
  <c r="DF108" i="2"/>
  <c r="DF108" i="4" s="1"/>
  <c r="DF83" i="2"/>
  <c r="DF83" i="4" s="1"/>
  <c r="DF59" i="2"/>
  <c r="DF59" i="4" s="1"/>
  <c r="DF47" i="2"/>
  <c r="DF47" i="4" s="1"/>
  <c r="DF43" i="2"/>
  <c r="DF43" i="4" s="1"/>
  <c r="DF31" i="2"/>
  <c r="DF31" i="4" s="1"/>
  <c r="DF15" i="2"/>
  <c r="DF15" i="4" s="1"/>
  <c r="DF91" i="2"/>
  <c r="DF91" i="4" s="1"/>
  <c r="DF75" i="2"/>
  <c r="DF75" i="4" s="1"/>
  <c r="DF67" i="2"/>
  <c r="DF67" i="4" s="1"/>
  <c r="DF19" i="2"/>
  <c r="DF19" i="4" s="1"/>
  <c r="DF11" i="2"/>
  <c r="DF11" i="4" s="1"/>
  <c r="DF92" i="2"/>
  <c r="DF92" i="4" s="1"/>
  <c r="DH1" i="4" l="1"/>
  <c r="DI2" i="4"/>
  <c r="DH2" i="2"/>
  <c r="DG127" i="2"/>
  <c r="DG127" i="4" s="1"/>
  <c r="DG75" i="2"/>
  <c r="DG75" i="4" s="1"/>
  <c r="DG64" i="2"/>
  <c r="DG64" i="4" s="1"/>
  <c r="DG108" i="2"/>
  <c r="DG108" i="4" s="1"/>
  <c r="DG124" i="2"/>
  <c r="DG124" i="4" s="1"/>
  <c r="DG104" i="2"/>
  <c r="DG104" i="4" s="1"/>
  <c r="DG120" i="2"/>
  <c r="DG120" i="4" s="1"/>
  <c r="DG112" i="2"/>
  <c r="DG112" i="4" s="1"/>
  <c r="DG128" i="2"/>
  <c r="DG128" i="4" s="1"/>
  <c r="DG100" i="2"/>
  <c r="DG100" i="4" s="1"/>
  <c r="DG116" i="2"/>
  <c r="DG116" i="4" s="1"/>
  <c r="DG58" i="2"/>
  <c r="DG58" i="4" s="1"/>
  <c r="DG54" i="2"/>
  <c r="DG54" i="4" s="1"/>
  <c r="DG50" i="2"/>
  <c r="DG50" i="4" s="1"/>
  <c r="DG42" i="2"/>
  <c r="DG42" i="4" s="1"/>
  <c r="DG30" i="2"/>
  <c r="DG30" i="4" s="1"/>
  <c r="DG22" i="2"/>
  <c r="DG22" i="4" s="1"/>
  <c r="DG34" i="2"/>
  <c r="DG34" i="4" s="1"/>
  <c r="DG97" i="2"/>
  <c r="DG97" i="4" s="1"/>
  <c r="DG93" i="2"/>
  <c r="DG93" i="4" s="1"/>
  <c r="DG89" i="2"/>
  <c r="DG89" i="4" s="1"/>
  <c r="DG62" i="2"/>
  <c r="DG62" i="4" s="1"/>
  <c r="DG26" i="2"/>
  <c r="DG26" i="4" s="1"/>
  <c r="DG18" i="2"/>
  <c r="DG18" i="4" s="1"/>
  <c r="DG10" i="2"/>
  <c r="DG10" i="4" s="1"/>
  <c r="DG86" i="2"/>
  <c r="DG86" i="4" s="1"/>
  <c r="DG82" i="2"/>
  <c r="DG82" i="4" s="1"/>
  <c r="DG70" i="2"/>
  <c r="DG70" i="4" s="1"/>
  <c r="DG66" i="2"/>
  <c r="DG66" i="4" s="1"/>
  <c r="DG129" i="2"/>
  <c r="DG129" i="4" s="1"/>
  <c r="DG125" i="2"/>
  <c r="DG125" i="4" s="1"/>
  <c r="DG121" i="2"/>
  <c r="DG121" i="4" s="1"/>
  <c r="DG117" i="2"/>
  <c r="DG117" i="4" s="1"/>
  <c r="DG113" i="2"/>
  <c r="DG113" i="4" s="1"/>
  <c r="DG109" i="2"/>
  <c r="DG109" i="4" s="1"/>
  <c r="DG105" i="2"/>
  <c r="DG105" i="4" s="1"/>
  <c r="DG101" i="2"/>
  <c r="DG101" i="4" s="1"/>
  <c r="DG85" i="2"/>
  <c r="DG85" i="4" s="1"/>
  <c r="DG81" i="2"/>
  <c r="DG81" i="4" s="1"/>
  <c r="DG68" i="2"/>
  <c r="DG68" i="4" s="1"/>
  <c r="DG46" i="2"/>
  <c r="DG46" i="4" s="1"/>
  <c r="DG14" i="2"/>
  <c r="DG14" i="4" s="1"/>
  <c r="DG45" i="2"/>
  <c r="DG45" i="4" s="1"/>
  <c r="DG29" i="2"/>
  <c r="DG29" i="4" s="1"/>
  <c r="DG76" i="2"/>
  <c r="DG76" i="4" s="1"/>
  <c r="DG72" i="2"/>
  <c r="DG72" i="4" s="1"/>
  <c r="DG56" i="2"/>
  <c r="DG56" i="4" s="1"/>
  <c r="DG44" i="2"/>
  <c r="DG44" i="4" s="1"/>
  <c r="DG20" i="2"/>
  <c r="DG20" i="4" s="1"/>
  <c r="DG4" i="2"/>
  <c r="DG4" i="4" s="1"/>
  <c r="DG3" i="2"/>
  <c r="DG3" i="4" s="1"/>
  <c r="DG95" i="2"/>
  <c r="DG95" i="4" s="1"/>
  <c r="DG130" i="2"/>
  <c r="DG130" i="4" s="1"/>
  <c r="DG126" i="2"/>
  <c r="DG126" i="4" s="1"/>
  <c r="DG122" i="2"/>
  <c r="DG122" i="4" s="1"/>
  <c r="DG118" i="2"/>
  <c r="DG118" i="4" s="1"/>
  <c r="DG114" i="2"/>
  <c r="DG114" i="4" s="1"/>
  <c r="DG110" i="2"/>
  <c r="DG110" i="4" s="1"/>
  <c r="DG106" i="2"/>
  <c r="DG106" i="4" s="1"/>
  <c r="DG102" i="2"/>
  <c r="DG102" i="4" s="1"/>
  <c r="DG98" i="2"/>
  <c r="DG98" i="4" s="1"/>
  <c r="DG94" i="2"/>
  <c r="DG94" i="4" s="1"/>
  <c r="DG90" i="2"/>
  <c r="DG90" i="4" s="1"/>
  <c r="DG74" i="2"/>
  <c r="DG74" i="4" s="1"/>
  <c r="DG6" i="2"/>
  <c r="DG6" i="4" s="1"/>
  <c r="DG77" i="2"/>
  <c r="DG77" i="4" s="1"/>
  <c r="DG73" i="2"/>
  <c r="DG73" i="4" s="1"/>
  <c r="DG69" i="2"/>
  <c r="DG69" i="4" s="1"/>
  <c r="DG65" i="2"/>
  <c r="DG65" i="4" s="1"/>
  <c r="DG57" i="2"/>
  <c r="DG57" i="4" s="1"/>
  <c r="DG53" i="2"/>
  <c r="DG53" i="4" s="1"/>
  <c r="DG49" i="2"/>
  <c r="DG49" i="4" s="1"/>
  <c r="DG25" i="2"/>
  <c r="DG25" i="4" s="1"/>
  <c r="DG21" i="2"/>
  <c r="DG21" i="4" s="1"/>
  <c r="DG13" i="2"/>
  <c r="DG13" i="4" s="1"/>
  <c r="DG9" i="2"/>
  <c r="DG9" i="4" s="1"/>
  <c r="DG5" i="2"/>
  <c r="DG5" i="4" s="1"/>
  <c r="DG60" i="2"/>
  <c r="DG60" i="4" s="1"/>
  <c r="DG52" i="2"/>
  <c r="DG52" i="4" s="1"/>
  <c r="DG40" i="2"/>
  <c r="DG40" i="4" s="1"/>
  <c r="DG36" i="2"/>
  <c r="DG36" i="4" s="1"/>
  <c r="DG24" i="2"/>
  <c r="DG24" i="4" s="1"/>
  <c r="DG78" i="2"/>
  <c r="DG78" i="4" s="1"/>
  <c r="DG38" i="2"/>
  <c r="DG38" i="4" s="1"/>
  <c r="DG8" i="2"/>
  <c r="DG8" i="4" s="1"/>
  <c r="DG71" i="2"/>
  <c r="DG71" i="4" s="1"/>
  <c r="DG67" i="2"/>
  <c r="DG67" i="4" s="1"/>
  <c r="DG59" i="2"/>
  <c r="DG59" i="4" s="1"/>
  <c r="DG27" i="2"/>
  <c r="DG27" i="4" s="1"/>
  <c r="DG23" i="2"/>
  <c r="DG23" i="4" s="1"/>
  <c r="DG15" i="2"/>
  <c r="DG15" i="4" s="1"/>
  <c r="DG123" i="2"/>
  <c r="DG123" i="4" s="1"/>
  <c r="DG115" i="2"/>
  <c r="DG115" i="4" s="1"/>
  <c r="DG107" i="2"/>
  <c r="DG107" i="4" s="1"/>
  <c r="DG99" i="2"/>
  <c r="DG99" i="4" s="1"/>
  <c r="DG11" i="2"/>
  <c r="DG11" i="4" s="1"/>
  <c r="DG61" i="2"/>
  <c r="DG61" i="4" s="1"/>
  <c r="DG41" i="2"/>
  <c r="DG41" i="4" s="1"/>
  <c r="DG37" i="2"/>
  <c r="DG37" i="4" s="1"/>
  <c r="DG33" i="2"/>
  <c r="DG33" i="4" s="1"/>
  <c r="DG17" i="2"/>
  <c r="DG17" i="4" s="1"/>
  <c r="DG12" i="2"/>
  <c r="DG12" i="4" s="1"/>
  <c r="DG79" i="2"/>
  <c r="DG79" i="4" s="1"/>
  <c r="DG51" i="2"/>
  <c r="DG51" i="4" s="1"/>
  <c r="DG39" i="2"/>
  <c r="DG39" i="4" s="1"/>
  <c r="DG80" i="2"/>
  <c r="DG80" i="4" s="1"/>
  <c r="DG32" i="2"/>
  <c r="DG32" i="4" s="1"/>
  <c r="DG96" i="2"/>
  <c r="DG96" i="4" s="1"/>
  <c r="DG87" i="2"/>
  <c r="DG87" i="4" s="1"/>
  <c r="DG55" i="2"/>
  <c r="DG55" i="4" s="1"/>
  <c r="DG48" i="2"/>
  <c r="DG48" i="4" s="1"/>
  <c r="DG28" i="2"/>
  <c r="DG28" i="4" s="1"/>
  <c r="DG16" i="2"/>
  <c r="DG16" i="4" s="1"/>
  <c r="DG83" i="2"/>
  <c r="DG83" i="4" s="1"/>
  <c r="DG63" i="2"/>
  <c r="DG63" i="4" s="1"/>
  <c r="DG47" i="2"/>
  <c r="DG47" i="4" s="1"/>
  <c r="DG43" i="2"/>
  <c r="DG43" i="4" s="1"/>
  <c r="DG31" i="2"/>
  <c r="DG31" i="4" s="1"/>
  <c r="DG7" i="2"/>
  <c r="DG7" i="4" s="1"/>
  <c r="DG119" i="2"/>
  <c r="DG119" i="4" s="1"/>
  <c r="DG111" i="2"/>
  <c r="DG111" i="4" s="1"/>
  <c r="DG103" i="2"/>
  <c r="DG103" i="4" s="1"/>
  <c r="DG92" i="2"/>
  <c r="DG92" i="4" s="1"/>
  <c r="DG88" i="2"/>
  <c r="DG88" i="4" s="1"/>
  <c r="DG84" i="2"/>
  <c r="DG84" i="4" s="1"/>
  <c r="DG91" i="2"/>
  <c r="DG91" i="4" s="1"/>
  <c r="DG35" i="2"/>
  <c r="DG35" i="4" s="1"/>
  <c r="DG19" i="2"/>
  <c r="DG19" i="4" s="1"/>
  <c r="DI1" i="4" l="1"/>
  <c r="DJ2" i="4"/>
  <c r="DI2" i="2"/>
  <c r="DH128" i="2"/>
  <c r="DH128" i="4" s="1"/>
  <c r="DH76" i="2"/>
  <c r="DH76" i="4" s="1"/>
  <c r="DH113" i="2"/>
  <c r="DH113" i="4" s="1"/>
  <c r="DH129" i="2"/>
  <c r="DH129" i="4" s="1"/>
  <c r="DH82" i="2"/>
  <c r="DH82" i="4" s="1"/>
  <c r="DH78" i="2"/>
  <c r="DH78" i="4" s="1"/>
  <c r="DH62" i="2"/>
  <c r="DH62" i="4" s="1"/>
  <c r="DH58" i="2"/>
  <c r="DH58" i="4" s="1"/>
  <c r="DH54" i="2"/>
  <c r="DH54" i="4" s="1"/>
  <c r="DH50" i="2"/>
  <c r="DH50" i="4" s="1"/>
  <c r="DH42" i="2"/>
  <c r="DH42" i="4" s="1"/>
  <c r="DH38" i="2"/>
  <c r="DH38" i="4" s="1"/>
  <c r="DH30" i="2"/>
  <c r="DH30" i="4" s="1"/>
  <c r="DH22" i="2"/>
  <c r="DH22" i="4" s="1"/>
  <c r="DH18" i="2"/>
  <c r="DH18" i="4" s="1"/>
  <c r="DH14" i="2"/>
  <c r="DH14" i="4" s="1"/>
  <c r="DH10" i="2"/>
  <c r="DH10" i="4" s="1"/>
  <c r="DH117" i="2"/>
  <c r="DH117" i="4" s="1"/>
  <c r="DH101" i="2"/>
  <c r="DH101" i="4" s="1"/>
  <c r="DH26" i="2"/>
  <c r="DH26" i="4" s="1"/>
  <c r="DH6" i="2"/>
  <c r="DH6" i="4" s="1"/>
  <c r="DH98" i="2"/>
  <c r="DH98" i="4" s="1"/>
  <c r="DH86" i="2"/>
  <c r="DH86" i="4" s="1"/>
  <c r="DH46" i="2"/>
  <c r="DH46" i="4" s="1"/>
  <c r="DH34" i="2"/>
  <c r="DH34" i="4" s="1"/>
  <c r="DH97" i="2"/>
  <c r="DH97" i="4" s="1"/>
  <c r="DH89" i="2"/>
  <c r="DH89" i="4" s="1"/>
  <c r="DH85" i="2"/>
  <c r="DH85" i="4" s="1"/>
  <c r="DH81" i="2"/>
  <c r="DH81" i="4" s="1"/>
  <c r="DH94" i="2"/>
  <c r="DH94" i="4" s="1"/>
  <c r="DH70" i="2"/>
  <c r="DH70" i="4" s="1"/>
  <c r="DH66" i="2"/>
  <c r="DH66" i="4" s="1"/>
  <c r="DH93" i="2"/>
  <c r="DH93" i="4" s="1"/>
  <c r="DH64" i="2"/>
  <c r="DH64" i="4" s="1"/>
  <c r="DH105" i="2"/>
  <c r="DH105" i="4" s="1"/>
  <c r="DH77" i="2"/>
  <c r="DH77" i="4" s="1"/>
  <c r="DH68" i="2"/>
  <c r="DH68" i="4" s="1"/>
  <c r="DH60" i="2"/>
  <c r="DH60" i="4" s="1"/>
  <c r="DH44" i="2"/>
  <c r="DH44" i="4" s="1"/>
  <c r="DH36" i="2"/>
  <c r="DH36" i="4" s="1"/>
  <c r="DH20" i="2"/>
  <c r="DH20" i="4" s="1"/>
  <c r="DH16" i="2"/>
  <c r="DH16" i="4" s="1"/>
  <c r="DH3" i="2"/>
  <c r="DH3" i="4" s="1"/>
  <c r="DH95" i="2"/>
  <c r="DH95" i="4" s="1"/>
  <c r="DH130" i="2"/>
  <c r="DH130" i="4" s="1"/>
  <c r="DH126" i="2"/>
  <c r="DH126" i="4" s="1"/>
  <c r="DH122" i="2"/>
  <c r="DH122" i="4" s="1"/>
  <c r="DH118" i="2"/>
  <c r="DH118" i="4" s="1"/>
  <c r="DH114" i="2"/>
  <c r="DH114" i="4" s="1"/>
  <c r="DH110" i="2"/>
  <c r="DH110" i="4" s="1"/>
  <c r="DH106" i="2"/>
  <c r="DH106" i="4" s="1"/>
  <c r="DH102" i="2"/>
  <c r="DH102" i="4" s="1"/>
  <c r="DH74" i="2"/>
  <c r="DH74" i="4" s="1"/>
  <c r="DH73" i="2"/>
  <c r="DH73" i="4" s="1"/>
  <c r="DH69" i="2"/>
  <c r="DH69" i="4" s="1"/>
  <c r="DH65" i="2"/>
  <c r="DH65" i="4" s="1"/>
  <c r="DH57" i="2"/>
  <c r="DH57" i="4" s="1"/>
  <c r="DH53" i="2"/>
  <c r="DH53" i="4" s="1"/>
  <c r="DH49" i="2"/>
  <c r="DH49" i="4" s="1"/>
  <c r="DH25" i="2"/>
  <c r="DH25" i="4" s="1"/>
  <c r="DH21" i="2"/>
  <c r="DH21" i="4" s="1"/>
  <c r="DH13" i="2"/>
  <c r="DH13" i="4" s="1"/>
  <c r="DH72" i="2"/>
  <c r="DH72" i="4" s="1"/>
  <c r="DH52" i="2"/>
  <c r="DH52" i="4" s="1"/>
  <c r="DH40" i="2"/>
  <c r="DH40" i="4" s="1"/>
  <c r="DH28" i="2"/>
  <c r="DH28" i="4" s="1"/>
  <c r="DH24" i="2"/>
  <c r="DH24" i="4" s="1"/>
  <c r="DH4" i="2"/>
  <c r="DH4" i="4" s="1"/>
  <c r="DH9" i="2"/>
  <c r="DH9" i="4" s="1"/>
  <c r="DH48" i="2"/>
  <c r="DH48" i="4" s="1"/>
  <c r="DH8" i="2"/>
  <c r="DH8" i="4" s="1"/>
  <c r="DH71" i="2"/>
  <c r="DH71" i="4" s="1"/>
  <c r="DH67" i="2"/>
  <c r="DH67" i="4" s="1"/>
  <c r="DH35" i="2"/>
  <c r="DH35" i="4" s="1"/>
  <c r="DH27" i="2"/>
  <c r="DH27" i="4" s="1"/>
  <c r="DH90" i="2"/>
  <c r="DH90" i="4" s="1"/>
  <c r="DH61" i="2"/>
  <c r="DH61" i="4" s="1"/>
  <c r="DH45" i="2"/>
  <c r="DH45" i="4" s="1"/>
  <c r="DH41" i="2"/>
  <c r="DH41" i="4" s="1"/>
  <c r="DH37" i="2"/>
  <c r="DH37" i="4" s="1"/>
  <c r="DH33" i="2"/>
  <c r="DH33" i="4" s="1"/>
  <c r="DH17" i="2"/>
  <c r="DH17" i="4" s="1"/>
  <c r="DH5" i="2"/>
  <c r="DH5" i="4" s="1"/>
  <c r="DH12" i="2"/>
  <c r="DH12" i="4" s="1"/>
  <c r="DH79" i="2"/>
  <c r="DH79" i="4" s="1"/>
  <c r="DH75" i="2"/>
  <c r="DH75" i="4" s="1"/>
  <c r="DH63" i="2"/>
  <c r="DH63" i="4" s="1"/>
  <c r="DH55" i="2"/>
  <c r="DH55" i="4" s="1"/>
  <c r="DH39" i="2"/>
  <c r="DH39" i="4" s="1"/>
  <c r="DH23" i="2"/>
  <c r="DH23" i="4" s="1"/>
  <c r="DH19" i="2"/>
  <c r="DH19" i="4" s="1"/>
  <c r="DH15" i="2"/>
  <c r="DH15" i="4" s="1"/>
  <c r="DH7" i="2"/>
  <c r="DH7" i="4" s="1"/>
  <c r="DH124" i="2"/>
  <c r="DH124" i="4" s="1"/>
  <c r="DH116" i="2"/>
  <c r="DH116" i="4" s="1"/>
  <c r="DH108" i="2"/>
  <c r="DH108" i="4" s="1"/>
  <c r="DH100" i="2"/>
  <c r="DH100" i="4" s="1"/>
  <c r="DH121" i="2"/>
  <c r="DH121" i="4" s="1"/>
  <c r="DH80" i="2"/>
  <c r="DH80" i="4" s="1"/>
  <c r="DH56" i="2"/>
  <c r="DH56" i="4" s="1"/>
  <c r="DH32" i="2"/>
  <c r="DH32" i="4" s="1"/>
  <c r="DH87" i="2"/>
  <c r="DH87" i="4" s="1"/>
  <c r="DH47" i="2"/>
  <c r="DH47" i="4" s="1"/>
  <c r="DH43" i="2"/>
  <c r="DH43" i="4" s="1"/>
  <c r="DH31" i="2"/>
  <c r="DH31" i="4" s="1"/>
  <c r="DH112" i="2"/>
  <c r="DH112" i="4" s="1"/>
  <c r="DH104" i="2"/>
  <c r="DH104" i="4" s="1"/>
  <c r="DH29" i="2"/>
  <c r="DH29" i="4" s="1"/>
  <c r="DH125" i="2"/>
  <c r="DH125" i="4" s="1"/>
  <c r="DH109" i="2"/>
  <c r="DH109" i="4" s="1"/>
  <c r="DH83" i="2"/>
  <c r="DH83" i="4" s="1"/>
  <c r="DH59" i="2"/>
  <c r="DH59" i="4" s="1"/>
  <c r="DH51" i="2"/>
  <c r="DH51" i="4" s="1"/>
  <c r="DH11" i="2"/>
  <c r="DH11" i="4" s="1"/>
  <c r="DH123" i="2"/>
  <c r="DH123" i="4" s="1"/>
  <c r="DH119" i="2"/>
  <c r="DH119" i="4" s="1"/>
  <c r="DH115" i="2"/>
  <c r="DH115" i="4" s="1"/>
  <c r="DH111" i="2"/>
  <c r="DH111" i="4" s="1"/>
  <c r="DH107" i="2"/>
  <c r="DH107" i="4" s="1"/>
  <c r="DH103" i="2"/>
  <c r="DH103" i="4" s="1"/>
  <c r="DH99" i="2"/>
  <c r="DH99" i="4" s="1"/>
  <c r="DH96" i="2"/>
  <c r="DH96" i="4" s="1"/>
  <c r="DH92" i="2"/>
  <c r="DH92" i="4" s="1"/>
  <c r="DH88" i="2"/>
  <c r="DH88" i="4" s="1"/>
  <c r="DH84" i="2"/>
  <c r="DH84" i="4" s="1"/>
  <c r="DH91" i="2"/>
  <c r="DH91" i="4" s="1"/>
  <c r="DH127" i="2"/>
  <c r="DH127" i="4" s="1"/>
  <c r="DH120" i="2"/>
  <c r="DH120" i="4" s="1"/>
  <c r="DJ1" i="4" l="1"/>
  <c r="DK2" i="4"/>
  <c r="DJ2" i="2"/>
  <c r="DI83" i="2"/>
  <c r="DI83" i="4" s="1"/>
  <c r="DI126" i="2"/>
  <c r="DI126" i="4" s="1"/>
  <c r="DI95" i="2"/>
  <c r="DI95" i="4" s="1"/>
  <c r="DI114" i="2"/>
  <c r="DI114" i="4" s="1"/>
  <c r="DI90" i="2"/>
  <c r="DI90" i="4" s="1"/>
  <c r="DI86" i="2"/>
  <c r="DI86" i="4" s="1"/>
  <c r="DI82" i="2"/>
  <c r="DI82" i="4" s="1"/>
  <c r="DI78" i="2"/>
  <c r="DI78" i="4" s="1"/>
  <c r="DI74" i="2"/>
  <c r="DI74" i="4" s="1"/>
  <c r="DI62" i="2"/>
  <c r="DI62" i="4" s="1"/>
  <c r="DI58" i="2"/>
  <c r="DI58" i="4" s="1"/>
  <c r="DI54" i="2"/>
  <c r="DI54" i="4" s="1"/>
  <c r="DI50" i="2"/>
  <c r="DI50" i="4" s="1"/>
  <c r="DI42" i="2"/>
  <c r="DI42" i="4" s="1"/>
  <c r="DI38" i="2"/>
  <c r="DI38" i="4" s="1"/>
  <c r="DI30" i="2"/>
  <c r="DI30" i="4" s="1"/>
  <c r="DI22" i="2"/>
  <c r="DI22" i="4" s="1"/>
  <c r="DI14" i="2"/>
  <c r="DI14" i="4" s="1"/>
  <c r="DI6" i="2"/>
  <c r="DI6" i="4" s="1"/>
  <c r="DI66" i="2"/>
  <c r="DI66" i="4" s="1"/>
  <c r="DI46" i="2"/>
  <c r="DI46" i="4" s="1"/>
  <c r="DI34" i="2"/>
  <c r="DI34" i="4" s="1"/>
  <c r="DI26" i="2"/>
  <c r="DI26" i="4" s="1"/>
  <c r="DI10" i="2"/>
  <c r="DI10" i="4" s="1"/>
  <c r="DI118" i="2"/>
  <c r="DI118" i="4" s="1"/>
  <c r="DI102" i="2"/>
  <c r="DI102" i="4" s="1"/>
  <c r="DI98" i="2"/>
  <c r="DI98" i="4" s="1"/>
  <c r="DI94" i="2"/>
  <c r="DI94" i="4" s="1"/>
  <c r="DI18" i="2"/>
  <c r="DI18" i="4" s="1"/>
  <c r="DI93" i="2"/>
  <c r="DI93" i="4" s="1"/>
  <c r="DI89" i="2"/>
  <c r="DI89" i="4" s="1"/>
  <c r="DI85" i="2"/>
  <c r="DI85" i="4" s="1"/>
  <c r="DI81" i="2"/>
  <c r="DI81" i="4" s="1"/>
  <c r="DI129" i="2"/>
  <c r="DI129" i="4" s="1"/>
  <c r="DI125" i="2"/>
  <c r="DI125" i="4" s="1"/>
  <c r="DI121" i="2"/>
  <c r="DI121" i="4" s="1"/>
  <c r="DI117" i="2"/>
  <c r="DI117" i="4" s="1"/>
  <c r="DI113" i="2"/>
  <c r="DI113" i="4" s="1"/>
  <c r="DI109" i="2"/>
  <c r="DI109" i="4" s="1"/>
  <c r="DI105" i="2"/>
  <c r="DI105" i="4" s="1"/>
  <c r="DI101" i="2"/>
  <c r="DI101" i="4" s="1"/>
  <c r="DI97" i="2"/>
  <c r="DI97" i="4" s="1"/>
  <c r="DI64" i="2"/>
  <c r="DI64" i="4" s="1"/>
  <c r="DI106" i="2"/>
  <c r="DI106" i="4" s="1"/>
  <c r="DI61" i="2"/>
  <c r="DI61" i="4" s="1"/>
  <c r="DI57" i="2"/>
  <c r="DI57" i="4" s="1"/>
  <c r="DI29" i="2"/>
  <c r="DI29" i="4" s="1"/>
  <c r="DI9" i="2"/>
  <c r="DI9" i="4" s="1"/>
  <c r="DI68" i="2"/>
  <c r="DI68" i="4" s="1"/>
  <c r="DI36" i="2"/>
  <c r="DI36" i="4" s="1"/>
  <c r="DI32" i="2"/>
  <c r="DI32" i="4" s="1"/>
  <c r="DI119" i="2"/>
  <c r="DI119" i="4" s="1"/>
  <c r="DI103" i="2"/>
  <c r="DI103" i="4" s="1"/>
  <c r="DI3" i="2"/>
  <c r="DI3" i="4" s="1"/>
  <c r="DI77" i="2"/>
  <c r="DI77" i="4" s="1"/>
  <c r="DI53" i="2"/>
  <c r="DI53" i="4" s="1"/>
  <c r="DI49" i="2"/>
  <c r="DI49" i="4" s="1"/>
  <c r="DI25" i="2"/>
  <c r="DI25" i="4" s="1"/>
  <c r="DI21" i="2"/>
  <c r="DI21" i="4" s="1"/>
  <c r="DI13" i="2"/>
  <c r="DI13" i="4" s="1"/>
  <c r="DI72" i="2"/>
  <c r="DI72" i="4" s="1"/>
  <c r="DI56" i="2"/>
  <c r="DI56" i="4" s="1"/>
  <c r="DI40" i="2"/>
  <c r="DI40" i="4" s="1"/>
  <c r="DI28" i="2"/>
  <c r="DI28" i="4" s="1"/>
  <c r="DI20" i="2"/>
  <c r="DI20" i="4" s="1"/>
  <c r="DI12" i="2"/>
  <c r="DI12" i="4" s="1"/>
  <c r="DI4" i="2"/>
  <c r="DI4" i="4" s="1"/>
  <c r="DI123" i="2"/>
  <c r="DI123" i="4" s="1"/>
  <c r="DI107" i="2"/>
  <c r="DI107" i="4" s="1"/>
  <c r="DI110" i="2"/>
  <c r="DI110" i="4" s="1"/>
  <c r="DI52" i="2"/>
  <c r="DI52" i="4" s="1"/>
  <c r="DI127" i="2"/>
  <c r="DI127" i="4" s="1"/>
  <c r="DI87" i="2"/>
  <c r="DI87" i="4" s="1"/>
  <c r="DI71" i="2"/>
  <c r="DI71" i="4" s="1"/>
  <c r="DI67" i="2"/>
  <c r="DI67" i="4" s="1"/>
  <c r="DI63" i="2"/>
  <c r="DI63" i="4" s="1"/>
  <c r="DI43" i="2"/>
  <c r="DI43" i="4" s="1"/>
  <c r="DI128" i="2"/>
  <c r="DI128" i="4" s="1"/>
  <c r="DI70" i="2"/>
  <c r="DI70" i="4" s="1"/>
  <c r="DI73" i="2"/>
  <c r="DI73" i="4" s="1"/>
  <c r="DI69" i="2"/>
  <c r="DI69" i="4" s="1"/>
  <c r="DI65" i="2"/>
  <c r="DI65" i="4" s="1"/>
  <c r="DI45" i="2"/>
  <c r="DI45" i="4" s="1"/>
  <c r="DI41" i="2"/>
  <c r="DI41" i="4" s="1"/>
  <c r="DI37" i="2"/>
  <c r="DI37" i="4" s="1"/>
  <c r="DI33" i="2"/>
  <c r="DI33" i="4" s="1"/>
  <c r="DI17" i="2"/>
  <c r="DI17" i="4" s="1"/>
  <c r="DI5" i="2"/>
  <c r="DI5" i="4" s="1"/>
  <c r="DI99" i="2"/>
  <c r="DI99" i="4" s="1"/>
  <c r="DI75" i="2"/>
  <c r="DI75" i="4" s="1"/>
  <c r="DI55" i="2"/>
  <c r="DI55" i="4" s="1"/>
  <c r="DI23" i="2"/>
  <c r="DI23" i="4" s="1"/>
  <c r="DI91" i="2"/>
  <c r="DI91" i="4" s="1"/>
  <c r="DI84" i="2"/>
  <c r="DI84" i="4" s="1"/>
  <c r="DI80" i="2"/>
  <c r="DI80" i="4" s="1"/>
  <c r="DI76" i="2"/>
  <c r="DI76" i="4" s="1"/>
  <c r="DI16" i="2"/>
  <c r="DI16" i="4" s="1"/>
  <c r="DI115" i="2"/>
  <c r="DI115" i="4" s="1"/>
  <c r="DI59" i="2"/>
  <c r="DI59" i="4" s="1"/>
  <c r="DI47" i="2"/>
  <c r="DI47" i="4" s="1"/>
  <c r="DI31" i="2"/>
  <c r="DI31" i="4" s="1"/>
  <c r="DI15" i="2"/>
  <c r="DI15" i="4" s="1"/>
  <c r="DI7" i="2"/>
  <c r="DI7" i="4" s="1"/>
  <c r="DI130" i="2"/>
  <c r="DI130" i="4" s="1"/>
  <c r="DI122" i="2"/>
  <c r="DI122" i="4" s="1"/>
  <c r="DI60" i="2"/>
  <c r="DI60" i="4" s="1"/>
  <c r="DI44" i="2"/>
  <c r="DI44" i="4" s="1"/>
  <c r="DI24" i="2"/>
  <c r="DI24" i="4" s="1"/>
  <c r="DI8" i="2"/>
  <c r="DI8" i="4" s="1"/>
  <c r="DI111" i="2"/>
  <c r="DI111" i="4" s="1"/>
  <c r="DI51" i="2"/>
  <c r="DI51" i="4" s="1"/>
  <c r="DI39" i="2"/>
  <c r="DI39" i="4" s="1"/>
  <c r="DI35" i="2"/>
  <c r="DI35" i="4" s="1"/>
  <c r="DI27" i="2"/>
  <c r="DI27" i="4" s="1"/>
  <c r="DI19" i="2"/>
  <c r="DI19" i="4" s="1"/>
  <c r="DI11" i="2"/>
  <c r="DI11" i="4" s="1"/>
  <c r="DI124" i="2"/>
  <c r="DI124" i="4" s="1"/>
  <c r="DI120" i="2"/>
  <c r="DI120" i="4" s="1"/>
  <c r="DI116" i="2"/>
  <c r="DI116" i="4" s="1"/>
  <c r="DI112" i="2"/>
  <c r="DI112" i="4" s="1"/>
  <c r="DI108" i="2"/>
  <c r="DI108" i="4" s="1"/>
  <c r="DI104" i="2"/>
  <c r="DI104" i="4" s="1"/>
  <c r="DI100" i="2"/>
  <c r="DI100" i="4" s="1"/>
  <c r="DI79" i="2"/>
  <c r="DI79" i="4" s="1"/>
  <c r="DI96" i="2"/>
  <c r="DI96" i="4" s="1"/>
  <c r="DI92" i="2"/>
  <c r="DI92" i="4" s="1"/>
  <c r="DI88" i="2"/>
  <c r="DI88" i="4" s="1"/>
  <c r="DI48" i="2"/>
  <c r="DI48" i="4" s="1"/>
  <c r="DK1" i="4" l="1"/>
  <c r="DL2" i="4"/>
  <c r="DK2" i="2"/>
  <c r="DJ67" i="2"/>
  <c r="DJ67" i="4" s="1"/>
  <c r="DJ84" i="2"/>
  <c r="DJ84" i="4" s="1"/>
  <c r="DJ111" i="2"/>
  <c r="DJ111" i="4" s="1"/>
  <c r="DJ127" i="2"/>
  <c r="DJ127" i="4" s="1"/>
  <c r="DJ107" i="2"/>
  <c r="DJ107" i="4" s="1"/>
  <c r="DJ123" i="2"/>
  <c r="DJ123" i="4" s="1"/>
  <c r="DJ96" i="2"/>
  <c r="DJ96" i="4" s="1"/>
  <c r="DJ103" i="2"/>
  <c r="DJ103" i="4" s="1"/>
  <c r="DJ119" i="2"/>
  <c r="DJ119" i="4" s="1"/>
  <c r="DJ99" i="2"/>
  <c r="DJ99" i="4" s="1"/>
  <c r="DJ115" i="2"/>
  <c r="DJ115" i="4" s="1"/>
  <c r="DJ126" i="2"/>
  <c r="DJ126" i="4" s="1"/>
  <c r="DJ122" i="2"/>
  <c r="DJ122" i="4" s="1"/>
  <c r="DJ118" i="2"/>
  <c r="DJ118" i="4" s="1"/>
  <c r="DJ114" i="2"/>
  <c r="DJ114" i="4" s="1"/>
  <c r="DJ110" i="2"/>
  <c r="DJ110" i="4" s="1"/>
  <c r="DJ106" i="2"/>
  <c r="DJ106" i="4" s="1"/>
  <c r="DJ102" i="2"/>
  <c r="DJ102" i="4" s="1"/>
  <c r="DJ98" i="2"/>
  <c r="DJ98" i="4" s="1"/>
  <c r="DJ94" i="2"/>
  <c r="DJ94" i="4" s="1"/>
  <c r="DJ90" i="2"/>
  <c r="DJ90" i="4" s="1"/>
  <c r="DJ86" i="2"/>
  <c r="DJ86" i="4" s="1"/>
  <c r="DJ82" i="2"/>
  <c r="DJ82" i="4" s="1"/>
  <c r="DJ78" i="2"/>
  <c r="DJ78" i="4" s="1"/>
  <c r="DJ70" i="2"/>
  <c r="DJ70" i="4" s="1"/>
  <c r="DJ66" i="2"/>
  <c r="DJ66" i="4" s="1"/>
  <c r="DJ54" i="2"/>
  <c r="DJ54" i="4" s="1"/>
  <c r="DJ50" i="2"/>
  <c r="DJ50" i="4" s="1"/>
  <c r="DJ46" i="2"/>
  <c r="DJ46" i="4" s="1"/>
  <c r="DJ42" i="2"/>
  <c r="DJ42" i="4" s="1"/>
  <c r="DJ38" i="2"/>
  <c r="DJ38" i="4" s="1"/>
  <c r="DJ30" i="2"/>
  <c r="DJ30" i="4" s="1"/>
  <c r="DJ22" i="2"/>
  <c r="DJ22" i="4" s="1"/>
  <c r="DJ14" i="2"/>
  <c r="DJ14" i="4" s="1"/>
  <c r="DJ6" i="2"/>
  <c r="DJ6" i="4" s="1"/>
  <c r="DJ34" i="2"/>
  <c r="DJ34" i="4" s="1"/>
  <c r="DJ74" i="2"/>
  <c r="DJ74" i="4" s="1"/>
  <c r="DJ62" i="2"/>
  <c r="DJ62" i="4" s="1"/>
  <c r="DJ58" i="2"/>
  <c r="DJ58" i="4" s="1"/>
  <c r="DJ26" i="2"/>
  <c r="DJ26" i="4" s="1"/>
  <c r="DJ18" i="2"/>
  <c r="DJ18" i="4" s="1"/>
  <c r="DJ10" i="2"/>
  <c r="DJ10" i="4" s="1"/>
  <c r="DJ93" i="2"/>
  <c r="DJ93" i="4" s="1"/>
  <c r="DJ89" i="2"/>
  <c r="DJ89" i="4" s="1"/>
  <c r="DJ85" i="2"/>
  <c r="DJ85" i="4" s="1"/>
  <c r="DJ130" i="2"/>
  <c r="DJ130" i="4" s="1"/>
  <c r="DJ129" i="2"/>
  <c r="DJ129" i="4" s="1"/>
  <c r="DJ125" i="2"/>
  <c r="DJ125" i="4" s="1"/>
  <c r="DJ121" i="2"/>
  <c r="DJ121" i="4" s="1"/>
  <c r="DJ117" i="2"/>
  <c r="DJ117" i="4" s="1"/>
  <c r="DJ113" i="2"/>
  <c r="DJ113" i="4" s="1"/>
  <c r="DJ109" i="2"/>
  <c r="DJ109" i="4" s="1"/>
  <c r="DJ105" i="2"/>
  <c r="DJ105" i="4" s="1"/>
  <c r="DJ101" i="2"/>
  <c r="DJ101" i="4" s="1"/>
  <c r="DJ97" i="2"/>
  <c r="DJ97" i="4" s="1"/>
  <c r="DJ9" i="2"/>
  <c r="DJ9" i="4" s="1"/>
  <c r="DJ64" i="2"/>
  <c r="DJ64" i="4" s="1"/>
  <c r="DJ45" i="2"/>
  <c r="DJ45" i="4" s="1"/>
  <c r="DJ29" i="2"/>
  <c r="DJ29" i="4" s="1"/>
  <c r="DJ68" i="2"/>
  <c r="DJ68" i="4" s="1"/>
  <c r="DJ44" i="2"/>
  <c r="DJ44" i="4" s="1"/>
  <c r="DJ32" i="2"/>
  <c r="DJ32" i="4" s="1"/>
  <c r="DJ120" i="2"/>
  <c r="DJ120" i="4" s="1"/>
  <c r="DJ104" i="2"/>
  <c r="DJ104" i="4" s="1"/>
  <c r="DJ3" i="2"/>
  <c r="DJ3" i="4" s="1"/>
  <c r="DJ91" i="2"/>
  <c r="DJ91" i="4" s="1"/>
  <c r="DJ72" i="2"/>
  <c r="DJ72" i="4" s="1"/>
  <c r="DJ56" i="2"/>
  <c r="DJ56" i="4" s="1"/>
  <c r="DJ20" i="2"/>
  <c r="DJ20" i="4" s="1"/>
  <c r="DJ16" i="2"/>
  <c r="DJ16" i="4" s="1"/>
  <c r="DJ8" i="2"/>
  <c r="DJ8" i="4" s="1"/>
  <c r="DJ4" i="2"/>
  <c r="DJ4" i="4" s="1"/>
  <c r="DJ124" i="2"/>
  <c r="DJ124" i="4" s="1"/>
  <c r="DJ108" i="2"/>
  <c r="DJ108" i="4" s="1"/>
  <c r="DJ41" i="2"/>
  <c r="DJ41" i="4" s="1"/>
  <c r="DJ17" i="2"/>
  <c r="DJ17" i="4" s="1"/>
  <c r="DJ13" i="2"/>
  <c r="DJ13" i="4" s="1"/>
  <c r="DJ60" i="2"/>
  <c r="DJ60" i="4" s="1"/>
  <c r="DJ52" i="2"/>
  <c r="DJ52" i="4" s="1"/>
  <c r="DJ40" i="2"/>
  <c r="DJ40" i="4" s="1"/>
  <c r="DJ128" i="2"/>
  <c r="DJ128" i="4" s="1"/>
  <c r="DJ88" i="2"/>
  <c r="DJ88" i="4" s="1"/>
  <c r="DJ87" i="2"/>
  <c r="DJ87" i="4" s="1"/>
  <c r="DJ75" i="2"/>
  <c r="DJ75" i="4" s="1"/>
  <c r="DJ71" i="2"/>
  <c r="DJ71" i="4" s="1"/>
  <c r="DJ35" i="2"/>
  <c r="DJ35" i="4" s="1"/>
  <c r="DJ19" i="2"/>
  <c r="DJ19" i="4" s="1"/>
  <c r="DJ11" i="2"/>
  <c r="DJ11" i="4" s="1"/>
  <c r="DJ95" i="2"/>
  <c r="DJ95" i="4" s="1"/>
  <c r="DJ81" i="2"/>
  <c r="DJ81" i="4" s="1"/>
  <c r="DJ77" i="2"/>
  <c r="DJ77" i="4" s="1"/>
  <c r="DJ73" i="2"/>
  <c r="DJ73" i="4" s="1"/>
  <c r="DJ69" i="2"/>
  <c r="DJ69" i="4" s="1"/>
  <c r="DJ65" i="2"/>
  <c r="DJ65" i="4" s="1"/>
  <c r="DJ57" i="2"/>
  <c r="DJ57" i="4" s="1"/>
  <c r="DJ53" i="2"/>
  <c r="DJ53" i="4" s="1"/>
  <c r="DJ49" i="2"/>
  <c r="DJ49" i="4" s="1"/>
  <c r="DJ25" i="2"/>
  <c r="DJ25" i="4" s="1"/>
  <c r="DJ21" i="2"/>
  <c r="DJ21" i="4" s="1"/>
  <c r="DJ5" i="2"/>
  <c r="DJ5" i="4" s="1"/>
  <c r="DJ36" i="2"/>
  <c r="DJ36" i="4" s="1"/>
  <c r="DJ12" i="2"/>
  <c r="DJ12" i="4" s="1"/>
  <c r="DJ100" i="2"/>
  <c r="DJ100" i="4" s="1"/>
  <c r="DJ63" i="2"/>
  <c r="DJ63" i="4" s="1"/>
  <c r="DJ55" i="2"/>
  <c r="DJ55" i="4" s="1"/>
  <c r="DJ23" i="2"/>
  <c r="DJ23" i="4" s="1"/>
  <c r="DJ92" i="2"/>
  <c r="DJ92" i="4" s="1"/>
  <c r="DJ61" i="2"/>
  <c r="DJ61" i="4" s="1"/>
  <c r="DJ76" i="2"/>
  <c r="DJ76" i="4" s="1"/>
  <c r="DJ28" i="2"/>
  <c r="DJ28" i="4" s="1"/>
  <c r="DJ116" i="2"/>
  <c r="DJ116" i="4" s="1"/>
  <c r="DJ83" i="2"/>
  <c r="DJ83" i="4" s="1"/>
  <c r="DJ59" i="2"/>
  <c r="DJ59" i="4" s="1"/>
  <c r="DJ47" i="2"/>
  <c r="DJ47" i="4" s="1"/>
  <c r="DJ43" i="2"/>
  <c r="DJ43" i="4" s="1"/>
  <c r="DJ31" i="2"/>
  <c r="DJ31" i="4" s="1"/>
  <c r="DJ37" i="2"/>
  <c r="DJ37" i="4" s="1"/>
  <c r="DJ33" i="2"/>
  <c r="DJ33" i="4" s="1"/>
  <c r="DJ24" i="2"/>
  <c r="DJ24" i="4" s="1"/>
  <c r="DJ112" i="2"/>
  <c r="DJ112" i="4" s="1"/>
  <c r="DJ79" i="2"/>
  <c r="DJ79" i="4" s="1"/>
  <c r="DJ51" i="2"/>
  <c r="DJ51" i="4" s="1"/>
  <c r="DJ39" i="2"/>
  <c r="DJ39" i="4" s="1"/>
  <c r="DJ27" i="2"/>
  <c r="DJ27" i="4" s="1"/>
  <c r="DJ7" i="2"/>
  <c r="DJ7" i="4" s="1"/>
  <c r="DJ80" i="2"/>
  <c r="DJ80" i="4" s="1"/>
  <c r="DJ48" i="2"/>
  <c r="DJ48" i="4" s="1"/>
  <c r="DJ15" i="2"/>
  <c r="DJ15" i="4" s="1"/>
  <c r="DL1" i="4" l="1"/>
  <c r="DM2" i="4"/>
  <c r="DL2" i="2"/>
  <c r="DK127" i="2"/>
  <c r="DK127" i="4" s="1"/>
  <c r="DK68" i="2"/>
  <c r="DK68" i="4" s="1"/>
  <c r="DK112" i="2"/>
  <c r="DK112" i="4" s="1"/>
  <c r="DK128" i="2"/>
  <c r="DK128" i="4" s="1"/>
  <c r="DK108" i="2"/>
  <c r="DK108" i="4" s="1"/>
  <c r="DK124" i="2"/>
  <c r="DK124" i="4" s="1"/>
  <c r="DK100" i="2"/>
  <c r="DK100" i="4" s="1"/>
  <c r="DK104" i="2"/>
  <c r="DK104" i="4" s="1"/>
  <c r="DK120" i="2"/>
  <c r="DK120" i="4" s="1"/>
  <c r="DK116" i="2"/>
  <c r="DK116" i="4" s="1"/>
  <c r="DK130" i="2"/>
  <c r="DK130" i="4" s="1"/>
  <c r="DK126" i="2"/>
  <c r="DK126" i="4" s="1"/>
  <c r="DK122" i="2"/>
  <c r="DK122" i="4" s="1"/>
  <c r="DK118" i="2"/>
  <c r="DK118" i="4" s="1"/>
  <c r="DK114" i="2"/>
  <c r="DK114" i="4" s="1"/>
  <c r="DK110" i="2"/>
  <c r="DK110" i="4" s="1"/>
  <c r="DK106" i="2"/>
  <c r="DK106" i="4" s="1"/>
  <c r="DK102" i="2"/>
  <c r="DK102" i="4" s="1"/>
  <c r="DK98" i="2"/>
  <c r="DK98" i="4" s="1"/>
  <c r="DK94" i="2"/>
  <c r="DK94" i="4" s="1"/>
  <c r="DK90" i="2"/>
  <c r="DK90" i="4" s="1"/>
  <c r="DK86" i="2"/>
  <c r="DK86" i="4" s="1"/>
  <c r="DK82" i="2"/>
  <c r="DK82" i="4" s="1"/>
  <c r="DK78" i="2"/>
  <c r="DK78" i="4" s="1"/>
  <c r="DK74" i="2"/>
  <c r="DK74" i="4" s="1"/>
  <c r="DK70" i="2"/>
  <c r="DK70" i="4" s="1"/>
  <c r="DK66" i="2"/>
  <c r="DK66" i="4" s="1"/>
  <c r="DK62" i="2"/>
  <c r="DK62" i="4" s="1"/>
  <c r="DK46" i="2"/>
  <c r="DK46" i="4" s="1"/>
  <c r="DK58" i="2"/>
  <c r="DK58" i="4" s="1"/>
  <c r="DK54" i="2"/>
  <c r="DK54" i="4" s="1"/>
  <c r="DK50" i="2"/>
  <c r="DK50" i="4" s="1"/>
  <c r="DK34" i="2"/>
  <c r="DK34" i="4" s="1"/>
  <c r="DK22" i="2"/>
  <c r="DK22" i="4" s="1"/>
  <c r="DK26" i="2"/>
  <c r="DK26" i="4" s="1"/>
  <c r="DK18" i="2"/>
  <c r="DK18" i="4" s="1"/>
  <c r="DK93" i="2"/>
  <c r="DK93" i="4" s="1"/>
  <c r="DK89" i="2"/>
  <c r="DK89" i="4" s="1"/>
  <c r="DK61" i="2"/>
  <c r="DK61" i="4" s="1"/>
  <c r="DK41" i="2"/>
  <c r="DK41" i="4" s="1"/>
  <c r="DK37" i="2"/>
  <c r="DK37" i="4" s="1"/>
  <c r="DK33" i="2"/>
  <c r="DK33" i="4" s="1"/>
  <c r="DK17" i="2"/>
  <c r="DK17" i="4" s="1"/>
  <c r="DK92" i="2"/>
  <c r="DK92" i="4" s="1"/>
  <c r="DK88" i="2"/>
  <c r="DK88" i="4" s="1"/>
  <c r="DK84" i="2"/>
  <c r="DK84" i="4" s="1"/>
  <c r="DK80" i="2"/>
  <c r="DK80" i="4" s="1"/>
  <c r="DK38" i="2"/>
  <c r="DK38" i="4" s="1"/>
  <c r="DK10" i="2"/>
  <c r="DK10" i="4" s="1"/>
  <c r="DK129" i="2"/>
  <c r="DK129" i="4" s="1"/>
  <c r="DK125" i="2"/>
  <c r="DK125" i="4" s="1"/>
  <c r="DK121" i="2"/>
  <c r="DK121" i="4" s="1"/>
  <c r="DK117" i="2"/>
  <c r="DK117" i="4" s="1"/>
  <c r="DK113" i="2"/>
  <c r="DK113" i="4" s="1"/>
  <c r="DK109" i="2"/>
  <c r="DK109" i="4" s="1"/>
  <c r="DK105" i="2"/>
  <c r="DK105" i="4" s="1"/>
  <c r="DK101" i="2"/>
  <c r="DK101" i="4" s="1"/>
  <c r="DK76" i="2"/>
  <c r="DK76" i="4" s="1"/>
  <c r="DK72" i="2"/>
  <c r="DK72" i="4" s="1"/>
  <c r="DK32" i="2"/>
  <c r="DK32" i="4" s="1"/>
  <c r="DK12" i="2"/>
  <c r="DK12" i="4" s="1"/>
  <c r="DK4" i="2"/>
  <c r="DK4" i="4" s="1"/>
  <c r="DK91" i="2"/>
  <c r="DK91" i="4" s="1"/>
  <c r="DK85" i="2"/>
  <c r="DK85" i="4" s="1"/>
  <c r="DK81" i="2"/>
  <c r="DK81" i="4" s="1"/>
  <c r="DK29" i="2"/>
  <c r="DK29" i="4" s="1"/>
  <c r="DK5" i="2"/>
  <c r="DK5" i="4" s="1"/>
  <c r="DK56" i="2"/>
  <c r="DK56" i="4" s="1"/>
  <c r="DK44" i="2"/>
  <c r="DK44" i="4" s="1"/>
  <c r="DK20" i="2"/>
  <c r="DK20" i="4" s="1"/>
  <c r="DK3" i="2"/>
  <c r="DK3" i="4" s="1"/>
  <c r="DK95" i="2"/>
  <c r="DK95" i="4" s="1"/>
  <c r="DK42" i="2"/>
  <c r="DK42" i="4" s="1"/>
  <c r="DK30" i="2"/>
  <c r="DK30" i="4" s="1"/>
  <c r="DK13" i="2"/>
  <c r="DK13" i="4" s="1"/>
  <c r="DK60" i="2"/>
  <c r="DK60" i="4" s="1"/>
  <c r="DK52" i="2"/>
  <c r="DK52" i="4" s="1"/>
  <c r="DK40" i="2"/>
  <c r="DK40" i="4" s="1"/>
  <c r="DK36" i="2"/>
  <c r="DK36" i="4" s="1"/>
  <c r="DK87" i="2"/>
  <c r="DK87" i="4" s="1"/>
  <c r="DK75" i="2"/>
  <c r="DK75" i="4" s="1"/>
  <c r="DK55" i="2"/>
  <c r="DK55" i="4" s="1"/>
  <c r="DK35" i="2"/>
  <c r="DK35" i="4" s="1"/>
  <c r="DK27" i="2"/>
  <c r="DK27" i="4" s="1"/>
  <c r="DK23" i="2"/>
  <c r="DK23" i="4" s="1"/>
  <c r="DK19" i="2"/>
  <c r="DK19" i="4" s="1"/>
  <c r="DK11" i="2"/>
  <c r="DK11" i="4" s="1"/>
  <c r="DK96" i="2"/>
  <c r="DK96" i="4" s="1"/>
  <c r="DK7" i="2"/>
  <c r="DK7" i="4" s="1"/>
  <c r="DK14" i="2"/>
  <c r="DK14" i="4" s="1"/>
  <c r="DK6" i="2"/>
  <c r="DK6" i="4" s="1"/>
  <c r="DK77" i="2"/>
  <c r="DK77" i="4" s="1"/>
  <c r="DK73" i="2"/>
  <c r="DK73" i="4" s="1"/>
  <c r="DK69" i="2"/>
  <c r="DK69" i="4" s="1"/>
  <c r="DK65" i="2"/>
  <c r="DK65" i="4" s="1"/>
  <c r="DK57" i="2"/>
  <c r="DK57" i="4" s="1"/>
  <c r="DK53" i="2"/>
  <c r="DK53" i="4" s="1"/>
  <c r="DK49" i="2"/>
  <c r="DK49" i="4" s="1"/>
  <c r="DK45" i="2"/>
  <c r="DK45" i="4" s="1"/>
  <c r="DK25" i="2"/>
  <c r="DK25" i="4" s="1"/>
  <c r="DK21" i="2"/>
  <c r="DK21" i="4" s="1"/>
  <c r="DK64" i="2"/>
  <c r="DK64" i="4" s="1"/>
  <c r="DK8" i="2"/>
  <c r="DK8" i="4" s="1"/>
  <c r="DK71" i="2"/>
  <c r="DK71" i="4" s="1"/>
  <c r="DK67" i="2"/>
  <c r="DK67" i="4" s="1"/>
  <c r="DK59" i="2"/>
  <c r="DK59" i="4" s="1"/>
  <c r="DK51" i="2"/>
  <c r="DK51" i="4" s="1"/>
  <c r="DK15" i="2"/>
  <c r="DK15" i="4" s="1"/>
  <c r="DK119" i="2"/>
  <c r="DK119" i="4" s="1"/>
  <c r="DK111" i="2"/>
  <c r="DK111" i="4" s="1"/>
  <c r="DK103" i="2"/>
  <c r="DK103" i="4" s="1"/>
  <c r="DK97" i="2"/>
  <c r="DK97" i="4" s="1"/>
  <c r="DK28" i="2"/>
  <c r="DK28" i="4" s="1"/>
  <c r="DK83" i="2"/>
  <c r="DK83" i="4" s="1"/>
  <c r="DK31" i="2"/>
  <c r="DK31" i="4" s="1"/>
  <c r="DK123" i="2"/>
  <c r="DK123" i="4" s="1"/>
  <c r="DK115" i="2"/>
  <c r="DK115" i="4" s="1"/>
  <c r="DK9" i="2"/>
  <c r="DK9" i="4" s="1"/>
  <c r="DK24" i="2"/>
  <c r="DK24" i="4" s="1"/>
  <c r="DK79" i="2"/>
  <c r="DK79" i="4" s="1"/>
  <c r="DK47" i="2"/>
  <c r="DK47" i="4" s="1"/>
  <c r="DK39" i="2"/>
  <c r="DK39" i="4" s="1"/>
  <c r="DK48" i="2"/>
  <c r="DK48" i="4" s="1"/>
  <c r="DK16" i="2"/>
  <c r="DK16" i="4" s="1"/>
  <c r="DK63" i="2"/>
  <c r="DK63" i="4" s="1"/>
  <c r="DK43" i="2"/>
  <c r="DK43" i="4" s="1"/>
  <c r="DK107" i="2"/>
  <c r="DK107" i="4" s="1"/>
  <c r="DK99" i="2"/>
  <c r="DK99" i="4" s="1"/>
  <c r="DM1" i="4" l="1"/>
  <c r="DN2" i="4"/>
  <c r="DM2" i="2"/>
  <c r="DL128" i="2"/>
  <c r="DL128" i="4" s="1"/>
  <c r="DL117" i="2"/>
  <c r="DL117" i="4" s="1"/>
  <c r="DL98" i="2"/>
  <c r="DL98" i="4" s="1"/>
  <c r="DL130" i="2"/>
  <c r="DL130" i="4" s="1"/>
  <c r="DL126" i="2"/>
  <c r="DL126" i="4" s="1"/>
  <c r="DL122" i="2"/>
  <c r="DL122" i="4" s="1"/>
  <c r="DL118" i="2"/>
  <c r="DL118" i="4" s="1"/>
  <c r="DL114" i="2"/>
  <c r="DL114" i="4" s="1"/>
  <c r="DL110" i="2"/>
  <c r="DL110" i="4" s="1"/>
  <c r="DL106" i="2"/>
  <c r="DL106" i="4" s="1"/>
  <c r="DL102" i="2"/>
  <c r="DL102" i="4" s="1"/>
  <c r="DL74" i="2"/>
  <c r="DL74" i="4" s="1"/>
  <c r="DL70" i="2"/>
  <c r="DL70" i="4" s="1"/>
  <c r="DL66" i="2"/>
  <c r="DL66" i="4" s="1"/>
  <c r="DL34" i="2"/>
  <c r="DL34" i="4" s="1"/>
  <c r="DL101" i="2"/>
  <c r="DL101" i="4" s="1"/>
  <c r="DL86" i="2"/>
  <c r="DL86" i="4" s="1"/>
  <c r="DL78" i="2"/>
  <c r="DL78" i="4" s="1"/>
  <c r="DL62" i="2"/>
  <c r="DL62" i="4" s="1"/>
  <c r="DL58" i="2"/>
  <c r="DL58" i="4" s="1"/>
  <c r="DL54" i="2"/>
  <c r="DL54" i="4" s="1"/>
  <c r="DL50" i="2"/>
  <c r="DL50" i="4" s="1"/>
  <c r="DL42" i="2"/>
  <c r="DL42" i="4" s="1"/>
  <c r="DL38" i="2"/>
  <c r="DL38" i="4" s="1"/>
  <c r="DL30" i="2"/>
  <c r="DL30" i="4" s="1"/>
  <c r="DL22" i="2"/>
  <c r="DL22" i="4" s="1"/>
  <c r="DL18" i="2"/>
  <c r="DL18" i="4" s="1"/>
  <c r="DL14" i="2"/>
  <c r="DL14" i="4" s="1"/>
  <c r="DL10" i="2"/>
  <c r="DL10" i="4" s="1"/>
  <c r="DL6" i="2"/>
  <c r="DL6" i="4" s="1"/>
  <c r="DL125" i="2"/>
  <c r="DL125" i="4" s="1"/>
  <c r="DL109" i="2"/>
  <c r="DL109" i="4" s="1"/>
  <c r="DL97" i="2"/>
  <c r="DL97" i="4" s="1"/>
  <c r="DL93" i="2"/>
  <c r="DL93" i="4" s="1"/>
  <c r="DL121" i="2"/>
  <c r="DL121" i="4" s="1"/>
  <c r="DL105" i="2"/>
  <c r="DL105" i="4" s="1"/>
  <c r="DL94" i="2"/>
  <c r="DL94" i="4" s="1"/>
  <c r="DL26" i="2"/>
  <c r="DL26" i="4" s="1"/>
  <c r="DL89" i="2"/>
  <c r="DL89" i="4" s="1"/>
  <c r="DL85" i="2"/>
  <c r="DL85" i="4" s="1"/>
  <c r="DL81" i="2"/>
  <c r="DL81" i="4" s="1"/>
  <c r="DL61" i="2"/>
  <c r="DL61" i="4" s="1"/>
  <c r="DL45" i="2"/>
  <c r="DL45" i="4" s="1"/>
  <c r="DL41" i="2"/>
  <c r="DL41" i="4" s="1"/>
  <c r="DL37" i="2"/>
  <c r="DL37" i="4" s="1"/>
  <c r="DL33" i="2"/>
  <c r="DL33" i="4" s="1"/>
  <c r="DL29" i="2"/>
  <c r="DL29" i="4" s="1"/>
  <c r="DL17" i="2"/>
  <c r="DL17" i="4" s="1"/>
  <c r="DL9" i="2"/>
  <c r="DL9" i="4" s="1"/>
  <c r="DL5" i="2"/>
  <c r="DL5" i="4" s="1"/>
  <c r="DL96" i="2"/>
  <c r="DL96" i="4" s="1"/>
  <c r="DL92" i="2"/>
  <c r="DL92" i="4" s="1"/>
  <c r="DL88" i="2"/>
  <c r="DL88" i="4" s="1"/>
  <c r="DL84" i="2"/>
  <c r="DL84" i="4" s="1"/>
  <c r="DL80" i="2"/>
  <c r="DL80" i="4" s="1"/>
  <c r="DL90" i="2"/>
  <c r="DL90" i="4" s="1"/>
  <c r="DL46" i="2"/>
  <c r="DL46" i="4" s="1"/>
  <c r="DL77" i="2"/>
  <c r="DL77" i="4" s="1"/>
  <c r="DL69" i="2"/>
  <c r="DL69" i="4" s="1"/>
  <c r="DL76" i="2"/>
  <c r="DL76" i="4" s="1"/>
  <c r="DL64" i="2"/>
  <c r="DL64" i="4" s="1"/>
  <c r="DL60" i="2"/>
  <c r="DL60" i="4" s="1"/>
  <c r="DL56" i="2"/>
  <c r="DL56" i="4" s="1"/>
  <c r="DL32" i="2"/>
  <c r="DL32" i="4" s="1"/>
  <c r="DL20" i="2"/>
  <c r="DL20" i="4" s="1"/>
  <c r="DL12" i="2"/>
  <c r="DL12" i="4" s="1"/>
  <c r="DL91" i="2"/>
  <c r="DL91" i="4" s="1"/>
  <c r="DL73" i="2"/>
  <c r="DL73" i="4" s="1"/>
  <c r="DL65" i="2"/>
  <c r="DL65" i="4" s="1"/>
  <c r="DL129" i="2"/>
  <c r="DL129" i="4" s="1"/>
  <c r="DL68" i="2"/>
  <c r="DL68" i="4" s="1"/>
  <c r="DL52" i="2"/>
  <c r="DL52" i="4" s="1"/>
  <c r="DL44" i="2"/>
  <c r="DL44" i="4" s="1"/>
  <c r="DL36" i="2"/>
  <c r="DL36" i="4" s="1"/>
  <c r="DL28" i="2"/>
  <c r="DL28" i="4" s="1"/>
  <c r="DL24" i="2"/>
  <c r="DL24" i="4" s="1"/>
  <c r="DL16" i="2"/>
  <c r="DL16" i="4" s="1"/>
  <c r="DL3" i="2"/>
  <c r="DL3" i="4" s="1"/>
  <c r="DL95" i="2"/>
  <c r="DL95" i="4" s="1"/>
  <c r="DL82" i="2"/>
  <c r="DL82" i="4" s="1"/>
  <c r="DL48" i="2"/>
  <c r="DL48" i="4" s="1"/>
  <c r="DL40" i="2"/>
  <c r="DL40" i="4" s="1"/>
  <c r="DL4" i="2"/>
  <c r="DL4" i="4" s="1"/>
  <c r="DL87" i="2"/>
  <c r="DL87" i="4" s="1"/>
  <c r="DL47" i="2"/>
  <c r="DL47" i="4" s="1"/>
  <c r="DL19" i="2"/>
  <c r="DL19" i="4" s="1"/>
  <c r="DL11" i="2"/>
  <c r="DL11" i="4" s="1"/>
  <c r="DL124" i="2"/>
  <c r="DL124" i="4" s="1"/>
  <c r="DL116" i="2"/>
  <c r="DL116" i="4" s="1"/>
  <c r="DL108" i="2"/>
  <c r="DL108" i="4" s="1"/>
  <c r="DL100" i="2"/>
  <c r="DL100" i="4" s="1"/>
  <c r="DL57" i="2"/>
  <c r="DL57" i="4" s="1"/>
  <c r="DL53" i="2"/>
  <c r="DL53" i="4" s="1"/>
  <c r="DL49" i="2"/>
  <c r="DL49" i="4" s="1"/>
  <c r="DL25" i="2"/>
  <c r="DL25" i="4" s="1"/>
  <c r="DL21" i="2"/>
  <c r="DL21" i="4" s="1"/>
  <c r="DL8" i="2"/>
  <c r="DL8" i="4" s="1"/>
  <c r="DL71" i="2"/>
  <c r="DL71" i="4" s="1"/>
  <c r="DL67" i="2"/>
  <c r="DL67" i="4" s="1"/>
  <c r="DL59" i="2"/>
  <c r="DL59" i="4" s="1"/>
  <c r="DL39" i="2"/>
  <c r="DL39" i="4" s="1"/>
  <c r="DL15" i="2"/>
  <c r="DL15" i="4" s="1"/>
  <c r="DL123" i="2"/>
  <c r="DL123" i="4" s="1"/>
  <c r="DL119" i="2"/>
  <c r="DL119" i="4" s="1"/>
  <c r="DL115" i="2"/>
  <c r="DL115" i="4" s="1"/>
  <c r="DL111" i="2"/>
  <c r="DL111" i="4" s="1"/>
  <c r="DL107" i="2"/>
  <c r="DL107" i="4" s="1"/>
  <c r="DL103" i="2"/>
  <c r="DL103" i="4" s="1"/>
  <c r="DL99" i="2"/>
  <c r="DL99" i="4" s="1"/>
  <c r="DL13" i="2"/>
  <c r="DL13" i="4" s="1"/>
  <c r="DL83" i="2"/>
  <c r="DL83" i="4" s="1"/>
  <c r="DL51" i="2"/>
  <c r="DL51" i="4" s="1"/>
  <c r="DL113" i="2"/>
  <c r="DL113" i="4" s="1"/>
  <c r="DL79" i="2"/>
  <c r="DL79" i="4" s="1"/>
  <c r="DL75" i="2"/>
  <c r="DL75" i="4" s="1"/>
  <c r="DL63" i="2"/>
  <c r="DL63" i="4" s="1"/>
  <c r="DL55" i="2"/>
  <c r="DL55" i="4" s="1"/>
  <c r="DL43" i="2"/>
  <c r="DL43" i="4" s="1"/>
  <c r="DL35" i="2"/>
  <c r="DL35" i="4" s="1"/>
  <c r="DL31" i="2"/>
  <c r="DL31" i="4" s="1"/>
  <c r="DL27" i="2"/>
  <c r="DL27" i="4" s="1"/>
  <c r="DL23" i="2"/>
  <c r="DL23" i="4" s="1"/>
  <c r="DL7" i="2"/>
  <c r="DL7" i="4" s="1"/>
  <c r="DL127" i="2"/>
  <c r="DL127" i="4" s="1"/>
  <c r="DL120" i="2"/>
  <c r="DL120" i="4" s="1"/>
  <c r="DL112" i="2"/>
  <c r="DL112" i="4" s="1"/>
  <c r="DL104" i="2"/>
  <c r="DL104" i="4" s="1"/>
  <c r="DL72" i="2"/>
  <c r="DL72" i="4" s="1"/>
  <c r="DN1" i="4" l="1"/>
  <c r="DO2" i="4"/>
  <c r="DN2" i="2"/>
  <c r="DM87" i="2"/>
  <c r="DM87" i="4" s="1"/>
  <c r="DM102" i="2"/>
  <c r="DM102" i="4" s="1"/>
  <c r="DM130" i="2"/>
  <c r="DM130" i="4" s="1"/>
  <c r="DM118" i="2"/>
  <c r="DM118" i="4" s="1"/>
  <c r="DM74" i="2"/>
  <c r="DM74" i="4" s="1"/>
  <c r="DM90" i="2"/>
  <c r="DM90" i="4" s="1"/>
  <c r="DM86" i="2"/>
  <c r="DM86" i="4" s="1"/>
  <c r="DM82" i="2"/>
  <c r="DM82" i="4" s="1"/>
  <c r="DM78" i="2"/>
  <c r="DM78" i="4" s="1"/>
  <c r="DM70" i="2"/>
  <c r="DM70" i="4" s="1"/>
  <c r="DM62" i="2"/>
  <c r="DM62" i="4" s="1"/>
  <c r="DM58" i="2"/>
  <c r="DM58" i="4" s="1"/>
  <c r="DM54" i="2"/>
  <c r="DM54" i="4" s="1"/>
  <c r="DM50" i="2"/>
  <c r="DM50" i="4" s="1"/>
  <c r="DM42" i="2"/>
  <c r="DM42" i="4" s="1"/>
  <c r="DM38" i="2"/>
  <c r="DM38" i="4" s="1"/>
  <c r="DM30" i="2"/>
  <c r="DM30" i="4" s="1"/>
  <c r="DM22" i="2"/>
  <c r="DM22" i="4" s="1"/>
  <c r="DM14" i="2"/>
  <c r="DM14" i="4" s="1"/>
  <c r="DM10" i="2"/>
  <c r="DM10" i="4" s="1"/>
  <c r="DM6" i="2"/>
  <c r="DM6" i="4" s="1"/>
  <c r="DM126" i="2"/>
  <c r="DM126" i="4" s="1"/>
  <c r="DM110" i="2"/>
  <c r="DM110" i="4" s="1"/>
  <c r="DM98" i="2"/>
  <c r="DM98" i="4" s="1"/>
  <c r="DM94" i="2"/>
  <c r="DM94" i="4" s="1"/>
  <c r="DM46" i="2"/>
  <c r="DM46" i="4" s="1"/>
  <c r="DM34" i="2"/>
  <c r="DM34" i="4" s="1"/>
  <c r="DM26" i="2"/>
  <c r="DM26" i="4" s="1"/>
  <c r="DM122" i="2"/>
  <c r="DM122" i="4" s="1"/>
  <c r="DM18" i="2"/>
  <c r="DM18" i="4" s="1"/>
  <c r="DM89" i="2"/>
  <c r="DM89" i="4" s="1"/>
  <c r="DM85" i="2"/>
  <c r="DM85" i="4" s="1"/>
  <c r="DM81" i="2"/>
  <c r="DM81" i="4" s="1"/>
  <c r="DM73" i="2"/>
  <c r="DM73" i="4" s="1"/>
  <c r="DM69" i="2"/>
  <c r="DM69" i="4" s="1"/>
  <c r="DM65" i="2"/>
  <c r="DM65" i="4" s="1"/>
  <c r="DM45" i="2"/>
  <c r="DM45" i="4" s="1"/>
  <c r="DM41" i="2"/>
  <c r="DM41" i="4" s="1"/>
  <c r="DM37" i="2"/>
  <c r="DM37" i="4" s="1"/>
  <c r="DM33" i="2"/>
  <c r="DM33" i="4" s="1"/>
  <c r="DM17" i="2"/>
  <c r="DM17" i="4" s="1"/>
  <c r="DM5" i="2"/>
  <c r="DM5" i="4" s="1"/>
  <c r="DM96" i="2"/>
  <c r="DM96" i="4" s="1"/>
  <c r="DM92" i="2"/>
  <c r="DM92" i="4" s="1"/>
  <c r="DM88" i="2"/>
  <c r="DM88" i="4" s="1"/>
  <c r="DM84" i="2"/>
  <c r="DM84" i="4" s="1"/>
  <c r="DM80" i="2"/>
  <c r="DM80" i="4" s="1"/>
  <c r="DM76" i="2"/>
  <c r="DM76" i="4" s="1"/>
  <c r="DM129" i="2"/>
  <c r="DM129" i="4" s="1"/>
  <c r="DM125" i="2"/>
  <c r="DM125" i="4" s="1"/>
  <c r="DM121" i="2"/>
  <c r="DM121" i="4" s="1"/>
  <c r="DM117" i="2"/>
  <c r="DM117" i="4" s="1"/>
  <c r="DM113" i="2"/>
  <c r="DM113" i="4" s="1"/>
  <c r="DM109" i="2"/>
  <c r="DM109" i="4" s="1"/>
  <c r="DM105" i="2"/>
  <c r="DM105" i="4" s="1"/>
  <c r="DM101" i="2"/>
  <c r="DM101" i="4" s="1"/>
  <c r="DM97" i="2"/>
  <c r="DM97" i="4" s="1"/>
  <c r="DM77" i="2"/>
  <c r="DM77" i="4" s="1"/>
  <c r="DM64" i="2"/>
  <c r="DM64" i="4" s="1"/>
  <c r="DM60" i="2"/>
  <c r="DM60" i="4" s="1"/>
  <c r="DM48" i="2"/>
  <c r="DM48" i="4" s="1"/>
  <c r="DM16" i="2"/>
  <c r="DM16" i="4" s="1"/>
  <c r="DM12" i="2"/>
  <c r="DM12" i="4" s="1"/>
  <c r="DM123" i="2"/>
  <c r="DM123" i="4" s="1"/>
  <c r="DM107" i="2"/>
  <c r="DM107" i="4" s="1"/>
  <c r="DM93" i="2"/>
  <c r="DM93" i="4" s="1"/>
  <c r="DM61" i="2"/>
  <c r="DM61" i="4" s="1"/>
  <c r="DM57" i="2"/>
  <c r="DM57" i="4" s="1"/>
  <c r="DM53" i="2"/>
  <c r="DM53" i="4" s="1"/>
  <c r="DM49" i="2"/>
  <c r="DM49" i="4" s="1"/>
  <c r="DM29" i="2"/>
  <c r="DM29" i="4" s="1"/>
  <c r="DM25" i="2"/>
  <c r="DM25" i="4" s="1"/>
  <c r="DM21" i="2"/>
  <c r="DM21" i="4" s="1"/>
  <c r="DM9" i="2"/>
  <c r="DM9" i="4" s="1"/>
  <c r="DM68" i="2"/>
  <c r="DM68" i="4" s="1"/>
  <c r="DM40" i="2"/>
  <c r="DM40" i="4" s="1"/>
  <c r="DM8" i="2"/>
  <c r="DM8" i="4" s="1"/>
  <c r="DM127" i="2"/>
  <c r="DM127" i="4" s="1"/>
  <c r="DM111" i="2"/>
  <c r="DM111" i="4" s="1"/>
  <c r="DM3" i="2"/>
  <c r="DM3" i="4" s="1"/>
  <c r="DM66" i="2"/>
  <c r="DM66" i="4" s="1"/>
  <c r="DM114" i="2"/>
  <c r="DM114" i="4" s="1"/>
  <c r="DM4" i="2"/>
  <c r="DM4" i="4" s="1"/>
  <c r="DM99" i="2"/>
  <c r="DM99" i="4" s="1"/>
  <c r="DM59" i="2"/>
  <c r="DM59" i="4" s="1"/>
  <c r="DM47" i="2"/>
  <c r="DM47" i="4" s="1"/>
  <c r="DM31" i="2"/>
  <c r="DM31" i="4" s="1"/>
  <c r="DM15" i="2"/>
  <c r="DM15" i="4" s="1"/>
  <c r="DM79" i="2"/>
  <c r="DM79" i="4" s="1"/>
  <c r="DM106" i="2"/>
  <c r="DM106" i="4" s="1"/>
  <c r="DM52" i="2"/>
  <c r="DM52" i="4" s="1"/>
  <c r="DM32" i="2"/>
  <c r="DM32" i="4" s="1"/>
  <c r="DM28" i="2"/>
  <c r="DM28" i="4" s="1"/>
  <c r="DM103" i="2"/>
  <c r="DM103" i="4" s="1"/>
  <c r="DM91" i="2"/>
  <c r="DM91" i="4" s="1"/>
  <c r="DM71" i="2"/>
  <c r="DM71" i="4" s="1"/>
  <c r="DM67" i="2"/>
  <c r="DM67" i="4" s="1"/>
  <c r="DM63" i="2"/>
  <c r="DM63" i="4" s="1"/>
  <c r="DM43" i="2"/>
  <c r="DM43" i="4" s="1"/>
  <c r="DM19" i="2"/>
  <c r="DM19" i="4" s="1"/>
  <c r="DM7" i="2"/>
  <c r="DM7" i="4" s="1"/>
  <c r="DM124" i="2"/>
  <c r="DM124" i="4" s="1"/>
  <c r="DM120" i="2"/>
  <c r="DM120" i="4" s="1"/>
  <c r="DM116" i="2"/>
  <c r="DM116" i="4" s="1"/>
  <c r="DM112" i="2"/>
  <c r="DM112" i="4" s="1"/>
  <c r="DM108" i="2"/>
  <c r="DM108" i="4" s="1"/>
  <c r="DM104" i="2"/>
  <c r="DM104" i="4" s="1"/>
  <c r="DM100" i="2"/>
  <c r="DM100" i="4" s="1"/>
  <c r="DM56" i="2"/>
  <c r="DM56" i="4" s="1"/>
  <c r="DM44" i="2"/>
  <c r="DM44" i="4" s="1"/>
  <c r="DM24" i="2"/>
  <c r="DM24" i="4" s="1"/>
  <c r="DM119" i="2"/>
  <c r="DM119" i="4" s="1"/>
  <c r="DM51" i="2"/>
  <c r="DM51" i="4" s="1"/>
  <c r="DM13" i="2"/>
  <c r="DM13" i="4" s="1"/>
  <c r="DM36" i="2"/>
  <c r="DM36" i="4" s="1"/>
  <c r="DM20" i="2"/>
  <c r="DM20" i="4" s="1"/>
  <c r="DM115" i="2"/>
  <c r="DM115" i="4" s="1"/>
  <c r="DM75" i="2"/>
  <c r="DM75" i="4" s="1"/>
  <c r="DM55" i="2"/>
  <c r="DM55" i="4" s="1"/>
  <c r="DM35" i="2"/>
  <c r="DM35" i="4" s="1"/>
  <c r="DM23" i="2"/>
  <c r="DM23" i="4" s="1"/>
  <c r="DM95" i="2"/>
  <c r="DM95" i="4" s="1"/>
  <c r="DM83" i="2"/>
  <c r="DM83" i="4" s="1"/>
  <c r="DM72" i="2"/>
  <c r="DM72" i="4" s="1"/>
  <c r="DM39" i="2"/>
  <c r="DM39" i="4" s="1"/>
  <c r="DM27" i="2"/>
  <c r="DM27" i="4" s="1"/>
  <c r="DM11" i="2"/>
  <c r="DM11" i="4" s="1"/>
  <c r="DM128" i="2"/>
  <c r="DM128" i="4" s="1"/>
  <c r="DO1" i="4" l="1"/>
  <c r="DP2" i="4"/>
  <c r="DO2" i="2"/>
  <c r="DN71" i="2"/>
  <c r="DN71" i="4" s="1"/>
  <c r="DN99" i="2"/>
  <c r="DN99" i="4" s="1"/>
  <c r="DN115" i="2"/>
  <c r="DN115" i="4" s="1"/>
  <c r="DN130" i="2"/>
  <c r="DN130" i="4" s="1"/>
  <c r="DN111" i="2"/>
  <c r="DN111" i="4" s="1"/>
  <c r="DN127" i="2"/>
  <c r="DN127" i="4" s="1"/>
  <c r="DN88" i="2"/>
  <c r="DN88" i="4" s="1"/>
  <c r="DN103" i="2"/>
  <c r="DN103" i="4" s="1"/>
  <c r="DN107" i="2"/>
  <c r="DN107" i="4" s="1"/>
  <c r="DN123" i="2"/>
  <c r="DN123" i="4" s="1"/>
  <c r="DN119" i="2"/>
  <c r="DN119" i="4" s="1"/>
  <c r="DN58" i="2"/>
  <c r="DN58" i="4" s="1"/>
  <c r="DN54" i="2"/>
  <c r="DN54" i="4" s="1"/>
  <c r="DN50" i="2"/>
  <c r="DN50" i="4" s="1"/>
  <c r="DN26" i="2"/>
  <c r="DN26" i="4" s="1"/>
  <c r="DN22" i="2"/>
  <c r="DN22" i="4" s="1"/>
  <c r="DN126" i="2"/>
  <c r="DN126" i="4" s="1"/>
  <c r="DN122" i="2"/>
  <c r="DN122" i="4" s="1"/>
  <c r="DN118" i="2"/>
  <c r="DN118" i="4" s="1"/>
  <c r="DN114" i="2"/>
  <c r="DN114" i="4" s="1"/>
  <c r="DN110" i="2"/>
  <c r="DN110" i="4" s="1"/>
  <c r="DN106" i="2"/>
  <c r="DN106" i="4" s="1"/>
  <c r="DN102" i="2"/>
  <c r="DN102" i="4" s="1"/>
  <c r="DN98" i="2"/>
  <c r="DN98" i="4" s="1"/>
  <c r="DN94" i="2"/>
  <c r="DN94" i="4" s="1"/>
  <c r="DN90" i="2"/>
  <c r="DN90" i="4" s="1"/>
  <c r="DN86" i="2"/>
  <c r="DN86" i="4" s="1"/>
  <c r="DN82" i="2"/>
  <c r="DN82" i="4" s="1"/>
  <c r="DN78" i="2"/>
  <c r="DN78" i="4" s="1"/>
  <c r="DN74" i="2"/>
  <c r="DN74" i="4" s="1"/>
  <c r="DN70" i="2"/>
  <c r="DN70" i="4" s="1"/>
  <c r="DN66" i="2"/>
  <c r="DN66" i="4" s="1"/>
  <c r="DN42" i="2"/>
  <c r="DN42" i="4" s="1"/>
  <c r="DN38" i="2"/>
  <c r="DN38" i="4" s="1"/>
  <c r="DN30" i="2"/>
  <c r="DN30" i="4" s="1"/>
  <c r="DN14" i="2"/>
  <c r="DN14" i="4" s="1"/>
  <c r="DN6" i="2"/>
  <c r="DN6" i="4" s="1"/>
  <c r="DN34" i="2"/>
  <c r="DN34" i="4" s="1"/>
  <c r="DN10" i="2"/>
  <c r="DN10" i="4" s="1"/>
  <c r="DN18" i="2"/>
  <c r="DN18" i="4" s="1"/>
  <c r="DN89" i="2"/>
  <c r="DN89" i="4" s="1"/>
  <c r="DN85" i="2"/>
  <c r="DN85" i="4" s="1"/>
  <c r="DN81" i="2"/>
  <c r="DN81" i="4" s="1"/>
  <c r="DN77" i="2"/>
  <c r="DN77" i="4" s="1"/>
  <c r="DN73" i="2"/>
  <c r="DN73" i="4" s="1"/>
  <c r="DN69" i="2"/>
  <c r="DN69" i="4" s="1"/>
  <c r="DN65" i="2"/>
  <c r="DN65" i="4" s="1"/>
  <c r="DN57" i="2"/>
  <c r="DN57" i="4" s="1"/>
  <c r="DN53" i="2"/>
  <c r="DN53" i="4" s="1"/>
  <c r="DN49" i="2"/>
  <c r="DN49" i="4" s="1"/>
  <c r="DN25" i="2"/>
  <c r="DN25" i="4" s="1"/>
  <c r="DN21" i="2"/>
  <c r="DN21" i="4" s="1"/>
  <c r="DN17" i="2"/>
  <c r="DN17" i="4" s="1"/>
  <c r="DN5" i="2"/>
  <c r="DN5" i="4" s="1"/>
  <c r="DN76" i="2"/>
  <c r="DN76" i="4" s="1"/>
  <c r="DN60" i="2"/>
  <c r="DN60" i="4" s="1"/>
  <c r="DN62" i="2"/>
  <c r="DN62" i="4" s="1"/>
  <c r="DN46" i="2"/>
  <c r="DN46" i="4" s="1"/>
  <c r="DN129" i="2"/>
  <c r="DN129" i="4" s="1"/>
  <c r="DN125" i="2"/>
  <c r="DN125" i="4" s="1"/>
  <c r="DN121" i="2"/>
  <c r="DN121" i="4" s="1"/>
  <c r="DN117" i="2"/>
  <c r="DN117" i="4" s="1"/>
  <c r="DN113" i="2"/>
  <c r="DN113" i="4" s="1"/>
  <c r="DN109" i="2"/>
  <c r="DN109" i="4" s="1"/>
  <c r="DN105" i="2"/>
  <c r="DN105" i="4" s="1"/>
  <c r="DN101" i="2"/>
  <c r="DN101" i="4" s="1"/>
  <c r="DN97" i="2"/>
  <c r="DN97" i="4" s="1"/>
  <c r="DN29" i="2"/>
  <c r="DN29" i="4" s="1"/>
  <c r="DN9" i="2"/>
  <c r="DN9" i="4" s="1"/>
  <c r="DN64" i="2"/>
  <c r="DN64" i="4" s="1"/>
  <c r="DN48" i="2"/>
  <c r="DN48" i="4" s="1"/>
  <c r="DN36" i="2"/>
  <c r="DN36" i="4" s="1"/>
  <c r="DN28" i="2"/>
  <c r="DN28" i="4" s="1"/>
  <c r="DN12" i="2"/>
  <c r="DN12" i="4" s="1"/>
  <c r="DN124" i="2"/>
  <c r="DN124" i="4" s="1"/>
  <c r="DN108" i="2"/>
  <c r="DN108" i="4" s="1"/>
  <c r="DN93" i="2"/>
  <c r="DN93" i="4" s="1"/>
  <c r="DN61" i="2"/>
  <c r="DN61" i="4" s="1"/>
  <c r="DN45" i="2"/>
  <c r="DN45" i="4" s="1"/>
  <c r="DN13" i="2"/>
  <c r="DN13" i="4" s="1"/>
  <c r="DN68" i="2"/>
  <c r="DN68" i="4" s="1"/>
  <c r="DN32" i="2"/>
  <c r="DN32" i="4" s="1"/>
  <c r="DN8" i="2"/>
  <c r="DN8" i="4" s="1"/>
  <c r="DN128" i="2"/>
  <c r="DN128" i="4" s="1"/>
  <c r="DN112" i="2"/>
  <c r="DN112" i="4" s="1"/>
  <c r="DN3" i="2"/>
  <c r="DN3" i="4" s="1"/>
  <c r="DN91" i="2"/>
  <c r="DN91" i="4" s="1"/>
  <c r="DN37" i="2"/>
  <c r="DN37" i="4" s="1"/>
  <c r="DN33" i="2"/>
  <c r="DN33" i="4" s="1"/>
  <c r="DN16" i="2"/>
  <c r="DN16" i="4" s="1"/>
  <c r="DN4" i="2"/>
  <c r="DN4" i="4" s="1"/>
  <c r="DN100" i="2"/>
  <c r="DN100" i="4" s="1"/>
  <c r="DN83" i="2"/>
  <c r="DN83" i="4" s="1"/>
  <c r="DN75" i="2"/>
  <c r="DN75" i="4" s="1"/>
  <c r="DN67" i="2"/>
  <c r="DN67" i="4" s="1"/>
  <c r="DN59" i="2"/>
  <c r="DN59" i="4" s="1"/>
  <c r="DN47" i="2"/>
  <c r="DN47" i="4" s="1"/>
  <c r="DN43" i="2"/>
  <c r="DN43" i="4" s="1"/>
  <c r="DN31" i="2"/>
  <c r="DN31" i="4" s="1"/>
  <c r="DN15" i="2"/>
  <c r="DN15" i="4" s="1"/>
  <c r="DN80" i="2"/>
  <c r="DN80" i="4" s="1"/>
  <c r="DN7" i="2"/>
  <c r="DN7" i="4" s="1"/>
  <c r="DN52" i="2"/>
  <c r="DN52" i="4" s="1"/>
  <c r="DN40" i="2"/>
  <c r="DN40" i="4" s="1"/>
  <c r="DN104" i="2"/>
  <c r="DN104" i="4" s="1"/>
  <c r="DN92" i="2"/>
  <c r="DN92" i="4" s="1"/>
  <c r="DN87" i="2"/>
  <c r="DN87" i="4" s="1"/>
  <c r="DN35" i="2"/>
  <c r="DN35" i="4" s="1"/>
  <c r="DN19" i="2"/>
  <c r="DN19" i="4" s="1"/>
  <c r="DN11" i="2"/>
  <c r="DN11" i="4" s="1"/>
  <c r="DN44" i="2"/>
  <c r="DN44" i="4" s="1"/>
  <c r="DN24" i="2"/>
  <c r="DN24" i="4" s="1"/>
  <c r="DN120" i="2"/>
  <c r="DN120" i="4" s="1"/>
  <c r="DN79" i="2"/>
  <c r="DN79" i="4" s="1"/>
  <c r="DN41" i="2"/>
  <c r="DN41" i="4" s="1"/>
  <c r="DN56" i="2"/>
  <c r="DN56" i="4" s="1"/>
  <c r="DN20" i="2"/>
  <c r="DN20" i="4" s="1"/>
  <c r="DN116" i="2"/>
  <c r="DN116" i="4" s="1"/>
  <c r="DN95" i="2"/>
  <c r="DN95" i="4" s="1"/>
  <c r="DN63" i="2"/>
  <c r="DN63" i="4" s="1"/>
  <c r="DN55" i="2"/>
  <c r="DN55" i="4" s="1"/>
  <c r="DN23" i="2"/>
  <c r="DN23" i="4" s="1"/>
  <c r="DN96" i="2"/>
  <c r="DN96" i="4" s="1"/>
  <c r="DN84" i="2"/>
  <c r="DN84" i="4" s="1"/>
  <c r="DN72" i="2"/>
  <c r="DN72" i="4" s="1"/>
  <c r="DN51" i="2"/>
  <c r="DN51" i="4" s="1"/>
  <c r="DN39" i="2"/>
  <c r="DN39" i="4" s="1"/>
  <c r="DN27" i="2"/>
  <c r="DN27" i="4" s="1"/>
  <c r="DP1" i="4" l="1"/>
  <c r="DQ2" i="4"/>
  <c r="DP2" i="2"/>
  <c r="DO127" i="2"/>
  <c r="DO127" i="4" s="1"/>
  <c r="DO72" i="2"/>
  <c r="DO72" i="4" s="1"/>
  <c r="DO100" i="2"/>
  <c r="DO100" i="4" s="1"/>
  <c r="DO116" i="2"/>
  <c r="DO116" i="4" s="1"/>
  <c r="DO112" i="2"/>
  <c r="DO112" i="4" s="1"/>
  <c r="DO128" i="2"/>
  <c r="DO128" i="4" s="1"/>
  <c r="DO104" i="2"/>
  <c r="DO104" i="4" s="1"/>
  <c r="DO108" i="2"/>
  <c r="DO108" i="4" s="1"/>
  <c r="DO124" i="2"/>
  <c r="DO124" i="4" s="1"/>
  <c r="DO120" i="2"/>
  <c r="DO120" i="4" s="1"/>
  <c r="DO89" i="2"/>
  <c r="DO89" i="4" s="1"/>
  <c r="DO42" i="2"/>
  <c r="DO42" i="4" s="1"/>
  <c r="DO38" i="2"/>
  <c r="DO38" i="4" s="1"/>
  <c r="DO30" i="2"/>
  <c r="DO30" i="4" s="1"/>
  <c r="DO130" i="2"/>
  <c r="DO130" i="4" s="1"/>
  <c r="DO126" i="2"/>
  <c r="DO126" i="4" s="1"/>
  <c r="DO122" i="2"/>
  <c r="DO122" i="4" s="1"/>
  <c r="DO118" i="2"/>
  <c r="DO118" i="4" s="1"/>
  <c r="DO114" i="2"/>
  <c r="DO114" i="4" s="1"/>
  <c r="DO110" i="2"/>
  <c r="DO110" i="4" s="1"/>
  <c r="DO106" i="2"/>
  <c r="DO106" i="4" s="1"/>
  <c r="DO102" i="2"/>
  <c r="DO102" i="4" s="1"/>
  <c r="DO98" i="2"/>
  <c r="DO98" i="4" s="1"/>
  <c r="DO94" i="2"/>
  <c r="DO94" i="4" s="1"/>
  <c r="DO90" i="2"/>
  <c r="DO90" i="4" s="1"/>
  <c r="DO86" i="2"/>
  <c r="DO86" i="4" s="1"/>
  <c r="DO82" i="2"/>
  <c r="DO82" i="4" s="1"/>
  <c r="DO78" i="2"/>
  <c r="DO78" i="4" s="1"/>
  <c r="DO74" i="2"/>
  <c r="DO74" i="4" s="1"/>
  <c r="DO70" i="2"/>
  <c r="DO70" i="4" s="1"/>
  <c r="DO66" i="2"/>
  <c r="DO66" i="4" s="1"/>
  <c r="DO46" i="2"/>
  <c r="DO46" i="4" s="1"/>
  <c r="DO34" i="2"/>
  <c r="DO34" i="4" s="1"/>
  <c r="DO6" i="2"/>
  <c r="DO6" i="4" s="1"/>
  <c r="DO129" i="2"/>
  <c r="DO129" i="4" s="1"/>
  <c r="DO125" i="2"/>
  <c r="DO125" i="4" s="1"/>
  <c r="DO121" i="2"/>
  <c r="DO121" i="4" s="1"/>
  <c r="DO117" i="2"/>
  <c r="DO117" i="4" s="1"/>
  <c r="DO113" i="2"/>
  <c r="DO113" i="4" s="1"/>
  <c r="DO109" i="2"/>
  <c r="DO109" i="4" s="1"/>
  <c r="DO105" i="2"/>
  <c r="DO105" i="4" s="1"/>
  <c r="DO101" i="2"/>
  <c r="DO101" i="4" s="1"/>
  <c r="DO58" i="2"/>
  <c r="DO58" i="4" s="1"/>
  <c r="DO54" i="2"/>
  <c r="DO54" i="4" s="1"/>
  <c r="DO50" i="2"/>
  <c r="DO50" i="4" s="1"/>
  <c r="DO22" i="2"/>
  <c r="DO22" i="4" s="1"/>
  <c r="DO14" i="2"/>
  <c r="DO14" i="4" s="1"/>
  <c r="DO97" i="2"/>
  <c r="DO97" i="4" s="1"/>
  <c r="DO85" i="2"/>
  <c r="DO85" i="4" s="1"/>
  <c r="DO18" i="2"/>
  <c r="DO18" i="4" s="1"/>
  <c r="DO77" i="2"/>
  <c r="DO77" i="4" s="1"/>
  <c r="DO73" i="2"/>
  <c r="DO73" i="4" s="1"/>
  <c r="DO69" i="2"/>
  <c r="DO69" i="4" s="1"/>
  <c r="DO65" i="2"/>
  <c r="DO65" i="4" s="1"/>
  <c r="DO57" i="2"/>
  <c r="DO57" i="4" s="1"/>
  <c r="DO53" i="2"/>
  <c r="DO53" i="4" s="1"/>
  <c r="DO49" i="2"/>
  <c r="DO49" i="4" s="1"/>
  <c r="DO25" i="2"/>
  <c r="DO25" i="4" s="1"/>
  <c r="DO21" i="2"/>
  <c r="DO21" i="4" s="1"/>
  <c r="DO13" i="2"/>
  <c r="DO13" i="4" s="1"/>
  <c r="DO9" i="2"/>
  <c r="DO9" i="4" s="1"/>
  <c r="DO64" i="2"/>
  <c r="DO64" i="4" s="1"/>
  <c r="DO60" i="2"/>
  <c r="DO60" i="4" s="1"/>
  <c r="DO62" i="2"/>
  <c r="DO62" i="4" s="1"/>
  <c r="DO61" i="2"/>
  <c r="DO61" i="4" s="1"/>
  <c r="DO41" i="2"/>
  <c r="DO41" i="4" s="1"/>
  <c r="DO37" i="2"/>
  <c r="DO37" i="4" s="1"/>
  <c r="DO33" i="2"/>
  <c r="DO33" i="4" s="1"/>
  <c r="DO17" i="2"/>
  <c r="DO17" i="4" s="1"/>
  <c r="DO92" i="2"/>
  <c r="DO92" i="4" s="1"/>
  <c r="DO88" i="2"/>
  <c r="DO88" i="4" s="1"/>
  <c r="DO84" i="2"/>
  <c r="DO84" i="4" s="1"/>
  <c r="DO80" i="2"/>
  <c r="DO80" i="4" s="1"/>
  <c r="DO68" i="2"/>
  <c r="DO68" i="4" s="1"/>
  <c r="DO48" i="2"/>
  <c r="DO48" i="4" s="1"/>
  <c r="DO28" i="2"/>
  <c r="DO28" i="4" s="1"/>
  <c r="DO16" i="2"/>
  <c r="DO16" i="4" s="1"/>
  <c r="DO8" i="2"/>
  <c r="DO8" i="4" s="1"/>
  <c r="DO93" i="2"/>
  <c r="DO93" i="4" s="1"/>
  <c r="DO10" i="2"/>
  <c r="DO10" i="4" s="1"/>
  <c r="DO45" i="2"/>
  <c r="DO45" i="4" s="1"/>
  <c r="DO76" i="2"/>
  <c r="DO76" i="4" s="1"/>
  <c r="DO32" i="2"/>
  <c r="DO32" i="4" s="1"/>
  <c r="DO12" i="2"/>
  <c r="DO12" i="4" s="1"/>
  <c r="DO4" i="2"/>
  <c r="DO4" i="4" s="1"/>
  <c r="DO91" i="2"/>
  <c r="DO91" i="4" s="1"/>
  <c r="DO26" i="2"/>
  <c r="DO26" i="4" s="1"/>
  <c r="DO3" i="2"/>
  <c r="DO3" i="4" s="1"/>
  <c r="DO95" i="2"/>
  <c r="DO95" i="4" s="1"/>
  <c r="DO83" i="2"/>
  <c r="DO83" i="4" s="1"/>
  <c r="DO63" i="2"/>
  <c r="DO63" i="4" s="1"/>
  <c r="DO43" i="2"/>
  <c r="DO43" i="4" s="1"/>
  <c r="DO31" i="2"/>
  <c r="DO31" i="4" s="1"/>
  <c r="DO7" i="2"/>
  <c r="DO7" i="4" s="1"/>
  <c r="DO119" i="2"/>
  <c r="DO119" i="4" s="1"/>
  <c r="DO111" i="2"/>
  <c r="DO111" i="4" s="1"/>
  <c r="DO103" i="2"/>
  <c r="DO103" i="4" s="1"/>
  <c r="DO5" i="2"/>
  <c r="DO5" i="4" s="1"/>
  <c r="DO52" i="2"/>
  <c r="DO52" i="4" s="1"/>
  <c r="DO40" i="2"/>
  <c r="DO40" i="4" s="1"/>
  <c r="DO36" i="2"/>
  <c r="DO36" i="4" s="1"/>
  <c r="DO87" i="2"/>
  <c r="DO87" i="4" s="1"/>
  <c r="DO59" i="2"/>
  <c r="DO59" i="4" s="1"/>
  <c r="DO55" i="2"/>
  <c r="DO55" i="4" s="1"/>
  <c r="DO35" i="2"/>
  <c r="DO35" i="4" s="1"/>
  <c r="DO27" i="2"/>
  <c r="DO27" i="4" s="1"/>
  <c r="DO23" i="2"/>
  <c r="DO23" i="4" s="1"/>
  <c r="DO19" i="2"/>
  <c r="DO19" i="4" s="1"/>
  <c r="DO11" i="2"/>
  <c r="DO11" i="4" s="1"/>
  <c r="DO75" i="2"/>
  <c r="DO75" i="4" s="1"/>
  <c r="DO24" i="2"/>
  <c r="DO24" i="4" s="1"/>
  <c r="DO79" i="2"/>
  <c r="DO79" i="4" s="1"/>
  <c r="DO81" i="2"/>
  <c r="DO81" i="4" s="1"/>
  <c r="DO56" i="2"/>
  <c r="DO56" i="4" s="1"/>
  <c r="DO44" i="2"/>
  <c r="DO44" i="4" s="1"/>
  <c r="DO20" i="2"/>
  <c r="DO20" i="4" s="1"/>
  <c r="DO96" i="2"/>
  <c r="DO96" i="4" s="1"/>
  <c r="DO71" i="2"/>
  <c r="DO71" i="4" s="1"/>
  <c r="DO67" i="2"/>
  <c r="DO67" i="4" s="1"/>
  <c r="DO51" i="2"/>
  <c r="DO51" i="4" s="1"/>
  <c r="DO123" i="2"/>
  <c r="DO123" i="4" s="1"/>
  <c r="DO115" i="2"/>
  <c r="DO115" i="4" s="1"/>
  <c r="DO107" i="2"/>
  <c r="DO107" i="4" s="1"/>
  <c r="DO99" i="2"/>
  <c r="DO99" i="4" s="1"/>
  <c r="DO47" i="2"/>
  <c r="DO47" i="4" s="1"/>
  <c r="DO29" i="2"/>
  <c r="DO29" i="4" s="1"/>
  <c r="DO39" i="2"/>
  <c r="DO39" i="4" s="1"/>
  <c r="DO15" i="2"/>
  <c r="DO15" i="4" s="1"/>
  <c r="DQ1" i="4" l="1"/>
  <c r="DR2" i="4"/>
  <c r="DQ2" i="2"/>
  <c r="DP128" i="2"/>
  <c r="DP128" i="4" s="1"/>
  <c r="DP90" i="2"/>
  <c r="DP90" i="4" s="1"/>
  <c r="DP94" i="2"/>
  <c r="DP94" i="4" s="1"/>
  <c r="DP121" i="2"/>
  <c r="DP121" i="4" s="1"/>
  <c r="DP86" i="2"/>
  <c r="DP86" i="4" s="1"/>
  <c r="DP82" i="2"/>
  <c r="DP82" i="4" s="1"/>
  <c r="DP46" i="2"/>
  <c r="DP46" i="4" s="1"/>
  <c r="DP130" i="2"/>
  <c r="DP130" i="4" s="1"/>
  <c r="DP126" i="2"/>
  <c r="DP126" i="4" s="1"/>
  <c r="DP122" i="2"/>
  <c r="DP122" i="4" s="1"/>
  <c r="DP118" i="2"/>
  <c r="DP118" i="4" s="1"/>
  <c r="DP114" i="2"/>
  <c r="DP114" i="4" s="1"/>
  <c r="DP110" i="2"/>
  <c r="DP110" i="4" s="1"/>
  <c r="DP106" i="2"/>
  <c r="DP106" i="4" s="1"/>
  <c r="DP102" i="2"/>
  <c r="DP102" i="4" s="1"/>
  <c r="DP78" i="2"/>
  <c r="DP78" i="4" s="1"/>
  <c r="DP74" i="2"/>
  <c r="DP74" i="4" s="1"/>
  <c r="DP70" i="2"/>
  <c r="DP70" i="4" s="1"/>
  <c r="DP66" i="2"/>
  <c r="DP66" i="4" s="1"/>
  <c r="DP129" i="2"/>
  <c r="DP129" i="4" s="1"/>
  <c r="DP113" i="2"/>
  <c r="DP113" i="4" s="1"/>
  <c r="DP105" i="2"/>
  <c r="DP105" i="4" s="1"/>
  <c r="DP125" i="2"/>
  <c r="DP125" i="4" s="1"/>
  <c r="DP109" i="2"/>
  <c r="DP109" i="4" s="1"/>
  <c r="DP62" i="2"/>
  <c r="DP62" i="4" s="1"/>
  <c r="DP58" i="2"/>
  <c r="DP58" i="4" s="1"/>
  <c r="DP54" i="2"/>
  <c r="DP54" i="4" s="1"/>
  <c r="DP50" i="2"/>
  <c r="DP50" i="4" s="1"/>
  <c r="DP42" i="2"/>
  <c r="DP42" i="4" s="1"/>
  <c r="DP38" i="2"/>
  <c r="DP38" i="4" s="1"/>
  <c r="DP30" i="2"/>
  <c r="DP30" i="4" s="1"/>
  <c r="DP22" i="2"/>
  <c r="DP22" i="4" s="1"/>
  <c r="DP18" i="2"/>
  <c r="DP18" i="4" s="1"/>
  <c r="DP14" i="2"/>
  <c r="DP14" i="4" s="1"/>
  <c r="DP10" i="2"/>
  <c r="DP10" i="4" s="1"/>
  <c r="DP93" i="2"/>
  <c r="DP93" i="4" s="1"/>
  <c r="DP6" i="2"/>
  <c r="DP6" i="4" s="1"/>
  <c r="DP73" i="2"/>
  <c r="DP73" i="4" s="1"/>
  <c r="DP57" i="2"/>
  <c r="DP57" i="4" s="1"/>
  <c r="DP53" i="2"/>
  <c r="DP53" i="4" s="1"/>
  <c r="DP49" i="2"/>
  <c r="DP49" i="4" s="1"/>
  <c r="DP25" i="2"/>
  <c r="DP25" i="4" s="1"/>
  <c r="DP21" i="2"/>
  <c r="DP21" i="4" s="1"/>
  <c r="DP13" i="2"/>
  <c r="DP13" i="4" s="1"/>
  <c r="DP72" i="2"/>
  <c r="DP72" i="4" s="1"/>
  <c r="DP26" i="2"/>
  <c r="DP26" i="4" s="1"/>
  <c r="DP89" i="2"/>
  <c r="DP89" i="4" s="1"/>
  <c r="DP85" i="2"/>
  <c r="DP85" i="4" s="1"/>
  <c r="DP81" i="2"/>
  <c r="DP81" i="4" s="1"/>
  <c r="DP61" i="2"/>
  <c r="DP61" i="4" s="1"/>
  <c r="DP45" i="2"/>
  <c r="DP45" i="4" s="1"/>
  <c r="DP41" i="2"/>
  <c r="DP41" i="4" s="1"/>
  <c r="DP37" i="2"/>
  <c r="DP37" i="4" s="1"/>
  <c r="DP33" i="2"/>
  <c r="DP33" i="4" s="1"/>
  <c r="DP29" i="2"/>
  <c r="DP29" i="4" s="1"/>
  <c r="DP17" i="2"/>
  <c r="DP17" i="4" s="1"/>
  <c r="DP9" i="2"/>
  <c r="DP9" i="4" s="1"/>
  <c r="DP5" i="2"/>
  <c r="DP5" i="4" s="1"/>
  <c r="DP96" i="2"/>
  <c r="DP96" i="4" s="1"/>
  <c r="DP92" i="2"/>
  <c r="DP92" i="4" s="1"/>
  <c r="DP88" i="2"/>
  <c r="DP88" i="4" s="1"/>
  <c r="DP84" i="2"/>
  <c r="DP84" i="4" s="1"/>
  <c r="DP80" i="2"/>
  <c r="DP80" i="4" s="1"/>
  <c r="DP20" i="2"/>
  <c r="DP20" i="4" s="1"/>
  <c r="DP8" i="2"/>
  <c r="DP8" i="4" s="1"/>
  <c r="DP34" i="2"/>
  <c r="DP34" i="4" s="1"/>
  <c r="DP97" i="2"/>
  <c r="DP97" i="4" s="1"/>
  <c r="DP77" i="2"/>
  <c r="DP77" i="4" s="1"/>
  <c r="DP117" i="2"/>
  <c r="DP117" i="4" s="1"/>
  <c r="DP101" i="2"/>
  <c r="DP101" i="4" s="1"/>
  <c r="DP64" i="2"/>
  <c r="DP64" i="4" s="1"/>
  <c r="DP60" i="2"/>
  <c r="DP60" i="4" s="1"/>
  <c r="DP56" i="2"/>
  <c r="DP56" i="4" s="1"/>
  <c r="DP32" i="2"/>
  <c r="DP32" i="4" s="1"/>
  <c r="DP12" i="2"/>
  <c r="DP12" i="4" s="1"/>
  <c r="DP91" i="2"/>
  <c r="DP91" i="4" s="1"/>
  <c r="DP69" i="2"/>
  <c r="DP69" i="4" s="1"/>
  <c r="DP36" i="2"/>
  <c r="DP36" i="4" s="1"/>
  <c r="DP28" i="2"/>
  <c r="DP28" i="4" s="1"/>
  <c r="DP24" i="2"/>
  <c r="DP24" i="4" s="1"/>
  <c r="DP3" i="2"/>
  <c r="DP3" i="4" s="1"/>
  <c r="DP95" i="2"/>
  <c r="DP95" i="4" s="1"/>
  <c r="DP83" i="2"/>
  <c r="DP83" i="4" s="1"/>
  <c r="DP51" i="2"/>
  <c r="DP51" i="4" s="1"/>
  <c r="DP35" i="2"/>
  <c r="DP35" i="4" s="1"/>
  <c r="DP123" i="2"/>
  <c r="DP123" i="4" s="1"/>
  <c r="DP119" i="2"/>
  <c r="DP119" i="4" s="1"/>
  <c r="DP115" i="2"/>
  <c r="DP115" i="4" s="1"/>
  <c r="DP111" i="2"/>
  <c r="DP111" i="4" s="1"/>
  <c r="DP107" i="2"/>
  <c r="DP107" i="4" s="1"/>
  <c r="DP103" i="2"/>
  <c r="DP103" i="4" s="1"/>
  <c r="DP99" i="2"/>
  <c r="DP99" i="4" s="1"/>
  <c r="DP48" i="2"/>
  <c r="DP48" i="4" s="1"/>
  <c r="DP68" i="2"/>
  <c r="DP68" i="4" s="1"/>
  <c r="DP40" i="2"/>
  <c r="DP40" i="4" s="1"/>
  <c r="DP4" i="2"/>
  <c r="DP4" i="4" s="1"/>
  <c r="DP87" i="2"/>
  <c r="DP87" i="4" s="1"/>
  <c r="DP47" i="2"/>
  <c r="DP47" i="4" s="1"/>
  <c r="DP27" i="2"/>
  <c r="DP27" i="4" s="1"/>
  <c r="DP11" i="2"/>
  <c r="DP11" i="4" s="1"/>
  <c r="DP127" i="2"/>
  <c r="DP127" i="4" s="1"/>
  <c r="DP120" i="2"/>
  <c r="DP120" i="4" s="1"/>
  <c r="DP112" i="2"/>
  <c r="DP112" i="4" s="1"/>
  <c r="DP104" i="2"/>
  <c r="DP104" i="4" s="1"/>
  <c r="DP76" i="2"/>
  <c r="DP76" i="4" s="1"/>
  <c r="DP79" i="2"/>
  <c r="DP79" i="4" s="1"/>
  <c r="DP63" i="2"/>
  <c r="DP63" i="4" s="1"/>
  <c r="DP55" i="2"/>
  <c r="DP55" i="4" s="1"/>
  <c r="DP43" i="2"/>
  <c r="DP43" i="4" s="1"/>
  <c r="DP116" i="2"/>
  <c r="DP116" i="4" s="1"/>
  <c r="DP108" i="2"/>
  <c r="DP108" i="4" s="1"/>
  <c r="DP100" i="2"/>
  <c r="DP100" i="4" s="1"/>
  <c r="DP98" i="2"/>
  <c r="DP98" i="4" s="1"/>
  <c r="DP65" i="2"/>
  <c r="DP65" i="4" s="1"/>
  <c r="DP52" i="2"/>
  <c r="DP52" i="4" s="1"/>
  <c r="DP44" i="2"/>
  <c r="DP44" i="4" s="1"/>
  <c r="DP16" i="2"/>
  <c r="DP16" i="4" s="1"/>
  <c r="DP71" i="2"/>
  <c r="DP71" i="4" s="1"/>
  <c r="DP67" i="2"/>
  <c r="DP67" i="4" s="1"/>
  <c r="DP59" i="2"/>
  <c r="DP59" i="4" s="1"/>
  <c r="DP39" i="2"/>
  <c r="DP39" i="4" s="1"/>
  <c r="DP19" i="2"/>
  <c r="DP19" i="4" s="1"/>
  <c r="DP15" i="2"/>
  <c r="DP15" i="4" s="1"/>
  <c r="DP7" i="2"/>
  <c r="DP7" i="4" s="1"/>
  <c r="DP75" i="2"/>
  <c r="DP75" i="4" s="1"/>
  <c r="DP31" i="2"/>
  <c r="DP31" i="4" s="1"/>
  <c r="DP23" i="2"/>
  <c r="DP23" i="4" s="1"/>
  <c r="DP124" i="2"/>
  <c r="DP124" i="4" s="1"/>
  <c r="DR1" i="4" l="1"/>
  <c r="DS2" i="4"/>
  <c r="DR2" i="2"/>
  <c r="DQ91" i="2"/>
  <c r="DQ91" i="4" s="1"/>
  <c r="DQ95" i="2"/>
  <c r="DQ95" i="4" s="1"/>
  <c r="DQ122" i="2"/>
  <c r="DQ122" i="4" s="1"/>
  <c r="DQ106" i="2"/>
  <c r="DQ106" i="4" s="1"/>
  <c r="DQ70" i="2"/>
  <c r="DQ70" i="4" s="1"/>
  <c r="DQ66" i="2"/>
  <c r="DQ66" i="4" s="1"/>
  <c r="DQ18" i="2"/>
  <c r="DQ18" i="4" s="1"/>
  <c r="DQ10" i="2"/>
  <c r="DQ10" i="4" s="1"/>
  <c r="DQ74" i="2"/>
  <c r="DQ74" i="4" s="1"/>
  <c r="DQ114" i="2"/>
  <c r="DQ114" i="4" s="1"/>
  <c r="DQ129" i="2"/>
  <c r="DQ129" i="4" s="1"/>
  <c r="DQ125" i="2"/>
  <c r="DQ125" i="4" s="1"/>
  <c r="DQ121" i="2"/>
  <c r="DQ121" i="4" s="1"/>
  <c r="DQ117" i="2"/>
  <c r="DQ117" i="4" s="1"/>
  <c r="DQ113" i="2"/>
  <c r="DQ113" i="4" s="1"/>
  <c r="DQ109" i="2"/>
  <c r="DQ109" i="4" s="1"/>
  <c r="DQ105" i="2"/>
  <c r="DQ105" i="4" s="1"/>
  <c r="DQ101" i="2"/>
  <c r="DQ101" i="4" s="1"/>
  <c r="DQ97" i="2"/>
  <c r="DQ97" i="4" s="1"/>
  <c r="DQ90" i="2"/>
  <c r="DQ90" i="4" s="1"/>
  <c r="DQ86" i="2"/>
  <c r="DQ86" i="4" s="1"/>
  <c r="DQ82" i="2"/>
  <c r="DQ82" i="4" s="1"/>
  <c r="DQ78" i="2"/>
  <c r="DQ78" i="4" s="1"/>
  <c r="DQ62" i="2"/>
  <c r="DQ62" i="4" s="1"/>
  <c r="DQ58" i="2"/>
  <c r="DQ58" i="4" s="1"/>
  <c r="DQ54" i="2"/>
  <c r="DQ54" i="4" s="1"/>
  <c r="DQ50" i="2"/>
  <c r="DQ50" i="4" s="1"/>
  <c r="DQ42" i="2"/>
  <c r="DQ42" i="4" s="1"/>
  <c r="DQ38" i="2"/>
  <c r="DQ38" i="4" s="1"/>
  <c r="DQ30" i="2"/>
  <c r="DQ30" i="4" s="1"/>
  <c r="DQ22" i="2"/>
  <c r="DQ22" i="4" s="1"/>
  <c r="DQ14" i="2"/>
  <c r="DQ14" i="4" s="1"/>
  <c r="DQ6" i="2"/>
  <c r="DQ6" i="4" s="1"/>
  <c r="DQ126" i="2"/>
  <c r="DQ126" i="4" s="1"/>
  <c r="DQ49" i="2"/>
  <c r="DQ49" i="4" s="1"/>
  <c r="DQ13" i="2"/>
  <c r="DQ13" i="4" s="1"/>
  <c r="DQ72" i="2"/>
  <c r="DQ72" i="4" s="1"/>
  <c r="DQ56" i="2"/>
  <c r="DQ56" i="4" s="1"/>
  <c r="DQ46" i="2"/>
  <c r="DQ46" i="4" s="1"/>
  <c r="DQ26" i="2"/>
  <c r="DQ26" i="4" s="1"/>
  <c r="DQ89" i="2"/>
  <c r="DQ89" i="4" s="1"/>
  <c r="DQ85" i="2"/>
  <c r="DQ85" i="4" s="1"/>
  <c r="DQ81" i="2"/>
  <c r="DQ81" i="4" s="1"/>
  <c r="DQ73" i="2"/>
  <c r="DQ73" i="4" s="1"/>
  <c r="DQ69" i="2"/>
  <c r="DQ69" i="4" s="1"/>
  <c r="DQ65" i="2"/>
  <c r="DQ65" i="4" s="1"/>
  <c r="DQ45" i="2"/>
  <c r="DQ45" i="4" s="1"/>
  <c r="DQ41" i="2"/>
  <c r="DQ41" i="4" s="1"/>
  <c r="DQ37" i="2"/>
  <c r="DQ37" i="4" s="1"/>
  <c r="DQ33" i="2"/>
  <c r="DQ33" i="4" s="1"/>
  <c r="DQ17" i="2"/>
  <c r="DQ17" i="4" s="1"/>
  <c r="DQ5" i="2"/>
  <c r="DQ5" i="4" s="1"/>
  <c r="DQ96" i="2"/>
  <c r="DQ96" i="4" s="1"/>
  <c r="DQ92" i="2"/>
  <c r="DQ92" i="4" s="1"/>
  <c r="DQ88" i="2"/>
  <c r="DQ88" i="4" s="1"/>
  <c r="DQ84" i="2"/>
  <c r="DQ84" i="4" s="1"/>
  <c r="DQ80" i="2"/>
  <c r="DQ80" i="4" s="1"/>
  <c r="DQ76" i="2"/>
  <c r="DQ76" i="4" s="1"/>
  <c r="DQ52" i="2"/>
  <c r="DQ52" i="4" s="1"/>
  <c r="DQ32" i="2"/>
  <c r="DQ32" i="4" s="1"/>
  <c r="DQ24" i="2"/>
  <c r="DQ24" i="4" s="1"/>
  <c r="DQ16" i="2"/>
  <c r="DQ16" i="4" s="1"/>
  <c r="DQ127" i="2"/>
  <c r="DQ127" i="4" s="1"/>
  <c r="DQ111" i="2"/>
  <c r="DQ111" i="4" s="1"/>
  <c r="DQ34" i="2"/>
  <c r="DQ34" i="4" s="1"/>
  <c r="DQ130" i="2"/>
  <c r="DQ130" i="4" s="1"/>
  <c r="DQ61" i="2"/>
  <c r="DQ61" i="4" s="1"/>
  <c r="DQ118" i="2"/>
  <c r="DQ118" i="4" s="1"/>
  <c r="DQ102" i="2"/>
  <c r="DQ102" i="4" s="1"/>
  <c r="DQ64" i="2"/>
  <c r="DQ64" i="4" s="1"/>
  <c r="DQ48" i="2"/>
  <c r="DQ48" i="4" s="1"/>
  <c r="DQ36" i="2"/>
  <c r="DQ36" i="4" s="1"/>
  <c r="DQ12" i="2"/>
  <c r="DQ12" i="4" s="1"/>
  <c r="DQ115" i="2"/>
  <c r="DQ115" i="4" s="1"/>
  <c r="DQ99" i="2"/>
  <c r="DQ99" i="4" s="1"/>
  <c r="DQ110" i="2"/>
  <c r="DQ110" i="4" s="1"/>
  <c r="DQ94" i="2"/>
  <c r="DQ94" i="4" s="1"/>
  <c r="DQ93" i="2"/>
  <c r="DQ93" i="4" s="1"/>
  <c r="DQ53" i="2"/>
  <c r="DQ53" i="4" s="1"/>
  <c r="DQ25" i="2"/>
  <c r="DQ25" i="4" s="1"/>
  <c r="DQ28" i="2"/>
  <c r="DQ28" i="4" s="1"/>
  <c r="DQ8" i="2"/>
  <c r="DQ8" i="4" s="1"/>
  <c r="DQ103" i="2"/>
  <c r="DQ103" i="4" s="1"/>
  <c r="DQ3" i="2"/>
  <c r="DQ3" i="4" s="1"/>
  <c r="DQ51" i="2"/>
  <c r="DQ51" i="4" s="1"/>
  <c r="DQ39" i="2"/>
  <c r="DQ39" i="4" s="1"/>
  <c r="DQ27" i="2"/>
  <c r="DQ27" i="4" s="1"/>
  <c r="DQ11" i="2"/>
  <c r="DQ11" i="4" s="1"/>
  <c r="DQ7" i="2"/>
  <c r="DQ7" i="4" s="1"/>
  <c r="DQ124" i="2"/>
  <c r="DQ124" i="4" s="1"/>
  <c r="DQ120" i="2"/>
  <c r="DQ120" i="4" s="1"/>
  <c r="DQ116" i="2"/>
  <c r="DQ116" i="4" s="1"/>
  <c r="DQ112" i="2"/>
  <c r="DQ112" i="4" s="1"/>
  <c r="DQ108" i="2"/>
  <c r="DQ108" i="4" s="1"/>
  <c r="DQ104" i="2"/>
  <c r="DQ104" i="4" s="1"/>
  <c r="DQ100" i="2"/>
  <c r="DQ100" i="4" s="1"/>
  <c r="DQ83" i="2"/>
  <c r="DQ83" i="4" s="1"/>
  <c r="DQ68" i="2"/>
  <c r="DQ68" i="4" s="1"/>
  <c r="DQ4" i="2"/>
  <c r="DQ4" i="4" s="1"/>
  <c r="DQ107" i="2"/>
  <c r="DQ107" i="4" s="1"/>
  <c r="DQ59" i="2"/>
  <c r="DQ59" i="4" s="1"/>
  <c r="DQ47" i="2"/>
  <c r="DQ47" i="4" s="1"/>
  <c r="DQ31" i="2"/>
  <c r="DQ31" i="4" s="1"/>
  <c r="DQ15" i="2"/>
  <c r="DQ15" i="4" s="1"/>
  <c r="DQ77" i="2"/>
  <c r="DQ77" i="4" s="1"/>
  <c r="DQ9" i="2"/>
  <c r="DQ9" i="4" s="1"/>
  <c r="DQ60" i="2"/>
  <c r="DQ60" i="4" s="1"/>
  <c r="DQ44" i="2"/>
  <c r="DQ44" i="4" s="1"/>
  <c r="DQ20" i="2"/>
  <c r="DQ20" i="4" s="1"/>
  <c r="DQ123" i="2"/>
  <c r="DQ123" i="4" s="1"/>
  <c r="DQ79" i="2"/>
  <c r="DQ79" i="4" s="1"/>
  <c r="DQ75" i="2"/>
  <c r="DQ75" i="4" s="1"/>
  <c r="DQ55" i="2"/>
  <c r="DQ55" i="4" s="1"/>
  <c r="DQ35" i="2"/>
  <c r="DQ35" i="4" s="1"/>
  <c r="DQ23" i="2"/>
  <c r="DQ23" i="4" s="1"/>
  <c r="DQ19" i="2"/>
  <c r="DQ19" i="4" s="1"/>
  <c r="DQ57" i="2"/>
  <c r="DQ57" i="4" s="1"/>
  <c r="DQ29" i="2"/>
  <c r="DQ29" i="4" s="1"/>
  <c r="DQ21" i="2"/>
  <c r="DQ21" i="4" s="1"/>
  <c r="DQ40" i="2"/>
  <c r="DQ40" i="4" s="1"/>
  <c r="DQ119" i="2"/>
  <c r="DQ119" i="4" s="1"/>
  <c r="DQ71" i="2"/>
  <c r="DQ71" i="4" s="1"/>
  <c r="DQ67" i="2"/>
  <c r="DQ67" i="4" s="1"/>
  <c r="DQ63" i="2"/>
  <c r="DQ63" i="4" s="1"/>
  <c r="DQ43" i="2"/>
  <c r="DQ43" i="4" s="1"/>
  <c r="DQ128" i="2"/>
  <c r="DQ128" i="4" s="1"/>
  <c r="DQ87" i="2"/>
  <c r="DQ87" i="4" s="1"/>
  <c r="DQ98" i="2"/>
  <c r="DQ98" i="4" s="1"/>
  <c r="DS1" i="4" l="1"/>
  <c r="DT2" i="4"/>
  <c r="DS2" i="2"/>
  <c r="DR103" i="2"/>
  <c r="DR103" i="4" s="1"/>
  <c r="DR119" i="2"/>
  <c r="DR119" i="4" s="1"/>
  <c r="DR99" i="2"/>
  <c r="DR99" i="4" s="1"/>
  <c r="DR115" i="2"/>
  <c r="DR115" i="4" s="1"/>
  <c r="DR92" i="2"/>
  <c r="DR92" i="4" s="1"/>
  <c r="DR96" i="2"/>
  <c r="DR96" i="4" s="1"/>
  <c r="DR123" i="2"/>
  <c r="DR123" i="4" s="1"/>
  <c r="DR111" i="2"/>
  <c r="DR111" i="4" s="1"/>
  <c r="DR127" i="2"/>
  <c r="DR127" i="4" s="1"/>
  <c r="DR107" i="2"/>
  <c r="DR107" i="4" s="1"/>
  <c r="DR58" i="2"/>
  <c r="DR58" i="4" s="1"/>
  <c r="DR54" i="2"/>
  <c r="DR54" i="4" s="1"/>
  <c r="DR18" i="2"/>
  <c r="DR18" i="4" s="1"/>
  <c r="DR10" i="2"/>
  <c r="DR10" i="4" s="1"/>
  <c r="DR46" i="2"/>
  <c r="DR46" i="4" s="1"/>
  <c r="DR129" i="2"/>
  <c r="DR129" i="4" s="1"/>
  <c r="DR125" i="2"/>
  <c r="DR125" i="4" s="1"/>
  <c r="DR121" i="2"/>
  <c r="DR121" i="4" s="1"/>
  <c r="DR117" i="2"/>
  <c r="DR117" i="4" s="1"/>
  <c r="DR113" i="2"/>
  <c r="DR113" i="4" s="1"/>
  <c r="DR109" i="2"/>
  <c r="DR109" i="4" s="1"/>
  <c r="DR105" i="2"/>
  <c r="DR105" i="4" s="1"/>
  <c r="DR101" i="2"/>
  <c r="DR101" i="4" s="1"/>
  <c r="DR97" i="2"/>
  <c r="DR97" i="4" s="1"/>
  <c r="DR130" i="2"/>
  <c r="DR130" i="4" s="1"/>
  <c r="DR126" i="2"/>
  <c r="DR126" i="4" s="1"/>
  <c r="DR122" i="2"/>
  <c r="DR122" i="4" s="1"/>
  <c r="DR118" i="2"/>
  <c r="DR118" i="4" s="1"/>
  <c r="DR114" i="2"/>
  <c r="DR114" i="4" s="1"/>
  <c r="DR110" i="2"/>
  <c r="DR110" i="4" s="1"/>
  <c r="DR106" i="2"/>
  <c r="DR106" i="4" s="1"/>
  <c r="DR102" i="2"/>
  <c r="DR102" i="4" s="1"/>
  <c r="DR98" i="2"/>
  <c r="DR98" i="4" s="1"/>
  <c r="DR94" i="2"/>
  <c r="DR94" i="4" s="1"/>
  <c r="DR90" i="2"/>
  <c r="DR90" i="4" s="1"/>
  <c r="DR86" i="2"/>
  <c r="DR86" i="4" s="1"/>
  <c r="DR82" i="2"/>
  <c r="DR82" i="4" s="1"/>
  <c r="DR78" i="2"/>
  <c r="DR78" i="4" s="1"/>
  <c r="DR70" i="2"/>
  <c r="DR70" i="4" s="1"/>
  <c r="DR66" i="2"/>
  <c r="DR66" i="4" s="1"/>
  <c r="DR42" i="2"/>
  <c r="DR42" i="4" s="1"/>
  <c r="DR38" i="2"/>
  <c r="DR38" i="4" s="1"/>
  <c r="DR30" i="2"/>
  <c r="DR30" i="4" s="1"/>
  <c r="DR14" i="2"/>
  <c r="DR14" i="4" s="1"/>
  <c r="DR6" i="2"/>
  <c r="DR6" i="4" s="1"/>
  <c r="DR74" i="2"/>
  <c r="DR74" i="4" s="1"/>
  <c r="DR29" i="2"/>
  <c r="DR29" i="4" s="1"/>
  <c r="DR17" i="2"/>
  <c r="DR17" i="4" s="1"/>
  <c r="DR9" i="2"/>
  <c r="DR9" i="4" s="1"/>
  <c r="DR72" i="2"/>
  <c r="DR72" i="4" s="1"/>
  <c r="DR62" i="2"/>
  <c r="DR62" i="4" s="1"/>
  <c r="DR50" i="2"/>
  <c r="DR50" i="4" s="1"/>
  <c r="DR22" i="2"/>
  <c r="DR22" i="4" s="1"/>
  <c r="DR89" i="2"/>
  <c r="DR89" i="4" s="1"/>
  <c r="DR85" i="2"/>
  <c r="DR85" i="4" s="1"/>
  <c r="DR81" i="2"/>
  <c r="DR81" i="4" s="1"/>
  <c r="DR77" i="2"/>
  <c r="DR77" i="4" s="1"/>
  <c r="DR73" i="2"/>
  <c r="DR73" i="4" s="1"/>
  <c r="DR69" i="2"/>
  <c r="DR69" i="4" s="1"/>
  <c r="DR65" i="2"/>
  <c r="DR65" i="4" s="1"/>
  <c r="DR57" i="2"/>
  <c r="DR57" i="4" s="1"/>
  <c r="DR53" i="2"/>
  <c r="DR53" i="4" s="1"/>
  <c r="DR49" i="2"/>
  <c r="DR49" i="4" s="1"/>
  <c r="DR37" i="2"/>
  <c r="DR37" i="4" s="1"/>
  <c r="DR25" i="2"/>
  <c r="DR25" i="4" s="1"/>
  <c r="DR21" i="2"/>
  <c r="DR21" i="4" s="1"/>
  <c r="DR5" i="2"/>
  <c r="DR5" i="4" s="1"/>
  <c r="DR76" i="2"/>
  <c r="DR76" i="4" s="1"/>
  <c r="DR60" i="2"/>
  <c r="DR60" i="4" s="1"/>
  <c r="DR52" i="2"/>
  <c r="DR52" i="4" s="1"/>
  <c r="DR40" i="2"/>
  <c r="DR40" i="4" s="1"/>
  <c r="DR24" i="2"/>
  <c r="DR24" i="4" s="1"/>
  <c r="DR128" i="2"/>
  <c r="DR128" i="4" s="1"/>
  <c r="DR112" i="2"/>
  <c r="DR112" i="4" s="1"/>
  <c r="DR34" i="2"/>
  <c r="DR34" i="4" s="1"/>
  <c r="DR26" i="2"/>
  <c r="DR26" i="4" s="1"/>
  <c r="DR45" i="2"/>
  <c r="DR45" i="4" s="1"/>
  <c r="DR13" i="2"/>
  <c r="DR13" i="4" s="1"/>
  <c r="DR64" i="2"/>
  <c r="DR64" i="4" s="1"/>
  <c r="DR48" i="2"/>
  <c r="DR48" i="4" s="1"/>
  <c r="DR44" i="2"/>
  <c r="DR44" i="4" s="1"/>
  <c r="DR36" i="2"/>
  <c r="DR36" i="4" s="1"/>
  <c r="DR28" i="2"/>
  <c r="DR28" i="4" s="1"/>
  <c r="DR12" i="2"/>
  <c r="DR12" i="4" s="1"/>
  <c r="DR116" i="2"/>
  <c r="DR116" i="4" s="1"/>
  <c r="DR100" i="2"/>
  <c r="DR100" i="4" s="1"/>
  <c r="DR3" i="2"/>
  <c r="DR3" i="4" s="1"/>
  <c r="DR93" i="2"/>
  <c r="DR93" i="4" s="1"/>
  <c r="DR61" i="2"/>
  <c r="DR61" i="4" s="1"/>
  <c r="DR41" i="2"/>
  <c r="DR41" i="4" s="1"/>
  <c r="DR32" i="2"/>
  <c r="DR32" i="4" s="1"/>
  <c r="DR104" i="2"/>
  <c r="DR104" i="4" s="1"/>
  <c r="DR91" i="2"/>
  <c r="DR91" i="4" s="1"/>
  <c r="DR79" i="2"/>
  <c r="DR79" i="4" s="1"/>
  <c r="DR67" i="2"/>
  <c r="DR67" i="4" s="1"/>
  <c r="DR51" i="2"/>
  <c r="DR51" i="4" s="1"/>
  <c r="DR39" i="2"/>
  <c r="DR39" i="4" s="1"/>
  <c r="DR27" i="2"/>
  <c r="DR27" i="4" s="1"/>
  <c r="DR7" i="2"/>
  <c r="DR7" i="4" s="1"/>
  <c r="DR84" i="2"/>
  <c r="DR84" i="4" s="1"/>
  <c r="DR95" i="2"/>
  <c r="DR95" i="4" s="1"/>
  <c r="DR68" i="2"/>
  <c r="DR68" i="4" s="1"/>
  <c r="DR16" i="2"/>
  <c r="DR16" i="4" s="1"/>
  <c r="DR4" i="2"/>
  <c r="DR4" i="4" s="1"/>
  <c r="DR108" i="2"/>
  <c r="DR108" i="4" s="1"/>
  <c r="DR83" i="2"/>
  <c r="DR83" i="4" s="1"/>
  <c r="DR75" i="2"/>
  <c r="DR75" i="4" s="1"/>
  <c r="DR71" i="2"/>
  <c r="DR71" i="4" s="1"/>
  <c r="DR59" i="2"/>
  <c r="DR59" i="4" s="1"/>
  <c r="DR47" i="2"/>
  <c r="DR47" i="4" s="1"/>
  <c r="DR43" i="2"/>
  <c r="DR43" i="4" s="1"/>
  <c r="DR31" i="2"/>
  <c r="DR31" i="4" s="1"/>
  <c r="DR15" i="2"/>
  <c r="DR15" i="4" s="1"/>
  <c r="DR11" i="2"/>
  <c r="DR11" i="4" s="1"/>
  <c r="DR56" i="2"/>
  <c r="DR56" i="4" s="1"/>
  <c r="DR20" i="2"/>
  <c r="DR20" i="4" s="1"/>
  <c r="DR55" i="2"/>
  <c r="DR55" i="4" s="1"/>
  <c r="DR33" i="2"/>
  <c r="DR33" i="4" s="1"/>
  <c r="DR8" i="2"/>
  <c r="DR8" i="4" s="1"/>
  <c r="DR120" i="2"/>
  <c r="DR120" i="4" s="1"/>
  <c r="DR87" i="2"/>
  <c r="DR87" i="4" s="1"/>
  <c r="DR63" i="2"/>
  <c r="DR63" i="4" s="1"/>
  <c r="DR35" i="2"/>
  <c r="DR35" i="4" s="1"/>
  <c r="DR19" i="2"/>
  <c r="DR19" i="4" s="1"/>
  <c r="DR88" i="2"/>
  <c r="DR88" i="4" s="1"/>
  <c r="DR124" i="2"/>
  <c r="DR124" i="4" s="1"/>
  <c r="DR80" i="2"/>
  <c r="DR80" i="4" s="1"/>
  <c r="DR23" i="2"/>
  <c r="DR23" i="4" s="1"/>
  <c r="DT1" i="4" l="1"/>
  <c r="DU2" i="4"/>
  <c r="DT2" i="2"/>
  <c r="DS127" i="2"/>
  <c r="DS127" i="4" s="1"/>
  <c r="DS104" i="2"/>
  <c r="DS104" i="4" s="1"/>
  <c r="DS120" i="2"/>
  <c r="DS120" i="4" s="1"/>
  <c r="DS100" i="2"/>
  <c r="DS100" i="4" s="1"/>
  <c r="DS116" i="2"/>
  <c r="DS116" i="4" s="1"/>
  <c r="DS124" i="2"/>
  <c r="DS124" i="4" s="1"/>
  <c r="DS112" i="2"/>
  <c r="DS112" i="4" s="1"/>
  <c r="DS128" i="2"/>
  <c r="DS128" i="4" s="1"/>
  <c r="DS108" i="2"/>
  <c r="DS108" i="4" s="1"/>
  <c r="DS62" i="2"/>
  <c r="DS62" i="4" s="1"/>
  <c r="DS42" i="2"/>
  <c r="DS42" i="4" s="1"/>
  <c r="DS30" i="2"/>
  <c r="DS30" i="4" s="1"/>
  <c r="DS14" i="2"/>
  <c r="DS14" i="4" s="1"/>
  <c r="DS97" i="2"/>
  <c r="DS97" i="4" s="1"/>
  <c r="DS26" i="2"/>
  <c r="DS26" i="4" s="1"/>
  <c r="DS51" i="2"/>
  <c r="DS51" i="4" s="1"/>
  <c r="DS130" i="2"/>
  <c r="DS130" i="4" s="1"/>
  <c r="DS126" i="2"/>
  <c r="DS126" i="4" s="1"/>
  <c r="DS122" i="2"/>
  <c r="DS122" i="4" s="1"/>
  <c r="DS118" i="2"/>
  <c r="DS118" i="4" s="1"/>
  <c r="DS114" i="2"/>
  <c r="DS114" i="4" s="1"/>
  <c r="DS110" i="2"/>
  <c r="DS110" i="4" s="1"/>
  <c r="DS106" i="2"/>
  <c r="DS106" i="4" s="1"/>
  <c r="DS102" i="2"/>
  <c r="DS102" i="4" s="1"/>
  <c r="DS98" i="2"/>
  <c r="DS98" i="4" s="1"/>
  <c r="DS94" i="2"/>
  <c r="DS94" i="4" s="1"/>
  <c r="DS90" i="2"/>
  <c r="DS90" i="4" s="1"/>
  <c r="DS86" i="2"/>
  <c r="DS86" i="4" s="1"/>
  <c r="DS82" i="2"/>
  <c r="DS82" i="4" s="1"/>
  <c r="DS78" i="2"/>
  <c r="DS78" i="4" s="1"/>
  <c r="DS74" i="2"/>
  <c r="DS74" i="4" s="1"/>
  <c r="DS70" i="2"/>
  <c r="DS70" i="4" s="1"/>
  <c r="DS66" i="2"/>
  <c r="DS66" i="4" s="1"/>
  <c r="DS46" i="2"/>
  <c r="DS46" i="4" s="1"/>
  <c r="DS38" i="2"/>
  <c r="DS38" i="4" s="1"/>
  <c r="DS34" i="2"/>
  <c r="DS34" i="4" s="1"/>
  <c r="DS18" i="2"/>
  <c r="DS18" i="4" s="1"/>
  <c r="DS6" i="2"/>
  <c r="DS6" i="4" s="1"/>
  <c r="DS129" i="2"/>
  <c r="DS129" i="4" s="1"/>
  <c r="DS125" i="2"/>
  <c r="DS125" i="4" s="1"/>
  <c r="DS121" i="2"/>
  <c r="DS121" i="4" s="1"/>
  <c r="DS117" i="2"/>
  <c r="DS117" i="4" s="1"/>
  <c r="DS113" i="2"/>
  <c r="DS113" i="4" s="1"/>
  <c r="DS109" i="2"/>
  <c r="DS109" i="4" s="1"/>
  <c r="DS105" i="2"/>
  <c r="DS105" i="4" s="1"/>
  <c r="DS101" i="2"/>
  <c r="DS101" i="4" s="1"/>
  <c r="DS89" i="2"/>
  <c r="DS89" i="4" s="1"/>
  <c r="DS85" i="2"/>
  <c r="DS85" i="4" s="1"/>
  <c r="DS93" i="2"/>
  <c r="DS93" i="4" s="1"/>
  <c r="DS81" i="2"/>
  <c r="DS81" i="4" s="1"/>
  <c r="DS45" i="2"/>
  <c r="DS45" i="4" s="1"/>
  <c r="DS29" i="2"/>
  <c r="DS29" i="4" s="1"/>
  <c r="DS64" i="2"/>
  <c r="DS64" i="4" s="1"/>
  <c r="DS58" i="2"/>
  <c r="DS58" i="4" s="1"/>
  <c r="DS54" i="2"/>
  <c r="DS54" i="4" s="1"/>
  <c r="DS50" i="2"/>
  <c r="DS50" i="4" s="1"/>
  <c r="DS22" i="2"/>
  <c r="DS22" i="4" s="1"/>
  <c r="DS77" i="2"/>
  <c r="DS77" i="4" s="1"/>
  <c r="DS73" i="2"/>
  <c r="DS73" i="4" s="1"/>
  <c r="DS69" i="2"/>
  <c r="DS69" i="4" s="1"/>
  <c r="DS65" i="2"/>
  <c r="DS65" i="4" s="1"/>
  <c r="DS57" i="2"/>
  <c r="DS57" i="4" s="1"/>
  <c r="DS53" i="2"/>
  <c r="DS53" i="4" s="1"/>
  <c r="DS49" i="2"/>
  <c r="DS49" i="4" s="1"/>
  <c r="DS25" i="2"/>
  <c r="DS25" i="4" s="1"/>
  <c r="DS21" i="2"/>
  <c r="DS21" i="4" s="1"/>
  <c r="DS13" i="2"/>
  <c r="DS13" i="4" s="1"/>
  <c r="DS9" i="2"/>
  <c r="DS9" i="4" s="1"/>
  <c r="DS5" i="2"/>
  <c r="DS5" i="4" s="1"/>
  <c r="DS68" i="2"/>
  <c r="DS68" i="4" s="1"/>
  <c r="DS60" i="2"/>
  <c r="DS60" i="4" s="1"/>
  <c r="DS52" i="2"/>
  <c r="DS52" i="4" s="1"/>
  <c r="DS40" i="2"/>
  <c r="DS40" i="4" s="1"/>
  <c r="DS36" i="2"/>
  <c r="DS36" i="4" s="1"/>
  <c r="DS24" i="2"/>
  <c r="DS24" i="4" s="1"/>
  <c r="DS61" i="2"/>
  <c r="DS61" i="4" s="1"/>
  <c r="DS41" i="2"/>
  <c r="DS41" i="4" s="1"/>
  <c r="DS37" i="2"/>
  <c r="DS37" i="4" s="1"/>
  <c r="DS33" i="2"/>
  <c r="DS33" i="4" s="1"/>
  <c r="DS17" i="2"/>
  <c r="DS17" i="4" s="1"/>
  <c r="DS92" i="2"/>
  <c r="DS92" i="4" s="1"/>
  <c r="DS88" i="2"/>
  <c r="DS88" i="4" s="1"/>
  <c r="DS84" i="2"/>
  <c r="DS84" i="4" s="1"/>
  <c r="DS80" i="2"/>
  <c r="DS80" i="4" s="1"/>
  <c r="DS76" i="2"/>
  <c r="DS76" i="4" s="1"/>
  <c r="DS72" i="2"/>
  <c r="DS72" i="4" s="1"/>
  <c r="DS48" i="2"/>
  <c r="DS48" i="4" s="1"/>
  <c r="DS28" i="2"/>
  <c r="DS28" i="4" s="1"/>
  <c r="DS16" i="2"/>
  <c r="DS16" i="4" s="1"/>
  <c r="DS12" i="2"/>
  <c r="DS12" i="4" s="1"/>
  <c r="DS8" i="2"/>
  <c r="DS8" i="4" s="1"/>
  <c r="DS4" i="2"/>
  <c r="DS4" i="4" s="1"/>
  <c r="DS32" i="2"/>
  <c r="DS32" i="4" s="1"/>
  <c r="DS91" i="2"/>
  <c r="DS91" i="4" s="1"/>
  <c r="DS79" i="2"/>
  <c r="DS79" i="4" s="1"/>
  <c r="DS39" i="2"/>
  <c r="DS39" i="4" s="1"/>
  <c r="DS3" i="2"/>
  <c r="DS3" i="4" s="1"/>
  <c r="DS95" i="2"/>
  <c r="DS95" i="4" s="1"/>
  <c r="DS83" i="2"/>
  <c r="DS83" i="4" s="1"/>
  <c r="DS75" i="2"/>
  <c r="DS75" i="4" s="1"/>
  <c r="DS63" i="2"/>
  <c r="DS63" i="4" s="1"/>
  <c r="DS55" i="2"/>
  <c r="DS55" i="4" s="1"/>
  <c r="DS43" i="2"/>
  <c r="DS43" i="4" s="1"/>
  <c r="DS31" i="2"/>
  <c r="DS31" i="4" s="1"/>
  <c r="DS27" i="2"/>
  <c r="DS27" i="4" s="1"/>
  <c r="DS23" i="2"/>
  <c r="DS23" i="4" s="1"/>
  <c r="DS7" i="2"/>
  <c r="DS7" i="4" s="1"/>
  <c r="DS123" i="2"/>
  <c r="DS123" i="4" s="1"/>
  <c r="DS115" i="2"/>
  <c r="DS115" i="4" s="1"/>
  <c r="DS107" i="2"/>
  <c r="DS107" i="4" s="1"/>
  <c r="DS99" i="2"/>
  <c r="DS99" i="4" s="1"/>
  <c r="DS10" i="2"/>
  <c r="DS10" i="4" s="1"/>
  <c r="DS56" i="2"/>
  <c r="DS56" i="4" s="1"/>
  <c r="DS47" i="2"/>
  <c r="DS47" i="4" s="1"/>
  <c r="DS11" i="2"/>
  <c r="DS11" i="4" s="1"/>
  <c r="DS111" i="2"/>
  <c r="DS111" i="4" s="1"/>
  <c r="DS103" i="2"/>
  <c r="DS103" i="4" s="1"/>
  <c r="DS87" i="2"/>
  <c r="DS87" i="4" s="1"/>
  <c r="DS59" i="2"/>
  <c r="DS59" i="4" s="1"/>
  <c r="DS35" i="2"/>
  <c r="DS35" i="4" s="1"/>
  <c r="DS19" i="2"/>
  <c r="DS19" i="4" s="1"/>
  <c r="DS15" i="2"/>
  <c r="DS15" i="4" s="1"/>
  <c r="DS44" i="2"/>
  <c r="DS44" i="4" s="1"/>
  <c r="DS20" i="2"/>
  <c r="DS20" i="4" s="1"/>
  <c r="DS71" i="2"/>
  <c r="DS71" i="4" s="1"/>
  <c r="DS67" i="2"/>
  <c r="DS67" i="4" s="1"/>
  <c r="DS119" i="2"/>
  <c r="DS119" i="4" s="1"/>
  <c r="DS96" i="2"/>
  <c r="DS96" i="4" s="1"/>
  <c r="DU1" i="4" l="1"/>
  <c r="DV2" i="4"/>
  <c r="DU2" i="2"/>
  <c r="DT128" i="2"/>
  <c r="DT128" i="4" s="1"/>
  <c r="DT98" i="2"/>
  <c r="DT98" i="4" s="1"/>
  <c r="DT125" i="2"/>
  <c r="DT125" i="4" s="1"/>
  <c r="DT90" i="2"/>
  <c r="DT90" i="4" s="1"/>
  <c r="DT86" i="2"/>
  <c r="DT86" i="4" s="1"/>
  <c r="DT82" i="2"/>
  <c r="DT82" i="4" s="1"/>
  <c r="DT26" i="2"/>
  <c r="DT26" i="4" s="1"/>
  <c r="DT78" i="2"/>
  <c r="DT78" i="4" s="1"/>
  <c r="DT46" i="2"/>
  <c r="DT46" i="4" s="1"/>
  <c r="DT34" i="2"/>
  <c r="DT34" i="4" s="1"/>
  <c r="DT89" i="2"/>
  <c r="DT89" i="4" s="1"/>
  <c r="DT85" i="2"/>
  <c r="DT85" i="4" s="1"/>
  <c r="DT81" i="2"/>
  <c r="DT81" i="4" s="1"/>
  <c r="DT109" i="2"/>
  <c r="DT109" i="4" s="1"/>
  <c r="DT130" i="2"/>
  <c r="DT130" i="4" s="1"/>
  <c r="DT126" i="2"/>
  <c r="DT126" i="4" s="1"/>
  <c r="DT122" i="2"/>
  <c r="DT122" i="4" s="1"/>
  <c r="DT118" i="2"/>
  <c r="DT118" i="4" s="1"/>
  <c r="DT114" i="2"/>
  <c r="DT114" i="4" s="1"/>
  <c r="DT110" i="2"/>
  <c r="DT110" i="4" s="1"/>
  <c r="DT106" i="2"/>
  <c r="DT106" i="4" s="1"/>
  <c r="DT102" i="2"/>
  <c r="DT102" i="4" s="1"/>
  <c r="DT74" i="2"/>
  <c r="DT74" i="4" s="1"/>
  <c r="DT70" i="2"/>
  <c r="DT70" i="4" s="1"/>
  <c r="DT66" i="2"/>
  <c r="DT66" i="4" s="1"/>
  <c r="DT117" i="2"/>
  <c r="DT117" i="4" s="1"/>
  <c r="DT101" i="2"/>
  <c r="DT101" i="4" s="1"/>
  <c r="DT97" i="2"/>
  <c r="DT97" i="4" s="1"/>
  <c r="DT93" i="2"/>
  <c r="DT93" i="4" s="1"/>
  <c r="DT68" i="2"/>
  <c r="DT68" i="4" s="1"/>
  <c r="DT113" i="2"/>
  <c r="DT113" i="4" s="1"/>
  <c r="DT62" i="2"/>
  <c r="DT62" i="4" s="1"/>
  <c r="DT58" i="2"/>
  <c r="DT58" i="4" s="1"/>
  <c r="DT54" i="2"/>
  <c r="DT54" i="4" s="1"/>
  <c r="DT50" i="2"/>
  <c r="DT50" i="4" s="1"/>
  <c r="DT42" i="2"/>
  <c r="DT42" i="4" s="1"/>
  <c r="DT38" i="2"/>
  <c r="DT38" i="4" s="1"/>
  <c r="DT30" i="2"/>
  <c r="DT30" i="4" s="1"/>
  <c r="DT22" i="2"/>
  <c r="DT22" i="4" s="1"/>
  <c r="DT18" i="2"/>
  <c r="DT18" i="4" s="1"/>
  <c r="DT14" i="2"/>
  <c r="DT14" i="4" s="1"/>
  <c r="DT10" i="2"/>
  <c r="DT10" i="4" s="1"/>
  <c r="DT57" i="2"/>
  <c r="DT57" i="4" s="1"/>
  <c r="DT53" i="2"/>
  <c r="DT53" i="4" s="1"/>
  <c r="DT49" i="2"/>
  <c r="DT49" i="4" s="1"/>
  <c r="DT25" i="2"/>
  <c r="DT25" i="4" s="1"/>
  <c r="DT21" i="2"/>
  <c r="DT21" i="4" s="1"/>
  <c r="DT13" i="2"/>
  <c r="DT13" i="4" s="1"/>
  <c r="DT72" i="2"/>
  <c r="DT72" i="4" s="1"/>
  <c r="DT40" i="2"/>
  <c r="DT40" i="4" s="1"/>
  <c r="DT4" i="2"/>
  <c r="DT4" i="4" s="1"/>
  <c r="DT129" i="2"/>
  <c r="DT129" i="4" s="1"/>
  <c r="DT6" i="2"/>
  <c r="DT6" i="4" s="1"/>
  <c r="DT77" i="2"/>
  <c r="DT77" i="4" s="1"/>
  <c r="DT61" i="2"/>
  <c r="DT61" i="4" s="1"/>
  <c r="DT45" i="2"/>
  <c r="DT45" i="4" s="1"/>
  <c r="DT41" i="2"/>
  <c r="DT41" i="4" s="1"/>
  <c r="DT37" i="2"/>
  <c r="DT37" i="4" s="1"/>
  <c r="DT33" i="2"/>
  <c r="DT33" i="4" s="1"/>
  <c r="DT29" i="2"/>
  <c r="DT29" i="4" s="1"/>
  <c r="DT17" i="2"/>
  <c r="DT17" i="4" s="1"/>
  <c r="DT9" i="2"/>
  <c r="DT9" i="4" s="1"/>
  <c r="DT5" i="2"/>
  <c r="DT5" i="4" s="1"/>
  <c r="DT121" i="2"/>
  <c r="DT121" i="4" s="1"/>
  <c r="DT105" i="2"/>
  <c r="DT105" i="4" s="1"/>
  <c r="DT96" i="2"/>
  <c r="DT96" i="4" s="1"/>
  <c r="DT92" i="2"/>
  <c r="DT92" i="4" s="1"/>
  <c r="DT88" i="2"/>
  <c r="DT88" i="4" s="1"/>
  <c r="DT84" i="2"/>
  <c r="DT84" i="4" s="1"/>
  <c r="DT80" i="2"/>
  <c r="DT80" i="4" s="1"/>
  <c r="DT76" i="2"/>
  <c r="DT76" i="4" s="1"/>
  <c r="DT60" i="2"/>
  <c r="DT60" i="4" s="1"/>
  <c r="DT56" i="2"/>
  <c r="DT56" i="4" s="1"/>
  <c r="DT24" i="2"/>
  <c r="DT24" i="4" s="1"/>
  <c r="DT20" i="2"/>
  <c r="DT20" i="4" s="1"/>
  <c r="DT8" i="2"/>
  <c r="DT8" i="4" s="1"/>
  <c r="DT73" i="2"/>
  <c r="DT73" i="4" s="1"/>
  <c r="DT65" i="2"/>
  <c r="DT65" i="4" s="1"/>
  <c r="DT32" i="2"/>
  <c r="DT32" i="4" s="1"/>
  <c r="DT28" i="2"/>
  <c r="DT28" i="4" s="1"/>
  <c r="DT91" i="2"/>
  <c r="DT91" i="4" s="1"/>
  <c r="DT79" i="2"/>
  <c r="DT79" i="4" s="1"/>
  <c r="DT75" i="2"/>
  <c r="DT75" i="4" s="1"/>
  <c r="DT63" i="2"/>
  <c r="DT63" i="4" s="1"/>
  <c r="DT55" i="2"/>
  <c r="DT55" i="4" s="1"/>
  <c r="DT43" i="2"/>
  <c r="DT43" i="4" s="1"/>
  <c r="DT39" i="2"/>
  <c r="DT39" i="4" s="1"/>
  <c r="DT23" i="2"/>
  <c r="DT23" i="4" s="1"/>
  <c r="DT19" i="2"/>
  <c r="DT19" i="4" s="1"/>
  <c r="DT127" i="2"/>
  <c r="DT127" i="4" s="1"/>
  <c r="DT120" i="2"/>
  <c r="DT120" i="4" s="1"/>
  <c r="DT112" i="2"/>
  <c r="DT112" i="4" s="1"/>
  <c r="DT104" i="2"/>
  <c r="DT104" i="4" s="1"/>
  <c r="DT7" i="2"/>
  <c r="DT7" i="4" s="1"/>
  <c r="DT123" i="2"/>
  <c r="DT123" i="4" s="1"/>
  <c r="DT99" i="2"/>
  <c r="DT99" i="4" s="1"/>
  <c r="DT94" i="2"/>
  <c r="DT94" i="4" s="1"/>
  <c r="DT48" i="2"/>
  <c r="DT48" i="4" s="1"/>
  <c r="DT36" i="2"/>
  <c r="DT36" i="4" s="1"/>
  <c r="DT12" i="2"/>
  <c r="DT12" i="4" s="1"/>
  <c r="DT3" i="2"/>
  <c r="DT3" i="4" s="1"/>
  <c r="DT95" i="2"/>
  <c r="DT95" i="4" s="1"/>
  <c r="DT83" i="2"/>
  <c r="DT83" i="4" s="1"/>
  <c r="DT51" i="2"/>
  <c r="DT51" i="4" s="1"/>
  <c r="DT64" i="2"/>
  <c r="DT64" i="4" s="1"/>
  <c r="DT44" i="2"/>
  <c r="DT44" i="4" s="1"/>
  <c r="DT31" i="2"/>
  <c r="DT31" i="4" s="1"/>
  <c r="DT119" i="2"/>
  <c r="DT119" i="4" s="1"/>
  <c r="DT115" i="2"/>
  <c r="DT115" i="4" s="1"/>
  <c r="DT107" i="2"/>
  <c r="DT107" i="4" s="1"/>
  <c r="DT69" i="2"/>
  <c r="DT69" i="4" s="1"/>
  <c r="DT87" i="2"/>
  <c r="DT87" i="4" s="1"/>
  <c r="DT59" i="2"/>
  <c r="DT59" i="4" s="1"/>
  <c r="DT47" i="2"/>
  <c r="DT47" i="4" s="1"/>
  <c r="DT27" i="2"/>
  <c r="DT27" i="4" s="1"/>
  <c r="DT15" i="2"/>
  <c r="DT15" i="4" s="1"/>
  <c r="DT11" i="2"/>
  <c r="DT11" i="4" s="1"/>
  <c r="DT124" i="2"/>
  <c r="DT124" i="4" s="1"/>
  <c r="DT116" i="2"/>
  <c r="DT116" i="4" s="1"/>
  <c r="DT108" i="2"/>
  <c r="DT108" i="4" s="1"/>
  <c r="DT100" i="2"/>
  <c r="DT100" i="4" s="1"/>
  <c r="DT52" i="2"/>
  <c r="DT52" i="4" s="1"/>
  <c r="DT16" i="2"/>
  <c r="DT16" i="4" s="1"/>
  <c r="DT71" i="2"/>
  <c r="DT71" i="4" s="1"/>
  <c r="DT67" i="2"/>
  <c r="DT67" i="4" s="1"/>
  <c r="DT35" i="2"/>
  <c r="DT35" i="4" s="1"/>
  <c r="DT111" i="2"/>
  <c r="DT111" i="4" s="1"/>
  <c r="DT103" i="2"/>
  <c r="DT103" i="4" s="1"/>
  <c r="DV1" i="4" l="1"/>
  <c r="DW2" i="4"/>
  <c r="DV2" i="2"/>
  <c r="DU79" i="2"/>
  <c r="DU79" i="4" s="1"/>
  <c r="DU110" i="2"/>
  <c r="DU110" i="4" s="1"/>
  <c r="DU126" i="2"/>
  <c r="DU126" i="4" s="1"/>
  <c r="DU130" i="2"/>
  <c r="DU130" i="4" s="1"/>
  <c r="DU114" i="2"/>
  <c r="DU114" i="4" s="1"/>
  <c r="DU70" i="2"/>
  <c r="DU70" i="4" s="1"/>
  <c r="DU66" i="2"/>
  <c r="DU66" i="4" s="1"/>
  <c r="DU46" i="2"/>
  <c r="DU46" i="4" s="1"/>
  <c r="DU34" i="2"/>
  <c r="DU34" i="4" s="1"/>
  <c r="DU26" i="2"/>
  <c r="DU26" i="4" s="1"/>
  <c r="DU10" i="2"/>
  <c r="DU10" i="4" s="1"/>
  <c r="DU74" i="2"/>
  <c r="DU74" i="4" s="1"/>
  <c r="DU18" i="2"/>
  <c r="DU18" i="4" s="1"/>
  <c r="DU93" i="2"/>
  <c r="DU93" i="4" s="1"/>
  <c r="DU89" i="2"/>
  <c r="DU89" i="4" s="1"/>
  <c r="DU85" i="2"/>
  <c r="DU85" i="4" s="1"/>
  <c r="DU81" i="2"/>
  <c r="DU81" i="4" s="1"/>
  <c r="DU118" i="2"/>
  <c r="DU118" i="4" s="1"/>
  <c r="DU102" i="2"/>
  <c r="DU102" i="4" s="1"/>
  <c r="DU129" i="2"/>
  <c r="DU129" i="4" s="1"/>
  <c r="DU125" i="2"/>
  <c r="DU125" i="4" s="1"/>
  <c r="DU121" i="2"/>
  <c r="DU121" i="4" s="1"/>
  <c r="DU117" i="2"/>
  <c r="DU117" i="4" s="1"/>
  <c r="DU113" i="2"/>
  <c r="DU113" i="4" s="1"/>
  <c r="DU109" i="2"/>
  <c r="DU109" i="4" s="1"/>
  <c r="DU105" i="2"/>
  <c r="DU105" i="4" s="1"/>
  <c r="DU101" i="2"/>
  <c r="DU101" i="4" s="1"/>
  <c r="DU97" i="2"/>
  <c r="DU97" i="4" s="1"/>
  <c r="DU53" i="2"/>
  <c r="DU53" i="4" s="1"/>
  <c r="DU29" i="2"/>
  <c r="DU29" i="4" s="1"/>
  <c r="DU9" i="2"/>
  <c r="DU9" i="4" s="1"/>
  <c r="DU68" i="2"/>
  <c r="DU68" i="4" s="1"/>
  <c r="DU86" i="2"/>
  <c r="DU86" i="4" s="1"/>
  <c r="DU82" i="2"/>
  <c r="DU82" i="4" s="1"/>
  <c r="DU62" i="2"/>
  <c r="DU62" i="4" s="1"/>
  <c r="DU58" i="2"/>
  <c r="DU58" i="4" s="1"/>
  <c r="DU54" i="2"/>
  <c r="DU54" i="4" s="1"/>
  <c r="DU50" i="2"/>
  <c r="DU50" i="4" s="1"/>
  <c r="DU42" i="2"/>
  <c r="DU42" i="4" s="1"/>
  <c r="DU38" i="2"/>
  <c r="DU38" i="4" s="1"/>
  <c r="DU30" i="2"/>
  <c r="DU30" i="4" s="1"/>
  <c r="DU22" i="2"/>
  <c r="DU22" i="4" s="1"/>
  <c r="DU14" i="2"/>
  <c r="DU14" i="4" s="1"/>
  <c r="DU6" i="2"/>
  <c r="DU6" i="4" s="1"/>
  <c r="DU13" i="2"/>
  <c r="DU13" i="4" s="1"/>
  <c r="DU72" i="2"/>
  <c r="DU72" i="4" s="1"/>
  <c r="DU56" i="2"/>
  <c r="DU56" i="4" s="1"/>
  <c r="DU44" i="2"/>
  <c r="DU44" i="4" s="1"/>
  <c r="DU40" i="2"/>
  <c r="DU40" i="4" s="1"/>
  <c r="DU32" i="2"/>
  <c r="DU32" i="4" s="1"/>
  <c r="DU20" i="2"/>
  <c r="DU20" i="4" s="1"/>
  <c r="DU16" i="2"/>
  <c r="DU16" i="4" s="1"/>
  <c r="DU4" i="2"/>
  <c r="DU4" i="4" s="1"/>
  <c r="DU115" i="2"/>
  <c r="DU115" i="4" s="1"/>
  <c r="DU99" i="2"/>
  <c r="DU99" i="4" s="1"/>
  <c r="DU83" i="2"/>
  <c r="DU83" i="4" s="1"/>
  <c r="DU78" i="2"/>
  <c r="DU78" i="4" s="1"/>
  <c r="DU77" i="2"/>
  <c r="DU77" i="4" s="1"/>
  <c r="DU73" i="2"/>
  <c r="DU73" i="4" s="1"/>
  <c r="DU69" i="2"/>
  <c r="DU69" i="4" s="1"/>
  <c r="DU65" i="2"/>
  <c r="DU65" i="4" s="1"/>
  <c r="DU45" i="2"/>
  <c r="DU45" i="4" s="1"/>
  <c r="DU41" i="2"/>
  <c r="DU41" i="4" s="1"/>
  <c r="DU37" i="2"/>
  <c r="DU37" i="4" s="1"/>
  <c r="DU33" i="2"/>
  <c r="DU33" i="4" s="1"/>
  <c r="DU17" i="2"/>
  <c r="DU17" i="4" s="1"/>
  <c r="DU5" i="2"/>
  <c r="DU5" i="4" s="1"/>
  <c r="DU122" i="2"/>
  <c r="DU122" i="4" s="1"/>
  <c r="DU106" i="2"/>
  <c r="DU106" i="4" s="1"/>
  <c r="DU96" i="2"/>
  <c r="DU96" i="4" s="1"/>
  <c r="DU92" i="2"/>
  <c r="DU92" i="4" s="1"/>
  <c r="DU88" i="2"/>
  <c r="DU88" i="4" s="1"/>
  <c r="DU84" i="2"/>
  <c r="DU84" i="4" s="1"/>
  <c r="DU80" i="2"/>
  <c r="DU80" i="4" s="1"/>
  <c r="DU76" i="2"/>
  <c r="DU76" i="4" s="1"/>
  <c r="DU60" i="2"/>
  <c r="DU60" i="4" s="1"/>
  <c r="DU52" i="2"/>
  <c r="DU52" i="4" s="1"/>
  <c r="DU24" i="2"/>
  <c r="DU24" i="4" s="1"/>
  <c r="DU119" i="2"/>
  <c r="DU119" i="4" s="1"/>
  <c r="DU103" i="2"/>
  <c r="DU103" i="4" s="1"/>
  <c r="DU90" i="2"/>
  <c r="DU90" i="4" s="1"/>
  <c r="DU57" i="2"/>
  <c r="DU57" i="4" s="1"/>
  <c r="DU49" i="2"/>
  <c r="DU49" i="4" s="1"/>
  <c r="DU21" i="2"/>
  <c r="DU21" i="4" s="1"/>
  <c r="DU48" i="2"/>
  <c r="DU48" i="4" s="1"/>
  <c r="DU107" i="2"/>
  <c r="DU107" i="4" s="1"/>
  <c r="DU75" i="2"/>
  <c r="DU75" i="4" s="1"/>
  <c r="DU55" i="2"/>
  <c r="DU55" i="4" s="1"/>
  <c r="DU23" i="2"/>
  <c r="DU23" i="4" s="1"/>
  <c r="DU87" i="2"/>
  <c r="DU87" i="4" s="1"/>
  <c r="DU124" i="2"/>
  <c r="DU124" i="4" s="1"/>
  <c r="DU116" i="2"/>
  <c r="DU116" i="4" s="1"/>
  <c r="DU98" i="2"/>
  <c r="DU98" i="4" s="1"/>
  <c r="DU36" i="2"/>
  <c r="DU36" i="4" s="1"/>
  <c r="DU111" i="2"/>
  <c r="DU111" i="4" s="1"/>
  <c r="DU3" i="2"/>
  <c r="DU3" i="4" s="1"/>
  <c r="DU51" i="2"/>
  <c r="DU51" i="4" s="1"/>
  <c r="DU39" i="2"/>
  <c r="DU39" i="4" s="1"/>
  <c r="DU27" i="2"/>
  <c r="DU27" i="4" s="1"/>
  <c r="DU11" i="2"/>
  <c r="DU11" i="4" s="1"/>
  <c r="DU128" i="2"/>
  <c r="DU128" i="4" s="1"/>
  <c r="DU95" i="2"/>
  <c r="DU95" i="4" s="1"/>
  <c r="DU64" i="2"/>
  <c r="DU64" i="4" s="1"/>
  <c r="DU28" i="2"/>
  <c r="DU28" i="4" s="1"/>
  <c r="DU120" i="2"/>
  <c r="DU120" i="4" s="1"/>
  <c r="DU104" i="2"/>
  <c r="DU104" i="4" s="1"/>
  <c r="DU100" i="2"/>
  <c r="DU100" i="4" s="1"/>
  <c r="DU94" i="2"/>
  <c r="DU94" i="4" s="1"/>
  <c r="DU61" i="2"/>
  <c r="DU61" i="4" s="1"/>
  <c r="DU25" i="2"/>
  <c r="DU25" i="4" s="1"/>
  <c r="DU12" i="2"/>
  <c r="DU12" i="4" s="1"/>
  <c r="DU8" i="2"/>
  <c r="DU8" i="4" s="1"/>
  <c r="DU123" i="2"/>
  <c r="DU123" i="4" s="1"/>
  <c r="DU59" i="2"/>
  <c r="DU59" i="4" s="1"/>
  <c r="DU47" i="2"/>
  <c r="DU47" i="4" s="1"/>
  <c r="DU31" i="2"/>
  <c r="DU31" i="4" s="1"/>
  <c r="DU19" i="2"/>
  <c r="DU19" i="4" s="1"/>
  <c r="DU15" i="2"/>
  <c r="DU15" i="4" s="1"/>
  <c r="DU7" i="2"/>
  <c r="DU7" i="4" s="1"/>
  <c r="DU91" i="2"/>
  <c r="DU91" i="4" s="1"/>
  <c r="DU127" i="2"/>
  <c r="DU127" i="4" s="1"/>
  <c r="DU71" i="2"/>
  <c r="DU71" i="4" s="1"/>
  <c r="DU67" i="2"/>
  <c r="DU67" i="4" s="1"/>
  <c r="DU63" i="2"/>
  <c r="DU63" i="4" s="1"/>
  <c r="DU43" i="2"/>
  <c r="DU43" i="4" s="1"/>
  <c r="DU35" i="2"/>
  <c r="DU35" i="4" s="1"/>
  <c r="DU112" i="2"/>
  <c r="DU112" i="4" s="1"/>
  <c r="DU108" i="2"/>
  <c r="DU108" i="4" s="1"/>
  <c r="DW1" i="4" l="1"/>
  <c r="DX2" i="4"/>
  <c r="DW2" i="2"/>
  <c r="DV80" i="2"/>
  <c r="DV80" i="4" s="1"/>
  <c r="DV107" i="2"/>
  <c r="DV107" i="4" s="1"/>
  <c r="DV123" i="2"/>
  <c r="DV123" i="4" s="1"/>
  <c r="DV130" i="2"/>
  <c r="DV130" i="4" s="1"/>
  <c r="DV103" i="2"/>
  <c r="DV103" i="4" s="1"/>
  <c r="DV119" i="2"/>
  <c r="DV119" i="4" s="1"/>
  <c r="DV127" i="2"/>
  <c r="DV127" i="4" s="1"/>
  <c r="DV99" i="2"/>
  <c r="DV99" i="4" s="1"/>
  <c r="DV115" i="2"/>
  <c r="DV115" i="4" s="1"/>
  <c r="DV111" i="2"/>
  <c r="DV111" i="4" s="1"/>
  <c r="DV74" i="2"/>
  <c r="DV74" i="4" s="1"/>
  <c r="DV62" i="2"/>
  <c r="DV62" i="4" s="1"/>
  <c r="DV58" i="2"/>
  <c r="DV58" i="4" s="1"/>
  <c r="DV34" i="2"/>
  <c r="DV34" i="4" s="1"/>
  <c r="DV50" i="2"/>
  <c r="DV50" i="4" s="1"/>
  <c r="DV46" i="2"/>
  <c r="DV46" i="4" s="1"/>
  <c r="DV26" i="2"/>
  <c r="DV26" i="4" s="1"/>
  <c r="DV22" i="2"/>
  <c r="DV22" i="4" s="1"/>
  <c r="DV18" i="2"/>
  <c r="DV18" i="4" s="1"/>
  <c r="DV10" i="2"/>
  <c r="DV10" i="4" s="1"/>
  <c r="DV93" i="2"/>
  <c r="DV93" i="4" s="1"/>
  <c r="DV89" i="2"/>
  <c r="DV89" i="4" s="1"/>
  <c r="DV85" i="2"/>
  <c r="DV85" i="4" s="1"/>
  <c r="DV129" i="2"/>
  <c r="DV129" i="4" s="1"/>
  <c r="DV125" i="2"/>
  <c r="DV125" i="4" s="1"/>
  <c r="DV121" i="2"/>
  <c r="DV121" i="4" s="1"/>
  <c r="DV117" i="2"/>
  <c r="DV117" i="4" s="1"/>
  <c r="DV113" i="2"/>
  <c r="DV113" i="4" s="1"/>
  <c r="DV109" i="2"/>
  <c r="DV109" i="4" s="1"/>
  <c r="DV105" i="2"/>
  <c r="DV105" i="4" s="1"/>
  <c r="DV101" i="2"/>
  <c r="DV101" i="4" s="1"/>
  <c r="DV97" i="2"/>
  <c r="DV97" i="4" s="1"/>
  <c r="DV37" i="2"/>
  <c r="DV37" i="4" s="1"/>
  <c r="DV17" i="2"/>
  <c r="DV17" i="4" s="1"/>
  <c r="DV68" i="2"/>
  <c r="DV68" i="4" s="1"/>
  <c r="DV86" i="2"/>
  <c r="DV86" i="4" s="1"/>
  <c r="DV82" i="2"/>
  <c r="DV82" i="4" s="1"/>
  <c r="DV70" i="2"/>
  <c r="DV70" i="4" s="1"/>
  <c r="DV66" i="2"/>
  <c r="DV66" i="4" s="1"/>
  <c r="DV54" i="2"/>
  <c r="DV54" i="4" s="1"/>
  <c r="DV42" i="2"/>
  <c r="DV42" i="4" s="1"/>
  <c r="DV38" i="2"/>
  <c r="DV38" i="4" s="1"/>
  <c r="DV30" i="2"/>
  <c r="DV30" i="4" s="1"/>
  <c r="DV14" i="2"/>
  <c r="DV14" i="4" s="1"/>
  <c r="DV6" i="2"/>
  <c r="DV6" i="4" s="1"/>
  <c r="DV41" i="2"/>
  <c r="DV41" i="4" s="1"/>
  <c r="DV13" i="2"/>
  <c r="DV13" i="4" s="1"/>
  <c r="DV72" i="2"/>
  <c r="DV72" i="4" s="1"/>
  <c r="DV56" i="2"/>
  <c r="DV56" i="4" s="1"/>
  <c r="DV44" i="2"/>
  <c r="DV44" i="4" s="1"/>
  <c r="DV20" i="2"/>
  <c r="DV20" i="4" s="1"/>
  <c r="DV16" i="2"/>
  <c r="DV16" i="4" s="1"/>
  <c r="DV4" i="2"/>
  <c r="DV4" i="4" s="1"/>
  <c r="DV116" i="2"/>
  <c r="DV116" i="4" s="1"/>
  <c r="DV100" i="2"/>
  <c r="DV100" i="4" s="1"/>
  <c r="DV84" i="2"/>
  <c r="DV84" i="4" s="1"/>
  <c r="DV81" i="2"/>
  <c r="DV81" i="4" s="1"/>
  <c r="DV77" i="2"/>
  <c r="DV77" i="4" s="1"/>
  <c r="DV73" i="2"/>
  <c r="DV73" i="4" s="1"/>
  <c r="DV69" i="2"/>
  <c r="DV69" i="4" s="1"/>
  <c r="DV65" i="2"/>
  <c r="DV65" i="4" s="1"/>
  <c r="DV57" i="2"/>
  <c r="DV57" i="4" s="1"/>
  <c r="DV53" i="2"/>
  <c r="DV53" i="4" s="1"/>
  <c r="DV49" i="2"/>
  <c r="DV49" i="4" s="1"/>
  <c r="DV29" i="2"/>
  <c r="DV29" i="4" s="1"/>
  <c r="DV25" i="2"/>
  <c r="DV25" i="4" s="1"/>
  <c r="DV21" i="2"/>
  <c r="DV21" i="4" s="1"/>
  <c r="DV9" i="2"/>
  <c r="DV9" i="4" s="1"/>
  <c r="DV5" i="2"/>
  <c r="DV5" i="4" s="1"/>
  <c r="DV76" i="2"/>
  <c r="DV76" i="4" s="1"/>
  <c r="DV60" i="2"/>
  <c r="DV60" i="4" s="1"/>
  <c r="DV52" i="2"/>
  <c r="DV52" i="4" s="1"/>
  <c r="DV40" i="2"/>
  <c r="DV40" i="4" s="1"/>
  <c r="DV24" i="2"/>
  <c r="DV24" i="4" s="1"/>
  <c r="DV120" i="2"/>
  <c r="DV120" i="4" s="1"/>
  <c r="DV104" i="2"/>
  <c r="DV104" i="4" s="1"/>
  <c r="DV95" i="2"/>
  <c r="DV95" i="4" s="1"/>
  <c r="DV3" i="2"/>
  <c r="DV3" i="4" s="1"/>
  <c r="DV126" i="2"/>
  <c r="DV126" i="4" s="1"/>
  <c r="DV118" i="2"/>
  <c r="DV118" i="4" s="1"/>
  <c r="DV110" i="2"/>
  <c r="DV110" i="4" s="1"/>
  <c r="DV102" i="2"/>
  <c r="DV102" i="4" s="1"/>
  <c r="DV33" i="2"/>
  <c r="DV33" i="4" s="1"/>
  <c r="DV48" i="2"/>
  <c r="DV48" i="4" s="1"/>
  <c r="DV28" i="2"/>
  <c r="DV28" i="4" s="1"/>
  <c r="DV108" i="2"/>
  <c r="DV108" i="4" s="1"/>
  <c r="DV67" i="2"/>
  <c r="DV67" i="4" s="1"/>
  <c r="DV55" i="2"/>
  <c r="DV55" i="4" s="1"/>
  <c r="DV23" i="2"/>
  <c r="DV23" i="4" s="1"/>
  <c r="DV88" i="2"/>
  <c r="DV88" i="4" s="1"/>
  <c r="DV94" i="2"/>
  <c r="DV94" i="4" s="1"/>
  <c r="DV32" i="2"/>
  <c r="DV32" i="4" s="1"/>
  <c r="DV112" i="2"/>
  <c r="DV112" i="4" s="1"/>
  <c r="DV91" i="2"/>
  <c r="DV91" i="4" s="1"/>
  <c r="DV79" i="2"/>
  <c r="DV79" i="4" s="1"/>
  <c r="DV75" i="2"/>
  <c r="DV75" i="4" s="1"/>
  <c r="DV71" i="2"/>
  <c r="DV71" i="4" s="1"/>
  <c r="DV51" i="2"/>
  <c r="DV51" i="4" s="1"/>
  <c r="DV39" i="2"/>
  <c r="DV39" i="4" s="1"/>
  <c r="DV27" i="2"/>
  <c r="DV27" i="4" s="1"/>
  <c r="DV7" i="2"/>
  <c r="DV7" i="4" s="1"/>
  <c r="DV96" i="2"/>
  <c r="DV96" i="4" s="1"/>
  <c r="DV78" i="2"/>
  <c r="DV78" i="4" s="1"/>
  <c r="DV64" i="2"/>
  <c r="DV64" i="4" s="1"/>
  <c r="DV19" i="2"/>
  <c r="DV19" i="4" s="1"/>
  <c r="DV122" i="2"/>
  <c r="DV122" i="4" s="1"/>
  <c r="DV114" i="2"/>
  <c r="DV114" i="4" s="1"/>
  <c r="DV106" i="2"/>
  <c r="DV106" i="4" s="1"/>
  <c r="DV98" i="2"/>
  <c r="DV98" i="4" s="1"/>
  <c r="DV90" i="2"/>
  <c r="DV90" i="4" s="1"/>
  <c r="DV61" i="2"/>
  <c r="DV61" i="4" s="1"/>
  <c r="DV45" i="2"/>
  <c r="DV45" i="4" s="1"/>
  <c r="DV36" i="2"/>
  <c r="DV36" i="4" s="1"/>
  <c r="DV12" i="2"/>
  <c r="DV12" i="4" s="1"/>
  <c r="DV8" i="2"/>
  <c r="DV8" i="4" s="1"/>
  <c r="DV124" i="2"/>
  <c r="DV124" i="4" s="1"/>
  <c r="DV83" i="2"/>
  <c r="DV83" i="4" s="1"/>
  <c r="DV59" i="2"/>
  <c r="DV59" i="4" s="1"/>
  <c r="DV47" i="2"/>
  <c r="DV47" i="4" s="1"/>
  <c r="DV43" i="2"/>
  <c r="DV43" i="4" s="1"/>
  <c r="DV31" i="2"/>
  <c r="DV31" i="4" s="1"/>
  <c r="DV15" i="2"/>
  <c r="DV15" i="4" s="1"/>
  <c r="DV11" i="2"/>
  <c r="DV11" i="4" s="1"/>
  <c r="DV92" i="2"/>
  <c r="DV92" i="4" s="1"/>
  <c r="DV63" i="2"/>
  <c r="DV63" i="4" s="1"/>
  <c r="DV128" i="2"/>
  <c r="DV128" i="4" s="1"/>
  <c r="DV87" i="2"/>
  <c r="DV87" i="4" s="1"/>
  <c r="DV35" i="2"/>
  <c r="DV35" i="4" s="1"/>
  <c r="DX1" i="4" l="1"/>
  <c r="DY2" i="4"/>
  <c r="DX2" i="2"/>
  <c r="DW127" i="2"/>
  <c r="DW127" i="4" s="1"/>
  <c r="DW108" i="2"/>
  <c r="DW108" i="4" s="1"/>
  <c r="DW124" i="2"/>
  <c r="DW124" i="4" s="1"/>
  <c r="DW104" i="2"/>
  <c r="DW104" i="4" s="1"/>
  <c r="DW120" i="2"/>
  <c r="DW120" i="4" s="1"/>
  <c r="DW100" i="2"/>
  <c r="DW100" i="4" s="1"/>
  <c r="DW116" i="2"/>
  <c r="DW116" i="4" s="1"/>
  <c r="DW112" i="2"/>
  <c r="DW112" i="4" s="1"/>
  <c r="DW128" i="2"/>
  <c r="DW128" i="4" s="1"/>
  <c r="DW62" i="2"/>
  <c r="DW62" i="4" s="1"/>
  <c r="DW58" i="2"/>
  <c r="DW58" i="4" s="1"/>
  <c r="DW54" i="2"/>
  <c r="DW54" i="4" s="1"/>
  <c r="DW50" i="2"/>
  <c r="DW50" i="4" s="1"/>
  <c r="DW38" i="2"/>
  <c r="DW38" i="4" s="1"/>
  <c r="DW26" i="2"/>
  <c r="DW26" i="4" s="1"/>
  <c r="DW22" i="2"/>
  <c r="DW22" i="4" s="1"/>
  <c r="DW14" i="2"/>
  <c r="DW14" i="4" s="1"/>
  <c r="DW10" i="2"/>
  <c r="DW10" i="4" s="1"/>
  <c r="DW55" i="2"/>
  <c r="DW55" i="4" s="1"/>
  <c r="DW34" i="2"/>
  <c r="DW34" i="4" s="1"/>
  <c r="DW42" i="2"/>
  <c r="DW42" i="4" s="1"/>
  <c r="DW30" i="2"/>
  <c r="DW30" i="4" s="1"/>
  <c r="DW6" i="2"/>
  <c r="DW6" i="4" s="1"/>
  <c r="DW89" i="2"/>
  <c r="DW89" i="4" s="1"/>
  <c r="DW78" i="2"/>
  <c r="DW78" i="4" s="1"/>
  <c r="DW81" i="2"/>
  <c r="DW81" i="4" s="1"/>
  <c r="DW86" i="2"/>
  <c r="DW86" i="4" s="1"/>
  <c r="DW82" i="2"/>
  <c r="DW82" i="4" s="1"/>
  <c r="DW70" i="2"/>
  <c r="DW70" i="4" s="1"/>
  <c r="DW66" i="2"/>
  <c r="DW66" i="4" s="1"/>
  <c r="DW18" i="2"/>
  <c r="DW18" i="4" s="1"/>
  <c r="DW85" i="2"/>
  <c r="DW85" i="4" s="1"/>
  <c r="DW29" i="2"/>
  <c r="DW29" i="4" s="1"/>
  <c r="DW68" i="2"/>
  <c r="DW68" i="4" s="1"/>
  <c r="DW56" i="2"/>
  <c r="DW56" i="4" s="1"/>
  <c r="DW44" i="2"/>
  <c r="DW44" i="4" s="1"/>
  <c r="DW20" i="2"/>
  <c r="DW20" i="4" s="1"/>
  <c r="DW3" i="2"/>
  <c r="DW3" i="4" s="1"/>
  <c r="DW95" i="2"/>
  <c r="DW95" i="4" s="1"/>
  <c r="DW46" i="2"/>
  <c r="DW46" i="4" s="1"/>
  <c r="DW129" i="2"/>
  <c r="DW129" i="4" s="1"/>
  <c r="DW125" i="2"/>
  <c r="DW125" i="4" s="1"/>
  <c r="DW121" i="2"/>
  <c r="DW121" i="4" s="1"/>
  <c r="DW117" i="2"/>
  <c r="DW117" i="4" s="1"/>
  <c r="DW113" i="2"/>
  <c r="DW113" i="4" s="1"/>
  <c r="DW109" i="2"/>
  <c r="DW109" i="4" s="1"/>
  <c r="DW105" i="2"/>
  <c r="DW105" i="4" s="1"/>
  <c r="DW101" i="2"/>
  <c r="DW101" i="4" s="1"/>
  <c r="DW97" i="2"/>
  <c r="DW97" i="4" s="1"/>
  <c r="DW77" i="2"/>
  <c r="DW77" i="4" s="1"/>
  <c r="DW73" i="2"/>
  <c r="DW73" i="4" s="1"/>
  <c r="DW69" i="2"/>
  <c r="DW69" i="4" s="1"/>
  <c r="DW65" i="2"/>
  <c r="DW65" i="4" s="1"/>
  <c r="DW57" i="2"/>
  <c r="DW57" i="4" s="1"/>
  <c r="DW53" i="2"/>
  <c r="DW53" i="4" s="1"/>
  <c r="DW49" i="2"/>
  <c r="DW49" i="4" s="1"/>
  <c r="DW25" i="2"/>
  <c r="DW25" i="4" s="1"/>
  <c r="DW21" i="2"/>
  <c r="DW21" i="4" s="1"/>
  <c r="DW13" i="2"/>
  <c r="DW13" i="4" s="1"/>
  <c r="DW9" i="2"/>
  <c r="DW9" i="4" s="1"/>
  <c r="DW93" i="2"/>
  <c r="DW93" i="4" s="1"/>
  <c r="DW72" i="2"/>
  <c r="DW72" i="4" s="1"/>
  <c r="DW60" i="2"/>
  <c r="DW60" i="4" s="1"/>
  <c r="DW52" i="2"/>
  <c r="DW52" i="4" s="1"/>
  <c r="DW40" i="2"/>
  <c r="DW40" i="4" s="1"/>
  <c r="DW36" i="2"/>
  <c r="DW36" i="4" s="1"/>
  <c r="DW24" i="2"/>
  <c r="DW24" i="4" s="1"/>
  <c r="DW4" i="2"/>
  <c r="DW4" i="4" s="1"/>
  <c r="DW96" i="2"/>
  <c r="DW96" i="4" s="1"/>
  <c r="DW130" i="2"/>
  <c r="DW130" i="4" s="1"/>
  <c r="DW122" i="2"/>
  <c r="DW122" i="4" s="1"/>
  <c r="DW114" i="2"/>
  <c r="DW114" i="4" s="1"/>
  <c r="DW106" i="2"/>
  <c r="DW106" i="4" s="1"/>
  <c r="DW98" i="2"/>
  <c r="DW98" i="4" s="1"/>
  <c r="DW90" i="2"/>
  <c r="DW90" i="4" s="1"/>
  <c r="DW92" i="2"/>
  <c r="DW92" i="4" s="1"/>
  <c r="DW88" i="2"/>
  <c r="DW88" i="4" s="1"/>
  <c r="DW84" i="2"/>
  <c r="DW84" i="4" s="1"/>
  <c r="DW80" i="2"/>
  <c r="DW80" i="4" s="1"/>
  <c r="DW76" i="2"/>
  <c r="DW76" i="4" s="1"/>
  <c r="DW48" i="2"/>
  <c r="DW48" i="4" s="1"/>
  <c r="DW28" i="2"/>
  <c r="DW28" i="4" s="1"/>
  <c r="DW16" i="2"/>
  <c r="DW16" i="4" s="1"/>
  <c r="DW71" i="2"/>
  <c r="DW71" i="4" s="1"/>
  <c r="DW67" i="2"/>
  <c r="DW67" i="4" s="1"/>
  <c r="DW123" i="2"/>
  <c r="DW123" i="4" s="1"/>
  <c r="DW115" i="2"/>
  <c r="DW115" i="4" s="1"/>
  <c r="DW107" i="2"/>
  <c r="DW107" i="4" s="1"/>
  <c r="DW99" i="2"/>
  <c r="DW99" i="4" s="1"/>
  <c r="DW64" i="2"/>
  <c r="DW64" i="4" s="1"/>
  <c r="DW74" i="2"/>
  <c r="DW74" i="4" s="1"/>
  <c r="DW32" i="2"/>
  <c r="DW32" i="4" s="1"/>
  <c r="DW91" i="2"/>
  <c r="DW91" i="4" s="1"/>
  <c r="DW79" i="2"/>
  <c r="DW79" i="4" s="1"/>
  <c r="DW39" i="2"/>
  <c r="DW39" i="4" s="1"/>
  <c r="DW23" i="2"/>
  <c r="DW23" i="4" s="1"/>
  <c r="DW94" i="2"/>
  <c r="DW94" i="4" s="1"/>
  <c r="DW5" i="2"/>
  <c r="DW5" i="4" s="1"/>
  <c r="DW47" i="2"/>
  <c r="DW47" i="4" s="1"/>
  <c r="DW35" i="2"/>
  <c r="DW35" i="4" s="1"/>
  <c r="DW19" i="2"/>
  <c r="DW19" i="4" s="1"/>
  <c r="DW75" i="2"/>
  <c r="DW75" i="4" s="1"/>
  <c r="DW126" i="2"/>
  <c r="DW126" i="4" s="1"/>
  <c r="DW118" i="2"/>
  <c r="DW118" i="4" s="1"/>
  <c r="DW110" i="2"/>
  <c r="DW110" i="4" s="1"/>
  <c r="DW102" i="2"/>
  <c r="DW102" i="4" s="1"/>
  <c r="DW61" i="2"/>
  <c r="DW61" i="4" s="1"/>
  <c r="DW45" i="2"/>
  <c r="DW45" i="4" s="1"/>
  <c r="DW41" i="2"/>
  <c r="DW41" i="4" s="1"/>
  <c r="DW37" i="2"/>
  <c r="DW37" i="4" s="1"/>
  <c r="DW33" i="2"/>
  <c r="DW33" i="4" s="1"/>
  <c r="DW17" i="2"/>
  <c r="DW17" i="4" s="1"/>
  <c r="DW12" i="2"/>
  <c r="DW12" i="4" s="1"/>
  <c r="DW8" i="2"/>
  <c r="DW8" i="4" s="1"/>
  <c r="DW83" i="2"/>
  <c r="DW83" i="4" s="1"/>
  <c r="DW63" i="2"/>
  <c r="DW63" i="4" s="1"/>
  <c r="DW59" i="2"/>
  <c r="DW59" i="4" s="1"/>
  <c r="DW51" i="2"/>
  <c r="DW51" i="4" s="1"/>
  <c r="DW43" i="2"/>
  <c r="DW43" i="4" s="1"/>
  <c r="DW31" i="2"/>
  <c r="DW31" i="4" s="1"/>
  <c r="DW27" i="2"/>
  <c r="DW27" i="4" s="1"/>
  <c r="DW15" i="2"/>
  <c r="DW15" i="4" s="1"/>
  <c r="DW11" i="2"/>
  <c r="DW11" i="4" s="1"/>
  <c r="DW7" i="2"/>
  <c r="DW7" i="4" s="1"/>
  <c r="DW119" i="2"/>
  <c r="DW119" i="4" s="1"/>
  <c r="DW111" i="2"/>
  <c r="DW111" i="4" s="1"/>
  <c r="DW103" i="2"/>
  <c r="DW103" i="4" s="1"/>
  <c r="DW87" i="2"/>
  <c r="DW87" i="4" s="1"/>
  <c r="DY1" i="4" l="1"/>
  <c r="DZ2" i="4"/>
  <c r="DX113" i="4"/>
  <c r="DY2" i="2"/>
  <c r="DX128" i="2"/>
  <c r="DX128" i="4" s="1"/>
  <c r="DX113" i="2"/>
  <c r="DX129" i="2"/>
  <c r="DX129" i="4" s="1"/>
  <c r="DX117" i="2"/>
  <c r="DX117" i="4" s="1"/>
  <c r="DX101" i="2"/>
  <c r="DX101" i="4" s="1"/>
  <c r="DX98" i="2"/>
  <c r="DX98" i="4" s="1"/>
  <c r="DX90" i="2"/>
  <c r="DX90" i="4" s="1"/>
  <c r="DX62" i="2"/>
  <c r="DX62" i="4" s="1"/>
  <c r="DX58" i="2"/>
  <c r="DX58" i="4" s="1"/>
  <c r="DX54" i="2"/>
  <c r="DX54" i="4" s="1"/>
  <c r="DX50" i="2"/>
  <c r="DX50" i="4" s="1"/>
  <c r="DX42" i="2"/>
  <c r="DX42" i="4" s="1"/>
  <c r="DX38" i="2"/>
  <c r="DX38" i="4" s="1"/>
  <c r="DX34" i="2"/>
  <c r="DX34" i="4" s="1"/>
  <c r="DX30" i="2"/>
  <c r="DX30" i="4" s="1"/>
  <c r="DX22" i="2"/>
  <c r="DX22" i="4" s="1"/>
  <c r="DX14" i="2"/>
  <c r="DX14" i="4" s="1"/>
  <c r="DX10" i="2"/>
  <c r="DX10" i="4" s="1"/>
  <c r="DX82" i="2"/>
  <c r="DX82" i="4" s="1"/>
  <c r="DX78" i="2"/>
  <c r="DX78" i="4" s="1"/>
  <c r="DX26" i="2"/>
  <c r="DX26" i="4" s="1"/>
  <c r="DX46" i="2"/>
  <c r="DX46" i="4" s="1"/>
  <c r="DX6" i="2"/>
  <c r="DX6" i="4" s="1"/>
  <c r="DX89" i="2"/>
  <c r="DX89" i="4" s="1"/>
  <c r="DX85" i="2"/>
  <c r="DX85" i="4" s="1"/>
  <c r="DX81" i="2"/>
  <c r="DX81" i="4" s="1"/>
  <c r="DX86" i="2"/>
  <c r="DX86" i="4" s="1"/>
  <c r="DX105" i="2"/>
  <c r="DX105" i="4" s="1"/>
  <c r="DX93" i="2"/>
  <c r="DX93" i="4" s="1"/>
  <c r="DX64" i="2"/>
  <c r="DX64" i="4" s="1"/>
  <c r="DX70" i="2"/>
  <c r="DX70" i="4" s="1"/>
  <c r="DX66" i="2"/>
  <c r="DX66" i="4" s="1"/>
  <c r="DX65" i="2"/>
  <c r="DX65" i="4" s="1"/>
  <c r="DX68" i="2"/>
  <c r="DX68" i="4" s="1"/>
  <c r="DX44" i="2"/>
  <c r="DX44" i="4" s="1"/>
  <c r="DX36" i="2"/>
  <c r="DX36" i="4" s="1"/>
  <c r="DX16" i="2"/>
  <c r="DX16" i="4" s="1"/>
  <c r="DX3" i="2"/>
  <c r="DX3" i="4" s="1"/>
  <c r="DX95" i="2"/>
  <c r="DX95" i="4" s="1"/>
  <c r="DX121" i="2"/>
  <c r="DX121" i="4" s="1"/>
  <c r="DX57" i="2"/>
  <c r="DX57" i="4" s="1"/>
  <c r="DX53" i="2"/>
  <c r="DX53" i="4" s="1"/>
  <c r="DX49" i="2"/>
  <c r="DX49" i="4" s="1"/>
  <c r="DX25" i="2"/>
  <c r="DX25" i="4" s="1"/>
  <c r="DX21" i="2"/>
  <c r="DX21" i="4" s="1"/>
  <c r="DX13" i="2"/>
  <c r="DX13" i="4" s="1"/>
  <c r="DX125" i="2"/>
  <c r="DX125" i="4" s="1"/>
  <c r="DX109" i="2"/>
  <c r="DX109" i="4" s="1"/>
  <c r="DX94" i="2"/>
  <c r="DX94" i="4" s="1"/>
  <c r="DX72" i="2"/>
  <c r="DX72" i="4" s="1"/>
  <c r="DX40" i="2"/>
  <c r="DX40" i="4" s="1"/>
  <c r="DX20" i="2"/>
  <c r="DX20" i="4" s="1"/>
  <c r="DX4" i="2"/>
  <c r="DX4" i="4" s="1"/>
  <c r="DX126" i="2"/>
  <c r="DX126" i="4" s="1"/>
  <c r="DX118" i="2"/>
  <c r="DX118" i="4" s="1"/>
  <c r="DX110" i="2"/>
  <c r="DX110" i="4" s="1"/>
  <c r="DX102" i="2"/>
  <c r="DX102" i="4" s="1"/>
  <c r="DX69" i="2"/>
  <c r="DX69" i="4" s="1"/>
  <c r="DX96" i="2"/>
  <c r="DX96" i="4" s="1"/>
  <c r="DX92" i="2"/>
  <c r="DX92" i="4" s="1"/>
  <c r="DX88" i="2"/>
  <c r="DX88" i="4" s="1"/>
  <c r="DX84" i="2"/>
  <c r="DX84" i="4" s="1"/>
  <c r="DX80" i="2"/>
  <c r="DX80" i="4" s="1"/>
  <c r="DX24" i="2"/>
  <c r="DX24" i="4" s="1"/>
  <c r="DX71" i="2"/>
  <c r="DX71" i="4" s="1"/>
  <c r="DX67" i="2"/>
  <c r="DX67" i="4" s="1"/>
  <c r="DX35" i="2"/>
  <c r="DX35" i="4" s="1"/>
  <c r="DX127" i="2"/>
  <c r="DX127" i="4" s="1"/>
  <c r="DX18" i="2"/>
  <c r="DX18" i="4" s="1"/>
  <c r="DX97" i="2"/>
  <c r="DX97" i="4" s="1"/>
  <c r="DX9" i="2"/>
  <c r="DX9" i="4" s="1"/>
  <c r="DX60" i="2"/>
  <c r="DX60" i="4" s="1"/>
  <c r="DX48" i="2"/>
  <c r="DX48" i="4" s="1"/>
  <c r="DX32" i="2"/>
  <c r="DX32" i="4" s="1"/>
  <c r="DX28" i="2"/>
  <c r="DX28" i="4" s="1"/>
  <c r="DX91" i="2"/>
  <c r="DX91" i="4" s="1"/>
  <c r="DX79" i="2"/>
  <c r="DX79" i="4" s="1"/>
  <c r="DX75" i="2"/>
  <c r="DX75" i="4" s="1"/>
  <c r="DX63" i="2"/>
  <c r="DX63" i="4" s="1"/>
  <c r="DX55" i="2"/>
  <c r="DX55" i="4" s="1"/>
  <c r="DX31" i="2"/>
  <c r="DX31" i="4" s="1"/>
  <c r="DX23" i="2"/>
  <c r="DX23" i="4" s="1"/>
  <c r="DX11" i="2"/>
  <c r="DX11" i="4" s="1"/>
  <c r="DX7" i="2"/>
  <c r="DX7" i="4" s="1"/>
  <c r="DX124" i="2"/>
  <c r="DX124" i="4" s="1"/>
  <c r="DX116" i="2"/>
  <c r="DX116" i="4" s="1"/>
  <c r="DX108" i="2"/>
  <c r="DX108" i="4" s="1"/>
  <c r="DX100" i="2"/>
  <c r="DX100" i="4" s="1"/>
  <c r="DX56" i="2"/>
  <c r="DX56" i="4" s="1"/>
  <c r="DX19" i="2"/>
  <c r="DX19" i="4" s="1"/>
  <c r="DX15" i="2"/>
  <c r="DX15" i="4" s="1"/>
  <c r="DX120" i="2"/>
  <c r="DX120" i="4" s="1"/>
  <c r="DX130" i="2"/>
  <c r="DX130" i="4" s="1"/>
  <c r="DX122" i="2"/>
  <c r="DX122" i="4" s="1"/>
  <c r="DX114" i="2"/>
  <c r="DX114" i="4" s="1"/>
  <c r="DX106" i="2"/>
  <c r="DX106" i="4" s="1"/>
  <c r="DX77" i="2"/>
  <c r="DX77" i="4" s="1"/>
  <c r="DX73" i="2"/>
  <c r="DX73" i="4" s="1"/>
  <c r="DX61" i="2"/>
  <c r="DX61" i="4" s="1"/>
  <c r="DX45" i="2"/>
  <c r="DX45" i="4" s="1"/>
  <c r="DX41" i="2"/>
  <c r="DX41" i="4" s="1"/>
  <c r="DX37" i="2"/>
  <c r="DX37" i="4" s="1"/>
  <c r="DX33" i="2"/>
  <c r="DX33" i="4" s="1"/>
  <c r="DX17" i="2"/>
  <c r="DX17" i="4" s="1"/>
  <c r="DX5" i="2"/>
  <c r="DX5" i="4" s="1"/>
  <c r="DX52" i="2"/>
  <c r="DX52" i="4" s="1"/>
  <c r="DX12" i="2"/>
  <c r="DX12" i="4" s="1"/>
  <c r="DX8" i="2"/>
  <c r="DX8" i="4" s="1"/>
  <c r="DX83" i="2"/>
  <c r="DX83" i="4" s="1"/>
  <c r="DX59" i="2"/>
  <c r="DX59" i="4" s="1"/>
  <c r="DX51" i="2"/>
  <c r="DX51" i="4" s="1"/>
  <c r="DX43" i="2"/>
  <c r="DX43" i="4" s="1"/>
  <c r="DX39" i="2"/>
  <c r="DX39" i="4" s="1"/>
  <c r="DX27" i="2"/>
  <c r="DX27" i="4" s="1"/>
  <c r="DX123" i="2"/>
  <c r="DX123" i="4" s="1"/>
  <c r="DX119" i="2"/>
  <c r="DX119" i="4" s="1"/>
  <c r="DX115" i="2"/>
  <c r="DX115" i="4" s="1"/>
  <c r="DX111" i="2"/>
  <c r="DX111" i="4" s="1"/>
  <c r="DX107" i="2"/>
  <c r="DX107" i="4" s="1"/>
  <c r="DX103" i="2"/>
  <c r="DX103" i="4" s="1"/>
  <c r="DX99" i="2"/>
  <c r="DX99" i="4" s="1"/>
  <c r="DX74" i="2"/>
  <c r="DX74" i="4" s="1"/>
  <c r="DX29" i="2"/>
  <c r="DX29" i="4" s="1"/>
  <c r="DX87" i="2"/>
  <c r="DX87" i="4" s="1"/>
  <c r="DX47" i="2"/>
  <c r="DX47" i="4" s="1"/>
  <c r="DX76" i="2"/>
  <c r="DX76" i="4" s="1"/>
  <c r="DX112" i="2"/>
  <c r="DX112" i="4" s="1"/>
  <c r="DX104" i="2"/>
  <c r="DX104" i="4" s="1"/>
  <c r="DZ1" i="4" l="1"/>
  <c r="EA2" i="4"/>
  <c r="DZ2" i="2"/>
  <c r="DY83" i="2"/>
  <c r="DY83" i="4" s="1"/>
  <c r="DY95" i="2"/>
  <c r="DY95" i="4" s="1"/>
  <c r="DY126" i="2"/>
  <c r="DY126" i="4" s="1"/>
  <c r="DY114" i="2"/>
  <c r="DY114" i="4" s="1"/>
  <c r="DY98" i="2"/>
  <c r="DY98" i="4" s="1"/>
  <c r="DY94" i="2"/>
  <c r="DY94" i="4" s="1"/>
  <c r="DY90" i="2"/>
  <c r="DY90" i="4" s="1"/>
  <c r="DY86" i="2"/>
  <c r="DY86" i="4" s="1"/>
  <c r="DY82" i="2"/>
  <c r="DY82" i="4" s="1"/>
  <c r="DY78" i="2"/>
  <c r="DY78" i="4" s="1"/>
  <c r="DY70" i="2"/>
  <c r="DY70" i="4" s="1"/>
  <c r="DY62" i="2"/>
  <c r="DY62" i="4" s="1"/>
  <c r="DY58" i="2"/>
  <c r="DY58" i="4" s="1"/>
  <c r="DY54" i="2"/>
  <c r="DY54" i="4" s="1"/>
  <c r="DY50" i="2"/>
  <c r="DY50" i="4" s="1"/>
  <c r="DY42" i="2"/>
  <c r="DY42" i="4" s="1"/>
  <c r="DY38" i="2"/>
  <c r="DY38" i="4" s="1"/>
  <c r="DY30" i="2"/>
  <c r="DY30" i="4" s="1"/>
  <c r="DY22" i="2"/>
  <c r="DY22" i="4" s="1"/>
  <c r="DY14" i="2"/>
  <c r="DY14" i="4" s="1"/>
  <c r="DY10" i="2"/>
  <c r="DY10" i="4" s="1"/>
  <c r="DY6" i="2"/>
  <c r="DY6" i="4" s="1"/>
  <c r="DY118" i="2"/>
  <c r="DY118" i="4" s="1"/>
  <c r="DY102" i="2"/>
  <c r="DY102" i="4" s="1"/>
  <c r="DY46" i="2"/>
  <c r="DY46" i="4" s="1"/>
  <c r="DY34" i="2"/>
  <c r="DY34" i="4" s="1"/>
  <c r="DY26" i="2"/>
  <c r="DY26" i="4" s="1"/>
  <c r="DY74" i="2"/>
  <c r="DY74" i="4" s="1"/>
  <c r="DY66" i="2"/>
  <c r="DY66" i="4" s="1"/>
  <c r="DY18" i="2"/>
  <c r="DY18" i="4" s="1"/>
  <c r="DY130" i="2"/>
  <c r="DY130" i="4" s="1"/>
  <c r="DY93" i="2"/>
  <c r="DY93" i="4" s="1"/>
  <c r="DY89" i="2"/>
  <c r="DY89" i="4" s="1"/>
  <c r="DY85" i="2"/>
  <c r="DY85" i="4" s="1"/>
  <c r="DY81" i="2"/>
  <c r="DY81" i="4" s="1"/>
  <c r="DY106" i="2"/>
  <c r="DY106" i="4" s="1"/>
  <c r="DY57" i="2"/>
  <c r="DY57" i="4" s="1"/>
  <c r="DY64" i="2"/>
  <c r="DY64" i="4" s="1"/>
  <c r="DY29" i="2"/>
  <c r="DY29" i="4" s="1"/>
  <c r="DY9" i="2"/>
  <c r="DY9" i="4" s="1"/>
  <c r="DY68" i="2"/>
  <c r="DY68" i="4" s="1"/>
  <c r="DY44" i="2"/>
  <c r="DY44" i="4" s="1"/>
  <c r="DY16" i="2"/>
  <c r="DY16" i="4" s="1"/>
  <c r="DY119" i="2"/>
  <c r="DY119" i="4" s="1"/>
  <c r="DY103" i="2"/>
  <c r="DY103" i="4" s="1"/>
  <c r="DY3" i="2"/>
  <c r="DY3" i="4" s="1"/>
  <c r="DY122" i="2"/>
  <c r="DY122" i="4" s="1"/>
  <c r="DY129" i="2"/>
  <c r="DY129" i="4" s="1"/>
  <c r="DY125" i="2"/>
  <c r="DY125" i="4" s="1"/>
  <c r="DY121" i="2"/>
  <c r="DY121" i="4" s="1"/>
  <c r="DY117" i="2"/>
  <c r="DY117" i="4" s="1"/>
  <c r="DY113" i="2"/>
  <c r="DY113" i="4" s="1"/>
  <c r="DY109" i="2"/>
  <c r="DY109" i="4" s="1"/>
  <c r="DY105" i="2"/>
  <c r="DY105" i="4" s="1"/>
  <c r="DY101" i="2"/>
  <c r="DY101" i="4" s="1"/>
  <c r="DY97" i="2"/>
  <c r="DY97" i="4" s="1"/>
  <c r="DY13" i="2"/>
  <c r="DY13" i="4" s="1"/>
  <c r="DY110" i="2"/>
  <c r="DY110" i="4" s="1"/>
  <c r="DY72" i="2"/>
  <c r="DY72" i="4" s="1"/>
  <c r="DY56" i="2"/>
  <c r="DY56" i="4" s="1"/>
  <c r="DY36" i="2"/>
  <c r="DY36" i="4" s="1"/>
  <c r="DY20" i="2"/>
  <c r="DY20" i="4" s="1"/>
  <c r="DY12" i="2"/>
  <c r="DY12" i="4" s="1"/>
  <c r="DY4" i="2"/>
  <c r="DY4" i="4" s="1"/>
  <c r="DY123" i="2"/>
  <c r="DY123" i="4" s="1"/>
  <c r="DY107" i="2"/>
  <c r="DY107" i="4" s="1"/>
  <c r="DY87" i="2"/>
  <c r="DY87" i="4" s="1"/>
  <c r="DY77" i="2"/>
  <c r="DY77" i="4" s="1"/>
  <c r="DY53" i="2"/>
  <c r="DY53" i="4" s="1"/>
  <c r="DY25" i="2"/>
  <c r="DY25" i="4" s="1"/>
  <c r="DY96" i="2"/>
  <c r="DY96" i="4" s="1"/>
  <c r="DY92" i="2"/>
  <c r="DY92" i="4" s="1"/>
  <c r="DY88" i="2"/>
  <c r="DY88" i="4" s="1"/>
  <c r="DY84" i="2"/>
  <c r="DY84" i="4" s="1"/>
  <c r="DY80" i="2"/>
  <c r="DY80" i="4" s="1"/>
  <c r="DY76" i="2"/>
  <c r="DY76" i="4" s="1"/>
  <c r="DY60" i="2"/>
  <c r="DY60" i="4" s="1"/>
  <c r="DY24" i="2"/>
  <c r="DY24" i="4" s="1"/>
  <c r="DY111" i="2"/>
  <c r="DY111" i="4" s="1"/>
  <c r="DY71" i="2"/>
  <c r="DY71" i="4" s="1"/>
  <c r="DY67" i="2"/>
  <c r="DY67" i="4" s="1"/>
  <c r="DY63" i="2"/>
  <c r="DY63" i="4" s="1"/>
  <c r="DY43" i="2"/>
  <c r="DY43" i="4" s="1"/>
  <c r="DY35" i="2"/>
  <c r="DY35" i="4" s="1"/>
  <c r="DY19" i="2"/>
  <c r="DY19" i="4" s="1"/>
  <c r="DY128" i="2"/>
  <c r="DY128" i="4" s="1"/>
  <c r="DY91" i="2"/>
  <c r="DY91" i="4" s="1"/>
  <c r="DY48" i="2"/>
  <c r="DY48" i="4" s="1"/>
  <c r="DY28" i="2"/>
  <c r="DY28" i="4" s="1"/>
  <c r="DY115" i="2"/>
  <c r="DY115" i="4" s="1"/>
  <c r="DY75" i="2"/>
  <c r="DY75" i="4" s="1"/>
  <c r="DY55" i="2"/>
  <c r="DY55" i="4" s="1"/>
  <c r="DY23" i="2"/>
  <c r="DY23" i="4" s="1"/>
  <c r="DY7" i="2"/>
  <c r="DY7" i="4" s="1"/>
  <c r="DY79" i="2"/>
  <c r="DY79" i="4" s="1"/>
  <c r="DY73" i="2"/>
  <c r="DY73" i="4" s="1"/>
  <c r="DY69" i="2"/>
  <c r="DY69" i="4" s="1"/>
  <c r="DY65" i="2"/>
  <c r="DY65" i="4" s="1"/>
  <c r="DY61" i="2"/>
  <c r="DY61" i="4" s="1"/>
  <c r="DY49" i="2"/>
  <c r="DY49" i="4" s="1"/>
  <c r="DY45" i="2"/>
  <c r="DY45" i="4" s="1"/>
  <c r="DY41" i="2"/>
  <c r="DY41" i="4" s="1"/>
  <c r="DY37" i="2"/>
  <c r="DY37" i="4" s="1"/>
  <c r="DY33" i="2"/>
  <c r="DY33" i="4" s="1"/>
  <c r="DY21" i="2"/>
  <c r="DY21" i="4" s="1"/>
  <c r="DY17" i="2"/>
  <c r="DY17" i="4" s="1"/>
  <c r="DY5" i="2"/>
  <c r="DY5" i="4" s="1"/>
  <c r="DY52" i="2"/>
  <c r="DY52" i="4" s="1"/>
  <c r="DY40" i="2"/>
  <c r="DY40" i="4" s="1"/>
  <c r="DY32" i="2"/>
  <c r="DY32" i="4" s="1"/>
  <c r="DY8" i="2"/>
  <c r="DY8" i="4" s="1"/>
  <c r="DY127" i="2"/>
  <c r="DY127" i="4" s="1"/>
  <c r="DY51" i="2"/>
  <c r="DY51" i="4" s="1"/>
  <c r="DY39" i="2"/>
  <c r="DY39" i="4" s="1"/>
  <c r="DY27" i="2"/>
  <c r="DY27" i="4" s="1"/>
  <c r="DY11" i="2"/>
  <c r="DY11" i="4" s="1"/>
  <c r="DY124" i="2"/>
  <c r="DY124" i="4" s="1"/>
  <c r="DY120" i="2"/>
  <c r="DY120" i="4" s="1"/>
  <c r="DY116" i="2"/>
  <c r="DY116" i="4" s="1"/>
  <c r="DY112" i="2"/>
  <c r="DY112" i="4" s="1"/>
  <c r="DY108" i="2"/>
  <c r="DY108" i="4" s="1"/>
  <c r="DY104" i="2"/>
  <c r="DY104" i="4" s="1"/>
  <c r="DY100" i="2"/>
  <c r="DY100" i="4" s="1"/>
  <c r="DY99" i="2"/>
  <c r="DY99" i="4" s="1"/>
  <c r="DY59" i="2"/>
  <c r="DY59" i="4" s="1"/>
  <c r="DY47" i="2"/>
  <c r="DY47" i="4" s="1"/>
  <c r="DY31" i="2"/>
  <c r="DY31" i="4" s="1"/>
  <c r="DY15" i="2"/>
  <c r="DY15" i="4" s="1"/>
  <c r="EA1" i="4" l="1"/>
  <c r="EB2" i="4"/>
  <c r="EA2" i="2"/>
  <c r="DZ84" i="2"/>
  <c r="DZ84" i="4" s="1"/>
  <c r="DZ96" i="2"/>
  <c r="DZ96" i="4" s="1"/>
  <c r="DZ111" i="2"/>
  <c r="DZ111" i="4" s="1"/>
  <c r="DZ127" i="2"/>
  <c r="DZ127" i="4" s="1"/>
  <c r="DZ107" i="2"/>
  <c r="DZ107" i="4" s="1"/>
  <c r="DZ123" i="2"/>
  <c r="DZ123" i="4" s="1"/>
  <c r="DZ99" i="2"/>
  <c r="DZ99" i="4" s="1"/>
  <c r="DZ115" i="2"/>
  <c r="DZ115" i="4" s="1"/>
  <c r="DZ103" i="2"/>
  <c r="DZ103" i="4" s="1"/>
  <c r="DZ119" i="2"/>
  <c r="DZ119" i="4" s="1"/>
  <c r="DZ126" i="2"/>
  <c r="DZ126" i="4" s="1"/>
  <c r="DZ122" i="2"/>
  <c r="DZ122" i="4" s="1"/>
  <c r="DZ118" i="2"/>
  <c r="DZ118" i="4" s="1"/>
  <c r="DZ114" i="2"/>
  <c r="DZ114" i="4" s="1"/>
  <c r="DZ110" i="2"/>
  <c r="DZ110" i="4" s="1"/>
  <c r="DZ106" i="2"/>
  <c r="DZ106" i="4" s="1"/>
  <c r="DZ102" i="2"/>
  <c r="DZ102" i="4" s="1"/>
  <c r="DZ98" i="2"/>
  <c r="DZ98" i="4" s="1"/>
  <c r="DZ94" i="2"/>
  <c r="DZ94" i="4" s="1"/>
  <c r="DZ90" i="2"/>
  <c r="DZ90" i="4" s="1"/>
  <c r="DZ86" i="2"/>
  <c r="DZ86" i="4" s="1"/>
  <c r="DZ82" i="2"/>
  <c r="DZ82" i="4" s="1"/>
  <c r="DZ78" i="2"/>
  <c r="DZ78" i="4" s="1"/>
  <c r="DZ74" i="2"/>
  <c r="DZ74" i="4" s="1"/>
  <c r="DZ70" i="2"/>
  <c r="DZ70" i="4" s="1"/>
  <c r="DZ66" i="2"/>
  <c r="DZ66" i="4" s="1"/>
  <c r="DZ62" i="2"/>
  <c r="DZ62" i="4" s="1"/>
  <c r="DZ42" i="2"/>
  <c r="DZ42" i="4" s="1"/>
  <c r="DZ38" i="2"/>
  <c r="DZ38" i="4" s="1"/>
  <c r="DZ30" i="2"/>
  <c r="DZ30" i="4" s="1"/>
  <c r="DZ26" i="2"/>
  <c r="DZ26" i="4" s="1"/>
  <c r="DZ14" i="2"/>
  <c r="DZ14" i="4" s="1"/>
  <c r="DZ6" i="2"/>
  <c r="DZ6" i="4" s="1"/>
  <c r="DZ130" i="2"/>
  <c r="DZ130" i="4" s="1"/>
  <c r="DZ54" i="2"/>
  <c r="DZ54" i="4" s="1"/>
  <c r="DZ50" i="2"/>
  <c r="DZ50" i="4" s="1"/>
  <c r="DZ46" i="2"/>
  <c r="DZ46" i="4" s="1"/>
  <c r="DZ34" i="2"/>
  <c r="DZ34" i="4" s="1"/>
  <c r="DZ22" i="2"/>
  <c r="DZ22" i="4" s="1"/>
  <c r="DZ10" i="2"/>
  <c r="DZ10" i="4" s="1"/>
  <c r="DZ18" i="2"/>
  <c r="DZ18" i="4" s="1"/>
  <c r="DZ93" i="2"/>
  <c r="DZ93" i="4" s="1"/>
  <c r="DZ89" i="2"/>
  <c r="DZ89" i="4" s="1"/>
  <c r="DZ85" i="2"/>
  <c r="DZ85" i="4" s="1"/>
  <c r="DZ41" i="2"/>
  <c r="DZ41" i="4" s="1"/>
  <c r="DZ37" i="2"/>
  <c r="DZ37" i="4" s="1"/>
  <c r="DZ17" i="2"/>
  <c r="DZ17" i="4" s="1"/>
  <c r="DZ13" i="2"/>
  <c r="DZ13" i="4" s="1"/>
  <c r="DZ64" i="2"/>
  <c r="DZ64" i="4" s="1"/>
  <c r="DZ58" i="2"/>
  <c r="DZ58" i="4" s="1"/>
  <c r="DZ33" i="2"/>
  <c r="DZ33" i="4" s="1"/>
  <c r="DZ9" i="2"/>
  <c r="DZ9" i="4" s="1"/>
  <c r="DZ68" i="2"/>
  <c r="DZ68" i="4" s="1"/>
  <c r="DZ44" i="2"/>
  <c r="DZ44" i="4" s="1"/>
  <c r="DZ32" i="2"/>
  <c r="DZ32" i="4" s="1"/>
  <c r="DZ120" i="2"/>
  <c r="DZ120" i="4" s="1"/>
  <c r="DZ104" i="2"/>
  <c r="DZ104" i="4" s="1"/>
  <c r="DZ91" i="2"/>
  <c r="DZ91" i="4" s="1"/>
  <c r="DZ129" i="2"/>
  <c r="DZ129" i="4" s="1"/>
  <c r="DZ125" i="2"/>
  <c r="DZ125" i="4" s="1"/>
  <c r="DZ121" i="2"/>
  <c r="DZ121" i="4" s="1"/>
  <c r="DZ117" i="2"/>
  <c r="DZ117" i="4" s="1"/>
  <c r="DZ113" i="2"/>
  <c r="DZ113" i="4" s="1"/>
  <c r="DZ109" i="2"/>
  <c r="DZ109" i="4" s="1"/>
  <c r="DZ105" i="2"/>
  <c r="DZ105" i="4" s="1"/>
  <c r="DZ101" i="2"/>
  <c r="DZ101" i="4" s="1"/>
  <c r="DZ97" i="2"/>
  <c r="DZ97" i="4" s="1"/>
  <c r="DZ29" i="2"/>
  <c r="DZ29" i="4" s="1"/>
  <c r="DZ72" i="2"/>
  <c r="DZ72" i="4" s="1"/>
  <c r="DZ56" i="2"/>
  <c r="DZ56" i="4" s="1"/>
  <c r="DZ20" i="2"/>
  <c r="DZ20" i="4" s="1"/>
  <c r="DZ16" i="2"/>
  <c r="DZ16" i="4" s="1"/>
  <c r="DZ4" i="2"/>
  <c r="DZ4" i="4" s="1"/>
  <c r="DZ124" i="2"/>
  <c r="DZ124" i="4" s="1"/>
  <c r="DZ108" i="2"/>
  <c r="DZ108" i="4" s="1"/>
  <c r="DZ88" i="2"/>
  <c r="DZ88" i="4" s="1"/>
  <c r="DZ3" i="2"/>
  <c r="DZ3" i="4" s="1"/>
  <c r="DZ76" i="2"/>
  <c r="DZ76" i="4" s="1"/>
  <c r="DZ24" i="2"/>
  <c r="DZ24" i="4" s="1"/>
  <c r="DZ112" i="2"/>
  <c r="DZ112" i="4" s="1"/>
  <c r="DZ87" i="2"/>
  <c r="DZ87" i="4" s="1"/>
  <c r="DZ35" i="2"/>
  <c r="DZ35" i="4" s="1"/>
  <c r="DZ19" i="2"/>
  <c r="DZ19" i="4" s="1"/>
  <c r="DZ92" i="2"/>
  <c r="DZ92" i="4" s="1"/>
  <c r="DZ61" i="2"/>
  <c r="DZ61" i="4" s="1"/>
  <c r="DZ60" i="2"/>
  <c r="DZ60" i="4" s="1"/>
  <c r="DZ48" i="2"/>
  <c r="DZ48" i="4" s="1"/>
  <c r="DZ28" i="2"/>
  <c r="DZ28" i="4" s="1"/>
  <c r="DZ116" i="2"/>
  <c r="DZ116" i="4" s="1"/>
  <c r="DZ71" i="2"/>
  <c r="DZ71" i="4" s="1"/>
  <c r="DZ55" i="2"/>
  <c r="DZ55" i="4" s="1"/>
  <c r="DZ23" i="2"/>
  <c r="DZ23" i="4" s="1"/>
  <c r="DZ80" i="2"/>
  <c r="DZ80" i="4" s="1"/>
  <c r="DZ36" i="2"/>
  <c r="DZ36" i="4" s="1"/>
  <c r="DZ12" i="2"/>
  <c r="DZ12" i="4" s="1"/>
  <c r="DZ47" i="2"/>
  <c r="DZ47" i="4" s="1"/>
  <c r="DZ15" i="2"/>
  <c r="DZ15" i="4" s="1"/>
  <c r="DZ81" i="2"/>
  <c r="DZ81" i="4" s="1"/>
  <c r="DZ77" i="2"/>
  <c r="DZ77" i="4" s="1"/>
  <c r="DZ73" i="2"/>
  <c r="DZ73" i="4" s="1"/>
  <c r="DZ69" i="2"/>
  <c r="DZ69" i="4" s="1"/>
  <c r="DZ65" i="2"/>
  <c r="DZ65" i="4" s="1"/>
  <c r="DZ57" i="2"/>
  <c r="DZ57" i="4" s="1"/>
  <c r="DZ53" i="2"/>
  <c r="DZ53" i="4" s="1"/>
  <c r="DZ49" i="2"/>
  <c r="DZ49" i="4" s="1"/>
  <c r="DZ45" i="2"/>
  <c r="DZ45" i="4" s="1"/>
  <c r="DZ25" i="2"/>
  <c r="DZ25" i="4" s="1"/>
  <c r="DZ21" i="2"/>
  <c r="DZ21" i="4" s="1"/>
  <c r="DZ5" i="2"/>
  <c r="DZ5" i="4" s="1"/>
  <c r="DZ52" i="2"/>
  <c r="DZ52" i="4" s="1"/>
  <c r="DZ40" i="2"/>
  <c r="DZ40" i="4" s="1"/>
  <c r="DZ128" i="2"/>
  <c r="DZ128" i="4" s="1"/>
  <c r="DZ79" i="2"/>
  <c r="DZ79" i="4" s="1"/>
  <c r="DZ75" i="2"/>
  <c r="DZ75" i="4" s="1"/>
  <c r="DZ63" i="2"/>
  <c r="DZ63" i="4" s="1"/>
  <c r="DZ51" i="2"/>
  <c r="DZ51" i="4" s="1"/>
  <c r="DZ39" i="2"/>
  <c r="DZ39" i="4" s="1"/>
  <c r="DZ27" i="2"/>
  <c r="DZ27" i="4" s="1"/>
  <c r="DZ7" i="2"/>
  <c r="DZ7" i="4" s="1"/>
  <c r="DZ95" i="2"/>
  <c r="DZ95" i="4" s="1"/>
  <c r="DZ67" i="2"/>
  <c r="DZ67" i="4" s="1"/>
  <c r="DZ8" i="2"/>
  <c r="DZ8" i="4" s="1"/>
  <c r="DZ100" i="2"/>
  <c r="DZ100" i="4" s="1"/>
  <c r="DZ83" i="2"/>
  <c r="DZ83" i="4" s="1"/>
  <c r="DZ59" i="2"/>
  <c r="DZ59" i="4" s="1"/>
  <c r="DZ43" i="2"/>
  <c r="DZ43" i="4" s="1"/>
  <c r="DZ31" i="2"/>
  <c r="DZ31" i="4" s="1"/>
  <c r="DZ11" i="2"/>
  <c r="DZ11" i="4" s="1"/>
  <c r="EB1" i="4" l="1"/>
  <c r="EC2" i="4"/>
  <c r="EC1" i="4" s="1"/>
  <c r="EB2" i="2"/>
  <c r="EA127" i="2"/>
  <c r="EA127" i="4" s="1"/>
  <c r="EA112" i="2"/>
  <c r="EA112" i="4" s="1"/>
  <c r="EA128" i="2"/>
  <c r="EA128" i="4" s="1"/>
  <c r="EA108" i="2"/>
  <c r="EA108" i="4" s="1"/>
  <c r="EA124" i="2"/>
  <c r="EA124" i="4" s="1"/>
  <c r="EA116" i="2"/>
  <c r="EA116" i="4" s="1"/>
  <c r="EA104" i="2"/>
  <c r="EA104" i="4" s="1"/>
  <c r="EA120" i="2"/>
  <c r="EA120" i="4" s="1"/>
  <c r="EA100" i="2"/>
  <c r="EA100" i="4" s="1"/>
  <c r="EA130" i="2"/>
  <c r="EA130" i="4" s="1"/>
  <c r="EA126" i="2"/>
  <c r="EA126" i="4" s="1"/>
  <c r="EA122" i="2"/>
  <c r="EA122" i="4" s="1"/>
  <c r="EA118" i="2"/>
  <c r="EA118" i="4" s="1"/>
  <c r="EA114" i="2"/>
  <c r="EA114" i="4" s="1"/>
  <c r="EA110" i="2"/>
  <c r="EA110" i="4" s="1"/>
  <c r="EA106" i="2"/>
  <c r="EA106" i="4" s="1"/>
  <c r="EA102" i="2"/>
  <c r="EA102" i="4" s="1"/>
  <c r="EA98" i="2"/>
  <c r="EA98" i="4" s="1"/>
  <c r="EA94" i="2"/>
  <c r="EA94" i="4" s="1"/>
  <c r="EA90" i="2"/>
  <c r="EA90" i="4" s="1"/>
  <c r="EA86" i="2"/>
  <c r="EA86" i="4" s="1"/>
  <c r="EA82" i="2"/>
  <c r="EA82" i="4" s="1"/>
  <c r="EA78" i="2"/>
  <c r="EA78" i="4" s="1"/>
  <c r="EA74" i="2"/>
  <c r="EA74" i="4" s="1"/>
  <c r="EA70" i="2"/>
  <c r="EA70" i="4" s="1"/>
  <c r="EA66" i="2"/>
  <c r="EA66" i="4" s="1"/>
  <c r="EA62" i="2"/>
  <c r="EA62" i="4" s="1"/>
  <c r="EA46" i="2"/>
  <c r="EA46" i="4" s="1"/>
  <c r="EA42" i="2"/>
  <c r="EA42" i="4" s="1"/>
  <c r="EA38" i="2"/>
  <c r="EA38" i="4" s="1"/>
  <c r="EA30" i="2"/>
  <c r="EA30" i="4" s="1"/>
  <c r="EA14" i="2"/>
  <c r="EA14" i="4" s="1"/>
  <c r="EA58" i="2"/>
  <c r="EA58" i="4" s="1"/>
  <c r="EA54" i="2"/>
  <c r="EA54" i="4" s="1"/>
  <c r="EA50" i="2"/>
  <c r="EA50" i="4" s="1"/>
  <c r="EA22" i="2"/>
  <c r="EA22" i="4" s="1"/>
  <c r="EA18" i="2"/>
  <c r="EA18" i="4" s="1"/>
  <c r="EA10" i="2"/>
  <c r="EA10" i="4" s="1"/>
  <c r="EA61" i="2"/>
  <c r="EA61" i="4" s="1"/>
  <c r="EA41" i="2"/>
  <c r="EA41" i="4" s="1"/>
  <c r="EA37" i="2"/>
  <c r="EA37" i="4" s="1"/>
  <c r="EA33" i="2"/>
  <c r="EA33" i="4" s="1"/>
  <c r="EA17" i="2"/>
  <c r="EA17" i="4" s="1"/>
  <c r="EA92" i="2"/>
  <c r="EA92" i="4" s="1"/>
  <c r="EA88" i="2"/>
  <c r="EA88" i="4" s="1"/>
  <c r="EA84" i="2"/>
  <c r="EA84" i="4" s="1"/>
  <c r="EA80" i="2"/>
  <c r="EA80" i="4" s="1"/>
  <c r="EA64" i="2"/>
  <c r="EA64" i="4" s="1"/>
  <c r="EA26" i="2"/>
  <c r="EA26" i="4" s="1"/>
  <c r="EA6" i="2"/>
  <c r="EA6" i="4" s="1"/>
  <c r="EA93" i="2"/>
  <c r="EA93" i="4" s="1"/>
  <c r="EA85" i="2"/>
  <c r="EA85" i="4" s="1"/>
  <c r="EA32" i="2"/>
  <c r="EA32" i="4" s="1"/>
  <c r="EA91" i="2"/>
  <c r="EA91" i="4" s="1"/>
  <c r="EA34" i="2"/>
  <c r="EA34" i="4" s="1"/>
  <c r="EA89" i="2"/>
  <c r="EA89" i="4" s="1"/>
  <c r="EA29" i="2"/>
  <c r="EA29" i="4" s="1"/>
  <c r="EA97" i="2"/>
  <c r="EA97" i="4" s="1"/>
  <c r="EA72" i="2"/>
  <c r="EA72" i="4" s="1"/>
  <c r="EA56" i="2"/>
  <c r="EA56" i="4" s="1"/>
  <c r="EA44" i="2"/>
  <c r="EA44" i="4" s="1"/>
  <c r="EA20" i="2"/>
  <c r="EA20" i="4" s="1"/>
  <c r="EA4" i="2"/>
  <c r="EA4" i="4" s="1"/>
  <c r="EA3" i="2"/>
  <c r="EA3" i="4" s="1"/>
  <c r="EA95" i="2"/>
  <c r="EA95" i="4" s="1"/>
  <c r="EA81" i="2"/>
  <c r="EA81" i="4" s="1"/>
  <c r="EA5" i="2"/>
  <c r="EA5" i="4" s="1"/>
  <c r="EA76" i="2"/>
  <c r="EA76" i="4" s="1"/>
  <c r="EA24" i="2"/>
  <c r="EA24" i="4" s="1"/>
  <c r="EA87" i="2"/>
  <c r="EA87" i="4" s="1"/>
  <c r="EA35" i="2"/>
  <c r="EA35" i="4" s="1"/>
  <c r="EA19" i="2"/>
  <c r="EA19" i="4" s="1"/>
  <c r="EA68" i="2"/>
  <c r="EA68" i="4" s="1"/>
  <c r="EA13" i="2"/>
  <c r="EA13" i="4" s="1"/>
  <c r="EA60" i="2"/>
  <c r="EA60" i="4" s="1"/>
  <c r="EA48" i="2"/>
  <c r="EA48" i="4" s="1"/>
  <c r="EA28" i="2"/>
  <c r="EA28" i="4" s="1"/>
  <c r="EA16" i="2"/>
  <c r="EA16" i="4" s="1"/>
  <c r="EA71" i="2"/>
  <c r="EA71" i="4" s="1"/>
  <c r="EA67" i="2"/>
  <c r="EA67" i="4" s="1"/>
  <c r="EA55" i="2"/>
  <c r="EA55" i="4" s="1"/>
  <c r="EA23" i="2"/>
  <c r="EA23" i="4" s="1"/>
  <c r="EA119" i="2"/>
  <c r="EA119" i="4" s="1"/>
  <c r="EA111" i="2"/>
  <c r="EA111" i="4" s="1"/>
  <c r="EA103" i="2"/>
  <c r="EA103" i="4" s="1"/>
  <c r="EA129" i="2"/>
  <c r="EA129" i="4" s="1"/>
  <c r="EA121" i="2"/>
  <c r="EA121" i="4" s="1"/>
  <c r="EA113" i="2"/>
  <c r="EA113" i="4" s="1"/>
  <c r="EA105" i="2"/>
  <c r="EA105" i="4" s="1"/>
  <c r="EA45" i="2"/>
  <c r="EA45" i="4" s="1"/>
  <c r="EA63" i="2"/>
  <c r="EA63" i="4" s="1"/>
  <c r="EA47" i="2"/>
  <c r="EA47" i="4" s="1"/>
  <c r="EA43" i="2"/>
  <c r="EA43" i="4" s="1"/>
  <c r="EA31" i="2"/>
  <c r="EA31" i="4" s="1"/>
  <c r="EA15" i="2"/>
  <c r="EA15" i="4" s="1"/>
  <c r="EA11" i="2"/>
  <c r="EA11" i="4" s="1"/>
  <c r="EA107" i="2"/>
  <c r="EA107" i="4" s="1"/>
  <c r="EA99" i="2"/>
  <c r="EA99" i="4" s="1"/>
  <c r="EA77" i="2"/>
  <c r="EA77" i="4" s="1"/>
  <c r="EA73" i="2"/>
  <c r="EA73" i="4" s="1"/>
  <c r="EA69" i="2"/>
  <c r="EA69" i="4" s="1"/>
  <c r="EA65" i="2"/>
  <c r="EA65" i="4" s="1"/>
  <c r="EA57" i="2"/>
  <c r="EA57" i="4" s="1"/>
  <c r="EA53" i="2"/>
  <c r="EA53" i="4" s="1"/>
  <c r="EA49" i="2"/>
  <c r="EA49" i="4" s="1"/>
  <c r="EA25" i="2"/>
  <c r="EA25" i="4" s="1"/>
  <c r="EA21" i="2"/>
  <c r="EA21" i="4" s="1"/>
  <c r="EA52" i="2"/>
  <c r="EA52" i="4" s="1"/>
  <c r="EA40" i="2"/>
  <c r="EA40" i="4" s="1"/>
  <c r="EA36" i="2"/>
  <c r="EA36" i="4" s="1"/>
  <c r="EA79" i="2"/>
  <c r="EA79" i="4" s="1"/>
  <c r="EA75" i="2"/>
  <c r="EA75" i="4" s="1"/>
  <c r="EA51" i="2"/>
  <c r="EA51" i="4" s="1"/>
  <c r="EA39" i="2"/>
  <c r="EA39" i="4" s="1"/>
  <c r="EA27" i="2"/>
  <c r="EA27" i="4" s="1"/>
  <c r="EA96" i="2"/>
  <c r="EA96" i="4" s="1"/>
  <c r="EA125" i="2"/>
  <c r="EA125" i="4" s="1"/>
  <c r="EA117" i="2"/>
  <c r="EA117" i="4" s="1"/>
  <c r="EA109" i="2"/>
  <c r="EA109" i="4" s="1"/>
  <c r="EA101" i="2"/>
  <c r="EA101" i="4" s="1"/>
  <c r="EA9" i="2"/>
  <c r="EA9" i="4" s="1"/>
  <c r="EA12" i="2"/>
  <c r="EA12" i="4" s="1"/>
  <c r="EA8" i="2"/>
  <c r="EA8" i="4" s="1"/>
  <c r="EA83" i="2"/>
  <c r="EA83" i="4" s="1"/>
  <c r="EA59" i="2"/>
  <c r="EA59" i="4" s="1"/>
  <c r="EA7" i="2"/>
  <c r="EA7" i="4" s="1"/>
  <c r="EA123" i="2"/>
  <c r="EA123" i="4" s="1"/>
  <c r="EA115" i="2"/>
  <c r="EA115" i="4" s="1"/>
  <c r="EC2" i="2" l="1"/>
  <c r="EB128" i="2"/>
  <c r="EB128" i="4" s="1"/>
  <c r="EB117" i="2"/>
  <c r="EB117" i="4" s="1"/>
  <c r="EB130" i="2"/>
  <c r="EB130" i="4" s="1"/>
  <c r="EB126" i="2"/>
  <c r="EB126" i="4" s="1"/>
  <c r="EB122" i="2"/>
  <c r="EB122" i="4" s="1"/>
  <c r="EB118" i="2"/>
  <c r="EB118" i="4" s="1"/>
  <c r="EB114" i="2"/>
  <c r="EB114" i="4" s="1"/>
  <c r="EB110" i="2"/>
  <c r="EB110" i="4" s="1"/>
  <c r="EB106" i="2"/>
  <c r="EB106" i="4" s="1"/>
  <c r="EB102" i="2"/>
  <c r="EB102" i="4" s="1"/>
  <c r="EB94" i="2"/>
  <c r="EB94" i="4" s="1"/>
  <c r="EB90" i="2"/>
  <c r="EB90" i="4" s="1"/>
  <c r="EB82" i="2"/>
  <c r="EB82" i="4" s="1"/>
  <c r="EB74" i="2"/>
  <c r="EB74" i="4" s="1"/>
  <c r="EB70" i="2"/>
  <c r="EB70" i="4" s="1"/>
  <c r="EB66" i="2"/>
  <c r="EB66" i="4" s="1"/>
  <c r="EB121" i="2"/>
  <c r="EB121" i="4" s="1"/>
  <c r="EB105" i="2"/>
  <c r="EB105" i="4" s="1"/>
  <c r="EB62" i="2"/>
  <c r="EB62" i="4" s="1"/>
  <c r="EB58" i="2"/>
  <c r="EB58" i="4" s="1"/>
  <c r="EB54" i="2"/>
  <c r="EB54" i="4" s="1"/>
  <c r="EB50" i="2"/>
  <c r="EB50" i="4" s="1"/>
  <c r="EB42" i="2"/>
  <c r="EB42" i="4" s="1"/>
  <c r="EB38" i="2"/>
  <c r="EB38" i="4" s="1"/>
  <c r="EB30" i="2"/>
  <c r="EB30" i="4" s="1"/>
  <c r="EB22" i="2"/>
  <c r="EB22" i="4" s="1"/>
  <c r="EB14" i="2"/>
  <c r="EB14" i="4" s="1"/>
  <c r="EB10" i="2"/>
  <c r="EB10" i="4" s="1"/>
  <c r="EB78" i="2"/>
  <c r="EB78" i="4" s="1"/>
  <c r="EB34" i="2"/>
  <c r="EB34" i="4" s="1"/>
  <c r="EB26" i="2"/>
  <c r="EB26" i="4" s="1"/>
  <c r="EB101" i="2"/>
  <c r="EB101" i="4" s="1"/>
  <c r="EB61" i="2"/>
  <c r="EB61" i="4" s="1"/>
  <c r="EB45" i="2"/>
  <c r="EB45" i="4" s="1"/>
  <c r="EB41" i="2"/>
  <c r="EB41" i="4" s="1"/>
  <c r="EB37" i="2"/>
  <c r="EB37" i="4" s="1"/>
  <c r="EB33" i="2"/>
  <c r="EB33" i="4" s="1"/>
  <c r="EB29" i="2"/>
  <c r="EB29" i="4" s="1"/>
  <c r="EB17" i="2"/>
  <c r="EB17" i="4" s="1"/>
  <c r="EB9" i="2"/>
  <c r="EB9" i="4" s="1"/>
  <c r="EB5" i="2"/>
  <c r="EB5" i="4" s="1"/>
  <c r="EB96" i="2"/>
  <c r="EB96" i="4" s="1"/>
  <c r="EB92" i="2"/>
  <c r="EB92" i="4" s="1"/>
  <c r="EB88" i="2"/>
  <c r="EB88" i="4" s="1"/>
  <c r="EB84" i="2"/>
  <c r="EB84" i="4" s="1"/>
  <c r="EB80" i="2"/>
  <c r="EB80" i="4" s="1"/>
  <c r="EB109" i="2"/>
  <c r="EB109" i="4" s="1"/>
  <c r="EB69" i="2"/>
  <c r="EB69" i="4" s="1"/>
  <c r="EB129" i="2"/>
  <c r="EB129" i="4" s="1"/>
  <c r="EB64" i="2"/>
  <c r="EB64" i="4" s="1"/>
  <c r="EB32" i="2"/>
  <c r="EB32" i="4" s="1"/>
  <c r="EB91" i="2"/>
  <c r="EB91" i="4" s="1"/>
  <c r="EB86" i="2"/>
  <c r="EB86" i="4" s="1"/>
  <c r="EB46" i="2"/>
  <c r="EB46" i="4" s="1"/>
  <c r="EB6" i="2"/>
  <c r="EB6" i="4" s="1"/>
  <c r="EB97" i="2"/>
  <c r="EB97" i="4" s="1"/>
  <c r="EB93" i="2"/>
  <c r="EB93" i="4" s="1"/>
  <c r="EB89" i="2"/>
  <c r="EB89" i="4" s="1"/>
  <c r="EB85" i="2"/>
  <c r="EB85" i="4" s="1"/>
  <c r="EB81" i="2"/>
  <c r="EB81" i="4" s="1"/>
  <c r="EB113" i="2"/>
  <c r="EB113" i="4" s="1"/>
  <c r="EB98" i="2"/>
  <c r="EB98" i="4" s="1"/>
  <c r="EB68" i="2"/>
  <c r="EB68" i="4" s="1"/>
  <c r="EB56" i="2"/>
  <c r="EB56" i="4" s="1"/>
  <c r="EB44" i="2"/>
  <c r="EB44" i="4" s="1"/>
  <c r="EB36" i="2"/>
  <c r="EB36" i="4" s="1"/>
  <c r="EB20" i="2"/>
  <c r="EB20" i="4" s="1"/>
  <c r="EB16" i="2"/>
  <c r="EB16" i="4" s="1"/>
  <c r="EB3" i="2"/>
  <c r="EB3" i="4" s="1"/>
  <c r="EB95" i="2"/>
  <c r="EB95" i="4" s="1"/>
  <c r="EB18" i="2"/>
  <c r="EB18" i="4" s="1"/>
  <c r="EB73" i="2"/>
  <c r="EB73" i="4" s="1"/>
  <c r="EB65" i="2"/>
  <c r="EB65" i="4" s="1"/>
  <c r="EB13" i="2"/>
  <c r="EB13" i="4" s="1"/>
  <c r="EB76" i="2"/>
  <c r="EB76" i="4" s="1"/>
  <c r="EB72" i="2"/>
  <c r="EB72" i="4" s="1"/>
  <c r="EB24" i="2"/>
  <c r="EB24" i="4" s="1"/>
  <c r="EB87" i="2"/>
  <c r="EB87" i="4" s="1"/>
  <c r="EB47" i="2"/>
  <c r="EB47" i="4" s="1"/>
  <c r="EB35" i="2"/>
  <c r="EB35" i="4" s="1"/>
  <c r="EB27" i="2"/>
  <c r="EB27" i="4" s="1"/>
  <c r="EB7" i="2"/>
  <c r="EB7" i="4" s="1"/>
  <c r="EB124" i="2"/>
  <c r="EB124" i="4" s="1"/>
  <c r="EB116" i="2"/>
  <c r="EB116" i="4" s="1"/>
  <c r="EB108" i="2"/>
  <c r="EB108" i="4" s="1"/>
  <c r="EB100" i="2"/>
  <c r="EB100" i="4" s="1"/>
  <c r="EB15" i="2"/>
  <c r="EB15" i="4" s="1"/>
  <c r="EB125" i="2"/>
  <c r="EB125" i="4" s="1"/>
  <c r="EB60" i="2"/>
  <c r="EB60" i="4" s="1"/>
  <c r="EB48" i="2"/>
  <c r="EB48" i="4" s="1"/>
  <c r="EB28" i="2"/>
  <c r="EB28" i="4" s="1"/>
  <c r="EB71" i="2"/>
  <c r="EB71" i="4" s="1"/>
  <c r="EB67" i="2"/>
  <c r="EB67" i="4" s="1"/>
  <c r="EB123" i="2"/>
  <c r="EB123" i="4" s="1"/>
  <c r="EB119" i="2"/>
  <c r="EB119" i="4" s="1"/>
  <c r="EB115" i="2"/>
  <c r="EB115" i="4" s="1"/>
  <c r="EB111" i="2"/>
  <c r="EB111" i="4" s="1"/>
  <c r="EB107" i="2"/>
  <c r="EB107" i="4" s="1"/>
  <c r="EB103" i="2"/>
  <c r="EB103" i="4" s="1"/>
  <c r="EB99" i="2"/>
  <c r="EB99" i="4" s="1"/>
  <c r="EB12" i="2"/>
  <c r="EB12" i="4" s="1"/>
  <c r="EB43" i="2"/>
  <c r="EB43" i="4" s="1"/>
  <c r="EB31" i="2"/>
  <c r="EB31" i="4" s="1"/>
  <c r="EB19" i="2"/>
  <c r="EB19" i="4" s="1"/>
  <c r="EB77" i="2"/>
  <c r="EB77" i="4" s="1"/>
  <c r="EB57" i="2"/>
  <c r="EB57" i="4" s="1"/>
  <c r="EB53" i="2"/>
  <c r="EB53" i="4" s="1"/>
  <c r="EB49" i="2"/>
  <c r="EB49" i="4" s="1"/>
  <c r="EB25" i="2"/>
  <c r="EB25" i="4" s="1"/>
  <c r="EB21" i="2"/>
  <c r="EB21" i="4" s="1"/>
  <c r="EB52" i="2"/>
  <c r="EB52" i="4" s="1"/>
  <c r="EB40" i="2"/>
  <c r="EB40" i="4" s="1"/>
  <c r="EB4" i="2"/>
  <c r="EB4" i="4" s="1"/>
  <c r="EB79" i="2"/>
  <c r="EB79" i="4" s="1"/>
  <c r="EB75" i="2"/>
  <c r="EB75" i="4" s="1"/>
  <c r="EB63" i="2"/>
  <c r="EB63" i="4" s="1"/>
  <c r="EB55" i="2"/>
  <c r="EB55" i="4" s="1"/>
  <c r="EB39" i="2"/>
  <c r="EB39" i="4" s="1"/>
  <c r="EB23" i="2"/>
  <c r="EB23" i="4" s="1"/>
  <c r="EB127" i="2"/>
  <c r="EB127" i="4" s="1"/>
  <c r="EB120" i="2"/>
  <c r="EB120" i="4" s="1"/>
  <c r="EB112" i="2"/>
  <c r="EB112" i="4" s="1"/>
  <c r="EB104" i="2"/>
  <c r="EB104" i="4" s="1"/>
  <c r="EB8" i="2"/>
  <c r="EB8" i="4" s="1"/>
  <c r="EB83" i="2"/>
  <c r="EB83" i="4" s="1"/>
  <c r="EB59" i="2"/>
  <c r="EB59" i="4" s="1"/>
  <c r="EB51" i="2"/>
  <c r="EB51" i="4" s="1"/>
  <c r="EB11" i="2"/>
  <c r="EB11" i="4" s="1"/>
  <c r="EC87" i="2" l="1"/>
  <c r="EC87" i="4" s="1"/>
  <c r="C87" i="4" s="1"/>
  <c r="EC118" i="2"/>
  <c r="EC118" i="4" s="1"/>
  <c r="C118" i="4" s="1"/>
  <c r="EC130" i="2"/>
  <c r="EC130" i="4" s="1"/>
  <c r="C130" i="4" s="1"/>
  <c r="EC102" i="2"/>
  <c r="EC102" i="4" s="1"/>
  <c r="C102" i="4" s="1"/>
  <c r="EC98" i="2"/>
  <c r="EC98" i="4" s="1"/>
  <c r="C98" i="4" s="1"/>
  <c r="EC94" i="2"/>
  <c r="EC94" i="4" s="1"/>
  <c r="C94" i="4" s="1"/>
  <c r="EC66" i="2"/>
  <c r="EC66" i="4" s="1"/>
  <c r="C66" i="4" s="1"/>
  <c r="EC90" i="2"/>
  <c r="EC90" i="4" s="1"/>
  <c r="C90" i="4" s="1"/>
  <c r="EC86" i="2"/>
  <c r="EC86" i="4" s="1"/>
  <c r="C86" i="4" s="1"/>
  <c r="EC82" i="2"/>
  <c r="EC82" i="4" s="1"/>
  <c r="C82" i="4" s="1"/>
  <c r="EC78" i="2"/>
  <c r="EC78" i="4" s="1"/>
  <c r="C78" i="4" s="1"/>
  <c r="EC62" i="2"/>
  <c r="EC62" i="4" s="1"/>
  <c r="C62" i="4" s="1"/>
  <c r="EC58" i="2"/>
  <c r="EC58" i="4" s="1"/>
  <c r="C58" i="4" s="1"/>
  <c r="EC54" i="2"/>
  <c r="EC54" i="4" s="1"/>
  <c r="C54" i="4" s="1"/>
  <c r="EC50" i="2"/>
  <c r="EC50" i="4" s="1"/>
  <c r="C50" i="4" s="1"/>
  <c r="EC42" i="2"/>
  <c r="EC42" i="4" s="1"/>
  <c r="C42" i="4" s="1"/>
  <c r="EC38" i="2"/>
  <c r="EC38" i="4" s="1"/>
  <c r="C38" i="4" s="1"/>
  <c r="EC30" i="2"/>
  <c r="EC30" i="4" s="1"/>
  <c r="C30" i="4" s="1"/>
  <c r="EC22" i="2"/>
  <c r="EC22" i="4" s="1"/>
  <c r="C22" i="4" s="1"/>
  <c r="EC14" i="2"/>
  <c r="EC14" i="4" s="1"/>
  <c r="C14" i="4" s="1"/>
  <c r="EC6" i="2"/>
  <c r="EC6" i="4" s="1"/>
  <c r="C6" i="4" s="1"/>
  <c r="EC122" i="2"/>
  <c r="EC122" i="4" s="1"/>
  <c r="C122" i="4" s="1"/>
  <c r="EC106" i="2"/>
  <c r="EC106" i="4" s="1"/>
  <c r="C106" i="4" s="1"/>
  <c r="EC74" i="2"/>
  <c r="EC74" i="4" s="1"/>
  <c r="C74" i="4" s="1"/>
  <c r="EC70" i="2"/>
  <c r="EC70" i="4" s="1"/>
  <c r="C70" i="4" s="1"/>
  <c r="EC46" i="2"/>
  <c r="EC46" i="4" s="1"/>
  <c r="C46" i="4" s="1"/>
  <c r="EC34" i="2"/>
  <c r="EC34" i="4" s="1"/>
  <c r="C34" i="4" s="1"/>
  <c r="EC26" i="2"/>
  <c r="EC26" i="4" s="1"/>
  <c r="C26" i="4" s="1"/>
  <c r="EC93" i="2"/>
  <c r="EC93" i="4" s="1"/>
  <c r="C93" i="4" s="1"/>
  <c r="EC73" i="2"/>
  <c r="EC73" i="4" s="1"/>
  <c r="C73" i="4" s="1"/>
  <c r="EC69" i="2"/>
  <c r="EC69" i="4" s="1"/>
  <c r="C69" i="4" s="1"/>
  <c r="EC65" i="2"/>
  <c r="EC65" i="4" s="1"/>
  <c r="C65" i="4" s="1"/>
  <c r="EC61" i="2"/>
  <c r="EC61" i="4" s="1"/>
  <c r="C61" i="4" s="1"/>
  <c r="EC45" i="2"/>
  <c r="EC45" i="4" s="1"/>
  <c r="C45" i="4" s="1"/>
  <c r="EC41" i="2"/>
  <c r="EC41" i="4" s="1"/>
  <c r="C41" i="4" s="1"/>
  <c r="EC37" i="2"/>
  <c r="EC37" i="4" s="1"/>
  <c r="C37" i="4" s="1"/>
  <c r="EC33" i="2"/>
  <c r="EC33" i="4" s="1"/>
  <c r="C33" i="4" s="1"/>
  <c r="EC17" i="2"/>
  <c r="EC17" i="4" s="1"/>
  <c r="C17" i="4" s="1"/>
  <c r="EC5" i="2"/>
  <c r="EC5" i="4" s="1"/>
  <c r="C5" i="4" s="1"/>
  <c r="EC96" i="2"/>
  <c r="EC96" i="4" s="1"/>
  <c r="C96" i="4" s="1"/>
  <c r="EC92" i="2"/>
  <c r="EC92" i="4" s="1"/>
  <c r="C92" i="4" s="1"/>
  <c r="EC88" i="2"/>
  <c r="EC88" i="4" s="1"/>
  <c r="C88" i="4" s="1"/>
  <c r="B88" i="4" s="1"/>
  <c r="A88" i="4" s="1"/>
  <c r="EC84" i="2"/>
  <c r="EC84" i="4" s="1"/>
  <c r="C84" i="4" s="1"/>
  <c r="EC80" i="2"/>
  <c r="EC80" i="4" s="1"/>
  <c r="C80" i="4" s="1"/>
  <c r="EC76" i="2"/>
  <c r="EC76" i="4" s="1"/>
  <c r="C76" i="4" s="1"/>
  <c r="EC18" i="2"/>
  <c r="EC18" i="4" s="1"/>
  <c r="C18" i="4" s="1"/>
  <c r="B18" i="4" s="1"/>
  <c r="A18" i="4" s="1"/>
  <c r="EC10" i="2"/>
  <c r="EC10" i="4" s="1"/>
  <c r="C10" i="4" s="1"/>
  <c r="EC110" i="2"/>
  <c r="EC110" i="4" s="1"/>
  <c r="C110" i="4" s="1"/>
  <c r="EC64" i="2"/>
  <c r="EC64" i="4" s="1"/>
  <c r="C64" i="4" s="1"/>
  <c r="EC48" i="2"/>
  <c r="EC48" i="4" s="1"/>
  <c r="C48" i="4" s="1"/>
  <c r="EC32" i="2"/>
  <c r="EC32" i="4" s="1"/>
  <c r="C32" i="4" s="1"/>
  <c r="EC123" i="2"/>
  <c r="EC123" i="4" s="1"/>
  <c r="C123" i="4" s="1"/>
  <c r="B123" i="4" s="1"/>
  <c r="A123" i="4" s="1"/>
  <c r="EC107" i="2"/>
  <c r="EC107" i="4" s="1"/>
  <c r="C107" i="4" s="1"/>
  <c r="EC89" i="2"/>
  <c r="EC89" i="4" s="1"/>
  <c r="C89" i="4" s="1"/>
  <c r="B89" i="4" s="1"/>
  <c r="A89" i="4" s="1"/>
  <c r="EC85" i="2"/>
  <c r="EC85" i="4" s="1"/>
  <c r="C85" i="4" s="1"/>
  <c r="B85" i="4" s="1"/>
  <c r="A85" i="4" s="1"/>
  <c r="EC81" i="2"/>
  <c r="EC81" i="4" s="1"/>
  <c r="C81" i="4" s="1"/>
  <c r="B81" i="4" s="1"/>
  <c r="A81" i="4" s="1"/>
  <c r="EC29" i="2"/>
  <c r="EC29" i="4" s="1"/>
  <c r="C29" i="4" s="1"/>
  <c r="EC9" i="2"/>
  <c r="EC9" i="4" s="1"/>
  <c r="C9" i="4" s="1"/>
  <c r="EC114" i="2"/>
  <c r="EC114" i="4" s="1"/>
  <c r="C114" i="4" s="1"/>
  <c r="EC68" i="2"/>
  <c r="EC68" i="4" s="1"/>
  <c r="C68" i="4" s="1"/>
  <c r="EC44" i="2"/>
  <c r="EC44" i="4" s="1"/>
  <c r="C44" i="4" s="1"/>
  <c r="EC28" i="2"/>
  <c r="EC28" i="4" s="1"/>
  <c r="C28" i="4" s="1"/>
  <c r="EC127" i="2"/>
  <c r="EC127" i="4" s="1"/>
  <c r="C127" i="4" s="1"/>
  <c r="EC111" i="2"/>
  <c r="EC111" i="4" s="1"/>
  <c r="C111" i="4" s="1"/>
  <c r="B111" i="4" s="1"/>
  <c r="A111" i="4" s="1"/>
  <c r="EC3" i="2"/>
  <c r="EC3" i="4" s="1"/>
  <c r="C3" i="4" s="1"/>
  <c r="B3" i="4" s="1"/>
  <c r="A3" i="4" s="1"/>
  <c r="EC126" i="2"/>
  <c r="EC126" i="4" s="1"/>
  <c r="C126" i="4" s="1"/>
  <c r="EC57" i="2"/>
  <c r="EC57" i="4" s="1"/>
  <c r="C57" i="4" s="1"/>
  <c r="EC49" i="2"/>
  <c r="EC49" i="4" s="1"/>
  <c r="C49" i="4" s="1"/>
  <c r="B49" i="4" s="1"/>
  <c r="A49" i="4" s="1"/>
  <c r="EC21" i="2"/>
  <c r="EC21" i="4" s="1"/>
  <c r="C21" i="4" s="1"/>
  <c r="EC72" i="2"/>
  <c r="EC72" i="4" s="1"/>
  <c r="C72" i="4" s="1"/>
  <c r="EC56" i="2"/>
  <c r="EC56" i="4" s="1"/>
  <c r="C56" i="4" s="1"/>
  <c r="EC20" i="2"/>
  <c r="EC20" i="4" s="1"/>
  <c r="C20" i="4" s="1"/>
  <c r="EC115" i="2"/>
  <c r="EC115" i="4" s="1"/>
  <c r="C115" i="4" s="1"/>
  <c r="EC91" i="2"/>
  <c r="EC91" i="4" s="1"/>
  <c r="C91" i="4" s="1"/>
  <c r="B91" i="4" s="1"/>
  <c r="A91" i="4" s="1"/>
  <c r="EC59" i="2"/>
  <c r="EC59" i="4" s="1"/>
  <c r="C59" i="4" s="1"/>
  <c r="B59" i="4" s="1"/>
  <c r="A59" i="4" s="1"/>
  <c r="EC47" i="2"/>
  <c r="EC47" i="4" s="1"/>
  <c r="C47" i="4" s="1"/>
  <c r="B47" i="4" s="1"/>
  <c r="A47" i="4" s="1"/>
  <c r="EC43" i="2"/>
  <c r="EC43" i="4" s="1"/>
  <c r="C43" i="4" s="1"/>
  <c r="EC35" i="2"/>
  <c r="EC35" i="4" s="1"/>
  <c r="C35" i="4" s="1"/>
  <c r="EC31" i="2"/>
  <c r="EC31" i="4" s="1"/>
  <c r="C31" i="4" s="1"/>
  <c r="B31" i="4" s="1"/>
  <c r="A31" i="4" s="1"/>
  <c r="EC19" i="2"/>
  <c r="EC19" i="4" s="1"/>
  <c r="C19" i="4" s="1"/>
  <c r="B19" i="4" s="1"/>
  <c r="A19" i="4" s="1"/>
  <c r="EC15" i="2"/>
  <c r="EC15" i="4" s="1"/>
  <c r="C15" i="4" s="1"/>
  <c r="EC95" i="2"/>
  <c r="EC95" i="4" s="1"/>
  <c r="C95" i="4" s="1"/>
  <c r="B95" i="4" s="1"/>
  <c r="A95" i="4" s="1"/>
  <c r="EC60" i="2"/>
  <c r="EC60" i="4" s="1"/>
  <c r="C60" i="4" s="1"/>
  <c r="B60" i="4" s="1"/>
  <c r="A60" i="4" s="1"/>
  <c r="EC24" i="2"/>
  <c r="EC24" i="4" s="1"/>
  <c r="C24" i="4" s="1"/>
  <c r="EC119" i="2"/>
  <c r="EC119" i="4" s="1"/>
  <c r="C119" i="4" s="1"/>
  <c r="B119" i="4" s="1"/>
  <c r="A119" i="4" s="1"/>
  <c r="EC71" i="2"/>
  <c r="EC71" i="4" s="1"/>
  <c r="C71" i="4" s="1"/>
  <c r="B71" i="4" s="1"/>
  <c r="A71" i="4" s="1"/>
  <c r="EC67" i="2"/>
  <c r="EC67" i="4" s="1"/>
  <c r="C67" i="4" s="1"/>
  <c r="B67" i="4" s="1"/>
  <c r="A67" i="4" s="1"/>
  <c r="EC63" i="2"/>
  <c r="EC63" i="4" s="1"/>
  <c r="C63" i="4" s="1"/>
  <c r="B63" i="4" s="1"/>
  <c r="A63" i="4" s="1"/>
  <c r="EC124" i="2"/>
  <c r="EC124" i="4" s="1"/>
  <c r="C124" i="4" s="1"/>
  <c r="EC120" i="2"/>
  <c r="EC120" i="4" s="1"/>
  <c r="C120" i="4" s="1"/>
  <c r="B120" i="4" s="1"/>
  <c r="A120" i="4" s="1"/>
  <c r="EC116" i="2"/>
  <c r="EC116" i="4" s="1"/>
  <c r="C116" i="4" s="1"/>
  <c r="B116" i="4" s="1"/>
  <c r="A116" i="4" s="1"/>
  <c r="EC112" i="2"/>
  <c r="EC112" i="4" s="1"/>
  <c r="C112" i="4" s="1"/>
  <c r="B112" i="4" s="1"/>
  <c r="A112" i="4" s="1"/>
  <c r="EC108" i="2"/>
  <c r="EC108" i="4" s="1"/>
  <c r="C108" i="4" s="1"/>
  <c r="B108" i="4" s="1"/>
  <c r="A108" i="4" s="1"/>
  <c r="EC104" i="2"/>
  <c r="EC104" i="4" s="1"/>
  <c r="C104" i="4" s="1"/>
  <c r="EC100" i="2"/>
  <c r="EC100" i="4" s="1"/>
  <c r="C100" i="4" s="1"/>
  <c r="EC83" i="2"/>
  <c r="EC83" i="4" s="1"/>
  <c r="C83" i="4" s="1"/>
  <c r="B83" i="4" s="1"/>
  <c r="A83" i="4" s="1"/>
  <c r="EC129" i="2"/>
  <c r="EC129" i="4" s="1"/>
  <c r="C129" i="4" s="1"/>
  <c r="EC125" i="2"/>
  <c r="EC125" i="4" s="1"/>
  <c r="C125" i="4" s="1"/>
  <c r="B125" i="4" s="1"/>
  <c r="A125" i="4" s="1"/>
  <c r="EC121" i="2"/>
  <c r="EC121" i="4" s="1"/>
  <c r="C121" i="4" s="1"/>
  <c r="B121" i="4" s="1"/>
  <c r="A121" i="4" s="1"/>
  <c r="EC117" i="2"/>
  <c r="EC117" i="4" s="1"/>
  <c r="C117" i="4" s="1"/>
  <c r="EC113" i="2"/>
  <c r="EC113" i="4" s="1"/>
  <c r="C113" i="4" s="1"/>
  <c r="EC109" i="2"/>
  <c r="EC109" i="4" s="1"/>
  <c r="C109" i="4" s="1"/>
  <c r="B109" i="4" s="1"/>
  <c r="A109" i="4" s="1"/>
  <c r="EC101" i="2"/>
  <c r="EC101" i="4" s="1"/>
  <c r="C101" i="4" s="1"/>
  <c r="B101" i="4" s="1"/>
  <c r="A101" i="4" s="1"/>
  <c r="EC52" i="2"/>
  <c r="EC52" i="4" s="1"/>
  <c r="C52" i="4" s="1"/>
  <c r="EC36" i="2"/>
  <c r="EC36" i="4" s="1"/>
  <c r="C36" i="4" s="1"/>
  <c r="B36" i="4" s="1"/>
  <c r="A36" i="4" s="1"/>
  <c r="EC12" i="2"/>
  <c r="EC12" i="4" s="1"/>
  <c r="C12" i="4" s="1"/>
  <c r="EC39" i="2"/>
  <c r="EC39" i="4" s="1"/>
  <c r="C39" i="4" s="1"/>
  <c r="B39" i="4" s="1"/>
  <c r="A39" i="4" s="1"/>
  <c r="EC27" i="2"/>
  <c r="EC27" i="4" s="1"/>
  <c r="C27" i="4" s="1"/>
  <c r="B27" i="4" s="1"/>
  <c r="A27" i="4" s="1"/>
  <c r="EC11" i="2"/>
  <c r="EC11" i="4" s="1"/>
  <c r="C11" i="4" s="1"/>
  <c r="EC128" i="2"/>
  <c r="EC128" i="4" s="1"/>
  <c r="C128" i="4" s="1"/>
  <c r="EC77" i="2"/>
  <c r="EC77" i="4" s="1"/>
  <c r="C77" i="4" s="1"/>
  <c r="B77" i="4" s="1"/>
  <c r="A77" i="4" s="1"/>
  <c r="EC53" i="2"/>
  <c r="EC53" i="4" s="1"/>
  <c r="C53" i="4" s="1"/>
  <c r="B53" i="4" s="1"/>
  <c r="A53" i="4" s="1"/>
  <c r="EC25" i="2"/>
  <c r="EC25" i="4" s="1"/>
  <c r="C25" i="4" s="1"/>
  <c r="EC40" i="2"/>
  <c r="EC40" i="4" s="1"/>
  <c r="C40" i="4" s="1"/>
  <c r="EC16" i="2"/>
  <c r="EC16" i="4" s="1"/>
  <c r="C16" i="4" s="1"/>
  <c r="B16" i="4" s="1"/>
  <c r="A16" i="4" s="1"/>
  <c r="EC4" i="2"/>
  <c r="EC4" i="4" s="1"/>
  <c r="C4" i="4" s="1"/>
  <c r="EC99" i="2"/>
  <c r="EC99" i="4" s="1"/>
  <c r="C99" i="4" s="1"/>
  <c r="B99" i="4" s="1"/>
  <c r="A99" i="4" s="1"/>
  <c r="EC75" i="2"/>
  <c r="EC75" i="4" s="1"/>
  <c r="C75" i="4" s="1"/>
  <c r="EC55" i="2"/>
  <c r="EC55" i="4" s="1"/>
  <c r="C55" i="4" s="1"/>
  <c r="B55" i="4" s="1"/>
  <c r="A55" i="4" s="1"/>
  <c r="EC23" i="2"/>
  <c r="EC23" i="4" s="1"/>
  <c r="C23" i="4" s="1"/>
  <c r="B23" i="4" s="1"/>
  <c r="A23" i="4" s="1"/>
  <c r="EC105" i="2"/>
  <c r="EC105" i="4" s="1"/>
  <c r="C105" i="4" s="1"/>
  <c r="B105" i="4" s="1"/>
  <c r="A105" i="4" s="1"/>
  <c r="EC97" i="2"/>
  <c r="EC97" i="4" s="1"/>
  <c r="C97" i="4" s="1"/>
  <c r="EC13" i="2"/>
  <c r="EC13" i="4" s="1"/>
  <c r="C13" i="4" s="1"/>
  <c r="B13" i="4" s="1"/>
  <c r="A13" i="4" s="1"/>
  <c r="EC8" i="2"/>
  <c r="EC8" i="4" s="1"/>
  <c r="C8" i="4" s="1"/>
  <c r="EC103" i="2"/>
  <c r="EC103" i="4" s="1"/>
  <c r="C103" i="4" s="1"/>
  <c r="B103" i="4" s="1"/>
  <c r="A103" i="4" s="1"/>
  <c r="EC51" i="2"/>
  <c r="EC51" i="4" s="1"/>
  <c r="C51" i="4" s="1"/>
  <c r="EC7" i="2"/>
  <c r="EC7" i="4" s="1"/>
  <c r="C7" i="4" s="1"/>
  <c r="B7" i="4" s="1"/>
  <c r="A7" i="4" s="1"/>
  <c r="EC79" i="2"/>
  <c r="EC79" i="4" s="1"/>
  <c r="C79" i="4" s="1"/>
  <c r="B79" i="4" s="1"/>
  <c r="A79" i="4" s="1"/>
  <c r="B8" i="4" l="1"/>
  <c r="A8" i="4" s="1"/>
  <c r="B52" i="4"/>
  <c r="A52" i="4" s="1"/>
  <c r="B65" i="4"/>
  <c r="A65" i="4" s="1"/>
  <c r="B74" i="4"/>
  <c r="A74" i="4" s="1"/>
  <c r="B127" i="4"/>
  <c r="A127" i="4" s="1"/>
  <c r="B100" i="4"/>
  <c r="A100" i="4" s="1"/>
  <c r="B114" i="4"/>
  <c r="A114" i="4" s="1"/>
  <c r="B10" i="4"/>
  <c r="A10" i="4" s="1"/>
  <c r="B41" i="4"/>
  <c r="A41" i="4" s="1"/>
  <c r="B69" i="4"/>
  <c r="A69" i="4" s="1"/>
  <c r="B34" i="4"/>
  <c r="A34" i="4" s="1"/>
  <c r="B106" i="4"/>
  <c r="A106" i="4" s="1"/>
  <c r="B22" i="4"/>
  <c r="A22" i="4" s="1"/>
  <c r="B50" i="4"/>
  <c r="A50" i="4" s="1"/>
  <c r="B66" i="4"/>
  <c r="A66" i="4" s="1"/>
  <c r="B130" i="4"/>
  <c r="A130" i="4" s="1"/>
  <c r="B97" i="4"/>
  <c r="A97" i="4" s="1"/>
  <c r="B75" i="4"/>
  <c r="A75" i="4" s="1"/>
  <c r="B124" i="4"/>
  <c r="A124" i="4" s="1"/>
  <c r="B15" i="4"/>
  <c r="A15" i="4" s="1"/>
  <c r="B43" i="4"/>
  <c r="A43" i="4" s="1"/>
  <c r="B56" i="4"/>
  <c r="A56" i="4" s="1"/>
  <c r="B32" i="4"/>
  <c r="A32" i="4" s="1"/>
  <c r="B84" i="4"/>
  <c r="A84" i="4" s="1"/>
  <c r="B78" i="4"/>
  <c r="A78" i="4" s="1"/>
  <c r="B51" i="4"/>
  <c r="A51" i="4" s="1"/>
  <c r="B40" i="4"/>
  <c r="A40" i="4" s="1"/>
  <c r="B128" i="4"/>
  <c r="A128" i="4" s="1"/>
  <c r="B12" i="4"/>
  <c r="A12" i="4" s="1"/>
  <c r="B104" i="4"/>
  <c r="A104" i="4" s="1"/>
  <c r="B35" i="4"/>
  <c r="A35" i="4" s="1"/>
  <c r="B72" i="4"/>
  <c r="A72" i="4" s="1"/>
  <c r="B126" i="4"/>
  <c r="A126" i="4" s="1"/>
  <c r="B28" i="4"/>
  <c r="A28" i="4" s="1"/>
  <c r="B9" i="4"/>
  <c r="A9" i="4" s="1"/>
  <c r="B48" i="4"/>
  <c r="A48" i="4" s="1"/>
  <c r="B17" i="4"/>
  <c r="A17" i="4" s="1"/>
  <c r="B45" i="4"/>
  <c r="A45" i="4" s="1"/>
  <c r="B73" i="4"/>
  <c r="A73" i="4" s="1"/>
  <c r="B46" i="4"/>
  <c r="A46" i="4" s="1"/>
  <c r="B122" i="4"/>
  <c r="A122" i="4" s="1"/>
  <c r="B30" i="4"/>
  <c r="A30" i="4" s="1"/>
  <c r="B54" i="4"/>
  <c r="A54" i="4" s="1"/>
  <c r="B82" i="4"/>
  <c r="A82" i="4" s="1"/>
  <c r="B94" i="4"/>
  <c r="A94" i="4" s="1"/>
  <c r="B118" i="4"/>
  <c r="A118" i="4" s="1"/>
  <c r="B57" i="4"/>
  <c r="A57" i="4" s="1"/>
  <c r="B5" i="4"/>
  <c r="A5" i="4" s="1"/>
  <c r="B25" i="4"/>
  <c r="A25" i="4" s="1"/>
  <c r="B11" i="4"/>
  <c r="A11" i="4" s="1"/>
  <c r="B113" i="4"/>
  <c r="A113" i="4" s="1"/>
  <c r="B129" i="4"/>
  <c r="A129" i="4" s="1"/>
  <c r="B115" i="4"/>
  <c r="A115" i="4" s="1"/>
  <c r="B21" i="4"/>
  <c r="A21" i="4" s="1"/>
  <c r="B44" i="4"/>
  <c r="A44" i="4" s="1"/>
  <c r="B29" i="4"/>
  <c r="A29" i="4" s="1"/>
  <c r="B107" i="4"/>
  <c r="A107" i="4" s="1"/>
  <c r="B64" i="4"/>
  <c r="A64" i="4" s="1"/>
  <c r="B76" i="4"/>
  <c r="A76" i="4" s="1"/>
  <c r="B92" i="4"/>
  <c r="A92" i="4" s="1"/>
  <c r="B33" i="4"/>
  <c r="A33" i="4" s="1"/>
  <c r="B61" i="4"/>
  <c r="A61" i="4" s="1"/>
  <c r="B93" i="4"/>
  <c r="A93" i="4" s="1"/>
  <c r="B70" i="4"/>
  <c r="A70" i="4" s="1"/>
  <c r="B6" i="4"/>
  <c r="A6" i="4" s="1"/>
  <c r="B38" i="4"/>
  <c r="A38" i="4" s="1"/>
  <c r="B58" i="4"/>
  <c r="A58" i="4" s="1"/>
  <c r="B86" i="4"/>
  <c r="A86" i="4" s="1"/>
  <c r="B98" i="4"/>
  <c r="A98" i="4" s="1"/>
  <c r="B87" i="4"/>
  <c r="A87" i="4" s="1"/>
  <c r="B4" i="4"/>
  <c r="A4" i="4" s="1"/>
  <c r="B117" i="4"/>
  <c r="A117" i="4" s="1"/>
  <c r="B24" i="4"/>
  <c r="A24" i="4" s="1"/>
  <c r="B20" i="4"/>
  <c r="A20" i="4" s="1"/>
  <c r="B68" i="4"/>
  <c r="A68" i="4" s="1"/>
  <c r="B110" i="4"/>
  <c r="A110" i="4" s="1"/>
  <c r="B80" i="4"/>
  <c r="A80" i="4" s="1"/>
  <c r="B96" i="4"/>
  <c r="A96" i="4" s="1"/>
  <c r="B37" i="4"/>
  <c r="A37" i="4" s="1"/>
  <c r="B26" i="4"/>
  <c r="A26" i="4" s="1"/>
  <c r="B14" i="4"/>
  <c r="A14" i="4" s="1"/>
  <c r="B42" i="4"/>
  <c r="A42" i="4" s="1"/>
  <c r="B62" i="4"/>
  <c r="A62" i="4" s="1"/>
  <c r="B90" i="4"/>
  <c r="A90" i="4" s="1"/>
  <c r="B102" i="4"/>
  <c r="A102" i="4" s="1"/>
</calcChain>
</file>

<file path=xl/sharedStrings.xml><?xml version="1.0" encoding="utf-8"?>
<sst xmlns="http://schemas.openxmlformats.org/spreadsheetml/2006/main" count="65" uniqueCount="63">
  <si>
    <t>survival curve</t>
  </si>
  <si>
    <t>(no second parameter)</t>
  </si>
  <si>
    <t>Normal distribution 1-CDF</t>
  </si>
  <si>
    <t>Weibull distribution 1-CDF</t>
  </si>
  <si>
    <t>timestep</t>
  </si>
  <si>
    <t>r (0&lt;r&lt;1)</t>
  </si>
  <si>
    <t>μ (mean)</t>
  </si>
  <si>
    <t>σ (standard deviation)</t>
  </si>
  <si>
    <t>=1-NORM.DIST(D2,$H$2,$I$2,TRUE)</t>
  </si>
  <si>
    <t>k (shape parameter)</t>
  </si>
  <si>
    <t>l (scale parameter)</t>
  </si>
  <si>
    <t>=1-WEIBULL.DIST(D2,$H$2,$I$2,TRUE)</t>
  </si>
  <si>
    <t>=(1-$H$2)^D2</t>
  </si>
  <si>
    <t>Geometric/exponential depreciation (leaching model)</t>
  </si>
  <si>
    <t>inflows:</t>
  </si>
  <si>
    <t>inflows</t>
  </si>
  <si>
    <t>Flow-driven dynamic MFA model</t>
  </si>
  <si>
    <t>stocks</t>
  </si>
  <si>
    <t>outflows</t>
  </si>
  <si>
    <t>The model takes three two inputs:</t>
  </si>
  <si>
    <t>In sheet "data input":</t>
  </si>
  <si>
    <t>Data input</t>
  </si>
  <si>
    <t>Calculation of the cohorts</t>
  </si>
  <si>
    <r>
      <t>3. Insert</t>
    </r>
    <r>
      <rPr>
        <b/>
        <sz val="11"/>
        <color theme="5"/>
        <rFont val="Calibri"/>
        <family val="2"/>
        <scheme val="minor"/>
      </rPr>
      <t xml:space="preserve"> survival curve</t>
    </r>
    <r>
      <rPr>
        <sz val="11"/>
        <color theme="1"/>
        <rFont val="Calibri"/>
        <family val="2"/>
        <charset val="128"/>
        <scheme val="minor"/>
      </rPr>
      <t xml:space="preserve"> values:</t>
    </r>
  </si>
  <si>
    <r>
      <t xml:space="preserve">2. Insert </t>
    </r>
    <r>
      <rPr>
        <b/>
        <sz val="11"/>
        <color theme="4"/>
        <rFont val="Calibri"/>
        <family val="2"/>
        <scheme val="minor"/>
      </rPr>
      <t>inflow</t>
    </r>
    <r>
      <rPr>
        <sz val="11"/>
        <color theme="1"/>
        <rFont val="Calibri"/>
        <family val="2"/>
        <charset val="128"/>
        <scheme val="minor"/>
      </rPr>
      <t xml:space="preserve"> data starting from cell C3</t>
    </r>
  </si>
  <si>
    <r>
      <t xml:space="preserve">1. Insert </t>
    </r>
    <r>
      <rPr>
        <b/>
        <sz val="11"/>
        <color theme="0" tint="-0.249977111117893"/>
        <rFont val="Calibri"/>
        <family val="2"/>
        <scheme val="minor"/>
      </rPr>
      <t>time</t>
    </r>
    <r>
      <rPr>
        <sz val="11"/>
        <color theme="1"/>
        <rFont val="Calibri"/>
        <family val="2"/>
        <charset val="128"/>
        <scheme val="minor"/>
      </rPr>
      <t xml:space="preserve"> values (years) starting from cell B3</t>
    </r>
  </si>
  <si>
    <r>
      <rPr>
        <b/>
        <sz val="11"/>
        <color theme="6"/>
        <rFont val="Calibri"/>
        <family val="2"/>
        <scheme val="minor"/>
      </rPr>
      <t>stock</t>
    </r>
    <r>
      <rPr>
        <sz val="11"/>
        <color theme="1"/>
        <rFont val="Calibri"/>
        <family val="2"/>
        <charset val="128"/>
        <scheme val="minor"/>
      </rPr>
      <t xml:space="preserve"> &lt;-</t>
    </r>
  </si>
  <si>
    <r>
      <rPr>
        <b/>
        <sz val="11"/>
        <color theme="9"/>
        <rFont val="Calibri"/>
        <family val="2"/>
        <scheme val="minor"/>
      </rPr>
      <t>nas</t>
    </r>
    <r>
      <rPr>
        <sz val="11"/>
        <color theme="1"/>
        <rFont val="Calibri"/>
        <family val="2"/>
        <charset val="128"/>
        <scheme val="minor"/>
      </rPr>
      <t xml:space="preserve"> &lt;-</t>
    </r>
  </si>
  <si>
    <r>
      <rPr>
        <b/>
        <sz val="11"/>
        <color theme="7"/>
        <rFont val="Calibri"/>
        <family val="2"/>
        <scheme val="minor"/>
      </rPr>
      <t>out</t>
    </r>
    <r>
      <rPr>
        <sz val="11"/>
        <color theme="1"/>
        <rFont val="Calibri"/>
        <family val="2"/>
        <charset val="128"/>
        <scheme val="minor"/>
      </rPr>
      <t xml:space="preserve"> &lt;-</t>
    </r>
  </si>
  <si>
    <t>survival curve function codes for cell E3:</t>
  </si>
  <si>
    <t>survival curve parameters:</t>
  </si>
  <si>
    <t>survival curve:</t>
  </si>
  <si>
    <t>time:</t>
  </si>
  <si>
    <t>If calculated elsewhere, insert the values starting from cell E3</t>
  </si>
  <si>
    <t xml:space="preserve">Or use excel functions: The excel code for Normal, Weibull, and geometric depreciation are available in cells J4:J6. </t>
  </si>
  <si>
    <t>Fill the series downwards.</t>
  </si>
  <si>
    <t>Copy the required code without the ' hyphen into cell E3, enter parameter values in cells H3 and I3. The meaning of the parameters for each curve type are described in G4:I6.</t>
  </si>
  <si>
    <r>
      <t>In sheet "survival matrix" the</t>
    </r>
    <r>
      <rPr>
        <b/>
        <sz val="11"/>
        <color theme="5"/>
        <rFont val="Calibri"/>
        <family val="2"/>
        <scheme val="minor"/>
      </rPr>
      <t xml:space="preserve"> survival curve</t>
    </r>
    <r>
      <rPr>
        <sz val="11"/>
        <color theme="1"/>
        <rFont val="Calibri"/>
        <family val="2"/>
        <charset val="128"/>
        <scheme val="minor"/>
      </rPr>
      <t xml:space="preserve"> from "data input" is turned into a Toeplitz matrix starting from cell F3.</t>
    </r>
  </si>
  <si>
    <t>Calculation of the stocks, nas, and outflows</t>
  </si>
  <si>
    <r>
      <t>The sum of each row of the</t>
    </r>
    <r>
      <rPr>
        <i/>
        <sz val="11"/>
        <color theme="1"/>
        <rFont val="Calibri"/>
        <family val="2"/>
        <scheme val="minor"/>
      </rPr>
      <t xml:space="preserve"> cohort matrix </t>
    </r>
    <r>
      <rPr>
        <sz val="11"/>
        <color theme="1"/>
        <rFont val="Calibri"/>
        <family val="2"/>
        <charset val="128"/>
        <scheme val="minor"/>
      </rPr>
      <t xml:space="preserve">is the </t>
    </r>
    <r>
      <rPr>
        <b/>
        <sz val="11"/>
        <color theme="6"/>
        <rFont val="Calibri"/>
        <family val="2"/>
        <scheme val="minor"/>
      </rPr>
      <t>stock</t>
    </r>
    <r>
      <rPr>
        <sz val="11"/>
        <color theme="1"/>
        <rFont val="Calibri"/>
        <family val="2"/>
        <charset val="128"/>
        <scheme val="minor"/>
      </rPr>
      <t>, calculated in column C of "model output"</t>
    </r>
  </si>
  <si>
    <r>
      <t xml:space="preserve">In sheet "model output", the </t>
    </r>
    <r>
      <rPr>
        <b/>
        <sz val="11"/>
        <color theme="4"/>
        <rFont val="Calibri"/>
        <family val="2"/>
        <scheme val="minor"/>
      </rPr>
      <t>inflows</t>
    </r>
    <r>
      <rPr>
        <sz val="11"/>
        <color theme="1"/>
        <rFont val="Calibri"/>
        <family val="2"/>
        <charset val="128"/>
        <scheme val="minor"/>
      </rPr>
      <t xml:space="preserve"> (in row 1) are multiplied by the survival matrix to calculate the cohorts' survival over time, resulting in a </t>
    </r>
    <r>
      <rPr>
        <i/>
        <sz val="11"/>
        <color theme="1"/>
        <rFont val="Calibri"/>
        <family val="2"/>
        <scheme val="minor"/>
      </rPr>
      <t>cohorts matrix</t>
    </r>
    <r>
      <rPr>
        <sz val="11"/>
        <color theme="1"/>
        <rFont val="Calibri"/>
        <family val="2"/>
        <charset val="128"/>
        <scheme val="minor"/>
      </rPr>
      <t>.</t>
    </r>
  </si>
  <si>
    <r>
      <t xml:space="preserve">The </t>
    </r>
    <r>
      <rPr>
        <b/>
        <sz val="11"/>
        <color theme="6"/>
        <rFont val="Calibri"/>
        <family val="2"/>
        <scheme val="minor"/>
      </rPr>
      <t>stock</t>
    </r>
    <r>
      <rPr>
        <sz val="11"/>
        <color theme="1"/>
        <rFont val="Calibri"/>
        <family val="2"/>
        <charset val="128"/>
        <scheme val="minor"/>
      </rPr>
      <t xml:space="preserve">'s difference between two timesteps is the </t>
    </r>
    <r>
      <rPr>
        <b/>
        <sz val="11"/>
        <color theme="9"/>
        <rFont val="Calibri"/>
        <family val="2"/>
        <scheme val="minor"/>
      </rPr>
      <t>net addition to stock</t>
    </r>
    <r>
      <rPr>
        <sz val="11"/>
        <color theme="1"/>
        <rFont val="Calibri"/>
        <family val="2"/>
        <charset val="128"/>
        <scheme val="minor"/>
      </rPr>
      <t>, calculated in column B</t>
    </r>
  </si>
  <si>
    <r>
      <t xml:space="preserve">The </t>
    </r>
    <r>
      <rPr>
        <b/>
        <sz val="11"/>
        <color theme="7"/>
        <rFont val="Calibri"/>
        <family val="2"/>
        <scheme val="minor"/>
      </rPr>
      <t>outflows</t>
    </r>
    <r>
      <rPr>
        <sz val="11"/>
        <color theme="1"/>
        <rFont val="Calibri"/>
        <family val="2"/>
        <charset val="128"/>
        <scheme val="minor"/>
      </rPr>
      <t xml:space="preserve"> are calculated in column A using the mass balance equation: </t>
    </r>
    <r>
      <rPr>
        <b/>
        <sz val="11"/>
        <color theme="4"/>
        <rFont val="Calibri"/>
        <family val="2"/>
        <scheme val="minor"/>
      </rPr>
      <t>inflow</t>
    </r>
    <r>
      <rPr>
        <sz val="11"/>
        <color theme="1"/>
        <rFont val="Calibri"/>
        <family val="2"/>
        <charset val="128"/>
        <scheme val="minor"/>
      </rPr>
      <t xml:space="preserve"> = </t>
    </r>
    <r>
      <rPr>
        <b/>
        <sz val="11"/>
        <color theme="9"/>
        <rFont val="Calibri"/>
        <family val="2"/>
        <scheme val="minor"/>
      </rPr>
      <t>net addition to stock</t>
    </r>
    <r>
      <rPr>
        <sz val="11"/>
        <color theme="1"/>
        <rFont val="Calibri"/>
        <family val="2"/>
        <charset val="128"/>
        <scheme val="minor"/>
      </rPr>
      <t xml:space="preserve"> + </t>
    </r>
    <r>
      <rPr>
        <b/>
        <sz val="11"/>
        <color theme="7"/>
        <rFont val="Calibri"/>
        <family val="2"/>
        <scheme val="minor"/>
      </rPr>
      <t>outflow</t>
    </r>
  </si>
  <si>
    <t>Use instructions:</t>
  </si>
  <si>
    <t>https://github.com/TomerFishman/RAPID-MFA</t>
  </si>
  <si>
    <t>Contact:</t>
  </si>
  <si>
    <t>tomer.fishman@idc.ac.il</t>
  </si>
  <si>
    <t>Created by Tomer Fishman</t>
  </si>
  <si>
    <t>Simple description:</t>
  </si>
  <si>
    <t>time series</t>
  </si>
  <si>
    <t>nas (net addition to stocks)</t>
  </si>
  <si>
    <t>It produces one main output:</t>
  </si>
  <si>
    <t>And three secondary outputs:</t>
  </si>
  <si>
    <t>Calculation of the main output, stock, is an explicit step-by-step recreation of the convolution:</t>
  </si>
  <si>
    <t>Inflow cohorts' depreciation matrix</t>
  </si>
  <si>
    <r>
      <t xml:space="preserve">The </t>
    </r>
    <r>
      <rPr>
        <b/>
        <sz val="11"/>
        <color theme="5"/>
        <rFont val="Calibri"/>
        <family val="2"/>
        <scheme val="minor"/>
      </rPr>
      <t>survival curve</t>
    </r>
    <r>
      <rPr>
        <sz val="11"/>
        <color theme="1"/>
        <rFont val="Calibri"/>
        <family val="2"/>
        <charset val="128"/>
        <scheme val="minor"/>
      </rPr>
      <t xml:space="preserve"> is this system's impulse response function. </t>
    </r>
  </si>
  <si>
    <t>The matrix's cells are colored using conditional formatting to visualize this matrix's properties.</t>
  </si>
  <si>
    <t>You can extend the matrix using Excel's fill series as needed.</t>
  </si>
  <si>
    <t>For updates visit:</t>
  </si>
  <si>
    <t>Use, modify, and share under the GPL v3.0. Please cite:</t>
  </si>
  <si>
    <t>(citation)</t>
  </si>
  <si>
    <r>
      <t xml:space="preserve">The matrix's rows reflect </t>
    </r>
    <r>
      <rPr>
        <b/>
        <sz val="11"/>
        <color theme="0" tint="-0.499984740745262"/>
        <rFont val="Calibri"/>
        <family val="2"/>
        <scheme val="minor"/>
      </rPr>
      <t>t</t>
    </r>
    <r>
      <rPr>
        <sz val="11"/>
        <color theme="1"/>
        <rFont val="Calibri"/>
        <family val="2"/>
        <charset val="128"/>
        <scheme val="minor"/>
      </rPr>
      <t xml:space="preserve"> and the columns reflect </t>
    </r>
    <r>
      <rPr>
        <sz val="11"/>
        <color theme="1"/>
        <rFont val="Calibri"/>
        <family val="2"/>
      </rPr>
      <t>τ</t>
    </r>
    <r>
      <rPr>
        <sz val="11"/>
        <color theme="1"/>
        <rFont val="Calibri"/>
        <family val="2"/>
        <charset val="128"/>
      </rPr>
      <t xml:space="preserve"> in the equation above. </t>
    </r>
  </si>
  <si>
    <t>Creation of a survival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</si>
</sst>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28"/>
    </font>
    <font>
      <b/>
      <sz val="11"/>
      <color theme="4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0" fillId="0" borderId="0" xfId="0" applyBorder="1"/>
    <xf numFmtId="164" fontId="0" fillId="0" borderId="0" xfId="0" applyNumberFormat="1"/>
    <xf numFmtId="1" fontId="0" fillId="0" borderId="0" xfId="0" applyNumberFormat="1"/>
    <xf numFmtId="0" fontId="0" fillId="3" borderId="0" xfId="0" applyFill="1"/>
    <xf numFmtId="0" fontId="0" fillId="3" borderId="0" xfId="0" applyFill="1" applyBorder="1"/>
    <xf numFmtId="0" fontId="0" fillId="4" borderId="0" xfId="0" applyFill="1" applyBorder="1"/>
    <xf numFmtId="0" fontId="0" fillId="4" borderId="0" xfId="0" applyFill="1"/>
    <xf numFmtId="1" fontId="0" fillId="5" borderId="0" xfId="0" applyNumberFormat="1" applyFill="1"/>
    <xf numFmtId="1" fontId="0" fillId="6" borderId="0" xfId="0" applyNumberFormat="1" applyFill="1"/>
    <xf numFmtId="164" fontId="0" fillId="7" borderId="0" xfId="0" applyNumberFormat="1" applyFill="1" applyBorder="1"/>
    <xf numFmtId="1" fontId="0" fillId="8" borderId="0" xfId="0" applyNumberFormat="1" applyFill="1"/>
    <xf numFmtId="0" fontId="0" fillId="0" borderId="0" xfId="0" applyFill="1"/>
    <xf numFmtId="0" fontId="4" fillId="0" borderId="0" xfId="0" applyFont="1" applyFill="1" applyBorder="1"/>
    <xf numFmtId="164" fontId="5" fillId="0" borderId="0" xfId="0" applyNumberFormat="1" applyFont="1" applyFill="1" applyBorder="1"/>
    <xf numFmtId="0" fontId="6" fillId="0" borderId="0" xfId="0" applyFont="1" applyFill="1"/>
    <xf numFmtId="0" fontId="7" fillId="0" borderId="0" xfId="0" applyFont="1" applyFill="1"/>
    <xf numFmtId="0" fontId="8" fillId="0" borderId="0" xfId="0" applyFont="1" applyFill="1"/>
    <xf numFmtId="0" fontId="11" fillId="0" borderId="0" xfId="0" applyFont="1" applyFill="1"/>
    <xf numFmtId="0" fontId="9" fillId="0" borderId="0" xfId="0" applyFont="1" applyFill="1" applyBorder="1"/>
    <xf numFmtId="0" fontId="9" fillId="0" borderId="0" xfId="0" applyFont="1"/>
    <xf numFmtId="0" fontId="4" fillId="0" borderId="0" xfId="0" applyFont="1" applyBorder="1"/>
    <xf numFmtId="0" fontId="5" fillId="0" borderId="0" xfId="0" applyFont="1"/>
    <xf numFmtId="0" fontId="12" fillId="0" borderId="0" xfId="0" applyFont="1"/>
    <xf numFmtId="0" fontId="4" fillId="0" borderId="0" xfId="0" applyFont="1" applyAlignment="1">
      <alignment horizontal="right"/>
    </xf>
    <xf numFmtId="0" fontId="0" fillId="2" borderId="0" xfId="0" quotePrefix="1" applyFill="1"/>
    <xf numFmtId="0" fontId="0" fillId="2" borderId="1" xfId="0" applyFill="1" applyBorder="1"/>
    <xf numFmtId="0" fontId="1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input'!$C$2</c:f>
              <c:strCache>
                <c:ptCount val="1"/>
                <c:pt idx="0">
                  <c:v>inflows: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input'!$B$3:$B$130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'data input'!$C$3:$C$130</c:f>
              <c:numCache>
                <c:formatCode>General</c:formatCode>
                <c:ptCount val="128"/>
                <c:pt idx="0">
                  <c:v>3250.546162900926</c:v>
                </c:pt>
                <c:pt idx="1">
                  <c:v>6526.6640369404358</c:v>
                </c:pt>
                <c:pt idx="2">
                  <c:v>9817.8901961806278</c:v>
                </c:pt>
                <c:pt idx="3">
                  <c:v>13135.630589270371</c:v>
                </c:pt>
                <c:pt idx="4">
                  <c:v>16477.460675834631</c:v>
                </c:pt>
                <c:pt idx="5">
                  <c:v>19844.284474243581</c:v>
                </c:pt>
                <c:pt idx="6">
                  <c:v>23242.926836047798</c:v>
                </c:pt>
                <c:pt idx="7">
                  <c:v>26668.860275157796</c:v>
                </c:pt>
                <c:pt idx="8">
                  <c:v>30110.14805696805</c:v>
                </c:pt>
                <c:pt idx="9">
                  <c:v>33559.834518262403</c:v>
                </c:pt>
                <c:pt idx="10">
                  <c:v>37031.476693948942</c:v>
                </c:pt>
                <c:pt idx="11">
                  <c:v>40534.314183831208</c:v>
                </c:pt>
                <c:pt idx="12">
                  <c:v>44065.433662495023</c:v>
                </c:pt>
                <c:pt idx="13">
                  <c:v>47615.868135125631</c:v>
                </c:pt>
                <c:pt idx="14">
                  <c:v>51175.347620879125</c:v>
                </c:pt>
                <c:pt idx="15">
                  <c:v>54750.172364717015</c:v>
                </c:pt>
                <c:pt idx="16">
                  <c:v>58331.55860291468</c:v>
                </c:pt>
                <c:pt idx="17">
                  <c:v>61928.709928016164</c:v>
                </c:pt>
                <c:pt idx="18">
                  <c:v>65540.403890407848</c:v>
                </c:pt>
                <c:pt idx="19">
                  <c:v>69160.925075631778</c:v>
                </c:pt>
                <c:pt idx="20">
                  <c:v>72793.730638864989</c:v>
                </c:pt>
                <c:pt idx="21">
                  <c:v>76437.882790353033</c:v>
                </c:pt>
                <c:pt idx="22">
                  <c:v>80082.579883504644</c:v>
                </c:pt>
                <c:pt idx="23">
                  <c:v>84067.725629348221</c:v>
                </c:pt>
                <c:pt idx="24">
                  <c:v>88801.927415177692</c:v>
                </c:pt>
                <c:pt idx="25">
                  <c:v>93467.072046386689</c:v>
                </c:pt>
                <c:pt idx="26">
                  <c:v>97199.091605726528</c:v>
                </c:pt>
                <c:pt idx="27">
                  <c:v>101217.39516120101</c:v>
                </c:pt>
                <c:pt idx="28">
                  <c:v>104879.64637308358</c:v>
                </c:pt>
                <c:pt idx="29">
                  <c:v>110812.4782529643</c:v>
                </c:pt>
                <c:pt idx="30">
                  <c:v>114924.65565609437</c:v>
                </c:pt>
                <c:pt idx="31">
                  <c:v>118484.91876070596</c:v>
                </c:pt>
                <c:pt idx="32">
                  <c:v>122197.74458417001</c:v>
                </c:pt>
                <c:pt idx="33">
                  <c:v>126081.31826517344</c:v>
                </c:pt>
                <c:pt idx="34">
                  <c:v>128653.08932904841</c:v>
                </c:pt>
                <c:pt idx="35">
                  <c:v>131068.40097777806</c:v>
                </c:pt>
                <c:pt idx="36">
                  <c:v>132895.66491836752</c:v>
                </c:pt>
                <c:pt idx="37">
                  <c:v>135476.33106197993</c:v>
                </c:pt>
                <c:pt idx="38">
                  <c:v>138847.66428085254</c:v>
                </c:pt>
                <c:pt idx="39">
                  <c:v>142189.18477568755</c:v>
                </c:pt>
                <c:pt idx="40">
                  <c:v>147011.67698903236</c:v>
                </c:pt>
                <c:pt idx="41">
                  <c:v>151982.86257007325</c:v>
                </c:pt>
                <c:pt idx="42">
                  <c:v>155974.66100865367</c:v>
                </c:pt>
                <c:pt idx="43">
                  <c:v>160372.21816218839</c:v>
                </c:pt>
                <c:pt idx="44">
                  <c:v>164713.79065050435</c:v>
                </c:pt>
                <c:pt idx="45">
                  <c:v>170151.05531062491</c:v>
                </c:pt>
                <c:pt idx="46">
                  <c:v>175090.67210225883</c:v>
                </c:pt>
                <c:pt idx="47">
                  <c:v>179318.64578546511</c:v>
                </c:pt>
                <c:pt idx="48">
                  <c:v>184295.66767213211</c:v>
                </c:pt>
                <c:pt idx="49">
                  <c:v>189446.03593735155</c:v>
                </c:pt>
                <c:pt idx="50">
                  <c:v>195079.57296554314</c:v>
                </c:pt>
                <c:pt idx="51">
                  <c:v>200498.4219661961</c:v>
                </c:pt>
                <c:pt idx="52">
                  <c:v>204940.58636202328</c:v>
                </c:pt>
                <c:pt idx="53">
                  <c:v>209371.37675841388</c:v>
                </c:pt>
                <c:pt idx="54">
                  <c:v>213733.84174126809</c:v>
                </c:pt>
                <c:pt idx="55">
                  <c:v>218595.98215789621</c:v>
                </c:pt>
                <c:pt idx="56">
                  <c:v>223874.72794262215</c:v>
                </c:pt>
                <c:pt idx="57">
                  <c:v>229232.47867469641</c:v>
                </c:pt>
                <c:pt idx="58">
                  <c:v>235387.105447701</c:v>
                </c:pt>
                <c:pt idx="59">
                  <c:v>242445.45176849287</c:v>
                </c:pt>
                <c:pt idx="60">
                  <c:v>250779.41555639898</c:v>
                </c:pt>
                <c:pt idx="61">
                  <c:v>261839.46643901055</c:v>
                </c:pt>
                <c:pt idx="62">
                  <c:v>272763.9729427658</c:v>
                </c:pt>
                <c:pt idx="63">
                  <c:v>285163.91856959008</c:v>
                </c:pt>
                <c:pt idx="64">
                  <c:v>294310.88147944695</c:v>
                </c:pt>
                <c:pt idx="65">
                  <c:v>308858.62037567282</c:v>
                </c:pt>
                <c:pt idx="66">
                  <c:v>322104.94112684362</c:v>
                </c:pt>
                <c:pt idx="67">
                  <c:v>325428.16494747583</c:v>
                </c:pt>
                <c:pt idx="68">
                  <c:v>330535.25964061462</c:v>
                </c:pt>
                <c:pt idx="69">
                  <c:v>336629.94486201025</c:v>
                </c:pt>
                <c:pt idx="70">
                  <c:v>343349.66988598794</c:v>
                </c:pt>
                <c:pt idx="71">
                  <c:v>351090.79027027084</c:v>
                </c:pt>
                <c:pt idx="72">
                  <c:v>362901.62116343644</c:v>
                </c:pt>
                <c:pt idx="73">
                  <c:v>380638.00541386323</c:v>
                </c:pt>
                <c:pt idx="74">
                  <c:v>397522.32242475491</c:v>
                </c:pt>
                <c:pt idx="75">
                  <c:v>417015.14645795553</c:v>
                </c:pt>
                <c:pt idx="76">
                  <c:v>434558.09459958103</c:v>
                </c:pt>
                <c:pt idx="77">
                  <c:v>453642.40970206988</c:v>
                </c:pt>
                <c:pt idx="78">
                  <c:v>473986.87675339752</c:v>
                </c:pt>
                <c:pt idx="79">
                  <c:v>495600.17012444441</c:v>
                </c:pt>
                <c:pt idx="80">
                  <c:v>514736.86171015492</c:v>
                </c:pt>
                <c:pt idx="81">
                  <c:v>534637.76938929514</c:v>
                </c:pt>
                <c:pt idx="82">
                  <c:v>556129.49497393717</c:v>
                </c:pt>
                <c:pt idx="83">
                  <c:v>578208.12848345248</c:v>
                </c:pt>
                <c:pt idx="84">
                  <c:v>605771.80507718993</c:v>
                </c:pt>
                <c:pt idx="85">
                  <c:v>636129.69962289743</c:v>
                </c:pt>
                <c:pt idx="86">
                  <c:v>665702.98990406771</c:v>
                </c:pt>
                <c:pt idx="87">
                  <c:v>697304.89767083782</c:v>
                </c:pt>
                <c:pt idx="88">
                  <c:v>732513.20721288421</c:v>
                </c:pt>
                <c:pt idx="89">
                  <c:v>772172.19023072289</c:v>
                </c:pt>
                <c:pt idx="90">
                  <c:v>812919.09325780091</c:v>
                </c:pt>
                <c:pt idx="91">
                  <c:v>853605.04412127798</c:v>
                </c:pt>
                <c:pt idx="92">
                  <c:v>897864.14653953933</c:v>
                </c:pt>
                <c:pt idx="93">
                  <c:v>940376.05932987994</c:v>
                </c:pt>
                <c:pt idx="94">
                  <c:v>984266.9609248176</c:v>
                </c:pt>
                <c:pt idx="95">
                  <c:v>1031548.9588011784</c:v>
                </c:pt>
                <c:pt idx="96">
                  <c:v>1073840.7523882496</c:v>
                </c:pt>
                <c:pt idx="97">
                  <c:v>1106799.3627719062</c:v>
                </c:pt>
                <c:pt idx="98">
                  <c:v>1154806.5236675595</c:v>
                </c:pt>
                <c:pt idx="99">
                  <c:v>1184951.33454638</c:v>
                </c:pt>
                <c:pt idx="100">
                  <c:v>1221150.1351589758</c:v>
                </c:pt>
                <c:pt idx="101">
                  <c:v>1259440.602027467</c:v>
                </c:pt>
                <c:pt idx="102">
                  <c:v>1292964.6434829384</c:v>
                </c:pt>
                <c:pt idx="103">
                  <c:v>1317881.888923666</c:v>
                </c:pt>
                <c:pt idx="104">
                  <c:v>1343760.6299748099</c:v>
                </c:pt>
                <c:pt idx="105">
                  <c:v>1368384.7154099254</c:v>
                </c:pt>
                <c:pt idx="106">
                  <c:v>1391588.8835480448</c:v>
                </c:pt>
                <c:pt idx="107">
                  <c:v>1414989.0069484261</c:v>
                </c:pt>
                <c:pt idx="108">
                  <c:v>1436834.7673733823</c:v>
                </c:pt>
                <c:pt idx="109">
                  <c:v>1460693.9580714335</c:v>
                </c:pt>
                <c:pt idx="110">
                  <c:v>1482594.5292667579</c:v>
                </c:pt>
                <c:pt idx="111">
                  <c:v>1505159.749849343</c:v>
                </c:pt>
                <c:pt idx="112">
                  <c:v>1524289.5639477617</c:v>
                </c:pt>
                <c:pt idx="113">
                  <c:v>1540245.9763468944</c:v>
                </c:pt>
                <c:pt idx="114">
                  <c:v>1551201.7090346084</c:v>
                </c:pt>
                <c:pt idx="115">
                  <c:v>1562605.8746096075</c:v>
                </c:pt>
                <c:pt idx="116">
                  <c:v>1571774.9965905659</c:v>
                </c:pt>
                <c:pt idx="117">
                  <c:v>1579328.5964599177</c:v>
                </c:pt>
                <c:pt idx="118">
                  <c:v>1585090.467790815</c:v>
                </c:pt>
                <c:pt idx="119">
                  <c:v>1589232.4898749911</c:v>
                </c:pt>
                <c:pt idx="120">
                  <c:v>1585115.0897971143</c:v>
                </c:pt>
                <c:pt idx="121">
                  <c:v>1581633.7540776941</c:v>
                </c:pt>
                <c:pt idx="122">
                  <c:v>1576665.8911700146</c:v>
                </c:pt>
                <c:pt idx="123">
                  <c:v>1567597.5126003181</c:v>
                </c:pt>
                <c:pt idx="124">
                  <c:v>1557245.2357424945</c:v>
                </c:pt>
                <c:pt idx="125">
                  <c:v>1546241.882897659</c:v>
                </c:pt>
                <c:pt idx="126">
                  <c:v>1534800.875351374</c:v>
                </c:pt>
                <c:pt idx="127">
                  <c:v>1521833.06146915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B0-446C-BEAD-4F8B3CA1F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446256"/>
        <c:axId val="717439696"/>
      </c:lineChart>
      <c:catAx>
        <c:axId val="71744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39696"/>
        <c:crosses val="autoZero"/>
        <c:auto val="1"/>
        <c:lblAlgn val="ctr"/>
        <c:lblOffset val="100"/>
        <c:noMultiLvlLbl val="0"/>
      </c:catAx>
      <c:valAx>
        <c:axId val="71743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4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input'!$E$2</c:f>
              <c:strCache>
                <c:ptCount val="1"/>
                <c:pt idx="0">
                  <c:v>survival curve: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'data input'!$D$3:$D$130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cat>
          <c:val>
            <c:numRef>
              <c:f>'data input'!$E$3:$E$130</c:f>
              <c:numCache>
                <c:formatCode>0.000</c:formatCode>
                <c:ptCount val="128"/>
                <c:pt idx="0">
                  <c:v>0.9986501019683699</c:v>
                </c:pt>
                <c:pt idx="1">
                  <c:v>0.99827771888413241</c:v>
                </c:pt>
                <c:pt idx="2">
                  <c:v>0.99781403854508677</c:v>
                </c:pt>
                <c:pt idx="3">
                  <c:v>0.99723991460873751</c:v>
                </c:pt>
                <c:pt idx="4">
                  <c:v>0.99653302619695938</c:v>
                </c:pt>
                <c:pt idx="5">
                  <c:v>0.99566755163698739</c:v>
                </c:pt>
                <c:pt idx="6">
                  <c:v>0.99461385404593328</c:v>
                </c:pt>
                <c:pt idx="7">
                  <c:v>0.99333819120801725</c:v>
                </c:pt>
                <c:pt idx="8">
                  <c:v>0.99180246407540384</c:v>
                </c:pt>
                <c:pt idx="9">
                  <c:v>0.98996401989972593</c:v>
                </c:pt>
                <c:pt idx="10">
                  <c:v>0.98777552734495533</c:v>
                </c:pt>
                <c:pt idx="11">
                  <c:v>0.98518494180739014</c:v>
                </c:pt>
                <c:pt idx="12">
                  <c:v>0.98213557943718344</c:v>
                </c:pt>
                <c:pt idx="13">
                  <c:v>0.97856631788584703</c:v>
                </c:pt>
                <c:pt idx="14">
                  <c:v>0.97441194047836144</c:v>
                </c:pt>
                <c:pt idx="15">
                  <c:v>0.96960363823473861</c:v>
                </c:pt>
                <c:pt idx="16">
                  <c:v>0.96406968088707423</c:v>
                </c:pt>
                <c:pt idx="17">
                  <c:v>0.95773626374204757</c:v>
                </c:pt>
                <c:pt idx="18">
                  <c:v>0.9505285319663519</c:v>
                </c:pt>
                <c:pt idx="19">
                  <c:v>0.94237177772384684</c:v>
                </c:pt>
                <c:pt idx="20">
                  <c:v>0.93319279873114191</c:v>
                </c:pt>
                <c:pt idx="21">
                  <c:v>0.92292139944792817</c:v>
                </c:pt>
                <c:pt idx="22">
                  <c:v>0.91149200856259793</c:v>
                </c:pt>
                <c:pt idx="23">
                  <c:v>0.89884537900441408</c:v>
                </c:pt>
                <c:pt idx="24">
                  <c:v>0.88493032977829178</c:v>
                </c:pt>
                <c:pt idx="25">
                  <c:v>0.86970548286319116</c:v>
                </c:pt>
                <c:pt idx="26">
                  <c:v>0.85314094362410409</c:v>
                </c:pt>
                <c:pt idx="27">
                  <c:v>0.83521987001968967</c:v>
                </c:pt>
                <c:pt idx="28">
                  <c:v>0.81593987465324047</c:v>
                </c:pt>
                <c:pt idx="29">
                  <c:v>0.79531420465274738</c:v>
                </c:pt>
                <c:pt idx="30">
                  <c:v>0.77337264762313174</c:v>
                </c:pt>
                <c:pt idx="31">
                  <c:v>0.75016211752822304</c:v>
                </c:pt>
                <c:pt idx="32">
                  <c:v>0.72574688224992645</c:v>
                </c:pt>
                <c:pt idx="33">
                  <c:v>0.70020840453130417</c:v>
                </c:pt>
                <c:pt idx="34">
                  <c:v>0.67364477971207992</c:v>
                </c:pt>
                <c:pt idx="35">
                  <c:v>0.64616976667272386</c:v>
                </c:pt>
                <c:pt idx="36">
                  <c:v>0.61791142218895267</c:v>
                </c:pt>
                <c:pt idx="37">
                  <c:v>0.58901036286872965</c:v>
                </c:pt>
                <c:pt idx="38">
                  <c:v>0.5596176923702425</c:v>
                </c:pt>
                <c:pt idx="39">
                  <c:v>0.52989264405289482</c:v>
                </c:pt>
                <c:pt idx="40">
                  <c:v>0.5</c:v>
                </c:pt>
                <c:pt idx="41">
                  <c:v>0.47010735594710518</c:v>
                </c:pt>
                <c:pt idx="42">
                  <c:v>0.4403823076297575</c:v>
                </c:pt>
                <c:pt idx="43">
                  <c:v>0.41098963713127035</c:v>
                </c:pt>
                <c:pt idx="44">
                  <c:v>0.38208857781104733</c:v>
                </c:pt>
                <c:pt idx="45">
                  <c:v>0.35383023332727614</c:v>
                </c:pt>
                <c:pt idx="46">
                  <c:v>0.32635522028792008</c:v>
                </c:pt>
                <c:pt idx="47">
                  <c:v>0.29979159546869583</c:v>
                </c:pt>
                <c:pt idx="48">
                  <c:v>0.27425311775007355</c:v>
                </c:pt>
                <c:pt idx="49">
                  <c:v>0.24983788247177696</c:v>
                </c:pt>
                <c:pt idx="50">
                  <c:v>0.22662735237686826</c:v>
                </c:pt>
                <c:pt idx="51">
                  <c:v>0.20468579534725262</c:v>
                </c:pt>
                <c:pt idx="52">
                  <c:v>0.18406012534675953</c:v>
                </c:pt>
                <c:pt idx="53">
                  <c:v>0.16478012998031033</c:v>
                </c:pt>
                <c:pt idx="54">
                  <c:v>0.14685905637589591</c:v>
                </c:pt>
                <c:pt idx="55">
                  <c:v>0.13029451713680884</c:v>
                </c:pt>
                <c:pt idx="56">
                  <c:v>0.11506967022170822</c:v>
                </c:pt>
                <c:pt idx="57">
                  <c:v>0.10115462099558592</c:v>
                </c:pt>
                <c:pt idx="58">
                  <c:v>8.8507991437402067E-2</c:v>
                </c:pt>
                <c:pt idx="59">
                  <c:v>7.707860055207183E-2</c:v>
                </c:pt>
                <c:pt idx="60">
                  <c:v>6.6807201268858085E-2</c:v>
                </c:pt>
                <c:pt idx="61">
                  <c:v>5.7628222276153163E-2</c:v>
                </c:pt>
                <c:pt idx="62">
                  <c:v>4.9471468033648103E-2</c:v>
                </c:pt>
                <c:pt idx="63">
                  <c:v>4.2263736257952433E-2</c:v>
                </c:pt>
                <c:pt idx="64">
                  <c:v>3.5930319112925768E-2</c:v>
                </c:pt>
                <c:pt idx="65">
                  <c:v>3.0396361765261393E-2</c:v>
                </c:pt>
                <c:pt idx="66">
                  <c:v>2.5588059521638562E-2</c:v>
                </c:pt>
                <c:pt idx="67">
                  <c:v>2.1433682114152974E-2</c:v>
                </c:pt>
                <c:pt idx="68">
                  <c:v>1.7864420562816563E-2</c:v>
                </c:pt>
                <c:pt idx="69">
                  <c:v>1.4815058192609865E-2</c:v>
                </c:pt>
                <c:pt idx="70">
                  <c:v>1.2224472655044671E-2</c:v>
                </c:pt>
                <c:pt idx="71">
                  <c:v>1.0035980100274067E-2</c:v>
                </c:pt>
                <c:pt idx="72">
                  <c:v>8.1975359245961554E-3</c:v>
                </c:pt>
                <c:pt idx="73">
                  <c:v>6.6618087919827484E-3</c:v>
                </c:pt>
                <c:pt idx="74">
                  <c:v>5.3861459540667234E-3</c:v>
                </c:pt>
                <c:pt idx="75">
                  <c:v>4.3324483630126087E-3</c:v>
                </c:pt>
                <c:pt idx="76">
                  <c:v>3.4669738030406183E-3</c:v>
                </c:pt>
                <c:pt idx="77">
                  <c:v>2.7600853912624901E-3</c:v>
                </c:pt>
                <c:pt idx="78">
                  <c:v>2.1859614549132322E-3</c:v>
                </c:pt>
                <c:pt idx="79">
                  <c:v>1.7222811158675855E-3</c:v>
                </c:pt>
                <c:pt idx="80">
                  <c:v>1.3498980316301035E-3</c:v>
                </c:pt>
                <c:pt idx="81">
                  <c:v>1.0525127683760349E-3</c:v>
                </c:pt>
                <c:pt idx="82">
                  <c:v>8.1635231282861653E-4</c:v>
                </c:pt>
                <c:pt idx="83">
                  <c:v>6.2986334399772748E-4</c:v>
                </c:pt>
                <c:pt idx="84">
                  <c:v>4.8342414238378151E-4</c:v>
                </c:pt>
                <c:pt idx="85">
                  <c:v>3.6907845427502917E-4</c:v>
                </c:pt>
                <c:pt idx="86">
                  <c:v>2.8029327681622362E-4</c:v>
                </c:pt>
                <c:pt idx="87">
                  <c:v>2.1174139572344153E-4</c:v>
                </c:pt>
                <c:pt idx="88">
                  <c:v>1.5910859015755285E-4</c:v>
                </c:pt>
                <c:pt idx="89">
                  <c:v>1.1892470732677296E-4</c:v>
                </c:pt>
                <c:pt idx="90">
                  <c:v>8.841728520081471E-5</c:v>
                </c:pt>
                <c:pt idx="91">
                  <c:v>6.5386043242687819E-5</c:v>
                </c:pt>
                <c:pt idx="92">
                  <c:v>4.8096344017589665E-5</c:v>
                </c:pt>
                <c:pt idx="93">
                  <c:v>3.5189628065923628E-5</c:v>
                </c:pt>
                <c:pt idx="94">
                  <c:v>2.5608816474065321E-5</c:v>
                </c:pt>
                <c:pt idx="95">
                  <c:v>1.8536737846241991E-5</c:v>
                </c:pt>
                <c:pt idx="96">
                  <c:v>1.3345749015902797E-5</c:v>
                </c:pt>
                <c:pt idx="97">
                  <c:v>9.5568647372479276E-6</c:v>
                </c:pt>
                <c:pt idx="98">
                  <c:v>6.8068765993745117E-6</c:v>
                </c:pt>
                <c:pt idx="99">
                  <c:v>4.8221141606408224E-6</c:v>
                </c:pt>
                <c:pt idx="100">
                  <c:v>3.3976731247387093E-6</c:v>
                </c:pt>
                <c:pt idx="101">
                  <c:v>2.3810999327800175E-6</c:v>
                </c:pt>
                <c:pt idx="102">
                  <c:v>1.6596751443165303E-6</c:v>
                </c:pt>
                <c:pt idx="103">
                  <c:v>1.1505767815167545E-6</c:v>
                </c:pt>
                <c:pt idx="104">
                  <c:v>7.9332815194899098E-7</c:v>
                </c:pt>
                <c:pt idx="105">
                  <c:v>5.4404227556315021E-7</c:v>
                </c:pt>
                <c:pt idx="106">
                  <c:v>3.7106740791159609E-7</c:v>
                </c:pt>
                <c:pt idx="107">
                  <c:v>2.5171626816256065E-7</c:v>
                </c:pt>
                <c:pt idx="108">
                  <c:v>1.698267406702314E-7</c:v>
                </c:pt>
                <c:pt idx="109">
                  <c:v>1.1395549048831555E-7</c:v>
                </c:pt>
                <c:pt idx="110">
                  <c:v>7.6049605168826417E-8</c:v>
                </c:pt>
                <c:pt idx="111">
                  <c:v>5.0476519741771142E-8</c:v>
                </c:pt>
                <c:pt idx="112">
                  <c:v>3.3320448511453549E-8</c:v>
                </c:pt>
                <c:pt idx="113">
                  <c:v>2.1875580569208353E-8</c:v>
                </c:pt>
                <c:pt idx="114">
                  <c:v>1.4283479843335556E-8</c:v>
                </c:pt>
                <c:pt idx="115">
                  <c:v>9.2753987823712691E-9</c:v>
                </c:pt>
                <c:pt idx="116">
                  <c:v>5.9903714211273495E-9</c:v>
                </c:pt>
                <c:pt idx="117">
                  <c:v>3.8476543062770929E-9</c:v>
                </c:pt>
                <c:pt idx="118">
                  <c:v>2.4578650226203536E-9</c:v>
                </c:pt>
                <c:pt idx="119">
                  <c:v>1.5614869397495568E-9</c:v>
                </c:pt>
                <c:pt idx="120">
                  <c:v>9.8658770042447941E-10</c:v>
                </c:pt>
                <c:pt idx="121">
                  <c:v>6.1993865596576825E-10</c:v>
                </c:pt>
                <c:pt idx="122">
                  <c:v>3.8741476693360255E-10</c:v>
                </c:pt>
                <c:pt idx="123">
                  <c:v>2.4077795313104389E-10</c:v>
                </c:pt>
                <c:pt idx="124">
                  <c:v>1.488228429380456E-10</c:v>
                </c:pt>
                <c:pt idx="125">
                  <c:v>9.1481489050693199E-11</c:v>
                </c:pt>
                <c:pt idx="126">
                  <c:v>5.5925042374838085E-11</c:v>
                </c:pt>
                <c:pt idx="127">
                  <c:v>3.4000802173750344E-11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B0-446C-BEAD-4F8B3CA1F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446256"/>
        <c:axId val="717439696"/>
      </c:lineChart>
      <c:catAx>
        <c:axId val="71744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39696"/>
        <c:crosses val="autoZero"/>
        <c:auto val="1"/>
        <c:lblAlgn val="ctr"/>
        <c:lblOffset val="100"/>
        <c:noMultiLvlLbl val="0"/>
      </c:catAx>
      <c:valAx>
        <c:axId val="71743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4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Stocks by cohorts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output'!$F$3:$F$130</c:f>
              <c:numCache>
                <c:formatCode>0</c:formatCode>
                <c:ptCount val="128"/>
                <c:pt idx="0">
                  <c:v>3246.1582570339033</c:v>
                </c:pt>
                <c:pt idx="1">
                  <c:v>3244.9478086283057</c:v>
                </c:pt>
                <c:pt idx="2">
                  <c:v>3243.4405942814083</c:v>
                </c:pt>
                <c:pt idx="3">
                  <c:v>3241.5743779230788</c:v>
                </c:pt>
                <c:pt idx="4">
                  <c:v>3239.2766045085741</c:v>
                </c:pt>
                <c:pt idx="5">
                  <c:v>3236.463339498569</c:v>
                </c:pt>
                <c:pt idx="6">
                  <c:v>3233.0382468371099</c:v>
                </c:pt>
                <c:pt idx="7">
                  <c:v>3228.8916458941667</c:v>
                </c:pt>
                <c:pt idx="8">
                  <c:v>3223.8996939559875</c:v>
                </c:pt>
                <c:pt idx="9">
                  <c:v>3217.92374629503</c:v>
                </c:pt>
                <c:pt idx="10">
                  <c:v>3210.8099502185833</c:v>
                </c:pt>
                <c:pt idx="11">
                  <c:v>3202.3891323397843</c:v>
                </c:pt>
                <c:pt idx="12">
                  <c:v>3192.4770391880143</c:v>
                </c:pt>
                <c:pt idx="13">
                  <c:v>3180.8749897479279</c:v>
                </c:pt>
                <c:pt idx="14">
                  <c:v>3167.3709942067831</c:v>
                </c:pt>
                <c:pt idx="15">
                  <c:v>3151.7413857987071</c:v>
                </c:pt>
                <c:pt idx="16">
                  <c:v>3133.7530019765995</c:v>
                </c:pt>
                <c:pt idx="17">
                  <c:v>3113.1659371777819</c:v>
                </c:pt>
                <c:pt idx="18">
                  <c:v>3089.7368723110753</c:v>
                </c:pt>
                <c:pt idx="19">
                  <c:v>3063.2229661063748</c:v>
                </c:pt>
                <c:pt idx="20">
                  <c:v>3033.3862711622896</c:v>
                </c:pt>
                <c:pt idx="21">
                  <c:v>2999.9986136346156</c:v>
                </c:pt>
                <c:pt idx="22">
                  <c:v>2962.8468509480108</c:v>
                </c:pt>
                <c:pt idx="23">
                  <c:v>2921.7383977640266</c:v>
                </c:pt>
                <c:pt idx="24">
                  <c:v>2876.5068878954776</c:v>
                </c:pt>
                <c:pt idx="25">
                  <c:v>2827.0178201748431</c:v>
                </c:pt>
                <c:pt idx="26">
                  <c:v>2773.174020711007</c:v>
                </c:pt>
                <c:pt idx="27">
                  <c:v>2714.9207436711126</c:v>
                </c:pt>
                <c:pt idx="28">
                  <c:v>2652.2502287119532</c:v>
                </c:pt>
                <c:pt idx="29">
                  <c:v>2585.20553623459</c:v>
                </c:pt>
                <c:pt idx="30">
                  <c:v>2513.8834922239007</c:v>
                </c:pt>
                <c:pt idx="31">
                  <c:v>2438.4365926849987</c:v>
                </c:pt>
                <c:pt idx="32">
                  <c:v>2359.0737433348086</c:v>
                </c:pt>
                <c:pt idx="33">
                  <c:v>2276.0597425802102</c:v>
                </c:pt>
                <c:pt idx="34">
                  <c:v>2189.713453851341</c:v>
                </c:pt>
                <c:pt idx="35">
                  <c:v>2100.4046556406092</c:v>
                </c:pt>
                <c:pt idx="36">
                  <c:v>2008.5496024089541</c:v>
                </c:pt>
                <c:pt idx="37">
                  <c:v>1914.6053749318312</c:v>
                </c:pt>
                <c:pt idx="38">
                  <c:v>1819.0631426255625</c:v>
                </c:pt>
                <c:pt idx="39">
                  <c:v>1722.4405008755634</c:v>
                </c:pt>
                <c:pt idx="40">
                  <c:v>1625.273081450463</c:v>
                </c:pt>
                <c:pt idx="41">
                  <c:v>1528.1056620253626</c:v>
                </c:pt>
                <c:pt idx="42">
                  <c:v>1431.4830202753635</c:v>
                </c:pt>
                <c:pt idx="43">
                  <c:v>1335.9407879690948</c:v>
                </c:pt>
                <c:pt idx="44">
                  <c:v>1241.9965604919719</c:v>
                </c:pt>
                <c:pt idx="45">
                  <c:v>1150.1415072603168</c:v>
                </c:pt>
                <c:pt idx="46">
                  <c:v>1060.832709049585</c:v>
                </c:pt>
                <c:pt idx="47">
                  <c:v>974.48642032071587</c:v>
                </c:pt>
                <c:pt idx="48">
                  <c:v>891.47241956611742</c:v>
                </c:pt>
                <c:pt idx="49">
                  <c:v>812.10957021592708</c:v>
                </c:pt>
                <c:pt idx="50">
                  <c:v>736.66267067702518</c:v>
                </c:pt>
                <c:pt idx="51">
                  <c:v>665.34062666633622</c:v>
                </c:pt>
                <c:pt idx="52">
                  <c:v>598.29593418897264</c:v>
                </c:pt>
                <c:pt idx="53">
                  <c:v>535.62541922981359</c:v>
                </c:pt>
                <c:pt idx="54">
                  <c:v>477.37214218991926</c:v>
                </c:pt>
                <c:pt idx="55">
                  <c:v>423.52834272608294</c:v>
                </c:pt>
                <c:pt idx="56">
                  <c:v>374.03927500544859</c:v>
                </c:pt>
                <c:pt idx="57">
                  <c:v>328.80776513689926</c:v>
                </c:pt>
                <c:pt idx="58">
                  <c:v>287.69931195291531</c:v>
                </c:pt>
                <c:pt idx="59">
                  <c:v>250.54754926631028</c:v>
                </c:pt>
                <c:pt idx="60">
                  <c:v>217.15989173863653</c:v>
                </c:pt>
                <c:pt idx="61">
                  <c:v>187.32319679455134</c:v>
                </c:pt>
                <c:pt idx="62">
                  <c:v>160.80929058985066</c:v>
                </c:pt>
                <c:pt idx="63">
                  <c:v>137.38022572314404</c:v>
                </c:pt>
                <c:pt idx="64">
                  <c:v>116.79316092432666</c:v>
                </c:pt>
                <c:pt idx="65">
                  <c:v>98.804777102218836</c:v>
                </c:pt>
                <c:pt idx="66">
                  <c:v>83.175168694142727</c:v>
                </c:pt>
                <c:pt idx="67">
                  <c:v>69.671173152998165</c:v>
                </c:pt>
                <c:pt idx="68">
                  <c:v>58.069123712911782</c:v>
                </c:pt>
                <c:pt idx="69">
                  <c:v>48.157030561141923</c:v>
                </c:pt>
                <c:pt idx="70">
                  <c:v>39.736212682342753</c:v>
                </c:pt>
                <c:pt idx="71">
                  <c:v>32.622416605895921</c:v>
                </c:pt>
                <c:pt idx="72">
                  <c:v>26.646468944938526</c:v>
                </c:pt>
                <c:pt idx="73">
                  <c:v>21.654517006759175</c:v>
                </c:pt>
                <c:pt idx="74">
                  <c:v>17.507916063815934</c:v>
                </c:pt>
                <c:pt idx="75">
                  <c:v>14.082823402357034</c:v>
                </c:pt>
                <c:pt idx="76">
                  <c:v>11.269558392351712</c:v>
                </c:pt>
                <c:pt idx="77">
                  <c:v>8.9717849778471876</c:v>
                </c:pt>
                <c:pt idx="78">
                  <c:v>7.1055686195175323</c:v>
                </c:pt>
                <c:pt idx="79">
                  <c:v>5.5983542726201048</c:v>
                </c:pt>
                <c:pt idx="80">
                  <c:v>4.387905867022746</c:v>
                </c:pt>
                <c:pt idx="81">
                  <c:v>3.4212413406489515</c:v>
                </c:pt>
                <c:pt idx="82">
                  <c:v>2.6535908780403559</c:v>
                </c:pt>
                <c:pt idx="83">
                  <c:v>2.0473998759837588</c:v>
                </c:pt>
                <c:pt idx="84">
                  <c:v>1.5713924910792718</c:v>
                </c:pt>
                <c:pt idx="85">
                  <c:v>1.1997065533531008</c:v>
                </c:pt>
                <c:pt idx="86">
                  <c:v>0.91110623544190283</c:v>
                </c:pt>
                <c:pt idx="87">
                  <c:v>0.68827518139611943</c:v>
                </c:pt>
                <c:pt idx="88">
                  <c:v>0.51718981722120949</c:v>
                </c:pt>
                <c:pt idx="89">
                  <c:v>0.38657025107515747</c:v>
                </c:pt>
                <c:pt idx="90">
                  <c:v>0.28740446714362511</c:v>
                </c:pt>
                <c:pt idx="91">
                  <c:v>0.2125403519697929</c:v>
                </c:pt>
                <c:pt idx="92">
                  <c:v>0.15633938649593898</c:v>
                </c:pt>
                <c:pt idx="93">
                  <c:v>0.11438551048359878</c:v>
                </c:pt>
                <c:pt idx="94">
                  <c:v>8.3242640126207051E-2</c:v>
                </c:pt>
                <c:pt idx="95">
                  <c:v>6.0254522078802275E-2</c:v>
                </c:pt>
                <c:pt idx="96">
                  <c:v>4.3380973254681647E-2</c:v>
                </c:pt>
                <c:pt idx="97">
                  <c:v>3.1065030001024417E-2</c:v>
                </c:pt>
                <c:pt idx="98">
                  <c:v>2.2126066611436922E-2</c:v>
                </c:pt>
                <c:pt idx="99">
                  <c:v>1.5674504681941245E-2</c:v>
                </c:pt>
                <c:pt idx="100">
                  <c:v>1.1044293338411011E-2</c:v>
                </c:pt>
                <c:pt idx="101">
                  <c:v>7.7398752499817387E-3</c:v>
                </c:pt>
                <c:pt idx="102">
                  <c:v>5.394850672020138E-3</c:v>
                </c:pt>
                <c:pt idx="103">
                  <c:v>3.7400029422821834E-3</c:v>
                </c:pt>
                <c:pt idx="104">
                  <c:v>2.5787497802390756E-3</c:v>
                </c:pt>
                <c:pt idx="105">
                  <c:v>1.7684345312876861E-3</c:v>
                </c:pt>
                <c:pt idx="106">
                  <c:v>1.2061717389646315E-3</c:v>
                </c:pt>
                <c:pt idx="107">
                  <c:v>8.1821534961555207E-4</c:v>
                </c:pt>
                <c:pt idx="108">
                  <c:v>5.5202966024359135E-4</c:v>
                </c:pt>
                <c:pt idx="109">
                  <c:v>3.7041758234828705E-4</c:v>
                </c:pt>
                <c:pt idx="110">
                  <c:v>2.4720275227165916E-4</c:v>
                </c:pt>
                <c:pt idx="111">
                  <c:v>1.6407625756320701E-4</c:v>
                </c:pt>
                <c:pt idx="112">
                  <c:v>1.083096560550432E-4</c:v>
                </c:pt>
                <c:pt idx="113">
                  <c:v>7.1107584480470271E-5</c:v>
                </c:pt>
                <c:pt idx="114">
                  <c:v>4.6429110597627111E-5</c:v>
                </c:pt>
                <c:pt idx="115">
                  <c:v>3.015011192141285E-5</c:v>
                </c:pt>
                <c:pt idx="116">
                  <c:v>1.9471978837296872E-5</c:v>
                </c:pt>
                <c:pt idx="117">
                  <c:v>1.2506977941438228E-5</c:v>
                </c:pt>
                <c:pt idx="118">
                  <c:v>7.989403718206988E-6</c:v>
                </c:pt>
                <c:pt idx="119">
                  <c:v>5.0756853804228315E-6</c:v>
                </c:pt>
                <c:pt idx="120">
                  <c:v>3.2069488639800396E-6</c:v>
                </c:pt>
                <c:pt idx="121">
                  <c:v>2.0151392193834853E-6</c:v>
                </c:pt>
                <c:pt idx="122">
                  <c:v>1.2593095841071782E-6</c:v>
                </c:pt>
                <c:pt idx="123">
                  <c:v>7.8265985166125372E-7</c:v>
                </c:pt>
                <c:pt idx="124">
                  <c:v>4.8375552106427132E-7</c:v>
                </c:pt>
                <c:pt idx="125">
                  <c:v>2.9736480321019384E-7</c:v>
                </c:pt>
                <c:pt idx="126">
                  <c:v>1.8178693190160162E-7</c:v>
                </c:pt>
                <c:pt idx="127">
                  <c:v>1.1052117704143764E-7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3-419C-A35B-51E0E111B9A1}"/>
            </c:ext>
          </c:extLst>
        </c:ser>
        <c:ser>
          <c:idx val="1"/>
          <c:order val="1"/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output'!$G$3:$G$130</c:f>
              <c:numCache>
                <c:formatCode>0</c:formatCode>
                <c:ptCount val="128"/>
                <c:pt idx="0">
                  <c:v>0</c:v>
                </c:pt>
                <c:pt idx="1">
                  <c:v>6517.8537060038589</c:v>
                </c:pt>
                <c:pt idx="2">
                  <c:v>6515.4232867200017</c:v>
                </c:pt>
                <c:pt idx="3">
                  <c:v>6512.3970009265158</c:v>
                </c:pt>
                <c:pt idx="4">
                  <c:v>6508.6498868783983</c:v>
                </c:pt>
                <c:pt idx="5">
                  <c:v>6504.0362637031158</c:v>
                </c:pt>
                <c:pt idx="6">
                  <c:v>6498.3876020176604</c:v>
                </c:pt>
                <c:pt idx="7">
                  <c:v>6491.5104718443163</c:v>
                </c:pt>
                <c:pt idx="8">
                  <c:v>6483.1846490768285</c:v>
                </c:pt>
                <c:pt idx="9">
                  <c:v>6473.1614740298464</c:v>
                </c:pt>
                <c:pt idx="10">
                  <c:v>6461.1625665445272</c:v>
                </c:pt>
                <c:pt idx="11">
                  <c:v>6446.8790108921939</c:v>
                </c:pt>
                <c:pt idx="12">
                  <c:v>6429.9711294295494</c:v>
                </c:pt>
                <c:pt idx="13">
                  <c:v>6410.0689657123221</c:v>
                </c:pt>
                <c:pt idx="14">
                  <c:v>6386.7735947067804</c:v>
                </c:pt>
                <c:pt idx="15">
                  <c:v>6359.6593690854661</c:v>
                </c:pt>
                <c:pt idx="16">
                  <c:v>6328.2771957532732</c:v>
                </c:pt>
                <c:pt idx="17">
                  <c:v>6292.1589153503101</c:v>
                </c:pt>
                <c:pt idx="18">
                  <c:v>6250.8228294389219</c:v>
                </c:pt>
                <c:pt idx="19">
                  <c:v>6203.7803856705768</c:v>
                </c:pt>
                <c:pt idx="20">
                  <c:v>6150.5439910978575</c:v>
                </c:pt>
                <c:pt idx="21">
                  <c:v>6090.6358790103386</c:v>
                </c:pt>
                <c:pt idx="22">
                  <c:v>6023.5979066995314</c:v>
                </c:pt>
                <c:pt idx="23">
                  <c:v>5949.0021122441121</c:v>
                </c:pt>
                <c:pt idx="24">
                  <c:v>5866.4618099182053</c:v>
                </c:pt>
                <c:pt idx="25">
                  <c:v>5775.6429585618171</c:v>
                </c:pt>
                <c:pt idx="26">
                  <c:v>5676.275497733106</c:v>
                </c:pt>
                <c:pt idx="27">
                  <c:v>5568.1643151928683</c:v>
                </c:pt>
                <c:pt idx="28">
                  <c:v>5451.1994885955737</c:v>
                </c:pt>
                <c:pt idx="29">
                  <c:v>5325.365436204992</c:v>
                </c:pt>
                <c:pt idx="30">
                  <c:v>5190.7486175749718</c:v>
                </c:pt>
                <c:pt idx="31">
                  <c:v>5047.5434463953025</c:v>
                </c:pt>
                <c:pt idx="32">
                  <c:v>4896.0561143465375</c:v>
                </c:pt>
                <c:pt idx="33">
                  <c:v>4736.70607630224</c:v>
                </c:pt>
                <c:pt idx="34">
                  <c:v>4570.0250122179032</c:v>
                </c:pt>
                <c:pt idx="35">
                  <c:v>4396.6531574194942</c:v>
                </c:pt>
                <c:pt idx="36">
                  <c:v>4217.3329779010592</c:v>
                </c:pt>
                <c:pt idx="37">
                  <c:v>4032.9002572153559</c:v>
                </c:pt>
                <c:pt idx="38">
                  <c:v>3844.2727527205739</c:v>
                </c:pt>
                <c:pt idx="39">
                  <c:v>3652.4366672284577</c:v>
                </c:pt>
                <c:pt idx="40">
                  <c:v>3458.4312633793079</c:v>
                </c:pt>
                <c:pt idx="41">
                  <c:v>3263.3320184702179</c:v>
                </c:pt>
                <c:pt idx="42">
                  <c:v>3068.2327735611279</c:v>
                </c:pt>
                <c:pt idx="43">
                  <c:v>2874.2273697119781</c:v>
                </c:pt>
                <c:pt idx="44">
                  <c:v>2682.391284219862</c:v>
                </c:pt>
                <c:pt idx="45">
                  <c:v>2493.76377972508</c:v>
                </c:pt>
                <c:pt idx="46">
                  <c:v>2309.3310590393767</c:v>
                </c:pt>
                <c:pt idx="47">
                  <c:v>2130.0108795209417</c:v>
                </c:pt>
                <c:pt idx="48">
                  <c:v>1956.6390247225324</c:v>
                </c:pt>
                <c:pt idx="49">
                  <c:v>1789.9579606381958</c:v>
                </c:pt>
                <c:pt idx="50">
                  <c:v>1630.6079225938979</c:v>
                </c:pt>
                <c:pt idx="51">
                  <c:v>1479.1205905451336</c:v>
                </c:pt>
                <c:pt idx="52">
                  <c:v>1335.9154193654635</c:v>
                </c:pt>
                <c:pt idx="53">
                  <c:v>1201.2986007354441</c:v>
                </c:pt>
                <c:pt idx="54">
                  <c:v>1075.4645483448619</c:v>
                </c:pt>
                <c:pt idx="55">
                  <c:v>958.49972174756783</c:v>
                </c:pt>
                <c:pt idx="56">
                  <c:v>850.38853920732959</c:v>
                </c:pt>
                <c:pt idx="57">
                  <c:v>751.02107837861888</c:v>
                </c:pt>
                <c:pt idx="58">
                  <c:v>660.20222702223055</c:v>
                </c:pt>
                <c:pt idx="59">
                  <c:v>577.66192469632415</c:v>
                </c:pt>
                <c:pt idx="60">
                  <c:v>503.06613024090444</c:v>
                </c:pt>
                <c:pt idx="61">
                  <c:v>436.02815793009751</c:v>
                </c:pt>
                <c:pt idx="62">
                  <c:v>376.12004584257858</c:v>
                </c:pt>
                <c:pt idx="63">
                  <c:v>322.88365126985946</c:v>
                </c:pt>
                <c:pt idx="64">
                  <c:v>275.84120750151368</c:v>
                </c:pt>
                <c:pt idx="65">
                  <c:v>234.50512159012618</c:v>
                </c:pt>
                <c:pt idx="66">
                  <c:v>198.38684118716284</c:v>
                </c:pt>
                <c:pt idx="67">
                  <c:v>167.00466785496968</c:v>
                </c:pt>
                <c:pt idx="68">
                  <c:v>139.89044223365568</c:v>
                </c:pt>
                <c:pt idx="69">
                  <c:v>116.59507122811408</c:v>
                </c:pt>
                <c:pt idx="70">
                  <c:v>96.69290751088657</c:v>
                </c:pt>
                <c:pt idx="71">
                  <c:v>79.785026048241818</c:v>
                </c:pt>
                <c:pt idx="72">
                  <c:v>65.501470395908626</c:v>
                </c:pt>
                <c:pt idx="73">
                  <c:v>53.502562910588992</c:v>
                </c:pt>
                <c:pt idx="74">
                  <c:v>43.479387863607414</c:v>
                </c:pt>
                <c:pt idx="75">
                  <c:v>35.153565096119515</c:v>
                </c:pt>
                <c:pt idx="76">
                  <c:v>28.276434922775856</c:v>
                </c:pt>
                <c:pt idx="77">
                  <c:v>22.627773237319818</c:v>
                </c:pt>
                <c:pt idx="78">
                  <c:v>18.014150062037565</c:v>
                </c:pt>
                <c:pt idx="79">
                  <c:v>14.267036013920185</c:v>
                </c:pt>
                <c:pt idx="80">
                  <c:v>11.240750220434615</c:v>
                </c:pt>
                <c:pt idx="81">
                  <c:v>8.8103309365768787</c:v>
                </c:pt>
                <c:pt idx="82">
                  <c:v>6.8693972337804858</c:v>
                </c:pt>
                <c:pt idx="83">
                  <c:v>5.32805728161168</c:v>
                </c:pt>
                <c:pt idx="84">
                  <c:v>4.1109064354570108</c:v>
                </c:pt>
                <c:pt idx="85">
                  <c:v>3.1551469646849997</c:v>
                </c:pt>
                <c:pt idx="86">
                  <c:v>2.4088510743263978</c:v>
                </c:pt>
                <c:pt idx="87">
                  <c:v>1.8293800495926371</c:v>
                </c:pt>
                <c:pt idx="88">
                  <c:v>1.3819649525997593</c:v>
                </c:pt>
                <c:pt idx="89">
                  <c:v>1.0384483133495952</c:v>
                </c:pt>
                <c:pt idx="90">
                  <c:v>0.77618161041331579</c:v>
                </c:pt>
                <c:pt idx="91">
                  <c:v>0.57706991556406317</c:v>
                </c:pt>
                <c:pt idx="92">
                  <c:v>0.4267527369498828</c:v>
                </c:pt>
                <c:pt idx="93">
                  <c:v>0.31390867880791773</c:v>
                </c:pt>
                <c:pt idx="94">
                  <c:v>0.22967087997117358</c:v>
                </c:pt>
                <c:pt idx="95">
                  <c:v>0.1671401415098899</c:v>
                </c:pt>
                <c:pt idx="96">
                  <c:v>0.12098306026326031</c:v>
                </c:pt>
                <c:pt idx="97">
                  <c:v>8.7103220148125993E-2</c:v>
                </c:pt>
                <c:pt idx="98">
                  <c:v>6.2374445386500256E-2</c:v>
                </c:pt>
                <c:pt idx="99">
                  <c:v>4.4426196705029036E-2</c:v>
                </c:pt>
                <c:pt idx="100">
                  <c:v>3.1472319074275674E-2</c:v>
                </c:pt>
                <c:pt idx="101">
                  <c:v>2.217547099251117E-2</c:v>
                </c:pt>
                <c:pt idx="102">
                  <c:v>1.554063929963663E-2</c:v>
                </c:pt>
                <c:pt idx="103">
                  <c:v>1.0832142077414626E-2</c:v>
                </c:pt>
                <c:pt idx="104">
                  <c:v>7.5094281016640741E-3</c:v>
                </c:pt>
                <c:pt idx="105">
                  <c:v>5.1777863188178968E-3</c:v>
                </c:pt>
                <c:pt idx="106">
                  <c:v>3.5507811544932509E-3</c:v>
                </c:pt>
                <c:pt idx="107">
                  <c:v>2.4218323064973211E-3</c:v>
                </c:pt>
                <c:pt idx="108">
                  <c:v>1.6428675149294395E-3</c:v>
                </c:pt>
                <c:pt idx="109">
                  <c:v>1.1084020808432089E-3</c:v>
                </c:pt>
                <c:pt idx="110">
                  <c:v>7.4374920158199701E-4</c:v>
                </c:pt>
                <c:pt idx="111">
                  <c:v>4.9635022307889889E-4</c:v>
                </c:pt>
                <c:pt idx="112">
                  <c:v>3.2944328610853162E-4</c:v>
                </c:pt>
                <c:pt idx="113">
                  <c:v>2.1747137299442935E-4</c:v>
                </c:pt>
                <c:pt idx="114">
                  <c:v>1.4277456498824515E-4</c:v>
                </c:pt>
                <c:pt idx="115">
                  <c:v>9.3223474215861781E-5</c:v>
                </c:pt>
                <c:pt idx="116">
                  <c:v>6.053741166118367E-5</c:v>
                </c:pt>
                <c:pt idx="117">
                  <c:v>3.9097141722187644E-5</c:v>
                </c:pt>
                <c:pt idx="118">
                  <c:v>2.5112346987357703E-5</c:v>
                </c:pt>
                <c:pt idx="119">
                  <c:v>1.6041659250790051E-5</c:v>
                </c:pt>
                <c:pt idx="120">
                  <c:v>1.019130065381561E-5</c:v>
                </c:pt>
                <c:pt idx="121">
                  <c:v>6.4391264636482138E-6</c:v>
                </c:pt>
                <c:pt idx="122">
                  <c:v>4.0461313310009694E-6</c:v>
                </c:pt>
                <c:pt idx="123">
                  <c:v>2.5285260267252044E-6</c:v>
                </c:pt>
                <c:pt idx="124">
                  <c:v>1.571476807588514E-6</c:v>
                </c:pt>
                <c:pt idx="125">
                  <c:v>9.7131669687897702E-7</c:v>
                </c:pt>
                <c:pt idx="126">
                  <c:v>5.970689446329195E-7</c:v>
                </c:pt>
                <c:pt idx="127">
                  <c:v>3.6500396283222567E-7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03-419C-A35B-51E0E111B9A1}"/>
            </c:ext>
          </c:extLst>
        </c:ser>
        <c:ser>
          <c:idx val="2"/>
          <c:order val="2"/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output'!$H$3:$H$130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9804.6370455300439</c:v>
                </c:pt>
                <c:pt idx="3">
                  <c:v>9800.9810292980837</c:v>
                </c:pt>
                <c:pt idx="4">
                  <c:v>9796.4286666432072</c:v>
                </c:pt>
                <c:pt idx="5">
                  <c:v>9790.7919808771312</c:v>
                </c:pt>
                <c:pt idx="6">
                  <c:v>9783.8518280693406</c:v>
                </c:pt>
                <c:pt idx="7">
                  <c:v>9775.3546938719483</c:v>
                </c:pt>
                <c:pt idx="8">
                  <c:v>9765.009606622998</c:v>
                </c:pt>
                <c:pt idx="9">
                  <c:v>9752.4852889529902</c:v>
                </c:pt>
                <c:pt idx="10">
                  <c:v>9737.4076885936975</c:v>
                </c:pt>
                <c:pt idx="11">
                  <c:v>9719.3580455450829</c:v>
                </c:pt>
                <c:pt idx="12">
                  <c:v>9697.8716659471866</c:v>
                </c:pt>
                <c:pt idx="13">
                  <c:v>9672.4375815955573</c:v>
                </c:pt>
                <c:pt idx="14">
                  <c:v>9642.4992766765026</c:v>
                </c:pt>
                <c:pt idx="15">
                  <c:v>9607.4566586840338</c:v>
                </c:pt>
                <c:pt idx="16">
                  <c:v>9566.6694374638464</c:v>
                </c:pt>
                <c:pt idx="17">
                  <c:v>9519.4620540059077</c:v>
                </c:pt>
                <c:pt idx="18">
                  <c:v>9465.1302684161928</c:v>
                </c:pt>
                <c:pt idx="19">
                  <c:v>9402.949474319712</c:v>
                </c:pt>
                <c:pt idx="20">
                  <c:v>9332.1847551824103</c:v>
                </c:pt>
                <c:pt idx="21">
                  <c:v>9252.1026376722657</c:v>
                </c:pt>
                <c:pt idx="22">
                  <c:v>9161.9844298088392</c:v>
                </c:pt>
                <c:pt idx="23">
                  <c:v>9061.1409594851193</c:v>
                </c:pt>
                <c:pt idx="24">
                  <c:v>8948.9284547637199</c:v>
                </c:pt>
                <c:pt idx="25">
                  <c:v>8824.7652344096969</c:v>
                </c:pt>
                <c:pt idx="26">
                  <c:v>8688.1488090331804</c:v>
                </c:pt>
                <c:pt idx="27">
                  <c:v>8538.672933767064</c:v>
                </c:pt>
                <c:pt idx="28">
                  <c:v>8376.0441063673807</c:v>
                </c:pt>
                <c:pt idx="29">
                  <c:v>8200.0969735215695</c:v>
                </c:pt>
                <c:pt idx="30">
                  <c:v>8010.8080960308998</c:v>
                </c:pt>
                <c:pt idx="31">
                  <c:v>7808.3075327434017</c:v>
                </c:pt>
                <c:pt idx="32">
                  <c:v>7592.8877350933999</c:v>
                </c:pt>
                <c:pt idx="33">
                  <c:v>7365.0092992264408</c:v>
                </c:pt>
                <c:pt idx="34">
                  <c:v>7125.3032001502097</c:v>
                </c:pt>
                <c:pt idx="35">
                  <c:v>6874.5692301311701</c:v>
                </c:pt>
                <c:pt idx="36">
                  <c:v>6613.7704784434882</c:v>
                </c:pt>
                <c:pt idx="37">
                  <c:v>6344.0238172844593</c:v>
                </c:pt>
                <c:pt idx="38">
                  <c:v>6066.5864940169477</c:v>
                </c:pt>
                <c:pt idx="39">
                  <c:v>5782.8390670576946</c:v>
                </c:pt>
                <c:pt idx="40">
                  <c:v>5494.2650555310302</c:v>
                </c:pt>
                <c:pt idx="41">
                  <c:v>5202.4277950751475</c:v>
                </c:pt>
                <c:pt idx="42">
                  <c:v>4908.9450980903139</c:v>
                </c:pt>
                <c:pt idx="43">
                  <c:v>4615.4624011054802</c:v>
                </c:pt>
                <c:pt idx="44">
                  <c:v>4323.6251406495976</c:v>
                </c:pt>
                <c:pt idx="45">
                  <c:v>4035.0511291229327</c:v>
                </c:pt>
                <c:pt idx="46">
                  <c:v>3751.3037021636806</c:v>
                </c:pt>
                <c:pt idx="47">
                  <c:v>3473.8663788961685</c:v>
                </c:pt>
                <c:pt idx="48">
                  <c:v>3204.1197177371396</c:v>
                </c:pt>
                <c:pt idx="49">
                  <c:v>2943.3209660494576</c:v>
                </c:pt>
                <c:pt idx="50">
                  <c:v>2692.5869960304185</c:v>
                </c:pt>
                <c:pt idx="51">
                  <c:v>2452.8808969541869</c:v>
                </c:pt>
                <c:pt idx="52">
                  <c:v>2225.0024610872274</c:v>
                </c:pt>
                <c:pt idx="53">
                  <c:v>2009.5826634372258</c:v>
                </c:pt>
                <c:pt idx="54">
                  <c:v>1807.0821001497279</c:v>
                </c:pt>
                <c:pt idx="55">
                  <c:v>1617.7932226590583</c:v>
                </c:pt>
                <c:pt idx="56">
                  <c:v>1441.8460898132466</c:v>
                </c:pt>
                <c:pt idx="57">
                  <c:v>1279.2172624135644</c:v>
                </c:pt>
                <c:pt idx="58">
                  <c:v>1129.7413871474471</c:v>
                </c:pt>
                <c:pt idx="59">
                  <c:v>993.1249617709301</c:v>
                </c:pt>
                <c:pt idx="60">
                  <c:v>868.96174141690869</c:v>
                </c:pt>
                <c:pt idx="61">
                  <c:v>756.74923669550878</c:v>
                </c:pt>
                <c:pt idx="62">
                  <c:v>655.90576637178776</c:v>
                </c:pt>
                <c:pt idx="63">
                  <c:v>565.78755850836217</c:v>
                </c:pt>
                <c:pt idx="64">
                  <c:v>485.705440998217</c:v>
                </c:pt>
                <c:pt idx="65">
                  <c:v>414.94072186091495</c:v>
                </c:pt>
                <c:pt idx="66">
                  <c:v>352.7599277644353</c:v>
                </c:pt>
                <c:pt idx="67">
                  <c:v>298.42814217471948</c:v>
                </c:pt>
                <c:pt idx="68">
                  <c:v>251.2207587167816</c:v>
                </c:pt>
                <c:pt idx="69">
                  <c:v>210.43353749659457</c:v>
                </c:pt>
                <c:pt idx="70">
                  <c:v>175.39091950412435</c:v>
                </c:pt>
                <c:pt idx="71">
                  <c:v>145.45261458506988</c:v>
                </c:pt>
                <c:pt idx="72">
                  <c:v>120.01853023344125</c:v>
                </c:pt>
                <c:pt idx="73">
                  <c:v>98.532150635544639</c:v>
                </c:pt>
                <c:pt idx="74">
                  <c:v>80.482507586931092</c:v>
                </c:pt>
                <c:pt idx="75">
                  <c:v>65.404907227637338</c:v>
                </c:pt>
                <c:pt idx="76">
                  <c:v>52.880589557629634</c:v>
                </c:pt>
                <c:pt idx="77">
                  <c:v>42.5355023086803</c:v>
                </c:pt>
                <c:pt idx="78">
                  <c:v>34.038368111287554</c:v>
                </c:pt>
                <c:pt idx="79">
                  <c:v>27.098215303497373</c:v>
                </c:pt>
                <c:pt idx="80">
                  <c:v>21.461529537421363</c:v>
                </c:pt>
                <c:pt idx="81">
                  <c:v>16.909166882543399</c:v>
                </c:pt>
                <c:pt idx="82">
                  <c:v>13.25315065058472</c:v>
                </c:pt>
                <c:pt idx="83">
                  <c:v>10.333454789994006</c:v>
                </c:pt>
                <c:pt idx="84">
                  <c:v>8.0148573687494551</c:v>
                </c:pt>
                <c:pt idx="85">
                  <c:v>6.1839291499688347</c:v>
                </c:pt>
                <c:pt idx="86">
                  <c:v>4.746205148106756</c:v>
                </c:pt>
                <c:pt idx="87">
                  <c:v>3.6235717378483088</c:v>
                </c:pt>
                <c:pt idx="88">
                  <c:v>2.7518886145093449</c:v>
                </c:pt>
                <c:pt idx="89">
                  <c:v>2.0788537731987793</c:v>
                </c:pt>
                <c:pt idx="90">
                  <c:v>1.5621106674359597</c:v>
                </c:pt>
                <c:pt idx="91">
                  <c:v>1.1675897181471748</c:v>
                </c:pt>
                <c:pt idx="92">
                  <c:v>0.86807119754598527</c:v>
                </c:pt>
                <c:pt idx="93">
                  <c:v>0.64195299291942731</c:v>
                </c:pt>
                <c:pt idx="94">
                  <c:v>0.47220462440242433</c:v>
                </c:pt>
                <c:pt idx="95">
                  <c:v>0.34548790439567423</c:v>
                </c:pt>
                <c:pt idx="96">
                  <c:v>0.25142454819651489</c:v>
                </c:pt>
                <c:pt idx="97">
                  <c:v>0.18199165676978965</c:v>
                </c:pt>
                <c:pt idx="98">
                  <c:v>0.13102709842391932</c:v>
                </c:pt>
                <c:pt idx="99">
                  <c:v>9.3828248610050777E-2</c:v>
                </c:pt>
                <c:pt idx="100">
                  <c:v>6.6829167031610348E-2</c:v>
                </c:pt>
                <c:pt idx="101">
                  <c:v>4.7342987342619304E-2</c:v>
                </c:pt>
                <c:pt idx="102">
                  <c:v>3.335798166119857E-2</c:v>
                </c:pt>
                <c:pt idx="103">
                  <c:v>2.3377377686167287E-2</c:v>
                </c:pt>
                <c:pt idx="104">
                  <c:v>1.6294508328229932E-2</c:v>
                </c:pt>
                <c:pt idx="105">
                  <c:v>1.1296236503206403E-2</c:v>
                </c:pt>
                <c:pt idx="106">
                  <c:v>7.7888086853740938E-3</c:v>
                </c:pt>
                <c:pt idx="107">
                  <c:v>5.3413473235592521E-3</c:v>
                </c:pt>
                <c:pt idx="108">
                  <c:v>3.643099066257417E-3</c:v>
                </c:pt>
                <c:pt idx="109">
                  <c:v>2.4713226814123781E-3</c:v>
                </c:pt>
                <c:pt idx="110">
                  <c:v>1.6673402922755748E-3</c:v>
                </c:pt>
                <c:pt idx="111">
                  <c:v>1.1188024928661881E-3</c:v>
                </c:pt>
                <c:pt idx="112">
                  <c:v>7.4664667301042843E-4</c:v>
                </c:pt>
                <c:pt idx="113">
                  <c:v>4.9557292831005286E-4</c:v>
                </c:pt>
                <c:pt idx="114">
                  <c:v>3.2713650477294117E-4</c:v>
                </c:pt>
                <c:pt idx="115">
                  <c:v>2.1477204800619012E-4</c:v>
                </c:pt>
                <c:pt idx="116">
                  <c:v>1.4023363672122777E-4</c:v>
                </c:pt>
                <c:pt idx="117">
                  <c:v>9.1064846771108616E-5</c:v>
                </c:pt>
                <c:pt idx="118">
                  <c:v>5.881280884696682E-5</c:v>
                </c:pt>
                <c:pt idx="119">
                  <c:v>3.7775847491890044E-5</c:v>
                </c:pt>
                <c:pt idx="120">
                  <c:v>2.4131048909119647E-5</c:v>
                </c:pt>
                <c:pt idx="121">
                  <c:v>1.5330507317231265E-5</c:v>
                </c:pt>
                <c:pt idx="122">
                  <c:v>9.686209711669886E-6</c:v>
                </c:pt>
                <c:pt idx="123">
                  <c:v>6.0864896526397109E-6</c:v>
                </c:pt>
                <c:pt idx="124">
                  <c:v>3.8035956421330193E-6</c:v>
                </c:pt>
                <c:pt idx="125">
                  <c:v>2.3639315055017143E-6</c:v>
                </c:pt>
                <c:pt idx="126">
                  <c:v>1.4611263306491672E-6</c:v>
                </c:pt>
                <c:pt idx="127">
                  <c:v>8.9815521448280623E-7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03-419C-A35B-51E0E111B9A1}"/>
            </c:ext>
          </c:extLst>
        </c:ser>
        <c:ser>
          <c:idx val="3"/>
          <c:order val="3"/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output'!$I$3:$I$130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13117.898827393696</c:v>
                </c:pt>
                <c:pt idx="4">
                  <c:v>13113.007340761458</c:v>
                </c:pt>
                <c:pt idx="5">
                  <c:v>13106.916607116247</c:v>
                </c:pt>
                <c:pt idx="6">
                  <c:v>13099.375127175905</c:v>
                </c:pt>
                <c:pt idx="7">
                  <c:v>13090.089702130952</c:v>
                </c:pt>
                <c:pt idx="8">
                  <c:v>13078.721148026749</c:v>
                </c:pt>
                <c:pt idx="9">
                  <c:v>13064.880165717857</c:v>
                </c:pt>
                <c:pt idx="10">
                  <c:v>13048.123529922532</c:v>
                </c:pt>
                <c:pt idx="11">
                  <c:v>13027.950785622603</c:v>
                </c:pt>
                <c:pt idx="12">
                  <c:v>13003.801662071903</c:v>
                </c:pt>
                <c:pt idx="13">
                  <c:v>12975.054432325067</c:v>
                </c:pt>
                <c:pt idx="14">
                  <c:v>12941.025457693704</c:v>
                </c:pt>
                <c:pt idx="15">
                  <c:v>12900.970160065848</c:v>
                </c:pt>
                <c:pt idx="16">
                  <c:v>12854.085658851007</c:v>
                </c:pt>
                <c:pt idx="17">
                  <c:v>12799.515291897866</c:v>
                </c:pt>
                <c:pt idx="18">
                  <c:v>12736.355209864076</c:v>
                </c:pt>
                <c:pt idx="19">
                  <c:v>12663.663190448378</c:v>
                </c:pt>
                <c:pt idx="20">
                  <c:v>12580.469762463556</c:v>
                </c:pt>
                <c:pt idx="21">
                  <c:v>12485.791660471472</c:v>
                </c:pt>
                <c:pt idx="22">
                  <c:v>12378.647549934461</c:v>
                </c:pt>
                <c:pt idx="23">
                  <c:v>12258.075872699617</c:v>
                </c:pt>
                <c:pt idx="24">
                  <c:v>12123.154566080424</c:v>
                </c:pt>
                <c:pt idx="25">
                  <c:v>11973.022309550353</c:v>
                </c:pt>
                <c:pt idx="26">
                  <c:v>11806.900855474702</c:v>
                </c:pt>
                <c:pt idx="27">
                  <c:v>11624.117909208846</c:v>
                </c:pt>
                <c:pt idx="28">
                  <c:v>11424.129944353892</c:v>
                </c:pt>
                <c:pt idx="29">
                  <c:v>11206.544276027771</c:v>
                </c:pt>
                <c:pt idx="30">
                  <c:v>10971.13967339706</c:v>
                </c:pt>
                <c:pt idx="31">
                  <c:v>10717.884776500538</c:v>
                </c:pt>
                <c:pt idx="32">
                  <c:v>10446.953594717865</c:v>
                </c:pt>
                <c:pt idx="33">
                  <c:v>10158.737407023425</c:v>
                </c:pt>
                <c:pt idx="34">
                  <c:v>9853.8524579155619</c:v>
                </c:pt>
                <c:pt idx="35">
                  <c:v>9533.1429465497367</c:v>
                </c:pt>
                <c:pt idx="36">
                  <c:v>9197.6789374256023</c:v>
                </c:pt>
                <c:pt idx="37">
                  <c:v>8848.7489746882984</c:v>
                </c:pt>
                <c:pt idx="38">
                  <c:v>8487.8473529679304</c:v>
                </c:pt>
                <c:pt idx="39">
                  <c:v>8116.6561787647652</c:v>
                </c:pt>
                <c:pt idx="40">
                  <c:v>7737.0225398957264</c:v>
                </c:pt>
                <c:pt idx="41">
                  <c:v>7350.9312781954541</c:v>
                </c:pt>
                <c:pt idx="42">
                  <c:v>6960.4740242505623</c:v>
                </c:pt>
                <c:pt idx="43">
                  <c:v>6567.8152946351856</c:v>
                </c:pt>
                <c:pt idx="44">
                  <c:v>6175.156565019809</c:v>
                </c:pt>
                <c:pt idx="45">
                  <c:v>5784.6993110749172</c:v>
                </c:pt>
                <c:pt idx="46">
                  <c:v>5398.6080493746449</c:v>
                </c:pt>
                <c:pt idx="47">
                  <c:v>5018.9744105056061</c:v>
                </c:pt>
                <c:pt idx="48">
                  <c:v>4647.7832363024409</c:v>
                </c:pt>
                <c:pt idx="49">
                  <c:v>4286.8816145820738</c:v>
                </c:pt>
                <c:pt idx="50">
                  <c:v>3937.9516518447699</c:v>
                </c:pt>
                <c:pt idx="51">
                  <c:v>3602.487642720635</c:v>
                </c:pt>
                <c:pt idx="52">
                  <c:v>3281.7781313548094</c:v>
                </c:pt>
                <c:pt idx="53">
                  <c:v>2976.8931822469463</c:v>
                </c:pt>
                <c:pt idx="54">
                  <c:v>2688.6769945525066</c:v>
                </c:pt>
                <c:pt idx="55">
                  <c:v>2417.7458127698333</c:v>
                </c:pt>
                <c:pt idx="56">
                  <c:v>2164.4909158733121</c:v>
                </c:pt>
                <c:pt idx="57">
                  <c:v>1929.0863132426002</c:v>
                </c:pt>
                <c:pt idx="58">
                  <c:v>1711.5006449164789</c:v>
                </c:pt>
                <c:pt idx="59">
                  <c:v>1511.5126800615244</c:v>
                </c:pt>
                <c:pt idx="60">
                  <c:v>1328.7297337956693</c:v>
                </c:pt>
                <c:pt idx="61">
                  <c:v>1162.6082797200188</c:v>
                </c:pt>
                <c:pt idx="62">
                  <c:v>1012.4760231899469</c:v>
                </c:pt>
                <c:pt idx="63">
                  <c:v>877.55471657075464</c:v>
                </c:pt>
                <c:pt idx="64">
                  <c:v>756.98303933590967</c:v>
                </c:pt>
                <c:pt idx="65">
                  <c:v>649.83892879889936</c:v>
                </c:pt>
                <c:pt idx="66">
                  <c:v>555.16082680681529</c:v>
                </c:pt>
                <c:pt idx="67">
                  <c:v>471.96739882199358</c:v>
                </c:pt>
                <c:pt idx="68">
                  <c:v>399.27537940629588</c:v>
                </c:pt>
                <c:pt idx="69">
                  <c:v>336.11529737250646</c:v>
                </c:pt>
                <c:pt idx="70">
                  <c:v>281.54493041936507</c:v>
                </c:pt>
                <c:pt idx="71">
                  <c:v>234.66042920452387</c:v>
                </c:pt>
                <c:pt idx="72">
                  <c:v>194.60513157666676</c:v>
                </c:pt>
                <c:pt idx="73">
                  <c:v>160.57615694530398</c:v>
                </c:pt>
                <c:pt idx="74">
                  <c:v>131.82892719846876</c:v>
                </c:pt>
                <c:pt idx="75">
                  <c:v>107.67980364776804</c:v>
                </c:pt>
                <c:pt idx="76">
                  <c:v>87.50705934783889</c:v>
                </c:pt>
                <c:pt idx="77">
                  <c:v>70.750423552513695</c:v>
                </c:pt>
                <c:pt idx="78">
                  <c:v>56.909441243622766</c:v>
                </c:pt>
                <c:pt idx="79">
                  <c:v>45.540887139419375</c:v>
                </c:pt>
                <c:pt idx="80">
                  <c:v>36.255462094465848</c:v>
                </c:pt>
                <c:pt idx="81">
                  <c:v>28.713982154124221</c:v>
                </c:pt>
                <c:pt idx="82">
                  <c:v>22.623248508912965</c:v>
                </c:pt>
                <c:pt idx="83">
                  <c:v>17.731761876676249</c:v>
                </c:pt>
                <c:pt idx="84">
                  <c:v>13.825418915877885</c:v>
                </c:pt>
                <c:pt idx="85">
                  <c:v>10.72330241201319</c:v>
                </c:pt>
                <c:pt idx="86">
                  <c:v>8.2736522084766762</c:v>
                </c:pt>
                <c:pt idx="87">
                  <c:v>6.350080952288196</c:v>
                </c:pt>
                <c:pt idx="88">
                  <c:v>4.8480782338156994</c:v>
                </c:pt>
                <c:pt idx="89">
                  <c:v>3.681828940914015</c:v>
                </c:pt>
                <c:pt idx="90">
                  <c:v>2.7813567546796412</c:v>
                </c:pt>
                <c:pt idx="91">
                  <c:v>2.0899916638892342</c:v>
                </c:pt>
                <c:pt idx="92">
                  <c:v>1.5621510233815852</c:v>
                </c:pt>
                <c:pt idx="93">
                  <c:v>1.1614167961040642</c:v>
                </c:pt>
                <c:pt idx="94">
                  <c:v>0.85888690973000537</c:v>
                </c:pt>
                <c:pt idx="95">
                  <c:v>0.6317758077095218</c:v>
                </c:pt>
                <c:pt idx="96">
                  <c:v>0.46223795484779356</c:v>
                </c:pt>
                <c:pt idx="97">
                  <c:v>0.33638795303174346</c:v>
                </c:pt>
                <c:pt idx="98">
                  <c:v>0.24349174067838208</c:v>
                </c:pt>
                <c:pt idx="99">
                  <c:v>0.17530482901001773</c:v>
                </c:pt>
                <c:pt idx="100">
                  <c:v>0.12553544478011322</c:v>
                </c:pt>
                <c:pt idx="101">
                  <c:v>8.9412616476132523E-2</c:v>
                </c:pt>
                <c:pt idx="102">
                  <c:v>6.3341510273467405E-2</c:v>
                </c:pt>
                <c:pt idx="103">
                  <c:v>4.4630579029659632E-2</c:v>
                </c:pt>
                <c:pt idx="104">
                  <c:v>3.1277249113134821E-2</c:v>
                </c:pt>
                <c:pt idx="105">
                  <c:v>2.1800879593935934E-2</c:v>
                </c:pt>
                <c:pt idx="106">
                  <c:v>1.5113551566595733E-2</c:v>
                </c:pt>
                <c:pt idx="107">
                  <c:v>1.0420865540070498E-2</c:v>
                </c:pt>
                <c:pt idx="108">
                  <c:v>7.1463383567435769E-3</c:v>
                </c:pt>
                <c:pt idx="109">
                  <c:v>4.8742043940448281E-3</c:v>
                </c:pt>
                <c:pt idx="110">
                  <c:v>3.3064519118931155E-3</c:v>
                </c:pt>
                <c:pt idx="111">
                  <c:v>2.2307813296239781E-3</c:v>
                </c:pt>
                <c:pt idx="112">
                  <c:v>1.4968772266736265E-3</c:v>
                </c:pt>
                <c:pt idx="113">
                  <c:v>9.9895951995757049E-4</c:v>
                </c:pt>
                <c:pt idx="114">
                  <c:v>6.6304091675991879E-4</c:v>
                </c:pt>
                <c:pt idx="115">
                  <c:v>4.3768510271525763E-4</c:v>
                </c:pt>
                <c:pt idx="116">
                  <c:v>2.873495452829418E-4</c:v>
                </c:pt>
                <c:pt idx="117">
                  <c:v>1.8762251475134531E-4</c:v>
                </c:pt>
                <c:pt idx="118">
                  <c:v>1.218382119733972E-4</c:v>
                </c:pt>
                <c:pt idx="119">
                  <c:v>7.8687306080451444E-5</c:v>
                </c:pt>
                <c:pt idx="120">
                  <c:v>5.0541365602471253E-5</c:v>
                </c:pt>
                <c:pt idx="121">
                  <c:v>3.2285606975429628E-5</c:v>
                </c:pt>
                <c:pt idx="122">
                  <c:v>2.0511115610520459E-5</c:v>
                </c:pt>
                <c:pt idx="123">
                  <c:v>1.2959451576693705E-5</c:v>
                </c:pt>
                <c:pt idx="124">
                  <c:v>8.1432851727751067E-6</c:v>
                </c:pt>
                <c:pt idx="125">
                  <c:v>5.0889372632680815E-6</c:v>
                </c:pt>
                <c:pt idx="126">
                  <c:v>3.1627702463700478E-6</c:v>
                </c:pt>
                <c:pt idx="127">
                  <c:v>1.9548818880791718E-6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03-419C-A35B-51E0E111B9A1}"/>
            </c:ext>
          </c:extLst>
        </c:ser>
        <c:ser>
          <c:idx val="4"/>
          <c:order val="4"/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output'!$J$3:$J$130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16455.21778410206</c:v>
                </c:pt>
                <c:pt idx="5">
                  <c:v>16449.08185647519</c:v>
                </c:pt>
                <c:pt idx="6">
                  <c:v>16441.441581922409</c:v>
                </c:pt>
                <c:pt idx="7">
                  <c:v>16431.981477338159</c:v>
                </c:pt>
                <c:pt idx="8">
                  <c:v>16420.33375133088</c:v>
                </c:pt>
                <c:pt idx="9">
                  <c:v>16406.072928303005</c:v>
                </c:pt>
                <c:pt idx="10">
                  <c:v>16388.71066768219</c:v>
                </c:pt>
                <c:pt idx="11">
                  <c:v>16367.690983434806</c:v>
                </c:pt>
                <c:pt idx="12">
                  <c:v>16342.386099998355</c:v>
                </c:pt>
                <c:pt idx="13">
                  <c:v>16312.093208388906</c:v>
                </c:pt>
                <c:pt idx="14">
                  <c:v>16276.032408378316</c:v>
                </c:pt>
                <c:pt idx="15">
                  <c:v>16233.3461370557</c:v>
                </c:pt>
                <c:pt idx="16">
                  <c:v>16183.100388514249</c:v>
                </c:pt>
                <c:pt idx="17">
                  <c:v>16124.288021660335</c:v>
                </c:pt>
                <c:pt idx="18">
                  <c:v>16055.834431295916</c:v>
                </c:pt>
                <c:pt idx="19">
                  <c:v>15976.605820159093</c:v>
                </c:pt>
                <c:pt idx="20">
                  <c:v>15885.420255581206</c:v>
                </c:pt>
                <c:pt idx="21">
                  <c:v>15781.061623630374</c:v>
                </c:pt>
                <c:pt idx="22">
                  <c:v>15662.296506734385</c:v>
                </c:pt>
                <c:pt idx="23">
                  <c:v>15527.89390946106</c:v>
                </c:pt>
                <c:pt idx="24">
                  <c:v>15376.647644064453</c:v>
                </c:pt>
                <c:pt idx="25">
                  <c:v>15207.401066289502</c:v>
                </c:pt>
                <c:pt idx="26">
                  <c:v>15019.073727427731</c:v>
                </c:pt>
                <c:pt idx="27">
                  <c:v>14810.689386200907</c:v>
                </c:pt>
                <c:pt idx="28">
                  <c:v>14581.404709775174</c:v>
                </c:pt>
                <c:pt idx="29">
                  <c:v>14330.537893436001</c:v>
                </c:pt>
                <c:pt idx="30">
                  <c:v>14057.596349510624</c:v>
                </c:pt>
                <c:pt idx="31">
                  <c:v>13762.302563925148</c:v>
                </c:pt>
                <c:pt idx="32">
                  <c:v>13444.617198444208</c:v>
                </c:pt>
                <c:pt idx="33">
                  <c:v>13104.75853209834</c:v>
                </c:pt>
                <c:pt idx="34">
                  <c:v>12743.217388976265</c:v>
                </c:pt>
                <c:pt idx="35">
                  <c:v>12360.766792072132</c:v>
                </c:pt>
                <c:pt idx="36">
                  <c:v>11958.465712882749</c:v>
                </c:pt>
                <c:pt idx="37">
                  <c:v>11537.656450553472</c:v>
                </c:pt>
                <c:pt idx="38">
                  <c:v>11099.95536718708</c:v>
                </c:pt>
                <c:pt idx="39">
                  <c:v>10647.236920263045</c:v>
                </c:pt>
                <c:pt idx="40">
                  <c:v>10181.611160267517</c:v>
                </c:pt>
                <c:pt idx="41">
                  <c:v>9705.3950918285791</c:v>
                </c:pt>
                <c:pt idx="42">
                  <c:v>9221.0785195319932</c:v>
                </c:pt>
                <c:pt idx="43">
                  <c:v>8731.2852047956112</c:v>
                </c:pt>
                <c:pt idx="44">
                  <c:v>8238.7303379173154</c:v>
                </c:pt>
                <c:pt idx="45">
                  <c:v>7746.1754710390187</c:v>
                </c:pt>
                <c:pt idx="46">
                  <c:v>7256.3821563026386</c:v>
                </c:pt>
                <c:pt idx="47">
                  <c:v>6772.0655840060517</c:v>
                </c:pt>
                <c:pt idx="48">
                  <c:v>6295.8495155671126</c:v>
                </c:pt>
                <c:pt idx="49">
                  <c:v>5830.2237555715847</c:v>
                </c:pt>
                <c:pt idx="50">
                  <c:v>5377.5053086475518</c:v>
                </c:pt>
                <c:pt idx="51">
                  <c:v>4939.8042252811592</c:v>
                </c:pt>
                <c:pt idx="52">
                  <c:v>4518.9949629518815</c:v>
                </c:pt>
                <c:pt idx="53">
                  <c:v>4116.6938837624994</c:v>
                </c:pt>
                <c:pt idx="54">
                  <c:v>3734.2432868583646</c:v>
                </c:pt>
                <c:pt idx="55">
                  <c:v>3372.7021437362901</c:v>
                </c:pt>
                <c:pt idx="56">
                  <c:v>3032.8434773904232</c:v>
                </c:pt>
                <c:pt idx="57">
                  <c:v>2715.1581119094826</c:v>
                </c:pt>
                <c:pt idx="58">
                  <c:v>2419.864326324006</c:v>
                </c:pt>
                <c:pt idx="59">
                  <c:v>2146.9227823986289</c:v>
                </c:pt>
                <c:pt idx="60">
                  <c:v>1896.0559660594565</c:v>
                </c:pt>
                <c:pt idx="61">
                  <c:v>1666.7712896337232</c:v>
                </c:pt>
                <c:pt idx="62">
                  <c:v>1458.3869484069007</c:v>
                </c:pt>
                <c:pt idx="63">
                  <c:v>1270.059609545129</c:v>
                </c:pt>
                <c:pt idx="64">
                  <c:v>1100.8130317701784</c:v>
                </c:pt>
                <c:pt idx="65">
                  <c:v>949.566766373571</c:v>
                </c:pt>
                <c:pt idx="66">
                  <c:v>815.16416910024657</c:v>
                </c:pt>
                <c:pt idx="67">
                  <c:v>696.39905220425749</c:v>
                </c:pt>
                <c:pt idx="68">
                  <c:v>592.0404202534238</c:v>
                </c:pt>
                <c:pt idx="69">
                  <c:v>500.85485567553792</c:v>
                </c:pt>
                <c:pt idx="70">
                  <c:v>421.6262445387153</c:v>
                </c:pt>
                <c:pt idx="71">
                  <c:v>353.1726541742957</c:v>
                </c:pt>
                <c:pt idx="72">
                  <c:v>294.36028732038147</c:v>
                </c:pt>
                <c:pt idx="73">
                  <c:v>244.11453877893072</c:v>
                </c:pt>
                <c:pt idx="74">
                  <c:v>201.42826745631433</c:v>
                </c:pt>
                <c:pt idx="75">
                  <c:v>165.36746744572483</c:v>
                </c:pt>
                <c:pt idx="76">
                  <c:v>135.07457583627485</c:v>
                </c:pt>
                <c:pt idx="77">
                  <c:v>109.76969239982515</c:v>
                </c:pt>
                <c:pt idx="78">
                  <c:v>88.75000815244023</c:v>
                </c:pt>
                <c:pt idx="79">
                  <c:v>71.387747531624385</c:v>
                </c:pt>
                <c:pt idx="80">
                  <c:v>57.126924503750629</c:v>
                </c:pt>
                <c:pt idx="81">
                  <c:v>45.479198496473323</c:v>
                </c:pt>
                <c:pt idx="82">
                  <c:v>36.019093912223042</c:v>
                </c:pt>
                <c:pt idx="83">
                  <c:v>28.378819359440726</c:v>
                </c:pt>
                <c:pt idx="84">
                  <c:v>22.242891732571604</c:v>
                </c:pt>
                <c:pt idx="85">
                  <c:v>17.34273775172996</c:v>
                </c:pt>
                <c:pt idx="86">
                  <c:v>13.45141313226018</c:v>
                </c:pt>
                <c:pt idx="87">
                  <c:v>10.378548481872254</c:v>
                </c:pt>
                <c:pt idx="88">
                  <c:v>7.965602295877841</c:v>
                </c:pt>
                <c:pt idx="89">
                  <c:v>6.0814757166146229</c:v>
                </c:pt>
                <c:pt idx="90">
                  <c:v>4.6185214464401554</c:v>
                </c:pt>
                <c:pt idx="91">
                  <c:v>3.4889605214793469</c:v>
                </c:pt>
                <c:pt idx="92">
                  <c:v>2.6217055375085661</c:v>
                </c:pt>
                <c:pt idx="93">
                  <c:v>1.9595771883620441</c:v>
                </c:pt>
                <c:pt idx="94">
                  <c:v>1.4568923399604796</c:v>
                </c:pt>
                <c:pt idx="95">
                  <c:v>1.0773959562798112</c:v>
                </c:pt>
                <c:pt idx="96">
                  <c:v>0.7925056172012479</c:v>
                </c:pt>
                <c:pt idx="97">
                  <c:v>0.5798357126535032</c:v>
                </c:pt>
                <c:pt idx="98">
                  <c:v>0.42196826640607737</c:v>
                </c:pt>
                <c:pt idx="99">
                  <c:v>0.30543836891970794</c:v>
                </c:pt>
                <c:pt idx="100">
                  <c:v>0.21990405459909707</c:v>
                </c:pt>
                <c:pt idx="101">
                  <c:v>0.15747286289227339</c:v>
                </c:pt>
                <c:pt idx="102">
                  <c:v>0.11216004149145248</c:v>
                </c:pt>
                <c:pt idx="103">
                  <c:v>7.9456196456344469E-2</c:v>
                </c:pt>
                <c:pt idx="104">
                  <c:v>5.5985025302222255E-2</c:v>
                </c:pt>
                <c:pt idx="105">
                  <c:v>3.9234480507615223E-2</c:v>
                </c:pt>
                <c:pt idx="106">
                  <c:v>2.7347231925135794E-2</c:v>
                </c:pt>
                <c:pt idx="107">
                  <c:v>1.8958583671970695E-2</c:v>
                </c:pt>
                <c:pt idx="108">
                  <c:v>1.3072033426772059E-2</c:v>
                </c:pt>
                <c:pt idx="109">
                  <c:v>8.9644352015833956E-3</c:v>
                </c:pt>
                <c:pt idx="110">
                  <c:v>6.1142486219472126E-3</c:v>
                </c:pt>
                <c:pt idx="111">
                  <c:v>4.1476449101164378E-3</c:v>
                </c:pt>
                <c:pt idx="112">
                  <c:v>2.7983134410989037E-3</c:v>
                </c:pt>
                <c:pt idx="113">
                  <c:v>1.8776971133166668E-3</c:v>
                </c:pt>
                <c:pt idx="114">
                  <c:v>1.2531043785820874E-3</c:v>
                </c:pt>
                <c:pt idx="115">
                  <c:v>8.3172486909802439E-4</c:v>
                </c:pt>
                <c:pt idx="116">
                  <c:v>5.490363800486484E-4</c:v>
                </c:pt>
                <c:pt idx="117">
                  <c:v>3.6045401859018279E-4</c:v>
                </c:pt>
                <c:pt idx="118">
                  <c:v>2.3535547743263821E-4</c:v>
                </c:pt>
                <c:pt idx="119">
                  <c:v>1.5283501868920701E-4</c:v>
                </c:pt>
                <c:pt idx="120">
                  <c:v>9.870610952526951E-5</c:v>
                </c:pt>
                <c:pt idx="121">
                  <c:v>6.339957252588657E-5</c:v>
                </c:pt>
                <c:pt idx="122">
                  <c:v>4.0499374256736272E-5</c:v>
                </c:pt>
                <c:pt idx="123">
                  <c:v>2.5729339645552681E-5</c:v>
                </c:pt>
                <c:pt idx="124">
                  <c:v>1.6256460037006476E-5</c:v>
                </c:pt>
                <c:pt idx="125">
                  <c:v>1.021501482510572E-5</c:v>
                </c:pt>
                <c:pt idx="126">
                  <c:v>6.383611587386075E-6</c:v>
                </c:pt>
                <c:pt idx="127">
                  <c:v>3.9674092543247298E-6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03-419C-A35B-51E0E111B9A1}"/>
            </c:ext>
          </c:extLst>
        </c:ser>
        <c:ser>
          <c:idx val="5"/>
          <c:order val="5"/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output'!$K$3:$K$130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19817.496713692693</c:v>
                </c:pt>
                <c:pt idx="6">
                  <c:v>19810.107037835685</c:v>
                </c:pt>
                <c:pt idx="7">
                  <c:v>19800.905633282553</c:v>
                </c:pt>
                <c:pt idx="8">
                  <c:v>19789.512554566165</c:v>
                </c:pt>
                <c:pt idx="9">
                  <c:v>19775.484859831293</c:v>
                </c:pt>
                <c:pt idx="10">
                  <c:v>19758.310136457989</c:v>
                </c:pt>
                <c:pt idx="11">
                  <c:v>19737.400261711286</c:v>
                </c:pt>
                <c:pt idx="12">
                  <c:v>19712.085645462459</c:v>
                </c:pt>
                <c:pt idx="13">
                  <c:v>19681.610239368063</c:v>
                </c:pt>
                <c:pt idx="14">
                  <c:v>19645.127630155894</c:v>
                </c:pt>
                <c:pt idx="15">
                  <c:v>19601.698561329264</c:v>
                </c:pt>
                <c:pt idx="16">
                  <c:v>19550.290244966956</c:v>
                </c:pt>
                <c:pt idx="17">
                  <c:v>19489.777830627521</c:v>
                </c:pt>
                <c:pt idx="18">
                  <c:v>19418.948389039822</c:v>
                </c:pt>
                <c:pt idx="19">
                  <c:v>19336.507741952308</c:v>
                </c:pt>
                <c:pt idx="20">
                  <c:v>19241.090424391714</c:v>
                </c:pt>
                <c:pt idx="21">
                  <c:v>19131.273000516332</c:v>
                </c:pt>
                <c:pt idx="22">
                  <c:v>19005.590868996369</c:v>
                </c:pt>
                <c:pt idx="23">
                  <c:v>18862.55858922542</c:v>
                </c:pt>
                <c:pt idx="24">
                  <c:v>18700.693637650656</c:v>
                </c:pt>
                <c:pt idx="25">
                  <c:v>18518.543367336315</c:v>
                </c:pt>
                <c:pt idx="26">
                  <c:v>18314.714798011679</c:v>
                </c:pt>
                <c:pt idx="27">
                  <c:v>18087.906713915858</c:v>
                </c:pt>
                <c:pt idx="28">
                  <c:v>17836.943399322881</c:v>
                </c:pt>
                <c:pt idx="29">
                  <c:v>17560.809204006608</c:v>
                </c:pt>
                <c:pt idx="30">
                  <c:v>17258.683010746539</c:v>
                </c:pt>
                <c:pt idx="31">
                  <c:v>16929.971581901325</c:v>
                </c:pt>
                <c:pt idx="32">
                  <c:v>16574.340699211469</c:v>
                </c:pt>
                <c:pt idx="33">
                  <c:v>16191.742986497553</c:v>
                </c:pt>
                <c:pt idx="34">
                  <c:v>15782.441323535897</c:v>
                </c:pt>
                <c:pt idx="35">
                  <c:v>15347.026824032366</c:v>
                </c:pt>
                <c:pt idx="36">
                  <c:v>14886.430462031005</c:v>
                </c:pt>
                <c:pt idx="37">
                  <c:v>14401.9275876629</c:v>
                </c:pt>
                <c:pt idx="38">
                  <c:v>13895.134770775428</c:v>
                </c:pt>
                <c:pt idx="39">
                  <c:v>13367.998643195664</c:v>
                </c:pt>
                <c:pt idx="40">
                  <c:v>12822.776668509132</c:v>
                </c:pt>
                <c:pt idx="41">
                  <c:v>12262.010041802005</c:v>
                </c:pt>
                <c:pt idx="42">
                  <c:v>11688.48919904451</c:v>
                </c:pt>
                <c:pt idx="43">
                  <c:v>11105.212684214825</c:v>
                </c:pt>
                <c:pt idx="44">
                  <c:v>10515.34036939474</c:v>
                </c:pt>
                <c:pt idx="45">
                  <c:v>9922.1422371217905</c:v>
                </c:pt>
                <c:pt idx="46">
                  <c:v>9328.9441048488407</c:v>
                </c:pt>
                <c:pt idx="47">
                  <c:v>8739.0717900287564</c:v>
                </c:pt>
                <c:pt idx="48">
                  <c:v>8155.7952751990715</c:v>
                </c:pt>
                <c:pt idx="49">
                  <c:v>7582.2744324415771</c:v>
                </c:pt>
                <c:pt idx="50">
                  <c:v>7021.5078057344499</c:v>
                </c:pt>
                <c:pt idx="51">
                  <c:v>6476.285831047916</c:v>
                </c:pt>
                <c:pt idx="52">
                  <c:v>5949.1497034681524</c:v>
                </c:pt>
                <c:pt idx="53">
                  <c:v>5442.356886580681</c:v>
                </c:pt>
                <c:pt idx="54">
                  <c:v>4957.854012212576</c:v>
                </c:pt>
                <c:pt idx="55">
                  <c:v>4497.2576502112161</c:v>
                </c:pt>
                <c:pt idx="56">
                  <c:v>4061.8431507076843</c:v>
                </c:pt>
                <c:pt idx="57">
                  <c:v>3652.5414877460275</c:v>
                </c:pt>
                <c:pt idx="58">
                  <c:v>3269.9437750321117</c:v>
                </c:pt>
                <c:pt idx="59">
                  <c:v>2914.3128923422541</c:v>
                </c:pt>
                <c:pt idx="60">
                  <c:v>2585.6014634970397</c:v>
                </c:pt>
                <c:pt idx="61">
                  <c:v>2283.4752702369733</c:v>
                </c:pt>
                <c:pt idx="62">
                  <c:v>2007.3410749206994</c:v>
                </c:pt>
                <c:pt idx="63">
                  <c:v>1756.3777603277217</c:v>
                </c:pt>
                <c:pt idx="64">
                  <c:v>1529.5696762319017</c:v>
                </c:pt>
                <c:pt idx="65">
                  <c:v>1325.7411069072666</c:v>
                </c:pt>
                <c:pt idx="66">
                  <c:v>1143.5908365929242</c:v>
                </c:pt>
                <c:pt idx="67">
                  <c:v>981.72588501816062</c:v>
                </c:pt>
                <c:pt idx="68">
                  <c:v>838.69360524721094</c:v>
                </c:pt>
                <c:pt idx="69">
                  <c:v>713.01147372725018</c:v>
                </c:pt>
                <c:pt idx="70">
                  <c:v>603.19404985186782</c:v>
                </c:pt>
                <c:pt idx="71">
                  <c:v>507.77673229127276</c:v>
                </c:pt>
                <c:pt idx="72">
                  <c:v>425.33608520375822</c:v>
                </c:pt>
                <c:pt idx="73">
                  <c:v>354.50664361605851</c:v>
                </c:pt>
                <c:pt idx="74">
                  <c:v>293.99422927662312</c:v>
                </c:pt>
                <c:pt idx="75">
                  <c:v>242.58591291431819</c:v>
                </c:pt>
                <c:pt idx="76">
                  <c:v>199.15684408768621</c:v>
                </c:pt>
                <c:pt idx="77">
                  <c:v>162.6742348755175</c:v>
                </c:pt>
                <c:pt idx="78">
                  <c:v>132.19882878112264</c:v>
                </c:pt>
                <c:pt idx="79">
                  <c:v>106.88421253229616</c:v>
                </c:pt>
                <c:pt idx="80">
                  <c:v>85.974337785593136</c:v>
                </c:pt>
                <c:pt idx="81">
                  <c:v>68.799614412288165</c:v>
                </c:pt>
                <c:pt idx="82">
                  <c:v>54.771919677416754</c:v>
                </c:pt>
                <c:pt idx="83">
                  <c:v>43.378840961029567</c:v>
                </c:pt>
                <c:pt idx="84">
                  <c:v>34.177436407894035</c:v>
                </c:pt>
                <c:pt idx="85">
                  <c:v>26.787760550889232</c:v>
                </c:pt>
                <c:pt idx="86">
                  <c:v>20.886362788427679</c:v>
                </c:pt>
                <c:pt idx="87">
                  <c:v>16.199927526977753</c:v>
                </c:pt>
                <c:pt idx="88">
                  <c:v>12.499187378189248</c:v>
                </c:pt>
                <c:pt idx="89">
                  <c:v>9.5932062031809942</c:v>
                </c:pt>
                <c:pt idx="90">
                  <c:v>7.3240978399477807</c:v>
                </c:pt>
                <c:pt idx="91">
                  <c:v>5.5622195213590446</c:v>
                </c:pt>
                <c:pt idx="92">
                  <c:v>4.201856491709357</c:v>
                </c:pt>
                <c:pt idx="93">
                  <c:v>3.1573961253823111</c:v>
                </c:pt>
                <c:pt idx="94">
                  <c:v>2.3599757232086427</c:v>
                </c:pt>
                <c:pt idx="95">
                  <c:v>1.7545777599652941</c:v>
                </c:pt>
                <c:pt idx="96">
                  <c:v>1.2975392427530892</c:v>
                </c:pt>
                <c:pt idx="97">
                  <c:v>0.95443753285613275</c:v>
                </c:pt>
                <c:pt idx="98">
                  <c:v>0.69831298988301438</c:v>
                </c:pt>
                <c:pt idx="99">
                  <c:v>0.50818863916004775</c:v>
                </c:pt>
                <c:pt idx="100">
                  <c:v>0.36784829904530331</c:v>
                </c:pt>
                <c:pt idx="101">
                  <c:v>0.26483683999343144</c:v>
                </c:pt>
                <c:pt idx="102">
                  <c:v>0.18964914252781501</c:v>
                </c:pt>
                <c:pt idx="103">
                  <c:v>0.13507759561905958</c:v>
                </c:pt>
                <c:pt idx="104">
                  <c:v>9.5691405171034791E-2</c:v>
                </c:pt>
                <c:pt idx="105">
                  <c:v>6.7424392037807049E-2</c:v>
                </c:pt>
                <c:pt idx="106">
                  <c:v>4.7251224427688934E-2</c:v>
                </c:pt>
                <c:pt idx="107">
                  <c:v>3.29350656986485E-2</c:v>
                </c:pt>
                <c:pt idx="108">
                  <c:v>2.2832372961878081E-2</c:v>
                </c:pt>
                <c:pt idx="109">
                  <c:v>1.5743029528701713E-2</c:v>
                </c:pt>
                <c:pt idx="110">
                  <c:v>1.0796129682289969E-2</c:v>
                </c:pt>
                <c:pt idx="111">
                  <c:v>7.3635672017178964E-3</c:v>
                </c:pt>
                <c:pt idx="112">
                  <c:v>4.9951292322128358E-3</c:v>
                </c:pt>
                <c:pt idx="113">
                  <c:v>3.370090153193664E-3</c:v>
                </c:pt>
                <c:pt idx="114">
                  <c:v>2.2613651706520923E-3</c:v>
                </c:pt>
                <c:pt idx="115">
                  <c:v>1.5091499991240964E-3</c:v>
                </c:pt>
                <c:pt idx="116">
                  <c:v>1.0016704170254787E-3</c:v>
                </c:pt>
                <c:pt idx="117">
                  <c:v>6.6122045907067027E-4</c:v>
                </c:pt>
                <c:pt idx="118">
                  <c:v>4.3410524385460589E-4</c:v>
                </c:pt>
                <c:pt idx="119">
                  <c:v>2.8344543729327489E-4</c:v>
                </c:pt>
                <c:pt idx="120">
                  <c:v>1.84063652049428E-4</c:v>
                </c:pt>
                <c:pt idx="121">
                  <c:v>1.1887463458722992E-4</c:v>
                </c:pt>
                <c:pt idx="122">
                  <c:v>7.6353946612310976E-5</c:v>
                </c:pt>
                <c:pt idx="123">
                  <c:v>4.8774572708171432E-5</c:v>
                </c:pt>
                <c:pt idx="124">
                  <c:v>3.0986591035206248E-5</c:v>
                </c:pt>
                <c:pt idx="125">
                  <c:v>1.9578126986013174E-5</c:v>
                </c:pt>
                <c:pt idx="126">
                  <c:v>1.2302239045564927E-5</c:v>
                </c:pt>
                <c:pt idx="127">
                  <c:v>7.6879688445531845E-6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03-419C-A35B-51E0E111B9A1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output'!$L$3:$L$130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23211.551254862494</c:v>
                </c:pt>
                <c:pt idx="7">
                  <c:v>23202.895982080579</c:v>
                </c:pt>
                <c:pt idx="8">
                  <c:v>23192.11869388483</c:v>
                </c:pt>
                <c:pt idx="9">
                  <c:v>23178.77437323744</c:v>
                </c:pt>
                <c:pt idx="10">
                  <c:v>23162.344217601232</c:v>
                </c:pt>
                <c:pt idx="11">
                  <c:v>23142.22805572534</c:v>
                </c:pt>
                <c:pt idx="12">
                  <c:v>23117.737039709151</c:v>
                </c:pt>
                <c:pt idx="13">
                  <c:v>23088.086901700004</c:v>
                </c:pt>
                <c:pt idx="14">
                  <c:v>23052.392108316537</c:v>
                </c:pt>
                <c:pt idx="15">
                  <c:v>23009.661284849095</c:v>
                </c:pt>
                <c:pt idx="16">
                  <c:v>22958.79431251733</c:v>
                </c:pt>
                <c:pt idx="17">
                  <c:v>22898.581522405177</c:v>
                </c:pt>
                <c:pt idx="18">
                  <c:v>22827.705415937864</c:v>
                </c:pt>
                <c:pt idx="19">
                  <c:v>22744.745330841433</c:v>
                </c:pt>
                <c:pt idx="20">
                  <c:v>22648.185440709916</c:v>
                </c:pt>
                <c:pt idx="21">
                  <c:v>22536.426423455789</c:v>
                </c:pt>
                <c:pt idx="22">
                  <c:v>22407.801057710214</c:v>
                </c:pt>
                <c:pt idx="23">
                  <c:v>22260.593906386188</c:v>
                </c:pt>
                <c:pt idx="24">
                  <c:v>22093.065124069839</c:v>
                </c:pt>
                <c:pt idx="25">
                  <c:v>21903.478281991669</c:v>
                </c:pt>
                <c:pt idx="26">
                  <c:v>21690.131944834611</c:v>
                </c:pt>
                <c:pt idx="27">
                  <c:v>21451.39456279104</c:v>
                </c:pt>
                <c:pt idx="28">
                  <c:v>21185.742066662719</c:v>
                </c:pt>
                <c:pt idx="29">
                  <c:v>20891.79738111925</c:v>
                </c:pt>
                <c:pt idx="30">
                  <c:v>20568.370910036487</c:v>
                </c:pt>
                <c:pt idx="31">
                  <c:v>20214.500907098773</c:v>
                </c:pt>
                <c:pt idx="32">
                  <c:v>19829.49253349183</c:v>
                </c:pt>
                <c:pt idx="33">
                  <c:v>19412.954330880999</c:v>
                </c:pt>
                <c:pt idx="34">
                  <c:v>18964.830809179279</c:v>
                </c:pt>
                <c:pt idx="35">
                  <c:v>18485.429870413354</c:v>
                </c:pt>
                <c:pt idx="36">
                  <c:v>17975.443865705027</c:v>
                </c:pt>
                <c:pt idx="37">
                  <c:v>17435.963212883176</c:v>
                </c:pt>
                <c:pt idx="38">
                  <c:v>16868.481685624836</c:v>
                </c:pt>
                <c:pt idx="39">
                  <c:v>16274.892716506862</c:v>
                </c:pt>
                <c:pt idx="40">
                  <c:v>15657.47632833341</c:v>
                </c:pt>
                <c:pt idx="41">
                  <c:v>15018.876610440197</c:v>
                </c:pt>
                <c:pt idx="42">
                  <c:v>14362.069977096069</c:v>
                </c:pt>
                <c:pt idx="43">
                  <c:v>13690.324769831848</c:v>
                </c:pt>
                <c:pt idx="44">
                  <c:v>13007.15307991945</c:v>
                </c:pt>
                <c:pt idx="45">
                  <c:v>12316.255956681352</c:v>
                </c:pt>
                <c:pt idx="46">
                  <c:v>11621.463418023899</c:v>
                </c:pt>
                <c:pt idx="47">
                  <c:v>10926.670879366446</c:v>
                </c:pt>
                <c:pt idx="48">
                  <c:v>10235.773756128348</c:v>
                </c:pt>
                <c:pt idx="49">
                  <c:v>9552.6020662159499</c:v>
                </c:pt>
                <c:pt idx="50">
                  <c:v>8880.856858951729</c:v>
                </c:pt>
                <c:pt idx="51">
                  <c:v>8224.0502256076015</c:v>
                </c:pt>
                <c:pt idx="52">
                  <c:v>7585.4505077143886</c:v>
                </c:pt>
                <c:pt idx="53">
                  <c:v>6968.0341195409355</c:v>
                </c:pt>
                <c:pt idx="54">
                  <c:v>6374.445150422961</c:v>
                </c:pt>
                <c:pt idx="55">
                  <c:v>5806.9636231646209</c:v>
                </c:pt>
                <c:pt idx="56">
                  <c:v>5267.4829703427722</c:v>
                </c:pt>
                <c:pt idx="57">
                  <c:v>4757.4969656344456</c:v>
                </c:pt>
                <c:pt idx="58">
                  <c:v>4278.0960268685185</c:v>
                </c:pt>
                <c:pt idx="59">
                  <c:v>3829.9725051667992</c:v>
                </c:pt>
                <c:pt idx="60">
                  <c:v>3413.4343025559674</c:v>
                </c:pt>
                <c:pt idx="61">
                  <c:v>3028.4259289490237</c:v>
                </c:pt>
                <c:pt idx="62">
                  <c:v>2674.5559260113123</c:v>
                </c:pt>
                <c:pt idx="63">
                  <c:v>2351.1294549285481</c:v>
                </c:pt>
                <c:pt idx="64">
                  <c:v>2057.1847693850814</c:v>
                </c:pt>
                <c:pt idx="65">
                  <c:v>1791.532273256759</c:v>
                </c:pt>
                <c:pt idx="66">
                  <c:v>1552.7948912131881</c:v>
                </c:pt>
                <c:pt idx="67">
                  <c:v>1339.4485540561279</c:v>
                </c:pt>
                <c:pt idx="68">
                  <c:v>1149.8617119779603</c:v>
                </c:pt>
                <c:pt idx="69">
                  <c:v>982.332929661609</c:v>
                </c:pt>
                <c:pt idx="70">
                  <c:v>835.12577833758348</c:v>
                </c:pt>
                <c:pt idx="71">
                  <c:v>706.50041259201123</c:v>
                </c:pt>
                <c:pt idx="72">
                  <c:v>594.74139533788127</c:v>
                </c:pt>
                <c:pt idx="73">
                  <c:v>498.18150520636385</c:v>
                </c:pt>
                <c:pt idx="74">
                  <c:v>415.22142010993321</c:v>
                </c:pt>
                <c:pt idx="75">
                  <c:v>344.34531364262159</c:v>
                </c:pt>
                <c:pt idx="76">
                  <c:v>284.13252353047028</c:v>
                </c:pt>
                <c:pt idx="77">
                  <c:v>233.26555119870179</c:v>
                </c:pt>
                <c:pt idx="78">
                  <c:v>190.53472773126188</c:v>
                </c:pt>
                <c:pt idx="79">
                  <c:v>154.83993434779498</c:v>
                </c:pt>
                <c:pt idx="80">
                  <c:v>125.18979633864771</c:v>
                </c:pt>
                <c:pt idx="81">
                  <c:v>100.69878032245711</c:v>
                </c:pt>
                <c:pt idx="82">
                  <c:v>80.58261844656748</c:v>
                </c:pt>
                <c:pt idx="83">
                  <c:v>64.152462810358415</c:v>
                </c:pt>
                <c:pt idx="84">
                  <c:v>50.808142162968856</c:v>
                </c:pt>
                <c:pt idx="85">
                  <c:v>40.030853967217048</c:v>
                </c:pt>
                <c:pt idx="86">
                  <c:v>31.375581185303432</c:v>
                </c:pt>
                <c:pt idx="87">
                  <c:v>24.463477269370301</c:v>
                </c:pt>
                <c:pt idx="88">
                  <c:v>18.974417079513938</c:v>
                </c:pt>
                <c:pt idx="89">
                  <c:v>14.639867621247586</c:v>
                </c:pt>
                <c:pt idx="90">
                  <c:v>11.236191972205386</c:v>
                </c:pt>
                <c:pt idx="91">
                  <c:v>8.5784635094761157</c:v>
                </c:pt>
                <c:pt idx="92">
                  <c:v>6.5148361256755782</c:v>
                </c:pt>
                <c:pt idx="93">
                  <c:v>4.9214897689625952</c:v>
                </c:pt>
                <c:pt idx="94">
                  <c:v>3.6981493200187159</c:v>
                </c:pt>
                <c:pt idx="95">
                  <c:v>2.7641582713945816</c:v>
                </c:pt>
                <c:pt idx="96">
                  <c:v>2.0550764909645078</c:v>
                </c:pt>
                <c:pt idx="97">
                  <c:v>1.5197630191884506</c:v>
                </c:pt>
                <c:pt idx="98">
                  <c:v>1.1178998050822218</c:v>
                </c:pt>
                <c:pt idx="99">
                  <c:v>0.81790995052399706</c:v>
                </c:pt>
                <c:pt idx="100">
                  <c:v>0.59522384766447578</c:v>
                </c:pt>
                <c:pt idx="101">
                  <c:v>0.43084804153920081</c:v>
                </c:pt>
                <c:pt idx="102">
                  <c:v>0.3101942679488856</c:v>
                </c:pt>
                <c:pt idx="103">
                  <c:v>0.22212950786985874</c:v>
                </c:pt>
                <c:pt idx="104">
                  <c:v>0.15821173478126763</c:v>
                </c:pt>
                <c:pt idx="105">
                  <c:v>0.11208004663084467</c:v>
                </c:pt>
                <c:pt idx="106">
                  <c:v>7.8971867851107727E-2</c:v>
                </c:pt>
                <c:pt idx="107">
                  <c:v>5.5343731526924275E-2</c:v>
                </c:pt>
                <c:pt idx="108">
                  <c:v>3.8575707950956183E-2</c:v>
                </c:pt>
                <c:pt idx="109">
                  <c:v>2.6742771952049278E-2</c:v>
                </c:pt>
                <c:pt idx="110">
                  <c:v>1.8439268192727409E-2</c:v>
                </c:pt>
                <c:pt idx="111">
                  <c:v>1.2645134806631255E-2</c:v>
                </c:pt>
                <c:pt idx="112">
                  <c:v>8.6246926133311322E-3</c:v>
                </c:pt>
                <c:pt idx="113">
                  <c:v>5.8506228043453852E-3</c:v>
                </c:pt>
                <c:pt idx="114">
                  <c:v>3.9472705082026511E-3</c:v>
                </c:pt>
                <c:pt idx="115">
                  <c:v>2.6486591279858591E-3</c:v>
                </c:pt>
                <c:pt idx="116">
                  <c:v>1.7676154088493549E-3</c:v>
                </c:pt>
                <c:pt idx="117">
                  <c:v>1.173222055296309E-3</c:v>
                </c:pt>
                <c:pt idx="118">
                  <c:v>7.7446474689601258E-4</c:v>
                </c:pt>
                <c:pt idx="119">
                  <c:v>5.0845251866617864E-4</c:v>
                </c:pt>
                <c:pt idx="120">
                  <c:v>3.3198987696281181E-4</c:v>
                </c:pt>
                <c:pt idx="121">
                  <c:v>2.1558741527382224E-4</c:v>
                </c:pt>
                <c:pt idx="122">
                  <c:v>1.3923376466201467E-4</c:v>
                </c:pt>
                <c:pt idx="123">
                  <c:v>8.9430747531202712E-5</c:v>
                </c:pt>
                <c:pt idx="124">
                  <c:v>5.7127976893645841E-5</c:v>
                </c:pt>
                <c:pt idx="125">
                  <c:v>3.6293526696043123E-5</c:v>
                </c:pt>
                <c:pt idx="126">
                  <c:v>2.2931185738310818E-5</c:v>
                </c:pt>
                <c:pt idx="127">
                  <c:v>1.4409188823450159E-5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03-419C-A35B-51E0E111B9A1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output'!$M$3:$M$130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26632.860033166544</c:v>
                </c:pt>
                <c:pt idx="8">
                  <c:v>26622.92900072418</c:v>
                </c:pt>
                <c:pt idx="9">
                  <c:v>26610.563174549836</c:v>
                </c:pt>
                <c:pt idx="10">
                  <c:v>26595.251943510713</c:v>
                </c:pt>
                <c:pt idx="11">
                  <c:v>26576.400035226874</c:v>
                </c:pt>
                <c:pt idx="12">
                  <c:v>26553.318815115275</c:v>
                </c:pt>
                <c:pt idx="13">
                  <c:v>26525.217901287186</c:v>
                </c:pt>
                <c:pt idx="14">
                  <c:v>26491.197427304593</c:v>
                </c:pt>
                <c:pt idx="15">
                  <c:v>26450.241334984155</c:v>
                </c:pt>
                <c:pt idx="16">
                  <c:v>26401.212124139322</c:v>
                </c:pt>
                <c:pt idx="17">
                  <c:v>26342.847521982923</c:v>
                </c:pt>
                <c:pt idx="18">
                  <c:v>26273.759558250753</c:v>
                </c:pt>
                <c:pt idx="19">
                  <c:v>26192.436539271384</c:v>
                </c:pt>
                <c:pt idx="20">
                  <c:v>26097.248401673303</c:v>
                </c:pt>
                <c:pt idx="21">
                  <c:v>25986.455891062797</c:v>
                </c:pt>
                <c:pt idx="22">
                  <c:v>25858.22395036689</c:v>
                </c:pt>
                <c:pt idx="23">
                  <c:v>25710.639615093347</c:v>
                </c:pt>
                <c:pt idx="24">
                  <c:v>25541.734598188341</c:v>
                </c:pt>
                <c:pt idx="25">
                  <c:v>25349.5126065615</c:v>
                </c:pt>
                <c:pt idx="26">
                  <c:v>25131.98126736933</c:v>
                </c:pt>
                <c:pt idx="27">
                  <c:v>24887.188359144275</c:v>
                </c:pt>
                <c:pt idx="28">
                  <c:v>24613.261846829893</c:v>
                </c:pt>
                <c:pt idx="29">
                  <c:v>24308.453018278859</c:v>
                </c:pt>
                <c:pt idx="30">
                  <c:v>23971.181821639973</c:v>
                </c:pt>
                <c:pt idx="31">
                  <c:v>23600.083318106575</c:v>
                </c:pt>
                <c:pt idx="32">
                  <c:v>23194.054003017089</c:v>
                </c:pt>
                <c:pt idx="33">
                  <c:v>22752.296620527508</c:v>
                </c:pt>
                <c:pt idx="34">
                  <c:v>22274.362012590562</c:v>
                </c:pt>
                <c:pt idx="35">
                  <c:v>21760.186510057036</c:v>
                </c:pt>
                <c:pt idx="36">
                  <c:v>21210.123398732372</c:v>
                </c:pt>
                <c:pt idx="37">
                  <c:v>20624.967080090148</c:v>
                </c:pt>
                <c:pt idx="38">
                  <c:v>20005.968696076681</c:v>
                </c:pt>
                <c:pt idx="39">
                  <c:v>19354.842197854687</c:v>
                </c:pt>
                <c:pt idx="40">
                  <c:v>18673.760103936518</c:v>
                </c:pt>
                <c:pt idx="41">
                  <c:v>17965.338505230913</c:v>
                </c:pt>
                <c:pt idx="42">
                  <c:v>17232.611221426188</c:v>
                </c:pt>
                <c:pt idx="43">
                  <c:v>16478.993380781219</c:v>
                </c:pt>
                <c:pt idx="44">
                  <c:v>15708.235067966143</c:v>
                </c:pt>
                <c:pt idx="45">
                  <c:v>14924.366045328237</c:v>
                </c:pt>
                <c:pt idx="46">
                  <c:v>14131.632885080577</c:v>
                </c:pt>
                <c:pt idx="47">
                  <c:v>13334.430137578898</c:v>
                </c:pt>
                <c:pt idx="48">
                  <c:v>12537.22739007722</c:v>
                </c:pt>
                <c:pt idx="49">
                  <c:v>11744.494229829559</c:v>
                </c:pt>
                <c:pt idx="50">
                  <c:v>10960.625207191653</c:v>
                </c:pt>
                <c:pt idx="51">
                  <c:v>10189.866894376579</c:v>
                </c:pt>
                <c:pt idx="52">
                  <c:v>9436.2490537316098</c:v>
                </c:pt>
                <c:pt idx="53">
                  <c:v>8703.5217699268833</c:v>
                </c:pt>
                <c:pt idx="54">
                  <c:v>7995.1001712212783</c:v>
                </c:pt>
                <c:pt idx="55">
                  <c:v>7314.0180773031097</c:v>
                </c:pt>
                <c:pt idx="56">
                  <c:v>6662.8915790811152</c:v>
                </c:pt>
                <c:pt idx="57">
                  <c:v>6043.8931950676497</c:v>
                </c:pt>
                <c:pt idx="58">
                  <c:v>5458.7368764254243</c:v>
                </c:pt>
                <c:pt idx="59">
                  <c:v>4908.6737651007597</c:v>
                </c:pt>
                <c:pt idx="60">
                  <c:v>4394.4982625672365</c:v>
                </c:pt>
                <c:pt idx="61">
                  <c:v>3916.5636546302899</c:v>
                </c:pt>
                <c:pt idx="62">
                  <c:v>3474.8062721407082</c:v>
                </c:pt>
                <c:pt idx="63">
                  <c:v>3068.7769570512223</c:v>
                </c:pt>
                <c:pt idx="64">
                  <c:v>2697.678453517824</c:v>
                </c:pt>
                <c:pt idx="65">
                  <c:v>2360.4072568789384</c:v>
                </c:pt>
                <c:pt idx="66">
                  <c:v>2055.598428327904</c:v>
                </c:pt>
                <c:pt idx="67">
                  <c:v>1781.671916013521</c:v>
                </c:pt>
                <c:pt idx="68">
                  <c:v>1536.8790077884646</c:v>
                </c:pt>
                <c:pt idx="69">
                  <c:v>1319.3476685962967</c:v>
                </c:pt>
                <c:pt idx="70">
                  <c:v>1127.1256769694539</c:v>
                </c:pt>
                <c:pt idx="71">
                  <c:v>958.22066006444891</c:v>
                </c:pt>
                <c:pt idx="72">
                  <c:v>810.63632479090484</c:v>
                </c:pt>
                <c:pt idx="73">
                  <c:v>682.40438409499984</c:v>
                </c:pt>
                <c:pt idx="74">
                  <c:v>571.61187348449448</c:v>
                </c:pt>
                <c:pt idx="75">
                  <c:v>476.42373588641073</c:v>
                </c:pt>
                <c:pt idx="76">
                  <c:v>395.10071690704427</c:v>
                </c:pt>
                <c:pt idx="77">
                  <c:v>326.01275317487358</c:v>
                </c:pt>
                <c:pt idx="78">
                  <c:v>267.64815101847324</c:v>
                </c:pt>
                <c:pt idx="79">
                  <c:v>218.61894017364133</c:v>
                </c:pt>
                <c:pt idx="80">
                  <c:v>177.66284785320568</c:v>
                </c:pt>
                <c:pt idx="81">
                  <c:v>143.64237387061192</c:v>
                </c:pt>
                <c:pt idx="82">
                  <c:v>115.54146004251939</c:v>
                </c:pt>
                <c:pt idx="83">
                  <c:v>92.460239930922697</c:v>
                </c:pt>
                <c:pt idx="84">
                  <c:v>73.608331647083588</c:v>
                </c:pt>
                <c:pt idx="85">
                  <c:v>58.297100607961639</c:v>
                </c:pt>
                <c:pt idx="86">
                  <c:v>45.931274433615492</c:v>
                </c:pt>
                <c:pt idx="87">
                  <c:v>36.000241991253766</c:v>
                </c:pt>
                <c:pt idx="88">
                  <c:v>28.069315957639997</c:v>
                </c:pt>
                <c:pt idx="89">
                  <c:v>21.771185766128283</c:v>
                </c:pt>
                <c:pt idx="90">
                  <c:v>16.797737513519046</c:v>
                </c:pt>
                <c:pt idx="91">
                  <c:v>12.892370906871058</c:v>
                </c:pt>
                <c:pt idx="92">
                  <c:v>9.8429017276319684</c:v>
                </c:pt>
                <c:pt idx="93">
                  <c:v>7.4751022354779941</c:v>
                </c:pt>
                <c:pt idx="94">
                  <c:v>5.6469016970153563</c:v>
                </c:pt>
                <c:pt idx="95">
                  <c:v>4.2432447594891238</c:v>
                </c:pt>
                <c:pt idx="96">
                  <c:v>3.1715864029617427</c:v>
                </c:pt>
                <c:pt idx="97">
                  <c:v>2.3579882249293047</c:v>
                </c:pt>
                <c:pt idx="98">
                  <c:v>1.743771251184667</c:v>
                </c:pt>
                <c:pt idx="99">
                  <c:v>1.2826746783510203</c:v>
                </c:pt>
                <c:pt idx="100">
                  <c:v>0.9384672740248885</c:v>
                </c:pt>
                <c:pt idx="101">
                  <c:v>0.68295794835900714</c:v>
                </c:pt>
                <c:pt idx="102">
                  <c:v>0.49435367157865712</c:v>
                </c:pt>
                <c:pt idx="103">
                  <c:v>0.35591591577243636</c:v>
                </c:pt>
                <c:pt idx="104">
                  <c:v>0.2548706903462476</c:v>
                </c:pt>
                <c:pt idx="105">
                  <c:v>0.1815316409389601</c:v>
                </c:pt>
                <c:pt idx="106">
                  <c:v>0.12860028878098992</c:v>
                </c:pt>
                <c:pt idx="107">
                  <c:v>9.0612069824315425E-2</c:v>
                </c:pt>
                <c:pt idx="108">
                  <c:v>6.3501221408497913E-2</c:v>
                </c:pt>
                <c:pt idx="109">
                  <c:v>4.42616445259299E-2</c:v>
                </c:pt>
                <c:pt idx="110">
                  <c:v>3.0684571422111083E-2</c:v>
                </c:pt>
                <c:pt idx="111">
                  <c:v>2.1157157636676794E-2</c:v>
                </c:pt>
                <c:pt idx="112">
                  <c:v>1.4508987430772547E-2</c:v>
                </c:pt>
                <c:pt idx="113">
                  <c:v>9.8959448542593389E-3</c:v>
                </c:pt>
                <c:pt idx="114">
                  <c:v>6.7129859846114812E-3</c:v>
                </c:pt>
                <c:pt idx="115">
                  <c:v>4.5290856179198589E-3</c:v>
                </c:pt>
                <c:pt idx="116">
                  <c:v>3.0390630534199606E-3</c:v>
                </c:pt>
                <c:pt idx="117">
                  <c:v>2.0281562942283497E-3</c:v>
                </c:pt>
                <c:pt idx="118">
                  <c:v>1.3461512521695386E-3</c:v>
                </c:pt>
                <c:pt idx="119">
                  <c:v>8.8861838565754429E-4</c:v>
                </c:pt>
                <c:pt idx="120">
                  <c:v>5.8339680163817438E-4</c:v>
                </c:pt>
                <c:pt idx="121">
                  <c:v>3.809241281849487E-4</c:v>
                </c:pt>
                <c:pt idx="122">
                  <c:v>2.4736431412342814E-4</c:v>
                </c:pt>
                <c:pt idx="123">
                  <c:v>1.5975637842634372E-4</c:v>
                </c:pt>
                <c:pt idx="124">
                  <c:v>1.0261255508121299E-4</c:v>
                </c:pt>
                <c:pt idx="125">
                  <c:v>6.5548458863459765E-5</c:v>
                </c:pt>
                <c:pt idx="126">
                  <c:v>4.1643077017664667E-5</c:v>
                </c:pt>
                <c:pt idx="127">
                  <c:v>2.6311169531809678E-5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03-419C-A35B-51E0E111B9A1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output'!$N$3:$N$130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30069.502427373856</c:v>
                </c:pt>
                <c:pt idx="9">
                  <c:v>30058.289917573558</c:v>
                </c:pt>
                <c:pt idx="10">
                  <c:v>30044.328433913786</c:v>
                </c:pt>
                <c:pt idx="11">
                  <c:v>30027.04147718726</c:v>
                </c:pt>
                <c:pt idx="12">
                  <c:v>30005.756962448868</c:v>
                </c:pt>
                <c:pt idx="13">
                  <c:v>29979.697395308573</c:v>
                </c:pt>
                <c:pt idx="14">
                  <c:v>29947.970404834661</c:v>
                </c:pt>
                <c:pt idx="15">
                  <c:v>29909.560007914239</c:v>
                </c:pt>
                <c:pt idx="16">
                  <c:v>29863.319036576144</c:v>
                </c:pt>
                <c:pt idx="17">
                  <c:v>29807.963210252012</c:v>
                </c:pt>
                <c:pt idx="18">
                  <c:v>29742.067375406299</c:v>
                </c:pt>
                <c:pt idx="19">
                  <c:v>29664.064461315967</c:v>
                </c:pt>
                <c:pt idx="20">
                  <c:v>29572.247708869698</c:v>
                </c:pt>
                <c:pt idx="21">
                  <c:v>29464.776715104916</c:v>
                </c:pt>
                <c:pt idx="22">
                  <c:v>29339.687796281003</c:v>
                </c:pt>
                <c:pt idx="23">
                  <c:v>29194.909103822865</c:v>
                </c:pt>
                <c:pt idx="24">
                  <c:v>29028.280828743747</c:v>
                </c:pt>
                <c:pt idx="25">
                  <c:v>28837.580700800452</c:v>
                </c:pt>
                <c:pt idx="26">
                  <c:v>28620.554829879344</c:v>
                </c:pt>
                <c:pt idx="27">
                  <c:v>28374.953751973215</c:v>
                </c:pt>
                <c:pt idx="28">
                  <c:v>28098.57333549107</c:v>
                </c:pt>
                <c:pt idx="29">
                  <c:v>27789.299982321267</c:v>
                </c:pt>
                <c:pt idx="30">
                  <c:v>27445.159330563012</c:v>
                </c:pt>
                <c:pt idx="31">
                  <c:v>27064.36744214447</c:v>
                </c:pt>
                <c:pt idx="32">
                  <c:v>26645.383249725928</c:v>
                </c:pt>
                <c:pt idx="33">
                  <c:v>26186.960854967576</c:v>
                </c:pt>
                <c:pt idx="34">
                  <c:v>25688.200125983207</c:v>
                </c:pt>
                <c:pt idx="35">
                  <c:v>25148.593946414465</c:v>
                </c:pt>
                <c:pt idx="36">
                  <c:v>24568.070431393022</c:v>
                </c:pt>
                <c:pt idx="37">
                  <c:v>23947.028453904011</c:v>
                </c:pt>
                <c:pt idx="38">
                  <c:v>23286.364923141875</c:v>
                </c:pt>
                <c:pt idx="39">
                  <c:v>22587.492425503464</c:v>
                </c:pt>
                <c:pt idx="40">
                  <c:v>21852.346076428243</c:v>
                </c:pt>
                <c:pt idx="41">
                  <c:v>21083.378731170946</c:v>
                </c:pt>
                <c:pt idx="42">
                  <c:v>20283.544054934355</c:v>
                </c:pt>
                <c:pt idx="43">
                  <c:v>19456.267344452215</c:v>
                </c:pt>
                <c:pt idx="44">
                  <c:v>18605.404408201059</c:v>
                </c:pt>
                <c:pt idx="45">
                  <c:v>17735.189233065925</c:v>
                </c:pt>
                <c:pt idx="46">
                  <c:v>16850.1715725668</c:v>
                </c:pt>
                <c:pt idx="47">
                  <c:v>15955.145966730934</c:v>
                </c:pt>
                <c:pt idx="48">
                  <c:v>15055.074028484025</c:v>
                </c:pt>
                <c:pt idx="49">
                  <c:v>14155.002090237116</c:v>
                </c:pt>
                <c:pt idx="50">
                  <c:v>13259.976484401248</c:v>
                </c:pt>
                <c:pt idx="51">
                  <c:v>12374.958823902123</c:v>
                </c:pt>
                <c:pt idx="52">
                  <c:v>11504.743648766993</c:v>
                </c:pt>
                <c:pt idx="53">
                  <c:v>10653.880712515835</c:v>
                </c:pt>
                <c:pt idx="54">
                  <c:v>9826.6040020336968</c:v>
                </c:pt>
                <c:pt idx="55">
                  <c:v>9026.7693257971041</c:v>
                </c:pt>
                <c:pt idx="56">
                  <c:v>8257.8019805398071</c:v>
                </c:pt>
                <c:pt idx="57">
                  <c:v>7522.6556314645868</c:v>
                </c:pt>
                <c:pt idx="58">
                  <c:v>6823.7831338261731</c:v>
                </c:pt>
                <c:pt idx="59">
                  <c:v>6163.1196030640385</c:v>
                </c:pt>
                <c:pt idx="60">
                  <c:v>5542.077625575027</c:v>
                </c:pt>
                <c:pt idx="61">
                  <c:v>4961.554110553584</c:v>
                </c:pt>
                <c:pt idx="62">
                  <c:v>4421.9479309848439</c:v>
                </c:pt>
                <c:pt idx="63">
                  <c:v>3923.1872020004748</c:v>
                </c:pt>
                <c:pt idx="64">
                  <c:v>3464.7648072421221</c:v>
                </c:pt>
                <c:pt idx="65">
                  <c:v>3045.7806148235809</c:v>
                </c:pt>
                <c:pt idx="66">
                  <c:v>2664.9887264050367</c:v>
                </c:pt>
                <c:pt idx="67">
                  <c:v>2320.8480746467822</c:v>
                </c:pt>
                <c:pt idx="68">
                  <c:v>2011.5747214769808</c:v>
                </c:pt>
                <c:pt idx="69">
                  <c:v>1735.1943049948361</c:v>
                </c:pt>
                <c:pt idx="70">
                  <c:v>1489.5932270887065</c:v>
                </c:pt>
                <c:pt idx="71">
                  <c:v>1272.5673561675965</c:v>
                </c:pt>
                <c:pt idx="72">
                  <c:v>1081.8672282243037</c:v>
                </c:pt>
                <c:pt idx="73">
                  <c:v>915.23895314518325</c:v>
                </c:pt>
                <c:pt idx="74">
                  <c:v>770.46026068704816</c:v>
                </c:pt>
                <c:pt idx="75">
                  <c:v>645.37134186313403</c:v>
                </c:pt>
                <c:pt idx="76">
                  <c:v>537.90034809835117</c:v>
                </c:pt>
                <c:pt idx="77">
                  <c:v>446.08359565208048</c:v>
                </c:pt>
                <c:pt idx="78">
                  <c:v>368.08068156175239</c:v>
                </c:pt>
                <c:pt idx="79">
                  <c:v>302.18484671603721</c:v>
                </c:pt>
                <c:pt idx="80">
                  <c:v>246.82902039190472</c:v>
                </c:pt>
                <c:pt idx="81">
                  <c:v>200.58804905381203</c:v>
                </c:pt>
                <c:pt idx="82">
                  <c:v>162.17765213338848</c:v>
                </c:pt>
                <c:pt idx="83">
                  <c:v>130.4506616594785</c:v>
                </c:pt>
                <c:pt idx="84">
                  <c:v>104.3910945191826</c:v>
                </c:pt>
                <c:pt idx="85">
                  <c:v>83.106579780788167</c:v>
                </c:pt>
                <c:pt idx="86">
                  <c:v>65.819623054262706</c:v>
                </c:pt>
                <c:pt idx="87">
                  <c:v>51.858139394493143</c:v>
                </c:pt>
                <c:pt idx="88">
                  <c:v>40.645629594192158</c:v>
                </c:pt>
                <c:pt idx="89">
                  <c:v>31.691315287651729</c:v>
                </c:pt>
                <c:pt idx="90">
                  <c:v>24.58048900591794</c:v>
                </c:pt>
                <c:pt idx="91">
                  <c:v>18.965278543428571</c:v>
                </c:pt>
                <c:pt idx="92">
                  <c:v>14.555972501488464</c:v>
                </c:pt>
                <c:pt idx="93">
                  <c:v>11.113006902858041</c:v>
                </c:pt>
                <c:pt idx="94">
                  <c:v>8.4396720643092227</c:v>
                </c:pt>
                <c:pt idx="95">
                  <c:v>6.3755647750218856</c:v>
                </c:pt>
                <c:pt idx="96">
                  <c:v>4.7907832067793654</c:v>
                </c:pt>
                <c:pt idx="97">
                  <c:v>3.580840545240727</c:v>
                </c:pt>
                <c:pt idx="98">
                  <c:v>2.6622575481917008</c:v>
                </c:pt>
                <c:pt idx="99">
                  <c:v>1.9687834428966455</c:v>
                </c:pt>
                <c:pt idx="100">
                  <c:v>1.4481880393684943</c:v>
                </c:pt>
                <c:pt idx="101">
                  <c:v>1.0595649111345986</c:v>
                </c:pt>
                <c:pt idx="102">
                  <c:v>0.77108525559782937</c:v>
                </c:pt>
                <c:pt idx="103">
                  <c:v>0.55814392104354937</c:v>
                </c:pt>
                <c:pt idx="104">
                  <c:v>0.40184247879996887</c:v>
                </c:pt>
                <c:pt idx="105">
                  <c:v>0.28775861219895216</c:v>
                </c:pt>
                <c:pt idx="106">
                  <c:v>0.20495606221267773</c:v>
                </c:pt>
                <c:pt idx="107">
                  <c:v>0.14519457132449737</c:v>
                </c:pt>
                <c:pt idx="108">
                  <c:v>0.10230444083506381</c:v>
                </c:pt>
                <c:pt idx="109">
                  <c:v>7.1695271514442993E-2</c:v>
                </c:pt>
                <c:pt idx="110">
                  <c:v>4.9973064321840545E-2</c:v>
                </c:pt>
                <c:pt idx="111">
                  <c:v>3.4644037242379258E-2</c:v>
                </c:pt>
                <c:pt idx="112">
                  <c:v>2.3887228112944966E-2</c:v>
                </c:pt>
                <c:pt idx="113">
                  <c:v>1.6381193466456265E-2</c:v>
                </c:pt>
                <c:pt idx="114">
                  <c:v>1.1172894591333516E-2</c:v>
                </c:pt>
                <c:pt idx="115">
                  <c:v>7.5792141027221744E-3</c:v>
                </c:pt>
                <c:pt idx="116">
                  <c:v>5.1135083056129847E-3</c:v>
                </c:pt>
                <c:pt idx="117">
                  <c:v>3.4312166905075955E-3</c:v>
                </c:pt>
                <c:pt idx="118">
                  <c:v>2.2898648713073262E-3</c:v>
                </c:pt>
                <c:pt idx="119">
                  <c:v>1.5198554828251998E-3</c:v>
                </c:pt>
                <c:pt idx="120">
                  <c:v>1.003283638004447E-3</c:v>
                </c:pt>
                <c:pt idx="121">
                  <c:v>6.5867696977099687E-4</c:v>
                </c:pt>
                <c:pt idx="122">
                  <c:v>4.300776928515524E-4</c:v>
                </c:pt>
                <c:pt idx="123">
                  <c:v>2.7928363062462009E-4</c:v>
                </c:pt>
                <c:pt idx="124">
                  <c:v>1.803709704063746E-4</c:v>
                </c:pt>
                <c:pt idx="125">
                  <c:v>1.1585344083403395E-4</c:v>
                </c:pt>
                <c:pt idx="126">
                  <c:v>7.4006679735141975E-5</c:v>
                </c:pt>
                <c:pt idx="127">
                  <c:v>4.7016602944881101E-5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003-419C-A35B-51E0E111B9A1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output'!$O$3:$O$130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33514.532163704367</c:v>
                </c:pt>
                <c:pt idx="10">
                  <c:v>33502.035049019956</c:v>
                </c:pt>
                <c:pt idx="11">
                  <c:v>33486.474013572217</c:v>
                </c:pt>
                <c:pt idx="12">
                  <c:v>33467.206509275362</c:v>
                </c:pt>
                <c:pt idx="13">
                  <c:v>33443.48345115321</c:v>
                </c:pt>
                <c:pt idx="14">
                  <c:v>33414.438268140781</c:v>
                </c:pt>
                <c:pt idx="15">
                  <c:v>33379.076351352713</c:v>
                </c:pt>
                <c:pt idx="16">
                  <c:v>33336.265317611156</c:v>
                </c:pt>
                <c:pt idx="17">
                  <c:v>33284.726569175444</c:v>
                </c:pt>
                <c:pt idx="18">
                  <c:v>33223.028686868631</c:v>
                </c:pt>
                <c:pt idx="19">
                  <c:v>33149.58323888608</c:v>
                </c:pt>
                <c:pt idx="20">
                  <c:v>33062.643616939989</c:v>
                </c:pt>
                <c:pt idx="21">
                  <c:v>32960.307520409639</c:v>
                </c:pt>
                <c:pt idx="22">
                  <c:v>32840.523693394389</c:v>
                </c:pt>
                <c:pt idx="23">
                  <c:v>32701.103475072763</c:v>
                </c:pt>
                <c:pt idx="24">
                  <c:v>32539.737647462993</c:v>
                </c:pt>
                <c:pt idx="25">
                  <c:v>32354.018954644253</c:v>
                </c:pt>
                <c:pt idx="26">
                  <c:v>32141.470523322034</c:v>
                </c:pt>
                <c:pt idx="27">
                  <c:v>31899.580237677666</c:v>
                </c:pt>
                <c:pt idx="28">
                  <c:v>31625.84091509306</c:v>
                </c:pt>
                <c:pt idx="29">
                  <c:v>31317.795899051274</c:v>
                </c:pt>
                <c:pt idx="30">
                  <c:v>30973.089438835625</c:v>
                </c:pt>
                <c:pt idx="31">
                  <c:v>30589.520972079405</c:v>
                </c:pt>
                <c:pt idx="32">
                  <c:v>30165.10217689299</c:v>
                </c:pt>
                <c:pt idx="33">
                  <c:v>29698.115427550849</c:v>
                </c:pt>
                <c:pt idx="34">
                  <c:v>29187.172084514194</c:v>
                </c:pt>
                <c:pt idx="35">
                  <c:v>28631.268888779166</c:v>
                </c:pt>
                <c:pt idx="36">
                  <c:v>28029.84062422542</c:v>
                </c:pt>
                <c:pt idx="37">
                  <c:v>27382.807170214517</c:v>
                </c:pt>
                <c:pt idx="38">
                  <c:v>26690.613098169681</c:v>
                </c:pt>
                <c:pt idx="39">
                  <c:v>25954.258075182763</c:v>
                </c:pt>
                <c:pt idx="40">
                  <c:v>25175.316526116476</c:v>
                </c:pt>
                <c:pt idx="41">
                  <c:v>24355.945270452401</c:v>
                </c:pt>
                <c:pt idx="42">
                  <c:v>23498.878184367106</c:v>
                </c:pt>
                <c:pt idx="43">
                  <c:v>22607.407331228733</c:v>
                </c:pt>
                <c:pt idx="44">
                  <c:v>21685.35044024084</c:v>
                </c:pt>
                <c:pt idx="45">
                  <c:v>20737.005075605426</c:v>
                </c:pt>
                <c:pt idx="46">
                  <c:v>19767.090307416256</c:v>
                </c:pt>
                <c:pt idx="47">
                  <c:v>18780.677149437215</c:v>
                </c:pt>
                <c:pt idx="48">
                  <c:v>17783.109446859671</c:v>
                </c:pt>
                <c:pt idx="49">
                  <c:v>16779.917259131202</c:v>
                </c:pt>
                <c:pt idx="50">
                  <c:v>15776.72507140273</c:v>
                </c:pt>
                <c:pt idx="51">
                  <c:v>14779.157368825188</c:v>
                </c:pt>
                <c:pt idx="52">
                  <c:v>13792.744210846146</c:v>
                </c:pt>
                <c:pt idx="53">
                  <c:v>12822.829442656976</c:v>
                </c:pt>
                <c:pt idx="54">
                  <c:v>11874.484078021562</c:v>
                </c:pt>
                <c:pt idx="55">
                  <c:v>10952.427187033671</c:v>
                </c:pt>
                <c:pt idx="56">
                  <c:v>10060.956333895298</c:v>
                </c:pt>
                <c:pt idx="57">
                  <c:v>9203.8892478100024</c:v>
                </c:pt>
                <c:pt idx="58">
                  <c:v>8384.5179921459257</c:v>
                </c:pt>
                <c:pt idx="59">
                  <c:v>7605.5764430796407</c:v>
                </c:pt>
                <c:pt idx="60">
                  <c:v>6869.2214200927228</c:v>
                </c:pt>
                <c:pt idx="61">
                  <c:v>6177.0273480478854</c:v>
                </c:pt>
                <c:pt idx="62">
                  <c:v>5529.9938940369839</c:v>
                </c:pt>
                <c:pt idx="63">
                  <c:v>4928.5656294832361</c:v>
                </c:pt>
                <c:pt idx="64">
                  <c:v>4372.6624337482099</c:v>
                </c:pt>
                <c:pt idx="65">
                  <c:v>3861.7190907115551</c:v>
                </c:pt>
                <c:pt idx="66">
                  <c:v>3394.7323413694153</c:v>
                </c:pt>
                <c:pt idx="67">
                  <c:v>2970.3135461829993</c:v>
                </c:pt>
                <c:pt idx="68">
                  <c:v>2586.7450794267797</c:v>
                </c:pt>
                <c:pt idx="69">
                  <c:v>2242.0386192111273</c:v>
                </c:pt>
                <c:pt idx="70">
                  <c:v>1933.9936031693433</c:v>
                </c:pt>
                <c:pt idx="71">
                  <c:v>1660.2542805847386</c:v>
                </c:pt>
                <c:pt idx="72">
                  <c:v>1418.3639949403703</c:v>
                </c:pt>
                <c:pt idx="73">
                  <c:v>1205.8155636181496</c:v>
                </c:pt>
                <c:pt idx="74">
                  <c:v>1020.0968707994108</c:v>
                </c:pt>
                <c:pt idx="75">
                  <c:v>858.73104318963874</c:v>
                </c:pt>
                <c:pt idx="76">
                  <c:v>719.31082486801449</c:v>
                </c:pt>
                <c:pt idx="77">
                  <c:v>599.52699785276798</c:v>
                </c:pt>
                <c:pt idx="78">
                  <c:v>497.19090132241473</c:v>
                </c:pt>
                <c:pt idx="79">
                  <c:v>410.251279376323</c:v>
                </c:pt>
                <c:pt idx="80">
                  <c:v>336.80583139377222</c:v>
                </c:pt>
                <c:pt idx="81">
                  <c:v>275.10794908695817</c:v>
                </c:pt>
                <c:pt idx="82">
                  <c:v>223.5692006512466</c:v>
                </c:pt>
                <c:pt idx="83">
                  <c:v>180.75816690968782</c:v>
                </c:pt>
                <c:pt idx="84">
                  <c:v>145.39625012162</c:v>
                </c:pt>
                <c:pt idx="85">
                  <c:v>116.35106710919402</c:v>
                </c:pt>
                <c:pt idx="86">
                  <c:v>92.628008987042705</c:v>
                </c:pt>
                <c:pt idx="87">
                  <c:v>73.360504690188193</c:v>
                </c:pt>
                <c:pt idx="88">
                  <c:v>57.799469242444488</c:v>
                </c:pt>
                <c:pt idx="89">
                  <c:v>45.302354558034423</c:v>
                </c:pt>
                <c:pt idx="90">
                  <c:v>35.322154335057981</c:v>
                </c:pt>
                <c:pt idx="91">
                  <c:v>27.396648527129152</c:v>
                </c:pt>
                <c:pt idx="92">
                  <c:v>21.138109593683122</c:v>
                </c:pt>
                <c:pt idx="93">
                  <c:v>16.223634220532631</c:v>
                </c:pt>
                <c:pt idx="94">
                  <c:v>12.386211849726056</c:v>
                </c:pt>
                <c:pt idx="95">
                  <c:v>9.406595986533981</c:v>
                </c:pt>
                <c:pt idx="96">
                  <c:v>7.1060062011446119</c:v>
                </c:pt>
                <c:pt idx="97">
                  <c:v>5.3396579561215081</c:v>
                </c:pt>
                <c:pt idx="98">
                  <c:v>3.9910934980192891</c:v>
                </c:pt>
                <c:pt idx="99">
                  <c:v>2.9672694598933531</c:v>
                </c:pt>
                <c:pt idx="100">
                  <c:v>2.194344791028553</c:v>
                </c:pt>
                <c:pt idx="101">
                  <c:v>1.6141053461637291</c:v>
                </c:pt>
                <c:pt idx="102">
                  <c:v>1.1809580946515992</c:v>
                </c:pt>
                <c:pt idx="103">
                  <c:v>0.85942764307818431</c:v>
                </c:pt>
                <c:pt idx="104">
                  <c:v>0.62208985462829303</c:v>
                </c:pt>
                <c:pt idx="105">
                  <c:v>0.44788112849596118</c:v>
                </c:pt>
                <c:pt idx="106">
                  <c:v>0.32072679909545776</c:v>
                </c:pt>
                <c:pt idx="107">
                  <c:v>0.22843765226124135</c:v>
                </c:pt>
                <c:pt idx="108">
                  <c:v>0.1618293532592758</c:v>
                </c:pt>
                <c:pt idx="109">
                  <c:v>0.11402534781337861</c:v>
                </c:pt>
                <c:pt idx="110">
                  <c:v>7.9909319715543117E-2</c:v>
                </c:pt>
                <c:pt idx="111">
                  <c:v>5.5698423197336026E-2</c:v>
                </c:pt>
                <c:pt idx="112">
                  <c:v>3.8613166388257236E-2</c:v>
                </c:pt>
                <c:pt idx="113">
                  <c:v>2.662396149808707E-2</c:v>
                </c:pt>
                <c:pt idx="114">
                  <c:v>1.8257968738838237E-2</c:v>
                </c:pt>
                <c:pt idx="115">
                  <c:v>1.2452960804633739E-2</c:v>
                </c:pt>
                <c:pt idx="116">
                  <c:v>8.4475563050900992E-3</c:v>
                </c:pt>
                <c:pt idx="117">
                  <c:v>5.6993573136688291E-3</c:v>
                </c:pt>
                <c:pt idx="118">
                  <c:v>3.8243274032352952E-3</c:v>
                </c:pt>
                <c:pt idx="119">
                  <c:v>2.5522121646450076E-3</c:v>
                </c:pt>
                <c:pt idx="120">
                  <c:v>1.6939836495916448E-3</c:v>
                </c:pt>
                <c:pt idx="121">
                  <c:v>1.1182287381186638E-3</c:v>
                </c:pt>
                <c:pt idx="122">
                  <c:v>7.3414086389354881E-4</c:v>
                </c:pt>
                <c:pt idx="123">
                  <c:v>4.7935121988727786E-4</c:v>
                </c:pt>
                <c:pt idx="124">
                  <c:v>3.1128084822727237E-4</c:v>
                </c:pt>
                <c:pt idx="125">
                  <c:v>2.0103587359596224E-4</c:v>
                </c:pt>
                <c:pt idx="126">
                  <c:v>1.2912664180213896E-4</c:v>
                </c:pt>
                <c:pt idx="127">
                  <c:v>8.248554342736434E-5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003-419C-A35B-51E0E111B9A1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output'!$P$3:$P$130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36981.487976451426</c:v>
                </c:pt>
                <c:pt idx="11">
                  <c:v>36967.698080946262</c:v>
                </c:pt>
                <c:pt idx="12">
                  <c:v>36950.527313277453</c:v>
                </c:pt>
                <c:pt idx="13">
                  <c:v>36929.266656109095</c:v>
                </c:pt>
                <c:pt idx="14">
                  <c:v>36903.089534363113</c:v>
                </c:pt>
                <c:pt idx="15">
                  <c:v>36871.039733366306</c:v>
                </c:pt>
                <c:pt idx="16">
                  <c:v>36832.01975558071</c:v>
                </c:pt>
                <c:pt idx="17">
                  <c:v>36784.780076929092</c:v>
                </c:pt>
                <c:pt idx="18">
                  <c:v>36727.909833409452</c:v>
                </c:pt>
                <c:pt idx="19">
                  <c:v>36659.829530764706</c:v>
                </c:pt>
                <c:pt idx="20">
                  <c:v>36578.78641972784</c:v>
                </c:pt>
                <c:pt idx="21">
                  <c:v>36482.853211769812</c:v>
                </c:pt>
                <c:pt idx="22">
                  <c:v>36369.930820226095</c:v>
                </c:pt>
                <c:pt idx="23">
                  <c:v>36237.755794273173</c:v>
                </c:pt>
                <c:pt idx="24">
                  <c:v>36083.913064130007</c:v>
                </c:pt>
                <c:pt idx="25">
                  <c:v>35905.854531657824</c:v>
                </c:pt>
                <c:pt idx="26">
                  <c:v>35700.92391911248</c:v>
                </c:pt>
                <c:pt idx="27">
                  <c:v>35466.38812971337</c:v>
                </c:pt>
                <c:pt idx="28">
                  <c:v>35199.475178445464</c:v>
                </c:pt>
                <c:pt idx="29">
                  <c:v>34897.418523815868</c:v>
                </c:pt>
                <c:pt idx="30">
                  <c:v>34557.507377173264</c:v>
                </c:pt>
                <c:pt idx="31">
                  <c:v>34177.142294002697</c:v>
                </c:pt>
                <c:pt idx="32">
                  <c:v>33753.895071806553</c:v>
                </c:pt>
                <c:pt idx="33">
                  <c:v>33285.57170406566</c:v>
                </c:pt>
                <c:pt idx="34">
                  <c:v>32770.27688295336</c:v>
                </c:pt>
                <c:pt idx="35">
                  <c:v>32206.478319247875</c:v>
                </c:pt>
                <c:pt idx="36">
                  <c:v>31593.06897046962</c:v>
                </c:pt>
                <c:pt idx="37">
                  <c:v>30929.425150957202</c:v>
                </c:pt>
                <c:pt idx="38">
                  <c:v>30215.458451885097</c:v>
                </c:pt>
                <c:pt idx="39">
                  <c:v>29451.659433964753</c:v>
                </c:pt>
                <c:pt idx="40">
                  <c:v>28639.13117619359</c:v>
                </c:pt>
                <c:pt idx="41">
                  <c:v>27779.610971929778</c:v>
                </c:pt>
                <c:pt idx="42">
                  <c:v>26875.478755744258</c:v>
                </c:pt>
                <c:pt idx="43">
                  <c:v>25929.751213308162</c:v>
                </c:pt>
                <c:pt idx="44">
                  <c:v>24946.060959908256</c:v>
                </c:pt>
                <c:pt idx="45">
                  <c:v>23928.620654875398</c:v>
                </c:pt>
                <c:pt idx="46">
                  <c:v>22882.172429715047</c:v>
                </c:pt>
                <c:pt idx="47">
                  <c:v>21811.92352506777</c:v>
                </c:pt>
                <c:pt idx="48">
                  <c:v>20723.469532530125</c:v>
                </c:pt>
                <c:pt idx="49">
                  <c:v>19622.707098539759</c:v>
                </c:pt>
                <c:pt idx="50">
                  <c:v>18515.738346974471</c:v>
                </c:pt>
                <c:pt idx="51">
                  <c:v>17408.769595409183</c:v>
                </c:pt>
                <c:pt idx="52">
                  <c:v>16308.007161418818</c:v>
                </c:pt>
                <c:pt idx="53">
                  <c:v>15219.55316888117</c:v>
                </c:pt>
                <c:pt idx="54">
                  <c:v>14149.304264233895</c:v>
                </c:pt>
                <c:pt idx="55">
                  <c:v>13102.856039073542</c:v>
                </c:pt>
                <c:pt idx="56">
                  <c:v>12085.415734040685</c:v>
                </c:pt>
                <c:pt idx="57">
                  <c:v>11101.725480640778</c:v>
                </c:pt>
                <c:pt idx="58">
                  <c:v>10155.997938204684</c:v>
                </c:pt>
                <c:pt idx="59">
                  <c:v>9251.8657220191635</c:v>
                </c:pt>
                <c:pt idx="60">
                  <c:v>8392.3455177553515</c:v>
                </c:pt>
                <c:pt idx="61">
                  <c:v>7579.8172599841882</c:v>
                </c:pt>
                <c:pt idx="62">
                  <c:v>6816.0182420638466</c:v>
                </c:pt>
                <c:pt idx="63">
                  <c:v>6102.0515429917396</c:v>
                </c:pt>
                <c:pt idx="64">
                  <c:v>5438.4077234793231</c:v>
                </c:pt>
                <c:pt idx="65">
                  <c:v>4824.9983747010674</c:v>
                </c:pt>
                <c:pt idx="66">
                  <c:v>4261.1998109955784</c:v>
                </c:pt>
                <c:pt idx="67">
                  <c:v>3745.9049898832782</c:v>
                </c:pt>
                <c:pt idx="68">
                  <c:v>3277.581622142387</c:v>
                </c:pt>
                <c:pt idx="69">
                  <c:v>2854.3343999462481</c:v>
                </c:pt>
                <c:pt idx="70">
                  <c:v>2473.9693167756745</c:v>
                </c:pt>
                <c:pt idx="71">
                  <c:v>2134.0581701330752</c:v>
                </c:pt>
                <c:pt idx="72">
                  <c:v>1832.0015155034798</c:v>
                </c:pt>
                <c:pt idx="73">
                  <c:v>1565.0885642355704</c:v>
                </c:pt>
                <c:pt idx="74">
                  <c:v>1330.5527748364589</c:v>
                </c:pt>
                <c:pt idx="75">
                  <c:v>1125.622162291118</c:v>
                </c:pt>
                <c:pt idx="76">
                  <c:v>947.56362981893676</c:v>
                </c:pt>
                <c:pt idx="77">
                  <c:v>793.72089967576619</c:v>
                </c:pt>
                <c:pt idx="78">
                  <c:v>661.54587372284379</c:v>
                </c:pt>
                <c:pt idx="79">
                  <c:v>548.6234821791295</c:v>
                </c:pt>
                <c:pt idx="80">
                  <c:v>452.69027422110287</c:v>
                </c:pt>
                <c:pt idx="81">
                  <c:v>371.64716318423444</c:v>
                </c:pt>
                <c:pt idx="82">
                  <c:v>303.5668605394917</c:v>
                </c:pt>
                <c:pt idx="83">
                  <c:v>246.69661701985331</c:v>
                </c:pt>
                <c:pt idx="84">
                  <c:v>199.45693836822926</c:v>
                </c:pt>
                <c:pt idx="85">
                  <c:v>160.43696058263868</c:v>
                </c:pt>
                <c:pt idx="86">
                  <c:v>128.38715958583018</c:v>
                </c:pt>
                <c:pt idx="87">
                  <c:v>102.21003783984585</c:v>
                </c:pt>
                <c:pt idx="88">
                  <c:v>80.949380671490076</c:v>
                </c:pt>
                <c:pt idx="89">
                  <c:v>63.778613002678867</c:v>
                </c:pt>
                <c:pt idx="90">
                  <c:v>49.988717497517726</c:v>
                </c:pt>
                <c:pt idx="91">
                  <c:v>38.976102052200815</c:v>
                </c:pt>
                <c:pt idx="92">
                  <c:v>30.23073164656423</c:v>
                </c:pt>
                <c:pt idx="93">
                  <c:v>23.324769743624589</c:v>
                </c:pt>
                <c:pt idx="94">
                  <c:v>17.901909861977259</c:v>
                </c:pt>
                <c:pt idx="95">
                  <c:v>13.667520177724443</c:v>
                </c:pt>
                <c:pt idx="96">
                  <c:v>10.379673947890565</c:v>
                </c:pt>
                <c:pt idx="97">
                  <c:v>7.8410965608768448</c:v>
                </c:pt>
                <c:pt idx="98">
                  <c:v>5.8920260482264926</c:v>
                </c:pt>
                <c:pt idx="99">
                  <c:v>4.4039575277060923</c:v>
                </c:pt>
                <c:pt idx="100">
                  <c:v>3.2742226362562068</c:v>
                </c:pt>
                <c:pt idx="101">
                  <c:v>2.4213417364511316</c:v>
                </c:pt>
                <c:pt idx="102">
                  <c:v>1.7810786425515224</c:v>
                </c:pt>
                <c:pt idx="103">
                  <c:v>1.3031238915919825</c:v>
                </c:pt>
                <c:pt idx="104">
                  <c:v>0.94833229041896561</c:v>
                </c:pt>
                <c:pt idx="105">
                  <c:v>0.68644277553495159</c:v>
                </c:pt>
                <c:pt idx="106">
                  <c:v>0.49421279364569642</c:v>
                </c:pt>
                <c:pt idx="107">
                  <c:v>0.35390481378461913</c:v>
                </c:pt>
                <c:pt idx="108">
                  <c:v>0.25206869214832367</c:v>
                </c:pt>
                <c:pt idx="109">
                  <c:v>0.17857000815533178</c:v>
                </c:pt>
                <c:pt idx="110">
                  <c:v>0.1258208531324182</c:v>
                </c:pt>
                <c:pt idx="111">
                  <c:v>8.8175646666706617E-2</c:v>
                </c:pt>
                <c:pt idx="112">
                  <c:v>6.1460221426283941E-2</c:v>
                </c:pt>
                <c:pt idx="113">
                  <c:v>4.2607557269336474E-2</c:v>
                </c:pt>
                <c:pt idx="114">
                  <c:v>2.9378112969552644E-2</c:v>
                </c:pt>
                <c:pt idx="115">
                  <c:v>2.0146688848039745E-2</c:v>
                </c:pt>
                <c:pt idx="116">
                  <c:v>1.3741174067962316E-2</c:v>
                </c:pt>
                <c:pt idx="117">
                  <c:v>9.3214251179496669E-3</c:v>
                </c:pt>
                <c:pt idx="118">
                  <c:v>6.2889349891389846E-3</c:v>
                </c:pt>
                <c:pt idx="119">
                  <c:v>4.2199400901655774E-3</c:v>
                </c:pt>
                <c:pt idx="120">
                  <c:v>2.8162291813934146E-3</c:v>
                </c:pt>
                <c:pt idx="121">
                  <c:v>1.8692200644090517E-3</c:v>
                </c:pt>
                <c:pt idx="122">
                  <c:v>1.2339054124838177E-3</c:v>
                </c:pt>
                <c:pt idx="123">
                  <c:v>8.1008505201524139E-4</c:v>
                </c:pt>
                <c:pt idx="124">
                  <c:v>5.2893835092697016E-4</c:v>
                </c:pt>
                <c:pt idx="125">
                  <c:v>3.4348171383646403E-4</c:v>
                </c:pt>
                <c:pt idx="126">
                  <c:v>2.2183229966957525E-4</c:v>
                </c:pt>
                <c:pt idx="127">
                  <c:v>1.4248432076927246E-4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003-419C-A35B-51E0E111B9A1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output'!$Q$3:$Q$130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40479.596992900981</c:v>
                </c:pt>
                <c:pt idx="12">
                  <c:v>40464.50269996775</c:v>
                </c:pt>
                <c:pt idx="13">
                  <c:v>40445.70773542401</c:v>
                </c:pt>
                <c:pt idx="14">
                  <c:v>40422.436015407569</c:v>
                </c:pt>
                <c:pt idx="15">
                  <c:v>40393.782778431647</c:v>
                </c:pt>
                <c:pt idx="16">
                  <c:v>40358.701360699626</c:v>
                </c:pt>
                <c:pt idx="17">
                  <c:v>40315.990451489095</c:v>
                </c:pt>
                <c:pt idx="18">
                  <c:v>40264.282333224372</c:v>
                </c:pt>
                <c:pt idx="19">
                  <c:v>40202.032687130384</c:v>
                </c:pt>
                <c:pt idx="20">
                  <c:v>40127.512613304018</c:v>
                </c:pt>
                <c:pt idx="21">
                  <c:v>40038.80356849997</c:v>
                </c:pt>
                <c:pt idx="22">
                  <c:v>39933.795960400217</c:v>
                </c:pt>
                <c:pt idx="23">
                  <c:v>39810.192148025904</c:v>
                </c:pt>
                <c:pt idx="24">
                  <c:v>39665.514578899769</c:v>
                </c:pt>
                <c:pt idx="25">
                  <c:v>39497.119739826536</c:v>
                </c:pt>
                <c:pt idx="26">
                  <c:v>39302.218505992707</c:v>
                </c:pt>
                <c:pt idx="27">
                  <c:v>39077.903340182558</c:v>
                </c:pt>
                <c:pt idx="28">
                  <c:v>38821.182619768784</c:v>
                </c:pt>
                <c:pt idx="29">
                  <c:v>38529.022155419952</c:v>
                </c:pt>
                <c:pt idx="30">
                  <c:v>38198.393716233957</c:v>
                </c:pt>
                <c:pt idx="31">
                  <c:v>37826.330097856866</c:v>
                </c:pt>
                <c:pt idx="32">
                  <c:v>37409.985972203503</c:v>
                </c:pt>
                <c:pt idx="33">
                  <c:v>36946.703451127709</c:v>
                </c:pt>
                <c:pt idx="34">
                  <c:v>36434.080995249758</c:v>
                </c:pt>
                <c:pt idx="35">
                  <c:v>35870.044018034641</c:v>
                </c:pt>
                <c:pt idx="36">
                  <c:v>35252.915289777222</c:v>
                </c:pt>
                <c:pt idx="37">
                  <c:v>34581.483051949661</c:v>
                </c:pt>
                <c:pt idx="38">
                  <c:v>33855.064623956765</c:v>
                </c:pt>
                <c:pt idx="39">
                  <c:v>33073.563234310306</c:v>
                </c:pt>
                <c:pt idx="40">
                  <c:v>32237.515846258295</c:v>
                </c:pt>
                <c:pt idx="41">
                  <c:v>31348.129879937402</c:v>
                </c:pt>
                <c:pt idx="42">
                  <c:v>30407.306960697104</c:v>
                </c:pt>
                <c:pt idx="43">
                  <c:v>29417.652143054471</c:v>
                </c:pt>
                <c:pt idx="44">
                  <c:v>28382.467463431061</c:v>
                </c:pt>
                <c:pt idx="45">
                  <c:v>27305.72914914721</c:v>
                </c:pt>
                <c:pt idx="46">
                  <c:v>26192.048338405093</c:v>
                </c:pt>
                <c:pt idx="47">
                  <c:v>25046.615724784977</c:v>
                </c:pt>
                <c:pt idx="48">
                  <c:v>23875.131106053515</c:v>
                </c:pt>
                <c:pt idx="49">
                  <c:v>22683.719365366011</c:v>
                </c:pt>
                <c:pt idx="50">
                  <c:v>21478.834917741075</c:v>
                </c:pt>
                <c:pt idx="51">
                  <c:v>20267.157091915604</c:v>
                </c:pt>
                <c:pt idx="52">
                  <c:v>19055.479266090133</c:v>
                </c:pt>
                <c:pt idx="53">
                  <c:v>17850.594818465197</c:v>
                </c:pt>
                <c:pt idx="54">
                  <c:v>16659.183077777692</c:v>
                </c:pt>
                <c:pt idx="55">
                  <c:v>15487.698459046229</c:v>
                </c:pt>
                <c:pt idx="56">
                  <c:v>14342.265845426115</c:v>
                </c:pt>
                <c:pt idx="57">
                  <c:v>13228.585034683998</c:v>
                </c:pt>
                <c:pt idx="58">
                  <c:v>12151.846720400144</c:v>
                </c:pt>
                <c:pt idx="59">
                  <c:v>11116.662040776737</c:v>
                </c:pt>
                <c:pt idx="60">
                  <c:v>10127.007223134104</c:v>
                </c:pt>
                <c:pt idx="61">
                  <c:v>9186.1843038938041</c:v>
                </c:pt>
                <c:pt idx="62">
                  <c:v>8296.7983375729145</c:v>
                </c:pt>
                <c:pt idx="63">
                  <c:v>7460.7509495209051</c:v>
                </c:pt>
                <c:pt idx="64">
                  <c:v>6679.2495598744426</c:v>
                </c:pt>
                <c:pt idx="65">
                  <c:v>5952.8311318815449</c:v>
                </c:pt>
                <c:pt idx="66">
                  <c:v>5281.3988940539894</c:v>
                </c:pt>
                <c:pt idx="67">
                  <c:v>4664.2701657965672</c:v>
                </c:pt>
                <c:pt idx="68">
                  <c:v>4100.2331885814483</c:v>
                </c:pt>
                <c:pt idx="69">
                  <c:v>3587.6107327034979</c:v>
                </c:pt>
                <c:pt idx="70">
                  <c:v>3124.3282116277051</c:v>
                </c:pt>
                <c:pt idx="71">
                  <c:v>2707.9840859743404</c:v>
                </c:pt>
                <c:pt idx="72">
                  <c:v>2335.9204675972528</c:v>
                </c:pt>
                <c:pt idx="73">
                  <c:v>2005.2920284112545</c:v>
                </c:pt>
                <c:pt idx="74">
                  <c:v>1713.1315640624225</c:v>
                </c:pt>
                <c:pt idx="75">
                  <c:v>1456.4108436486486</c:v>
                </c:pt>
                <c:pt idx="76">
                  <c:v>1232.0956778384996</c:v>
                </c:pt>
                <c:pt idx="77">
                  <c:v>1037.1944440046711</c:v>
                </c:pt>
                <c:pt idx="78">
                  <c:v>868.79960493144017</c:v>
                </c:pt>
                <c:pt idx="79">
                  <c:v>724.12203580530127</c:v>
                </c:pt>
                <c:pt idx="80">
                  <c:v>600.51822343099082</c:v>
                </c:pt>
                <c:pt idx="81">
                  <c:v>495.51061533123396</c:v>
                </c:pt>
                <c:pt idx="82">
                  <c:v>406.80157052718687</c:v>
                </c:pt>
                <c:pt idx="83">
                  <c:v>332.28149670082382</c:v>
                </c:pt>
                <c:pt idx="84">
                  <c:v>270.03185060683774</c:v>
                </c:pt>
                <c:pt idx="85">
                  <c:v>218.32373234211187</c:v>
                </c:pt>
                <c:pt idx="86">
                  <c:v>175.6128231315783</c:v>
                </c:pt>
                <c:pt idx="87">
                  <c:v>140.53140539956055</c:v>
                </c:pt>
                <c:pt idx="88">
                  <c:v>111.87816842363647</c:v>
                </c:pt>
                <c:pt idx="89">
                  <c:v>88.606448407197732</c:v>
                </c:pt>
                <c:pt idx="90">
                  <c:v>69.811483863456104</c:v>
                </c:pt>
                <c:pt idx="91">
                  <c:v>54.717190930229933</c:v>
                </c:pt>
                <c:pt idx="92">
                  <c:v>42.662883235848163</c:v>
                </c:pt>
                <c:pt idx="93">
                  <c:v>33.0902811328924</c:v>
                </c:pt>
                <c:pt idx="94">
                  <c:v>25.531078678482441</c:v>
                </c:pt>
                <c:pt idx="95">
                  <c:v>19.59526607143335</c:v>
                </c:pt>
                <c:pt idx="96">
                  <c:v>14.960342024066813</c:v>
                </c:pt>
                <c:pt idx="97">
                  <c:v>11.36149574608438</c:v>
                </c:pt>
                <c:pt idx="98">
                  <c:v>8.5827922599769124</c:v>
                </c:pt>
                <c:pt idx="99">
                  <c:v>6.4493575827926808</c:v>
                </c:pt>
                <c:pt idx="100">
                  <c:v>4.8205314510035882</c:v>
                </c:pt>
                <c:pt idx="101">
                  <c:v>3.5839340176112326</c:v>
                </c:pt>
                <c:pt idx="102">
                  <c:v>2.6503784200366813</c:v>
                </c:pt>
                <c:pt idx="103">
                  <c:v>1.9495523195026101</c:v>
                </c:pt>
                <c:pt idx="104">
                  <c:v>1.4263874400363128</c:v>
                </c:pt>
                <c:pt idx="105">
                  <c:v>1.0380358128358362</c:v>
                </c:pt>
                <c:pt idx="106">
                  <c:v>0.75137395580288746</c:v>
                </c:pt>
                <c:pt idx="107">
                  <c:v>0.54096078362916011</c:v>
                </c:pt>
                <c:pt idx="108">
                  <c:v>0.38738095787198495</c:v>
                </c:pt>
                <c:pt idx="109">
                  <c:v>0.27591207468961498</c:v>
                </c:pt>
                <c:pt idx="110">
                  <c:v>0.19546109041771662</c:v>
                </c:pt>
                <c:pt idx="111">
                  <c:v>0.13772234993211838</c:v>
                </c:pt>
                <c:pt idx="112">
                  <c:v>9.6516252778404601E-2</c:v>
                </c:pt>
                <c:pt idx="113">
                  <c:v>6.7273793742821636E-2</c:v>
                </c:pt>
                <c:pt idx="114">
                  <c:v>4.6637840754621442E-2</c:v>
                </c:pt>
                <c:pt idx="115">
                  <c:v>3.2157012561978587E-2</c:v>
                </c:pt>
                <c:pt idx="116">
                  <c:v>2.2052380526963206E-2</c:v>
                </c:pt>
                <c:pt idx="117">
                  <c:v>1.504096289566849E-2</c:v>
                </c:pt>
                <c:pt idx="118">
                  <c:v>1.0203146298882743E-2</c:v>
                </c:pt>
                <c:pt idx="119">
                  <c:v>6.883810463143185E-3</c:v>
                </c:pt>
                <c:pt idx="120">
                  <c:v>4.6191076544259708E-3</c:v>
                </c:pt>
                <c:pt idx="121">
                  <c:v>3.0826185894695236E-3</c:v>
                </c:pt>
                <c:pt idx="122">
                  <c:v>2.0460311101193102E-3</c:v>
                </c:pt>
                <c:pt idx="123">
                  <c:v>1.3506215287094291E-3</c:v>
                </c:pt>
                <c:pt idx="124">
                  <c:v>8.8671165574600447E-4</c:v>
                </c:pt>
                <c:pt idx="125">
                  <c:v>5.7897105960818358E-4</c:v>
                </c:pt>
                <c:pt idx="126">
                  <c:v>3.7597192842496246E-4</c:v>
                </c:pt>
                <c:pt idx="127">
                  <c:v>2.4281559726181944E-4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003-419C-A35B-51E0E111B9A1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output'!$R$3:$R$130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44005.949820331094</c:v>
                </c:pt>
                <c:pt idx="13">
                  <c:v>43989.540598235595</c:v>
                </c:pt>
                <c:pt idx="14">
                  <c:v>43969.108323014771</c:v>
                </c:pt>
                <c:pt idx="15">
                  <c:v>43943.809302783528</c:v>
                </c:pt>
                <c:pt idx="16">
                  <c:v>43912.659958367527</c:v>
                </c:pt>
                <c:pt idx="17">
                  <c:v>43874.522446558505</c:v>
                </c:pt>
                <c:pt idx="18">
                  <c:v>43828.090805259577</c:v>
                </c:pt>
                <c:pt idx="19">
                  <c:v>43771.878169099684</c:v>
                </c:pt>
                <c:pt idx="20">
                  <c:v>43704.205687013811</c:v>
                </c:pt>
                <c:pt idx="21">
                  <c:v>43623.193847148279</c:v>
                </c:pt>
                <c:pt idx="22">
                  <c:v>43526.756973655167</c:v>
                </c:pt>
                <c:pt idx="23">
                  <c:v>43412.601698502571</c:v>
                </c:pt>
                <c:pt idx="24">
                  <c:v>43278.230223265316</c:v>
                </c:pt>
                <c:pt idx="25">
                  <c:v>43120.949165150807</c:v>
                </c:pt>
                <c:pt idx="26">
                  <c:v>42937.884723092284</c:v>
                </c:pt>
                <c:pt idx="27">
                  <c:v>42726.004799546696</c:v>
                </c:pt>
                <c:pt idx="28">
                  <c:v>42482.148569152116</c:v>
                </c:pt>
                <c:pt idx="29">
                  <c:v>42203.063796091032</c:v>
                </c:pt>
                <c:pt idx="30">
                  <c:v>41885.45196967206</c:v>
                </c:pt>
                <c:pt idx="31">
                  <c:v>41526.021056697675</c:v>
                </c:pt>
                <c:pt idx="32">
                  <c:v>41121.545366805207</c:v>
                </c:pt>
                <c:pt idx="33">
                  <c:v>40668.931703069749</c:v>
                </c:pt>
                <c:pt idx="34">
                  <c:v>40165.290637209502</c:v>
                </c:pt>
                <c:pt idx="35">
                  <c:v>39608.011421359202</c:v>
                </c:pt>
                <c:pt idx="36">
                  <c:v>38994.838742775159</c:v>
                </c:pt>
                <c:pt idx="37">
                  <c:v>38323.949261016154</c:v>
                </c:pt>
                <c:pt idx="38">
                  <c:v>37594.025656026366</c:v>
                </c:pt>
                <c:pt idx="39">
                  <c:v>36804.325775950354</c:v>
                </c:pt>
                <c:pt idx="40">
                  <c:v>35954.744419116869</c:v>
                </c:pt>
                <c:pt idx="41">
                  <c:v>35045.865325965628</c:v>
                </c:pt>
                <c:pt idx="42">
                  <c:v>34079.00110022525</c:v>
                </c:pt>
                <c:pt idx="43">
                  <c:v>33056.219026056708</c:v>
                </c:pt>
                <c:pt idx="44">
                  <c:v>31980.351095546721</c:v>
                </c:pt>
                <c:pt idx="45">
                  <c:v>30854.986999795663</c:v>
                </c:pt>
                <c:pt idx="46">
                  <c:v>29684.449352488729</c:v>
                </c:pt>
                <c:pt idx="47">
                  <c:v>28473.750988026801</c:v>
                </c:pt>
                <c:pt idx="48">
                  <c:v>27228.534783765248</c:v>
                </c:pt>
                <c:pt idx="49">
                  <c:v>25954.997071514128</c:v>
                </c:pt>
                <c:pt idx="50">
                  <c:v>24659.796299499467</c:v>
                </c:pt>
                <c:pt idx="51">
                  <c:v>23349.949154756923</c:v>
                </c:pt>
                <c:pt idx="52">
                  <c:v>22032.716831247511</c:v>
                </c:pt>
                <c:pt idx="53">
                  <c:v>20715.4845077381</c:v>
                </c:pt>
                <c:pt idx="54">
                  <c:v>19405.637362995556</c:v>
                </c:pt>
                <c:pt idx="55">
                  <c:v>18110.436590980895</c:v>
                </c:pt>
                <c:pt idx="56">
                  <c:v>16836.898878729775</c:v>
                </c:pt>
                <c:pt idx="57">
                  <c:v>15591.682674468222</c:v>
                </c:pt>
                <c:pt idx="58">
                  <c:v>14380.984310006292</c:v>
                </c:pt>
                <c:pt idx="59">
                  <c:v>13210.44666269936</c:v>
                </c:pt>
                <c:pt idx="60">
                  <c:v>12085.082566948302</c:v>
                </c:pt>
                <c:pt idx="61">
                  <c:v>11009.214636438315</c:v>
                </c:pt>
                <c:pt idx="62">
                  <c:v>9986.4325622697725</c:v>
                </c:pt>
                <c:pt idx="63">
                  <c:v>9019.5683365293935</c:v>
                </c:pt>
                <c:pt idx="64">
                  <c:v>8110.6892433781504</c:v>
                </c:pt>
                <c:pt idx="65">
                  <c:v>7261.1078865446725</c:v>
                </c:pt>
                <c:pt idx="66">
                  <c:v>6471.4080064686577</c:v>
                </c:pt>
                <c:pt idx="67">
                  <c:v>5741.4844014788705</c:v>
                </c:pt>
                <c:pt idx="68">
                  <c:v>5070.5949197198624</c:v>
                </c:pt>
                <c:pt idx="69">
                  <c:v>4457.4222411358178</c:v>
                </c:pt>
                <c:pt idx="70">
                  <c:v>3900.1430252855184</c:v>
                </c:pt>
                <c:pt idx="71">
                  <c:v>3396.5019594252735</c:v>
                </c:pt>
                <c:pt idx="72">
                  <c:v>2943.8882956898192</c:v>
                </c:pt>
                <c:pt idx="73">
                  <c:v>2539.4126057973449</c:v>
                </c:pt>
                <c:pt idx="74">
                  <c:v>2179.9816928229634</c:v>
                </c:pt>
                <c:pt idx="75">
                  <c:v>1862.3698664039887</c:v>
                </c:pt>
                <c:pt idx="76">
                  <c:v>1583.2850933429074</c:v>
                </c:pt>
                <c:pt idx="77">
                  <c:v>1339.428862948326</c:v>
                </c:pt>
                <c:pt idx="78">
                  <c:v>1127.5489394027381</c:v>
                </c:pt>
                <c:pt idx="79">
                  <c:v>944.48449734421399</c:v>
                </c:pt>
                <c:pt idx="80">
                  <c:v>787.20343922970528</c:v>
                </c:pt>
                <c:pt idx="81">
                  <c:v>652.83196399245344</c:v>
                </c:pt>
                <c:pt idx="82">
                  <c:v>538.67668883985539</c:v>
                </c:pt>
                <c:pt idx="83">
                  <c:v>442.23981534674704</c:v>
                </c:pt>
                <c:pt idx="84">
                  <c:v>361.22797548121167</c:v>
                </c:pt>
                <c:pt idx="85">
                  <c:v>293.5554933953419</c:v>
                </c:pt>
                <c:pt idx="86">
                  <c:v>237.34285723544318</c:v>
                </c:pt>
                <c:pt idx="87">
                  <c:v>190.91121593651727</c:v>
                </c:pt>
                <c:pt idx="88">
                  <c:v>152.77370412749445</c:v>
                </c:pt>
                <c:pt idx="89">
                  <c:v>121.62435971149888</c:v>
                </c:pt>
                <c:pt idx="90">
                  <c:v>96.325339480250136</c:v>
                </c:pt>
                <c:pt idx="91">
                  <c:v>75.893064259430986</c:v>
                </c:pt>
                <c:pt idx="92">
                  <c:v>59.483842163928934</c:v>
                </c:pt>
                <c:pt idx="93">
                  <c:v>46.379431573803153</c:v>
                </c:pt>
                <c:pt idx="94">
                  <c:v>35.972918686173784</c:v>
                </c:pt>
                <c:pt idx="95">
                  <c:v>27.755201401369142</c:v>
                </c:pt>
                <c:pt idx="96">
                  <c:v>21.302294477061071</c:v>
                </c:pt>
                <c:pt idx="97">
                  <c:v>16.2636021431125</c:v>
                </c:pt>
                <c:pt idx="98">
                  <c:v>12.351244795588656</c:v>
                </c:pt>
                <c:pt idx="99">
                  <c:v>9.3304764268554194</c:v>
                </c:pt>
                <c:pt idx="100">
                  <c:v>7.0111890247207542</c:v>
                </c:pt>
                <c:pt idx="101">
                  <c:v>5.2404688015395493</c:v>
                </c:pt>
                <c:pt idx="102">
                  <c:v>3.8961460156344034</c:v>
                </c:pt>
                <c:pt idx="103">
                  <c:v>2.8812643509636908</c:v>
                </c:pt>
                <c:pt idx="104">
                  <c:v>2.1193862567156367</c:v>
                </c:pt>
                <c:pt idx="105">
                  <c:v>1.5506462211468306</c:v>
                </c:pt>
                <c:pt idx="106">
                  <c:v>1.1284636035129352</c:v>
                </c:pt>
                <c:pt idx="107">
                  <c:v>0.81682939188263726</c:v>
                </c:pt>
                <c:pt idx="108">
                  <c:v>0.5880862179365729</c:v>
                </c:pt>
                <c:pt idx="109">
                  <c:v>0.42112738910063646</c:v>
                </c:pt>
                <c:pt idx="110">
                  <c:v>0.29994796923852723</c:v>
                </c:pt>
                <c:pt idx="111">
                  <c:v>0.21248855165869604</c:v>
                </c:pt>
                <c:pt idx="112">
                  <c:v>0.14971993968501576</c:v>
                </c:pt>
                <c:pt idx="113">
                  <c:v>0.10492420113168922</c:v>
                </c:pt>
                <c:pt idx="114">
                  <c:v>7.3134304973171915E-2</c:v>
                </c:pt>
                <c:pt idx="115">
                  <c:v>5.0700664839533574E-2</c:v>
                </c:pt>
                <c:pt idx="116">
                  <c:v>3.4958349052298034E-2</c:v>
                </c:pt>
                <c:pt idx="117">
                  <c:v>2.3973458803420833E-2</c:v>
                </c:pt>
                <c:pt idx="118">
                  <c:v>1.6351246247642417E-2</c:v>
                </c:pt>
                <c:pt idx="119">
                  <c:v>1.1091986516488125E-2</c:v>
                </c:pt>
                <c:pt idx="120">
                  <c:v>7.483488975121827E-3</c:v>
                </c:pt>
                <c:pt idx="121">
                  <c:v>5.0214981065899514E-3</c:v>
                </c:pt>
                <c:pt idx="122">
                  <c:v>3.3511588316258592E-3</c:v>
                </c:pt>
                <c:pt idx="123">
                  <c:v>2.2242697321946366E-3</c:v>
                </c:pt>
                <c:pt idx="124">
                  <c:v>1.4682800134860373E-3</c:v>
                </c:pt>
                <c:pt idx="125">
                  <c:v>9.639569444010158E-4</c:v>
                </c:pt>
                <c:pt idx="126">
                  <c:v>6.294077335060877E-4</c:v>
                </c:pt>
                <c:pt idx="127">
                  <c:v>4.0872446973776828E-4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003-419C-A35B-51E0E111B9A1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output'!$S$3:$S$130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47551.591568455668</c:v>
                </c:pt>
                <c:pt idx="14">
                  <c:v>47533.860224620861</c:v>
                </c:pt>
                <c:pt idx="15">
                  <c:v>47511.781682740017</c:v>
                </c:pt>
                <c:pt idx="16">
                  <c:v>47484.444273093592</c:v>
                </c:pt>
                <c:pt idx="17">
                  <c:v>47450.785167692113</c:v>
                </c:pt>
                <c:pt idx="18">
                  <c:v>47409.57484517018</c:v>
                </c:pt>
                <c:pt idx="19">
                  <c:v>47359.402119620252</c:v>
                </c:pt>
                <c:pt idx="20">
                  <c:v>47298.66032614516</c:v>
                </c:pt>
                <c:pt idx="21">
                  <c:v>47225.535345507102</c:v>
                </c:pt>
                <c:pt idx="22">
                  <c:v>47137.996230064236</c:v>
                </c:pt>
                <c:pt idx="23">
                  <c:v>47033.789257161574</c:v>
                </c:pt>
                <c:pt idx="24">
                  <c:v>46910.436277812107</c:v>
                </c:pt>
                <c:pt idx="25">
                  <c:v>46765.238241296131</c:v>
                </c:pt>
                <c:pt idx="26">
                  <c:v>46595.284753927925</c:v>
                </c:pt>
                <c:pt idx="27">
                  <c:v>46397.470467109546</c:v>
                </c:pt>
                <c:pt idx="28">
                  <c:v>46168.518981523368</c:v>
                </c:pt>
                <c:pt idx="29">
                  <c:v>45905.014798191572</c:v>
                </c:pt>
                <c:pt idx="30">
                  <c:v>45603.44364256924</c:v>
                </c:pt>
                <c:pt idx="31">
                  <c:v>45260.241236784357</c:v>
                </c:pt>
                <c:pt idx="32">
                  <c:v>44871.850302362611</c:v>
                </c:pt>
                <c:pt idx="33">
                  <c:v>44434.785249030887</c:v>
                </c:pt>
                <c:pt idx="34">
                  <c:v>43945.703655198158</c:v>
                </c:pt>
                <c:pt idx="35">
                  <c:v>43401.483285937466</c:v>
                </c:pt>
                <c:pt idx="36">
                  <c:v>42799.303040541199</c:v>
                </c:pt>
                <c:pt idx="37">
                  <c:v>42136.725891496382</c:v>
                </c:pt>
                <c:pt idx="38">
                  <c:v>41411.781588409474</c:v>
                </c:pt>
                <c:pt idx="39">
                  <c:v>40623.046672281991</c:v>
                </c:pt>
                <c:pt idx="40">
                  <c:v>39769.719194694313</c:v>
                </c:pt>
                <c:pt idx="41">
                  <c:v>38851.685477679632</c:v>
                </c:pt>
                <c:pt idx="42">
                  <c:v>37869.576294737541</c:v>
                </c:pt>
                <c:pt idx="43">
                  <c:v>36824.81000853602</c:v>
                </c:pt>
                <c:pt idx="44">
                  <c:v>35719.620468190486</c:v>
                </c:pt>
                <c:pt idx="45">
                  <c:v>34557.067844691046</c:v>
                </c:pt>
                <c:pt idx="46">
                  <c:v>33341.031057269283</c:v>
                </c:pt>
                <c:pt idx="47">
                  <c:v>32076.181000686152</c:v>
                </c:pt>
                <c:pt idx="48">
                  <c:v>30767.934402793315</c:v>
                </c:pt>
                <c:pt idx="49">
                  <c:v>29422.388798137112</c:v>
                </c:pt>
                <c:pt idx="50">
                  <c:v>28046.23976857993</c:v>
                </c:pt>
                <c:pt idx="51">
                  <c:v>26646.682245984768</c:v>
                </c:pt>
                <c:pt idx="52">
                  <c:v>25231.298264995701</c:v>
                </c:pt>
                <c:pt idx="53">
                  <c:v>23807.934067562815</c:v>
                </c:pt>
                <c:pt idx="54">
                  <c:v>22384.56987012993</c:v>
                </c:pt>
                <c:pt idx="55">
                  <c:v>20969.185889140863</c:v>
                </c:pt>
                <c:pt idx="56">
                  <c:v>19569.628366545701</c:v>
                </c:pt>
                <c:pt idx="57">
                  <c:v>18193.479336988519</c:v>
                </c:pt>
                <c:pt idx="58">
                  <c:v>16847.933732332316</c:v>
                </c:pt>
                <c:pt idx="59">
                  <c:v>15539.68713443948</c:v>
                </c:pt>
                <c:pt idx="60">
                  <c:v>14274.837077856348</c:v>
                </c:pt>
                <c:pt idx="61">
                  <c:v>13058.800290434585</c:v>
                </c:pt>
                <c:pt idx="62">
                  <c:v>11896.247666935147</c:v>
                </c:pt>
                <c:pt idx="63">
                  <c:v>10791.058126589609</c:v>
                </c:pt>
                <c:pt idx="64">
                  <c:v>9746.2918403880922</c:v>
                </c:pt>
                <c:pt idx="65">
                  <c:v>8764.1826574459974</c:v>
                </c:pt>
                <c:pt idx="66">
                  <c:v>7846.1489404313179</c:v>
                </c:pt>
                <c:pt idx="67">
                  <c:v>6992.8214628436408</c:v>
                </c:pt>
                <c:pt idx="68">
                  <c:v>6204.0865467161566</c:v>
                </c:pt>
                <c:pt idx="69">
                  <c:v>5479.1422436292514</c:v>
                </c:pt>
                <c:pt idx="70">
                  <c:v>4816.56509458443</c:v>
                </c:pt>
                <c:pt idx="71">
                  <c:v>4214.3848491881654</c:v>
                </c:pt>
                <c:pt idx="72">
                  <c:v>3670.1644799274741</c:v>
                </c:pt>
                <c:pt idx="73">
                  <c:v>3181.0828860947445</c:v>
                </c:pt>
                <c:pt idx="74">
                  <c:v>2744.0178327630183</c:v>
                </c:pt>
                <c:pt idx="75">
                  <c:v>2355.626898341271</c:v>
                </c:pt>
                <c:pt idx="76">
                  <c:v>2012.424492556391</c:v>
                </c:pt>
                <c:pt idx="77">
                  <c:v>1710.8533369340576</c:v>
                </c:pt>
                <c:pt idx="78">
                  <c:v>1447.3491536022609</c:v>
                </c:pt>
                <c:pt idx="79">
                  <c:v>1218.3976680160877</c:v>
                </c:pt>
                <c:pt idx="80">
                  <c:v>1020.5833811977088</c:v>
                </c:pt>
                <c:pt idx="81">
                  <c:v>850.62989382950025</c:v>
                </c:pt>
                <c:pt idx="82">
                  <c:v>705.43185731352401</c:v>
                </c:pt>
                <c:pt idx="83">
                  <c:v>582.07887796405623</c:v>
                </c:pt>
                <c:pt idx="84">
                  <c:v>477.87190506139484</c:v>
                </c:pt>
                <c:pt idx="85">
                  <c:v>390.33278961852568</c:v>
                </c:pt>
                <c:pt idx="86">
                  <c:v>317.2078089804711</c:v>
                </c:pt>
                <c:pt idx="87">
                  <c:v>256.46601550538151</c:v>
                </c:pt>
                <c:pt idx="88">
                  <c:v>206.29328995544927</c:v>
                </c:pt>
                <c:pt idx="89">
                  <c:v>165.0829674335171</c:v>
                </c:pt>
                <c:pt idx="90">
                  <c:v>131.42386203204137</c:v>
                </c:pt>
                <c:pt idx="91">
                  <c:v>104.08645238561584</c:v>
                </c:pt>
                <c:pt idx="92">
                  <c:v>82.007910504767977</c:v>
                </c:pt>
                <c:pt idx="93">
                  <c:v>64.276566669964652</c:v>
                </c:pt>
                <c:pt idx="94">
                  <c:v>50.116309189529304</c:v>
                </c:pt>
                <c:pt idx="95">
                  <c:v>38.871324079452236</c:v>
                </c:pt>
                <c:pt idx="96">
                  <c:v>29.991489930945065</c:v>
                </c:pt>
                <c:pt idx="97">
                  <c:v>23.018660217082338</c:v>
                </c:pt>
                <c:pt idx="98">
                  <c:v>17.573991010275783</c:v>
                </c:pt>
                <c:pt idx="99">
                  <c:v>13.34640770804357</c:v>
                </c:pt>
                <c:pt idx="100">
                  <c:v>10.082250377514846</c:v>
                </c:pt>
                <c:pt idx="101">
                  <c:v>7.5760936481077845</c:v>
                </c:pt>
                <c:pt idx="102">
                  <c:v>5.6627031820800307</c:v>
                </c:pt>
                <c:pt idx="103">
                  <c:v>4.2100657929877885</c:v>
                </c:pt>
                <c:pt idx="104">
                  <c:v>3.1134132129214453</c:v>
                </c:pt>
                <c:pt idx="105">
                  <c:v>2.2901491745231879</c:v>
                </c:pt>
                <c:pt idx="106">
                  <c:v>1.6755846897111355</c:v>
                </c:pt>
                <c:pt idx="107">
                  <c:v>1.2193860283257272</c:v>
                </c:pt>
                <c:pt idx="108">
                  <c:v>0.88264286494205135</c:v>
                </c:pt>
                <c:pt idx="109">
                  <c:v>0.63546942530571027</c:v>
                </c:pt>
                <c:pt idx="110">
                  <c:v>0.45505841111402939</c:v>
                </c:pt>
                <c:pt idx="111">
                  <c:v>0.32411533856788916</c:v>
                </c:pt>
                <c:pt idx="112">
                  <c:v>0.22960915200559542</c:v>
                </c:pt>
                <c:pt idx="113">
                  <c:v>0.16178315547381864</c:v>
                </c:pt>
                <c:pt idx="114">
                  <c:v>0.11337814041580982</c:v>
                </c:pt>
                <c:pt idx="115">
                  <c:v>7.9026872818921512E-2</c:v>
                </c:pt>
                <c:pt idx="116">
                  <c:v>5.4785712308039032E-2</c:v>
                </c:pt>
                <c:pt idx="117">
                  <c:v>3.7775008671086067E-2</c:v>
                </c:pt>
                <c:pt idx="118">
                  <c:v>2.5905045253148642E-2</c:v>
                </c:pt>
                <c:pt idx="119">
                  <c:v>1.7668696764361433E-2</c:v>
                </c:pt>
                <c:pt idx="120">
                  <c:v>1.1985688632294411E-2</c:v>
                </c:pt>
                <c:pt idx="121">
                  <c:v>8.0864476895719153E-3</c:v>
                </c:pt>
                <c:pt idx="122">
                  <c:v>5.4260896083651962E-3</c:v>
                </c:pt>
                <c:pt idx="123">
                  <c:v>3.6211679714472072E-3</c:v>
                </c:pt>
                <c:pt idx="124">
                  <c:v>2.4034833079442405E-3</c:v>
                </c:pt>
                <c:pt idx="125">
                  <c:v>1.5865820825246152E-3</c:v>
                </c:pt>
                <c:pt idx="126">
                  <c:v>1.0416247597627413E-3</c:v>
                </c:pt>
                <c:pt idx="127">
                  <c:v>6.8012029273099069E-4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003-419C-A35B-51E0E111B9A1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output'!$T$3:$T$130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51106.266119857712</c:v>
                </c:pt>
                <c:pt idx="15">
                  <c:v>51087.209286073725</c:v>
                </c:pt>
                <c:pt idx="16">
                  <c:v>51063.480283538098</c:v>
                </c:pt>
                <c:pt idx="17">
                  <c:v>51034.09929151796</c:v>
                </c:pt>
                <c:pt idx="18">
                  <c:v>50997.924031316041</c:v>
                </c:pt>
                <c:pt idx="19">
                  <c:v>50953.633069852447</c:v>
                </c:pt>
                <c:pt idx="20">
                  <c:v>50899.709729342969</c:v>
                </c:pt>
                <c:pt idx="21">
                  <c:v>50834.427240165576</c:v>
                </c:pt>
                <c:pt idx="22">
                  <c:v>50755.835870303272</c:v>
                </c:pt>
                <c:pt idx="23">
                  <c:v>50661.752850531375</c:v>
                </c:pt>
                <c:pt idx="24">
                  <c:v>50549.755983275281</c:v>
                </c:pt>
                <c:pt idx="25">
                  <c:v>50417.181867848762</c:v>
                </c:pt>
                <c:pt idx="26">
                  <c:v>50261.129688531408</c:v>
                </c:pt>
                <c:pt idx="27">
                  <c:v>50078.471487891926</c:v>
                </c:pt>
                <c:pt idx="28">
                  <c:v>49865.869779915527</c:v>
                </c:pt>
                <c:pt idx="29">
                  <c:v>49619.803241131871</c:v>
                </c:pt>
                <c:pt idx="30">
                  <c:v>49336.601050146033</c:v>
                </c:pt>
                <c:pt idx="31">
                  <c:v>49012.486226121255</c:v>
                </c:pt>
                <c:pt idx="32">
                  <c:v>48643.628046941973</c:v>
                </c:pt>
                <c:pt idx="33">
                  <c:v>48226.203313123697</c:v>
                </c:pt>
                <c:pt idx="34">
                  <c:v>47756.465872367276</c:v>
                </c:pt>
                <c:pt idx="35">
                  <c:v>47230.823443495967</c:v>
                </c:pt>
                <c:pt idx="36">
                  <c:v>46645.92039184428</c:v>
                </c:pt>
                <c:pt idx="37">
                  <c:v>45998.724727971741</c:v>
                </c:pt>
                <c:pt idx="38">
                  <c:v>45286.617246663285</c:v>
                </c:pt>
                <c:pt idx="39">
                  <c:v>44507.480413308338</c:v>
                </c:pt>
                <c:pt idx="40">
                  <c:v>43659.784359568366</c:v>
                </c:pt>
                <c:pt idx="41">
                  <c:v>42742.667188123101</c:v>
                </c:pt>
                <c:pt idx="42">
                  <c:v>41756.006723116123</c:v>
                </c:pt>
                <c:pt idx="43">
                  <c:v>40700.480890927349</c:v>
                </c:pt>
                <c:pt idx="44">
                  <c:v>39577.614082593427</c:v>
                </c:pt>
                <c:pt idx="45">
                  <c:v>38389.807136521595</c:v>
                </c:pt>
                <c:pt idx="46">
                  <c:v>37140.348983909214</c:v>
                </c:pt>
                <c:pt idx="47">
                  <c:v>35833.408508950648</c:v>
                </c:pt>
                <c:pt idx="48">
                  <c:v>34474.005774756231</c:v>
                </c:pt>
                <c:pt idx="49">
                  <c:v>33067.962431578999</c:v>
                </c:pt>
                <c:pt idx="50">
                  <c:v>31621.831829431456</c:v>
                </c:pt>
                <c:pt idx="51">
                  <c:v>30142.810072107393</c:v>
                </c:pt>
                <c:pt idx="52">
                  <c:v>28638.629941841355</c:v>
                </c:pt>
                <c:pt idx="53">
                  <c:v>27117.440261153661</c:v>
                </c:pt>
                <c:pt idx="54">
                  <c:v>25587.673810439563</c:v>
                </c:pt>
                <c:pt idx="55">
                  <c:v>24057.907359725465</c:v>
                </c:pt>
                <c:pt idx="56">
                  <c:v>22536.717679037771</c:v>
                </c:pt>
                <c:pt idx="57">
                  <c:v>21032.537548771732</c:v>
                </c:pt>
                <c:pt idx="58">
                  <c:v>19553.515791447669</c:v>
                </c:pt>
                <c:pt idx="59">
                  <c:v>18107.385189300127</c:v>
                </c:pt>
                <c:pt idx="60">
                  <c:v>16701.341846122894</c:v>
                </c:pt>
                <c:pt idx="61">
                  <c:v>15341.939111928481</c:v>
                </c:pt>
                <c:pt idx="62">
                  <c:v>14034.998636969909</c:v>
                </c:pt>
                <c:pt idx="63">
                  <c:v>12785.540484357529</c:v>
                </c:pt>
                <c:pt idx="64">
                  <c:v>11597.7335382857</c:v>
                </c:pt>
                <c:pt idx="65">
                  <c:v>10474.866729951777</c:v>
                </c:pt>
                <c:pt idx="66">
                  <c:v>9419.3408977630043</c:v>
                </c:pt>
                <c:pt idx="67">
                  <c:v>8432.6804327560276</c:v>
                </c:pt>
                <c:pt idx="68">
                  <c:v>7515.5632613107582</c:v>
                </c:pt>
                <c:pt idx="69">
                  <c:v>6667.8672075707846</c:v>
                </c:pt>
                <c:pt idx="70">
                  <c:v>5888.730374215841</c:v>
                </c:pt>
                <c:pt idx="71">
                  <c:v>5176.6228929073877</c:v>
                </c:pt>
                <c:pt idx="72">
                  <c:v>4529.4272290348435</c:v>
                </c:pt>
                <c:pt idx="73">
                  <c:v>3944.5241773831617</c:v>
                </c:pt>
                <c:pt idx="74">
                  <c:v>3418.8817485118493</c:v>
                </c:pt>
                <c:pt idx="75">
                  <c:v>2949.1443077554281</c:v>
                </c:pt>
                <c:pt idx="76">
                  <c:v>2531.7195739371509</c:v>
                </c:pt>
                <c:pt idx="77">
                  <c:v>2162.8613947578688</c:v>
                </c:pt>
                <c:pt idx="78">
                  <c:v>1838.7465707330934</c:v>
                </c:pt>
                <c:pt idx="79">
                  <c:v>1555.5443797472508</c:v>
                </c:pt>
                <c:pt idx="80">
                  <c:v>1309.4778409635994</c:v>
                </c:pt>
                <c:pt idx="81">
                  <c:v>1096.8761329871979</c:v>
                </c:pt>
                <c:pt idx="82">
                  <c:v>914.21793234771872</c:v>
                </c:pt>
                <c:pt idx="83">
                  <c:v>758.16575303036302</c:v>
                </c:pt>
                <c:pt idx="84">
                  <c:v>625.59163760384229</c:v>
                </c:pt>
                <c:pt idx="85">
                  <c:v>513.59477034775068</c:v>
                </c:pt>
                <c:pt idx="86">
                  <c:v>419.511750575853</c:v>
                </c:pt>
                <c:pt idx="87">
                  <c:v>340.92038071354597</c:v>
                </c:pt>
                <c:pt idx="88">
                  <c:v>275.63789153615625</c:v>
                </c:pt>
                <c:pt idx="89">
                  <c:v>221.71455102667898</c:v>
                </c:pt>
                <c:pt idx="90">
                  <c:v>177.42358956308496</c:v>
                </c:pt>
                <c:pt idx="91">
                  <c:v>141.24832936116809</c:v>
                </c:pt>
                <c:pt idx="92">
                  <c:v>111.86733734102735</c:v>
                </c:pt>
                <c:pt idx="93">
                  <c:v>88.138334805399282</c:v>
                </c:pt>
                <c:pt idx="94">
                  <c:v>69.081501021411029</c:v>
                </c:pt>
                <c:pt idx="95">
                  <c:v>53.86270679705742</c:v>
                </c:pt>
                <c:pt idx="96">
                  <c:v>41.777113390113115</c:v>
                </c:pt>
                <c:pt idx="97">
                  <c:v>32.233475582733071</c:v>
                </c:pt>
                <c:pt idx="98">
                  <c:v>24.739398534815386</c:v>
                </c:pt>
                <c:pt idx="99">
                  <c:v>18.887718196901361</c:v>
                </c:pt>
                <c:pt idx="100">
                  <c:v>14.344105876865545</c:v>
                </c:pt>
                <c:pt idx="101">
                  <c:v>10.83593953187725</c:v>
                </c:pt>
                <c:pt idx="102">
                  <c:v>8.1424374107807544</c:v>
                </c:pt>
                <c:pt idx="103">
                  <c:v>6.0860132381589169</c:v>
                </c:pt>
                <c:pt idx="104">
                  <c:v>4.5247853058461045</c:v>
                </c:pt>
                <c:pt idx="105">
                  <c:v>3.3461534924983836</c:v>
                </c:pt>
                <c:pt idx="106">
                  <c:v>2.4613471243935412</c:v>
                </c:pt>
                <c:pt idx="107">
                  <c:v>1.800841448923086</c:v>
                </c:pt>
                <c:pt idx="108">
                  <c:v>1.310540085219589</c:v>
                </c:pt>
                <c:pt idx="109">
                  <c:v>0.94862400303854011</c:v>
                </c:pt>
                <c:pt idx="110">
                  <c:v>0.6829733451498311</c:v>
                </c:pt>
                <c:pt idx="111">
                  <c:v>0.48907587509438433</c:v>
                </c:pt>
                <c:pt idx="112">
                  <c:v>0.34834427618541819</c:v>
                </c:pt>
                <c:pt idx="113">
                  <c:v>0.24677336843835784</c:v>
                </c:pt>
                <c:pt idx="114">
                  <c:v>0.17387710326062206</c:v>
                </c:pt>
                <c:pt idx="115">
                  <c:v>0.12185361678006931</c:v>
                </c:pt>
                <c:pt idx="116">
                  <c:v>8.4934452448131165E-2</c:v>
                </c:pt>
                <c:pt idx="117">
                  <c:v>5.8881166758632204E-2</c:v>
                </c:pt>
                <c:pt idx="118">
                  <c:v>4.0598843953419228E-2</c:v>
                </c:pt>
                <c:pt idx="119">
                  <c:v>2.7841552572398325E-2</c:v>
                </c:pt>
                <c:pt idx="120">
                  <c:v>1.8989503590654482E-2</c:v>
                </c:pt>
                <c:pt idx="121">
                  <c:v>1.288166752504947E-2</c:v>
                </c:pt>
                <c:pt idx="122">
                  <c:v>8.6909424891199825E-3</c:v>
                </c:pt>
                <c:pt idx="123">
                  <c:v>5.8317118390473332E-3</c:v>
                </c:pt>
                <c:pt idx="124">
                  <c:v>3.8918649809452977E-3</c:v>
                </c:pt>
                <c:pt idx="125">
                  <c:v>2.583153444477306E-3</c:v>
                </c:pt>
                <c:pt idx="126">
                  <c:v>1.7051855354572396E-3</c:v>
                </c:pt>
                <c:pt idx="127">
                  <c:v>1.1194904400377863E-3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003-419C-A35B-51E0E111B9A1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output'!$U$3:$U$130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54676.265214810475</c:v>
                </c:pt>
                <c:pt idx="16">
                  <c:v>54655.87717676277</c:v>
                </c:pt>
                <c:pt idx="17">
                  <c:v>54630.490598277887</c:v>
                </c:pt>
                <c:pt idx="18">
                  <c:v>54599.057213804059</c:v>
                </c:pt>
                <c:pt idx="19">
                  <c:v>54560.354951416579</c:v>
                </c:pt>
                <c:pt idx="20">
                  <c:v>54512.970070080839</c:v>
                </c:pt>
                <c:pt idx="21">
                  <c:v>54455.279945350339</c:v>
                </c:pt>
                <c:pt idx="22">
                  <c:v>54385.437185095172</c:v>
                </c:pt>
                <c:pt idx="23">
                  <c:v>54301.355859879419</c:v>
                </c:pt>
                <c:pt idx="24">
                  <c:v>54200.700724378141</c:v>
                </c:pt>
                <c:pt idx="25">
                  <c:v>54080.880379785551</c:v>
                </c:pt>
                <c:pt idx="26">
                  <c:v>53939.045375078313</c:v>
                </c:pt>
                <c:pt idx="27">
                  <c:v>53772.092259707009</c:v>
                </c:pt>
                <c:pt idx="28">
                  <c:v>53576.674574556586</c:v>
                </c:pt>
                <c:pt idx="29">
                  <c:v>53349.221695428663</c:v>
                </c:pt>
                <c:pt idx="30">
                  <c:v>53085.966318808656</c:v>
                </c:pt>
                <c:pt idx="31">
                  <c:v>52782.981200165043</c:v>
                </c:pt>
                <c:pt idx="32">
                  <c:v>52436.225519817177</c:v>
                </c:pt>
                <c:pt idx="33">
                  <c:v>52041.60096273919</c:v>
                </c:pt>
                <c:pt idx="34">
                  <c:v>51595.017262025402</c:v>
                </c:pt>
                <c:pt idx="35">
                  <c:v>51092.466580042696</c:v>
                </c:pt>
                <c:pt idx="36">
                  <c:v>50530.105698859908</c:v>
                </c:pt>
                <c:pt idx="37">
                  <c:v>49904.344577864351</c:v>
                </c:pt>
                <c:pt idx="38">
                  <c:v>49211.93942972106</c:v>
                </c:pt>
                <c:pt idx="39">
                  <c:v>48450.088086127347</c:v>
                </c:pt>
                <c:pt idx="40">
                  <c:v>47616.525093299155</c:v>
                </c:pt>
                <c:pt idx="41">
                  <c:v>46709.613714817024</c:v>
                </c:pt>
                <c:pt idx="42">
                  <c:v>45728.431846014551</c:v>
                </c:pt>
                <c:pt idx="43">
                  <c:v>44672.848776510509</c:v>
                </c:pt>
                <c:pt idx="44">
                  <c:v>43543.58978884574</c:v>
                </c:pt>
                <c:pt idx="45">
                  <c:v>42342.28575952402</c:v>
                </c:pt>
                <c:pt idx="46">
                  <c:v>41071.505236151315</c:v>
                </c:pt>
                <c:pt idx="47">
                  <c:v>39734.766896339454</c:v>
                </c:pt>
                <c:pt idx="48">
                  <c:v>38336.5308393124</c:v>
                </c:pt>
                <c:pt idx="49">
                  <c:v>36882.167801828196</c:v>
                </c:pt>
                <c:pt idx="50">
                  <c:v>35377.906102200606</c:v>
                </c:pt>
                <c:pt idx="51">
                  <c:v>33830.756870972582</c:v>
                </c:pt>
                <c:pt idx="52">
                  <c:v>32248.418891667465</c:v>
                </c:pt>
                <c:pt idx="53">
                  <c:v>30639.165115615961</c:v>
                </c:pt>
                <c:pt idx="54">
                  <c:v>29011.713596691632</c:v>
                </c:pt>
                <c:pt idx="55">
                  <c:v>27375.086182358507</c:v>
                </c:pt>
                <c:pt idx="56">
                  <c:v>25738.458768025383</c:v>
                </c:pt>
                <c:pt idx="57">
                  <c:v>24111.007249101054</c:v>
                </c:pt>
                <c:pt idx="58">
                  <c:v>22501.75347304955</c:v>
                </c:pt>
                <c:pt idx="59">
                  <c:v>20919.415493744429</c:v>
                </c:pt>
                <c:pt idx="60">
                  <c:v>19372.266262516408</c:v>
                </c:pt>
                <c:pt idx="61">
                  <c:v>17868.004562888815</c:v>
                </c:pt>
                <c:pt idx="62">
                  <c:v>16413.641525404611</c:v>
                </c:pt>
                <c:pt idx="63">
                  <c:v>15015.405468377558</c:v>
                </c:pt>
                <c:pt idx="64">
                  <c:v>13678.667128565701</c:v>
                </c:pt>
                <c:pt idx="65">
                  <c:v>12407.886605192998</c:v>
                </c:pt>
                <c:pt idx="66">
                  <c:v>11206.582575871273</c:v>
                </c:pt>
                <c:pt idx="67">
                  <c:v>10077.323588206504</c:v>
                </c:pt>
                <c:pt idx="68">
                  <c:v>9021.7405187024651</c:v>
                </c:pt>
                <c:pt idx="69">
                  <c:v>8040.5586498999946</c:v>
                </c:pt>
                <c:pt idx="70">
                  <c:v>7133.647271417859</c:v>
                </c:pt>
                <c:pt idx="71">
                  <c:v>6300.0842785896693</c:v>
                </c:pt>
                <c:pt idx="72">
                  <c:v>5538.2329349959518</c:v>
                </c:pt>
                <c:pt idx="73">
                  <c:v>4845.8277868526611</c:v>
                </c:pt>
                <c:pt idx="74">
                  <c:v>4220.0666658571045</c:v>
                </c:pt>
                <c:pt idx="75">
                  <c:v>3657.7057846743214</c:v>
                </c:pt>
                <c:pt idx="76">
                  <c:v>3155.1551026916104</c:v>
                </c:pt>
                <c:pt idx="77">
                  <c:v>2708.5714019778216</c:v>
                </c:pt>
                <c:pt idx="78">
                  <c:v>2313.9468448998359</c:v>
                </c:pt>
                <c:pt idx="79">
                  <c:v>1967.191164551972</c:v>
                </c:pt>
                <c:pt idx="80">
                  <c:v>1664.2060459083552</c:v>
                </c:pt>
                <c:pt idx="81">
                  <c:v>1400.9506692883497</c:v>
                </c:pt>
                <c:pt idx="82">
                  <c:v>1173.4977901604275</c:v>
                </c:pt>
                <c:pt idx="83">
                  <c:v>978.08010501000172</c:v>
                </c:pt>
                <c:pt idx="84">
                  <c:v>811.12698963870298</c:v>
                </c:pt>
                <c:pt idx="85">
                  <c:v>669.29198493146555</c:v>
                </c:pt>
                <c:pt idx="86">
                  <c:v>549.47164033887509</c:v>
                </c:pt>
                <c:pt idx="87">
                  <c:v>448.81650483759938</c:v>
                </c:pt>
                <c:pt idx="88">
                  <c:v>364.73517962184269</c:v>
                </c:pt>
                <c:pt idx="89">
                  <c:v>294.89241936667628</c:v>
                </c:pt>
                <c:pt idx="90">
                  <c:v>237.20229463617639</c:v>
                </c:pt>
                <c:pt idx="91">
                  <c:v>189.81741330043232</c:v>
                </c:pt>
                <c:pt idx="92">
                  <c:v>151.11515091295874</c:v>
                </c:pt>
                <c:pt idx="93">
                  <c:v>119.68176643912705</c:v>
                </c:pt>
                <c:pt idx="94">
                  <c:v>94.295187954247467</c:v>
                </c:pt>
                <c:pt idx="95">
                  <c:v>73.907149906540383</c:v>
                </c:pt>
                <c:pt idx="96">
                  <c:v>57.625255484653387</c:v>
                </c:pt>
                <c:pt idx="97">
                  <c:v>44.695429837702143</c:v>
                </c:pt>
                <c:pt idx="98">
                  <c:v>34.485126650092624</c:v>
                </c:pt>
                <c:pt idx="99">
                  <c:v>26.467555120777536</c:v>
                </c:pt>
                <c:pt idx="100">
                  <c:v>20.207108987661176</c:v>
                </c:pt>
                <c:pt idx="101">
                  <c:v>15.346105218359583</c:v>
                </c:pt>
                <c:pt idx="102">
                  <c:v>11.592877912604179</c:v>
                </c:pt>
                <c:pt idx="103">
                  <c:v>8.711222735833136</c:v>
                </c:pt>
                <c:pt idx="104">
                  <c:v>6.5111482245643444</c:v>
                </c:pt>
                <c:pt idx="105">
                  <c:v>4.8408616047649486</c:v>
                </c:pt>
                <c:pt idx="106">
                  <c:v>3.5798971377839983</c:v>
                </c:pt>
                <c:pt idx="107">
                  <c:v>2.63328312507576</c:v>
                </c:pt>
                <c:pt idx="108">
                  <c:v>1.926638202059602</c:v>
                </c:pt>
                <c:pt idx="109">
                  <c:v>1.4020871160114809</c:v>
                </c:pt>
                <c:pt idx="110">
                  <c:v>1.0148895921613221</c:v>
                </c:pt>
                <c:pt idx="111">
                  <c:v>0.73068205895693061</c:v>
                </c:pt>
                <c:pt idx="112">
                  <c:v>0.52323999163060997</c:v>
                </c:pt>
                <c:pt idx="113">
                  <c:v>0.37267766708111333</c:v>
                </c:pt>
                <c:pt idx="114">
                  <c:v>0.26401158145742776</c:v>
                </c:pt>
                <c:pt idx="115">
                  <c:v>0.18602318921841099</c:v>
                </c:pt>
                <c:pt idx="116">
                  <c:v>0.13036563173732205</c:v>
                </c:pt>
                <c:pt idx="117">
                  <c:v>9.0867500220766617E-2</c:v>
                </c:pt>
                <c:pt idx="118">
                  <c:v>6.2994277106883656E-2</c:v>
                </c:pt>
                <c:pt idx="119">
                  <c:v>4.3434853060989667E-2</c:v>
                </c:pt>
                <c:pt idx="120">
                  <c:v>2.9786408360775344E-2</c:v>
                </c:pt>
                <c:pt idx="121">
                  <c:v>2.0316004542088643E-2</c:v>
                </c:pt>
                <c:pt idx="122">
                  <c:v>1.3781509068903526E-2</c:v>
                </c:pt>
                <c:pt idx="123">
                  <c:v>9.2980433238332664E-3</c:v>
                </c:pt>
                <c:pt idx="124">
                  <c:v>6.2390827461411462E-3</c:v>
                </c:pt>
                <c:pt idx="125">
                  <c:v>4.16372899126192E-3</c:v>
                </c:pt>
                <c:pt idx="126">
                  <c:v>2.7635981562330113E-3</c:v>
                </c:pt>
                <c:pt idx="127">
                  <c:v>1.8243002992717602E-3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003-419C-A35B-51E0E111B9A1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output'!$V$3:$V$130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58252.816946774692</c:v>
                </c:pt>
                <c:pt idx="17">
                  <c:v>58231.095261073759</c:v>
                </c:pt>
                <c:pt idx="18">
                  <c:v>58204.048064203693</c:v>
                </c:pt>
                <c:pt idx="19">
                  <c:v>58170.558520165207</c:v>
                </c:pt>
                <c:pt idx="20">
                  <c:v>58129.324617347847</c:v>
                </c:pt>
                <c:pt idx="21">
                  <c:v>58078.840137333507</c:v>
                </c:pt>
                <c:pt idx="22">
                  <c:v>58017.376314551184</c:v>
                </c:pt>
                <c:pt idx="23">
                  <c:v>57942.964912963726</c:v>
                </c:pt>
                <c:pt idx="24">
                  <c:v>57853.383555729604</c:v>
                </c:pt>
                <c:pt idx="25">
                  <c:v>57746.144241557857</c:v>
                </c:pt>
                <c:pt idx="26">
                  <c:v>57618.486059847215</c:v>
                </c:pt>
                <c:pt idx="27">
                  <c:v>57467.373167746868</c:v>
                </c:pt>
                <c:pt idx="28">
                  <c:v>57289.499107947631</c:v>
                </c:pt>
                <c:pt idx="29">
                  <c:v>57081.298518596719</c:v>
                </c:pt>
                <c:pt idx="30">
                  <c:v>56838.967209393348</c:v>
                </c:pt>
                <c:pt idx="31">
                  <c:v>56558.491445288942</c:v>
                </c:pt>
                <c:pt idx="32">
                  <c:v>56235.687087957624</c:v>
                </c:pt>
                <c:pt idx="33">
                  <c:v>55866.248994605798</c:v>
                </c:pt>
                <c:pt idx="34">
                  <c:v>55445.810766137714</c:v>
                </c:pt>
                <c:pt idx="35">
                  <c:v>54970.014578031456</c:v>
                </c:pt>
                <c:pt idx="36">
                  <c:v>54434.590427003568</c:v>
                </c:pt>
                <c:pt idx="37">
                  <c:v>53835.443697780851</c:v>
                </c:pt>
                <c:pt idx="38">
                  <c:v>53168.749513557588</c:v>
                </c:pt>
                <c:pt idx="39">
                  <c:v>52431.051900355036</c:v>
                </c:pt>
                <c:pt idx="40">
                  <c:v>51619.365390959043</c:v>
                </c:pt>
                <c:pt idx="41">
                  <c:v>50731.276340910445</c:v>
                </c:pt>
                <c:pt idx="42">
                  <c:v>49765.040949555354</c:v>
                </c:pt>
                <c:pt idx="43">
                  <c:v>48719.67679437231</c:v>
                </c:pt>
                <c:pt idx="44">
                  <c:v>47595.044614790357</c:v>
                </c:pt>
                <c:pt idx="45">
                  <c:v>46391.91713643221</c:v>
                </c:pt>
                <c:pt idx="46">
                  <c:v>45112.031916719992</c:v>
                </c:pt>
                <c:pt idx="47">
                  <c:v>43758.125520284113</c:v>
                </c:pt>
                <c:pt idx="48">
                  <c:v>42333.946792844203</c:v>
                </c:pt>
                <c:pt idx="49">
                  <c:v>40844.247583171156</c:v>
                </c:pt>
                <c:pt idx="50">
                  <c:v>39294.749945322743</c:v>
                </c:pt>
                <c:pt idx="51">
                  <c:v>37692.089612101699</c:v>
                </c:pt>
                <c:pt idx="52">
                  <c:v>36043.736334825247</c:v>
                </c:pt>
                <c:pt idx="53">
                  <c:v>34357.892499401343</c:v>
                </c:pt>
                <c:pt idx="54">
                  <c:v>32643.372217722681</c:v>
                </c:pt>
                <c:pt idx="55">
                  <c:v>30909.463819824843</c:v>
                </c:pt>
                <c:pt idx="56">
                  <c:v>29165.77930145734</c:v>
                </c:pt>
                <c:pt idx="57">
                  <c:v>27422.094783089837</c:v>
                </c:pt>
                <c:pt idx="58">
                  <c:v>25688.186385191999</c:v>
                </c:pt>
                <c:pt idx="59">
                  <c:v>23973.666103513337</c:v>
                </c:pt>
                <c:pt idx="60">
                  <c:v>22287.822268089432</c:v>
                </c:pt>
                <c:pt idx="61">
                  <c:v>20639.468990812984</c:v>
                </c:pt>
                <c:pt idx="62">
                  <c:v>19036.808657591941</c:v>
                </c:pt>
                <c:pt idx="63">
                  <c:v>17487.31101974352</c:v>
                </c:pt>
                <c:pt idx="64">
                  <c:v>15997.611810070475</c:v>
                </c:pt>
                <c:pt idx="65">
                  <c:v>14573.433082630569</c:v>
                </c:pt>
                <c:pt idx="66">
                  <c:v>13219.526686194686</c:v>
                </c:pt>
                <c:pt idx="67">
                  <c:v>11939.641466482468</c:v>
                </c:pt>
                <c:pt idx="68">
                  <c:v>10736.513988124325</c:v>
                </c:pt>
                <c:pt idx="69">
                  <c:v>9611.88180854237</c:v>
                </c:pt>
                <c:pt idx="70">
                  <c:v>8566.517653359324</c:v>
                </c:pt>
                <c:pt idx="71">
                  <c:v>7600.2822620042361</c:v>
                </c:pt>
                <c:pt idx="72">
                  <c:v>6712.1932119556395</c:v>
                </c:pt>
                <c:pt idx="73">
                  <c:v>5900.5067025596436</c:v>
                </c:pt>
                <c:pt idx="74">
                  <c:v>5162.8090893570898</c:v>
                </c:pt>
                <c:pt idx="75">
                  <c:v>4496.1149051338298</c:v>
                </c:pt>
                <c:pt idx="76">
                  <c:v>3896.9681759111113</c:v>
                </c:pt>
                <c:pt idx="77">
                  <c:v>3361.5440248832215</c:v>
                </c:pt>
                <c:pt idx="78">
                  <c:v>2885.7478367769645</c:v>
                </c:pt>
                <c:pt idx="79">
                  <c:v>2465.3096083088822</c:v>
                </c:pt>
                <c:pt idx="80">
                  <c:v>2095.8715149570548</c:v>
                </c:pt>
                <c:pt idx="81">
                  <c:v>1773.06715762574</c:v>
                </c:pt>
                <c:pt idx="82">
                  <c:v>1492.5913935213287</c:v>
                </c:pt>
                <c:pt idx="83">
                  <c:v>1250.2600843179584</c:v>
                </c:pt>
                <c:pt idx="84">
                  <c:v>1042.0594949670483</c:v>
                </c:pt>
                <c:pt idx="85">
                  <c:v>864.18543516781358</c:v>
                </c:pt>
                <c:pt idx="86">
                  <c:v>713.07254306746631</c:v>
                </c:pt>
                <c:pt idx="87">
                  <c:v>585.41436135682227</c:v>
                </c:pt>
                <c:pt idx="88">
                  <c:v>478.17504718507899</c:v>
                </c:pt>
                <c:pt idx="89">
                  <c:v>388.59368995095394</c:v>
                </c:pt>
                <c:pt idx="90">
                  <c:v>314.18228836349488</c:v>
                </c:pt>
                <c:pt idx="91">
                  <c:v>252.71846558117176</c:v>
                </c:pt>
                <c:pt idx="92">
                  <c:v>202.23398556683381</c:v>
                </c:pt>
                <c:pt idx="93">
                  <c:v>161.00008274947663</c:v>
                </c:pt>
                <c:pt idx="94">
                  <c:v>127.51053871098384</c:v>
                </c:pt>
                <c:pt idx="95">
                  <c:v>100.46334184092335</c:v>
                </c:pt>
                <c:pt idx="96">
                  <c:v>78.741656139990553</c:v>
                </c:pt>
                <c:pt idx="97">
                  <c:v>61.394710228842648</c:v>
                </c:pt>
                <c:pt idx="98">
                  <c:v>47.619102776387386</c:v>
                </c:pt>
                <c:pt idx="99">
                  <c:v>36.74091056223125</c:v>
                </c:pt>
                <c:pt idx="100">
                  <c:v>28.198883691523321</c:v>
                </c:pt>
                <c:pt idx="101">
                  <c:v>21.52892148461703</c:v>
                </c:pt>
                <c:pt idx="102">
                  <c:v>16.349943702608535</c:v>
                </c:pt>
                <c:pt idx="103">
                  <c:v>12.351205633304877</c:v>
                </c:pt>
                <c:pt idx="104">
                  <c:v>9.2810520510024279</c:v>
                </c:pt>
                <c:pt idx="105">
                  <c:v>6.9370635347661338</c:v>
                </c:pt>
                <c:pt idx="106">
                  <c:v>5.1575180532019438</c:v>
                </c:pt>
                <c:pt idx="107">
                  <c:v>3.8140698132235578</c:v>
                </c:pt>
                <c:pt idx="108">
                  <c:v>2.8055347096479766</c:v>
                </c:pt>
                <c:pt idx="109">
                  <c:v>2.0526658517421952</c:v>
                </c:pt>
                <c:pt idx="110">
                  <c:v>1.4938021789082281</c:v>
                </c:pt>
                <c:pt idx="111">
                  <c:v>1.081276809984931</c:v>
                </c:pt>
                <c:pt idx="112">
                  <c:v>0.77847834082092493</c:v>
                </c:pt>
                <c:pt idx="113">
                  <c:v>0.55746681548090626</c:v>
                </c:pt>
                <c:pt idx="114">
                  <c:v>0.39705572125922289</c:v>
                </c:pt>
                <c:pt idx="115">
                  <c:v>0.28128143475136486</c:v>
                </c:pt>
                <c:pt idx="116">
                  <c:v>0.19819156898924425</c:v>
                </c:pt>
                <c:pt idx="117">
                  <c:v>0.1388932702683538</c:v>
                </c:pt>
                <c:pt idx="118">
                  <c:v>9.6811437942500564E-2</c:v>
                </c:pt>
                <c:pt idx="119">
                  <c:v>6.7114936958197521E-2</c:v>
                </c:pt>
                <c:pt idx="120">
                  <c:v>4.6276067586754566E-2</c:v>
                </c:pt>
                <c:pt idx="121">
                  <c:v>3.1734833879474955E-2</c:v>
                </c:pt>
                <c:pt idx="122">
                  <c:v>2.1644940250226914E-2</c:v>
                </c:pt>
                <c:pt idx="123">
                  <c:v>1.4683002247631393E-2</c:v>
                </c:pt>
                <c:pt idx="124">
                  <c:v>9.906258475747597E-3</c:v>
                </c:pt>
                <c:pt idx="125">
                  <c:v>6.6472013715430647E-3</c:v>
                </c:pt>
                <c:pt idx="126">
                  <c:v>4.4360920006339217E-3</c:v>
                </c:pt>
                <c:pt idx="127">
                  <c:v>2.9443740693883033E-3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003-419C-A35B-51E0E111B9A1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output'!$W$3:$W$130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61845.112484382946</c:v>
                </c:pt>
                <c:pt idx="18">
                  <c:v>61822.051280377098</c:v>
                </c:pt>
                <c:pt idx="19">
                  <c:v>61793.336155161021</c:v>
                </c:pt>
                <c:pt idx="20">
                  <c:v>61757.781400444117</c:v>
                </c:pt>
                <c:pt idx="21">
                  <c:v>61714.004713039627</c:v>
                </c:pt>
                <c:pt idx="22">
                  <c:v>61660.40699006505</c:v>
                </c:pt>
                <c:pt idx="23">
                  <c:v>61595.152857596811</c:v>
                </c:pt>
                <c:pt idx="24">
                  <c:v>61516.152703741558</c:v>
                </c:pt>
                <c:pt idx="25">
                  <c:v>61421.047103617355</c:v>
                </c:pt>
                <c:pt idx="26">
                  <c:v>61307.194627542951</c:v>
                </c:pt>
                <c:pt idx="27">
                  <c:v>61171.664106938937</c:v>
                </c:pt>
                <c:pt idx="28">
                  <c:v>61011.232486639346</c:v>
                </c:pt>
                <c:pt idx="29">
                  <c:v>60822.389408949406</c:v>
                </c:pt>
                <c:pt idx="30">
                  <c:v>60601.349645679475</c:v>
                </c:pt>
                <c:pt idx="31">
                  <c:v>60344.074412279799</c:v>
                </c:pt>
                <c:pt idx="32">
                  <c:v>60046.30245738825</c:v>
                </c:pt>
                <c:pt idx="33">
                  <c:v>59703.591618050727</c:v>
                </c:pt>
                <c:pt idx="34">
                  <c:v>59311.371264823247</c:v>
                </c:pt>
                <c:pt idx="35">
                  <c:v>58865.005734447244</c:v>
                </c:pt>
                <c:pt idx="36">
                  <c:v>58359.868467009037</c:v>
                </c:pt>
                <c:pt idx="37">
                  <c:v>57791.426139534458</c:v>
                </c:pt>
                <c:pt idx="38">
                  <c:v>57155.331632769477</c:v>
                </c:pt>
                <c:pt idx="39">
                  <c:v>56447.524199977954</c:v>
                </c:pt>
                <c:pt idx="40">
                  <c:v>55664.334746502107</c:v>
                </c:pt>
                <c:pt idx="41">
                  <c:v>54802.593699343517</c:v>
                </c:pt>
                <c:pt idx="42">
                  <c:v>53859.738571039801</c:v>
                </c:pt>
                <c:pt idx="43">
                  <c:v>52833.918025411134</c:v>
                </c:pt>
                <c:pt idx="44">
                  <c:v>51724.089056564728</c:v>
                </c:pt>
                <c:pt idx="45">
                  <c:v>50530.103816102397</c:v>
                </c:pt>
                <c:pt idx="46">
                  <c:v>49252.782681570876</c:v>
                </c:pt>
                <c:pt idx="47">
                  <c:v>47893.970360914784</c:v>
                </c:pt>
                <c:pt idx="48">
                  <c:v>46456.572175391695</c:v>
                </c:pt>
                <c:pt idx="49">
                  <c:v>44944.568152017797</c:v>
                </c:pt>
                <c:pt idx="50">
                  <c:v>43363.003173378136</c:v>
                </c:pt>
                <c:pt idx="51">
                  <c:v>41717.952157311745</c:v>
                </c:pt>
                <c:pt idx="52">
                  <c:v>40016.460044529005</c:v>
                </c:pt>
                <c:pt idx="53">
                  <c:v>38266.457225947583</c:v>
                </c:pt>
                <c:pt idx="54">
                  <c:v>36476.6519066931</c:v>
                </c:pt>
                <c:pt idx="55">
                  <c:v>34656.401741382535</c:v>
                </c:pt>
                <c:pt idx="56">
                  <c:v>32815.567846541242</c:v>
                </c:pt>
                <c:pt idx="57">
                  <c:v>30964.354964008082</c:v>
                </c:pt>
                <c:pt idx="58">
                  <c:v>29113.142081474922</c:v>
                </c:pt>
                <c:pt idx="59">
                  <c:v>27272.308186633632</c:v>
                </c:pt>
                <c:pt idx="60">
                  <c:v>25452.058021323064</c:v>
                </c:pt>
                <c:pt idx="61">
                  <c:v>23662.252702068585</c:v>
                </c:pt>
                <c:pt idx="62">
                  <c:v>21912.249883487162</c:v>
                </c:pt>
                <c:pt idx="63">
                  <c:v>20210.757770704418</c:v>
                </c:pt>
                <c:pt idx="64">
                  <c:v>18565.706754638028</c:v>
                </c:pt>
                <c:pt idx="65">
                  <c:v>16984.141775998367</c:v>
                </c:pt>
                <c:pt idx="66">
                  <c:v>15472.137752624469</c:v>
                </c:pt>
                <c:pt idx="67">
                  <c:v>14034.739567101378</c:v>
                </c:pt>
                <c:pt idx="68">
                  <c:v>12675.927246445288</c:v>
                </c:pt>
                <c:pt idx="69">
                  <c:v>11398.606111913767</c:v>
                </c:pt>
                <c:pt idx="70">
                  <c:v>10204.620871451438</c:v>
                </c:pt>
                <c:pt idx="71">
                  <c:v>9094.7919026050313</c:v>
                </c:pt>
                <c:pt idx="72">
                  <c:v>8068.9713569763662</c:v>
                </c:pt>
                <c:pt idx="73">
                  <c:v>7126.1162286726476</c:v>
                </c:pt>
                <c:pt idx="74">
                  <c:v>6264.375181514054</c:v>
                </c:pt>
                <c:pt idx="75">
                  <c:v>5481.185728038211</c:v>
                </c:pt>
                <c:pt idx="76">
                  <c:v>4773.3782952466827</c:v>
                </c:pt>
                <c:pt idx="77">
                  <c:v>4137.2837884817054</c:v>
                </c:pt>
                <c:pt idx="78">
                  <c:v>3568.8414610071286</c:v>
                </c:pt>
                <c:pt idx="79">
                  <c:v>3063.7041935689176</c:v>
                </c:pt>
                <c:pt idx="80">
                  <c:v>2617.3386631929156</c:v>
                </c:pt>
                <c:pt idx="81">
                  <c:v>2225.1183099654349</c:v>
                </c:pt>
                <c:pt idx="82">
                  <c:v>1882.4074706279141</c:v>
                </c:pt>
                <c:pt idx="83">
                  <c:v>1584.6355157363666</c:v>
                </c:pt>
                <c:pt idx="84">
                  <c:v>1327.3602823366878</c:v>
                </c:pt>
                <c:pt idx="85">
                  <c:v>1106.3205190667543</c:v>
                </c:pt>
                <c:pt idx="86">
                  <c:v>917.4774413768157</c:v>
                </c:pt>
                <c:pt idx="87">
                  <c:v>757.04582107722706</c:v>
                </c:pt>
                <c:pt idx="88">
                  <c:v>621.51530047321523</c:v>
                </c:pt>
                <c:pt idx="89">
                  <c:v>507.66282439880712</c:v>
                </c:pt>
                <c:pt idx="90">
                  <c:v>412.55722427460739</c:v>
                </c:pt>
                <c:pt idx="91">
                  <c:v>333.55707041935597</c:v>
                </c:pt>
                <c:pt idx="92">
                  <c:v>268.30293795111629</c:v>
                </c:pt>
                <c:pt idx="93">
                  <c:v>214.70521497653348</c:v>
                </c:pt>
                <c:pt idx="94">
                  <c:v>170.92852757204975</c:v>
                </c:pt>
                <c:pt idx="95">
                  <c:v>135.37377285514575</c:v>
                </c:pt>
                <c:pt idx="96">
                  <c:v>106.6586476390637</c:v>
                </c:pt>
                <c:pt idx="97">
                  <c:v>83.597443633220664</c:v>
                </c:pt>
                <c:pt idx="98">
                  <c:v>65.180757928292735</c:v>
                </c:pt>
                <c:pt idx="99">
                  <c:v>50.5556455802285</c:v>
                </c:pt>
                <c:pt idx="100">
                  <c:v>39.006624324725529</c:v>
                </c:pt>
                <c:pt idx="101">
                  <c:v>29.937833485885189</c:v>
                </c:pt>
                <c:pt idx="102">
                  <c:v>22.856552535478858</c:v>
                </c:pt>
                <c:pt idx="103">
                  <c:v>17.358201034725052</c:v>
                </c:pt>
                <c:pt idx="104">
                  <c:v>13.112871475510293</c:v>
                </c:pt>
                <c:pt idx="105">
                  <c:v>9.853389726922698</c:v>
                </c:pt>
                <c:pt idx="106">
                  <c:v>7.3648537033139414</c:v>
                </c:pt>
                <c:pt idx="107">
                  <c:v>5.4755684078239302</c:v>
                </c:pt>
                <c:pt idx="108">
                  <c:v>4.0492733053171355</c:v>
                </c:pt>
                <c:pt idx="109">
                  <c:v>2.9785445372633861</c:v>
                </c:pt>
                <c:pt idx="110">
                  <c:v>2.1792482689693609</c:v>
                </c:pt>
                <c:pt idx="111">
                  <c:v>1.585920967022193</c:v>
                </c:pt>
                <c:pt idx="112">
                  <c:v>1.1479562610915994</c:v>
                </c:pt>
                <c:pt idx="113">
                  <c:v>0.82648501957795151</c:v>
                </c:pt>
                <c:pt idx="114">
                  <c:v>0.59184430413431333</c:v>
                </c:pt>
                <c:pt idx="115">
                  <c:v>0.42154108643846522</c:v>
                </c:pt>
                <c:pt idx="116">
                  <c:v>0.29862730909410462</c:v>
                </c:pt>
                <c:pt idx="117">
                  <c:v>0.2104135133721598</c:v>
                </c:pt>
                <c:pt idx="118">
                  <c:v>0.14745844704675248</c:v>
                </c:pt>
                <c:pt idx="119">
                  <c:v>0.10278154058711676</c:v>
                </c:pt>
                <c:pt idx="120">
                  <c:v>7.1253735752461522E-2</c:v>
                </c:pt>
                <c:pt idx="121">
                  <c:v>4.9129788999778191E-2</c:v>
                </c:pt>
                <c:pt idx="122">
                  <c:v>3.3691836271928163E-2</c:v>
                </c:pt>
                <c:pt idx="123">
                  <c:v>2.2979725868298086E-2</c:v>
                </c:pt>
                <c:pt idx="124">
                  <c:v>1.5588463755201948E-2</c:v>
                </c:pt>
                <c:pt idx="125">
                  <c:v>1.0517150960987185E-2</c:v>
                </c:pt>
                <c:pt idx="126">
                  <c:v>7.0571165151556989E-3</c:v>
                </c:pt>
                <c:pt idx="127">
                  <c:v>4.7096539386404096E-3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003-419C-A35B-51E0E111B9A1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output'!$X$3:$X$130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65451.931028203944</c:v>
                </c:pt>
                <c:pt idx="19">
                  <c:v>65427.524890461063</c:v>
                </c:pt>
                <c:pt idx="20">
                  <c:v>65397.135093763973</c:v>
                </c:pt>
                <c:pt idx="21">
                  <c:v>65359.506779092488</c:v>
                </c:pt>
                <c:pt idx="22">
                  <c:v>65313.177027079102</c:v>
                </c:pt>
                <c:pt idx="23">
                  <c:v>65256.453474861664</c:v>
                </c:pt>
                <c:pt idx="24">
                  <c:v>65187.393709165626</c:v>
                </c:pt>
                <c:pt idx="25">
                  <c:v>65103.78625154063</c:v>
                </c:pt>
                <c:pt idx="26">
                  <c:v>65003.134075003691</c:v>
                </c:pt>
                <c:pt idx="27">
                  <c:v>64882.641701199791</c:v>
                </c:pt>
                <c:pt idx="28">
                  <c:v>64739.207015248976</c:v>
                </c:pt>
                <c:pt idx="29">
                  <c:v>64569.418992804305</c:v>
                </c:pt>
                <c:pt idx="30">
                  <c:v>64369.562551452742</c:v>
                </c:pt>
                <c:pt idx="31">
                  <c:v>64135.631707787652</c:v>
                </c:pt>
                <c:pt idx="32">
                  <c:v>63863.352134587862</c:v>
                </c:pt>
                <c:pt idx="33">
                  <c:v>63548.214063513667</c:v>
                </c:pt>
                <c:pt idx="34">
                  <c:v>63185.516263835452</c:v>
                </c:pt>
                <c:pt idx="35">
                  <c:v>62770.421546143974</c:v>
                </c:pt>
                <c:pt idx="36">
                  <c:v>62298.02389443115</c:v>
                </c:pt>
                <c:pt idx="37">
                  <c:v>61763.426926942571</c:v>
                </c:pt>
                <c:pt idx="38">
                  <c:v>61161.832936459119</c:v>
                </c:pt>
                <c:pt idx="39">
                  <c:v>60488.641278917647</c:v>
                </c:pt>
                <c:pt idx="40">
                  <c:v>59739.554384071758</c:v>
                </c:pt>
                <c:pt idx="41">
                  <c:v>58910.689174976018</c:v>
                </c:pt>
                <c:pt idx="42">
                  <c:v>57998.691228541051</c:v>
                </c:pt>
                <c:pt idx="43">
                  <c:v>57000.848612555732</c:v>
                </c:pt>
                <c:pt idx="44">
                  <c:v>55915.202020567456</c:v>
                </c:pt>
                <c:pt idx="45">
                  <c:v>54740.647618384406</c:v>
                </c:pt>
                <c:pt idx="46">
                  <c:v>53477.028935062131</c:v>
                </c:pt>
                <c:pt idx="47">
                  <c:v>52125.214192719548</c:v>
                </c:pt>
                <c:pt idx="48">
                  <c:v>50687.15568301412</c:v>
                </c:pt>
                <c:pt idx="49">
                  <c:v>49165.928166083337</c:v>
                </c:pt>
                <c:pt idx="50">
                  <c:v>47565.743784864448</c:v>
                </c:pt>
                <c:pt idx="51">
                  <c:v>45891.941640439763</c:v>
                </c:pt>
                <c:pt idx="52">
                  <c:v>44150.950940994539</c:v>
                </c:pt>
                <c:pt idx="53">
                  <c:v>42350.227489500925</c:v>
                </c:pt>
                <c:pt idx="54">
                  <c:v>40498.164178760278</c:v>
                </c:pt>
                <c:pt idx="55">
                  <c:v>38603.97707805223</c:v>
                </c:pt>
                <c:pt idx="56">
                  <c:v>36677.569582163705</c:v>
                </c:pt>
                <c:pt idx="57">
                  <c:v>34729.377909782852</c:v>
                </c:pt>
                <c:pt idx="58">
                  <c:v>32770.201945203924</c:v>
                </c:pt>
                <c:pt idx="59">
                  <c:v>30811.025980625</c:v>
                </c:pt>
                <c:pt idx="60">
                  <c:v>28862.834308244142</c:v>
                </c:pt>
                <c:pt idx="61">
                  <c:v>26936.426812355621</c:v>
                </c:pt>
                <c:pt idx="62">
                  <c:v>25042.239711647569</c:v>
                </c:pt>
                <c:pt idx="63">
                  <c:v>23190.176400906927</c:v>
                </c:pt>
                <c:pt idx="64">
                  <c:v>21389.452949413306</c:v>
                </c:pt>
                <c:pt idx="65">
                  <c:v>19648.462249968088</c:v>
                </c:pt>
                <c:pt idx="66">
                  <c:v>17974.6601055434</c:v>
                </c:pt>
                <c:pt idx="67">
                  <c:v>16374.475724324509</c:v>
                </c:pt>
                <c:pt idx="68">
                  <c:v>14853.248207393726</c:v>
                </c:pt>
                <c:pt idx="69">
                  <c:v>13415.1896976883</c:v>
                </c:pt>
                <c:pt idx="70">
                  <c:v>12063.374955345715</c:v>
                </c:pt>
                <c:pt idx="71">
                  <c:v>10799.756272023442</c:v>
                </c:pt>
                <c:pt idx="72">
                  <c:v>9625.2018698403936</c:v>
                </c:pt>
                <c:pt idx="73">
                  <c:v>8539.5552778521178</c:v>
                </c:pt>
                <c:pt idx="74">
                  <c:v>7541.7126618667935</c:v>
                </c:pt>
                <c:pt idx="75">
                  <c:v>6629.7147154318309</c:v>
                </c:pt>
                <c:pt idx="76">
                  <c:v>5800.8495063360906</c:v>
                </c:pt>
                <c:pt idx="77">
                  <c:v>5051.7626114902014</c:v>
                </c:pt>
                <c:pt idx="78">
                  <c:v>4378.5709539487261</c:v>
                </c:pt>
                <c:pt idx="79">
                  <c:v>3776.9769634652771</c:v>
                </c:pt>
                <c:pt idx="80">
                  <c:v>3242.3799959766975</c:v>
                </c:pt>
                <c:pt idx="81">
                  <c:v>2769.9823442638767</c:v>
                </c:pt>
                <c:pt idx="82">
                  <c:v>2354.8876265723957</c:v>
                </c:pt>
                <c:pt idx="83">
                  <c:v>1992.189826894182</c:v>
                </c:pt>
                <c:pt idx="84">
                  <c:v>1677.0517558199876</c:v>
                </c:pt>
                <c:pt idx="85">
                  <c:v>1404.7721826201966</c:v>
                </c:pt>
                <c:pt idx="86">
                  <c:v>1170.8413389551047</c:v>
                </c:pt>
                <c:pt idx="87">
                  <c:v>970.98489760354619</c:v>
                </c:pt>
                <c:pt idx="88">
                  <c:v>801.19687515887415</c:v>
                </c:pt>
                <c:pt idx="89">
                  <c:v>657.7621892080582</c:v>
                </c:pt>
                <c:pt idx="90">
                  <c:v>537.26981540416</c:v>
                </c:pt>
                <c:pt idx="91">
                  <c:v>436.61763886721934</c:v>
                </c:pt>
                <c:pt idx="92">
                  <c:v>353.01018124221918</c:v>
                </c:pt>
                <c:pt idx="93">
                  <c:v>283.95041554618268</c:v>
                </c:pt>
                <c:pt idx="94">
                  <c:v>227.22686332874542</c:v>
                </c:pt>
                <c:pt idx="95">
                  <c:v>180.89711131535796</c:v>
                </c:pt>
                <c:pt idx="96">
                  <c:v>143.26879664387681</c:v>
                </c:pt>
                <c:pt idx="97">
                  <c:v>112.87899994678386</c:v>
                </c:pt>
                <c:pt idx="98">
                  <c:v>88.472862203903532</c:v>
                </c:pt>
                <c:pt idx="99">
                  <c:v>68.982111939176619</c:v>
                </c:pt>
                <c:pt idx="100">
                  <c:v>53.504060299656103</c:v>
                </c:pt>
                <c:pt idx="101">
                  <c:v>41.281497961373951</c:v>
                </c:pt>
                <c:pt idx="102">
                  <c:v>31.683813542207069</c:v>
                </c:pt>
                <c:pt idx="103">
                  <c:v>24.189550960432836</c:v>
                </c:pt>
                <c:pt idx="104">
                  <c:v>18.370534570301185</c:v>
                </c:pt>
                <c:pt idx="105">
                  <c:v>13.877616596033034</c:v>
                </c:pt>
                <c:pt idx="106">
                  <c:v>10.428041261359384</c:v>
                </c:pt>
                <c:pt idx="107">
                  <c:v>7.7943733507452455</c:v>
                </c:pt>
                <c:pt idx="108">
                  <c:v>5.7949045829547767</c:v>
                </c:pt>
                <c:pt idx="109">
                  <c:v>4.2854276829214326</c:v>
                </c:pt>
                <c:pt idx="110">
                  <c:v>3.1522538125648278</c:v>
                </c:pt>
                <c:pt idx="111">
                  <c:v>2.3063424361938663</c:v>
                </c:pt>
                <c:pt idx="112">
                  <c:v>1.6784121748655714</c:v>
                </c:pt>
                <c:pt idx="113">
                  <c:v>1.2149052852533089</c:v>
                </c:pt>
                <c:pt idx="114">
                  <c:v>0.87468578072228242</c:v>
                </c:pt>
                <c:pt idx="115">
                  <c:v>0.62636077480522567</c:v>
                </c:pt>
                <c:pt idx="116">
                  <c:v>0.44612544155517136</c:v>
                </c:pt>
                <c:pt idx="117">
                  <c:v>0.31604330969405453</c:v>
                </c:pt>
                <c:pt idx="118">
                  <c:v>0.2226848688829591</c:v>
                </c:pt>
                <c:pt idx="119">
                  <c:v>0.15605825129782533</c:v>
                </c:pt>
                <c:pt idx="120">
                  <c:v>0.10877577928537632</c:v>
                </c:pt>
                <c:pt idx="121">
                  <c:v>7.5409266967533639E-2</c:v>
                </c:pt>
                <c:pt idx="122">
                  <c:v>5.1995047496367713E-2</c:v>
                </c:pt>
                <c:pt idx="123">
                  <c:v>3.5656750473865427E-2</c:v>
                </c:pt>
                <c:pt idx="124">
                  <c:v>2.4319907785092729E-2</c:v>
                </c:pt>
                <c:pt idx="125">
                  <c:v>1.6497585881160435E-2</c:v>
                </c:pt>
                <c:pt idx="126">
                  <c:v>1.1130513174918519E-2</c:v>
                </c:pt>
                <c:pt idx="127">
                  <c:v>7.4686888721337309E-3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003-419C-A35B-51E0E111B9A1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output'!$Y$3:$Y$130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69067.564879006459</c:v>
                </c:pt>
                <c:pt idx="20">
                  <c:v>69041.81052041809</c:v>
                </c:pt>
                <c:pt idx="21">
                  <c:v>69009.741959230305</c:v>
                </c:pt>
                <c:pt idx="22">
                  <c:v>68970.035016684327</c:v>
                </c:pt>
                <c:pt idx="23">
                  <c:v>68921.145960200505</c:v>
                </c:pt>
                <c:pt idx="24">
                  <c:v>68861.288939003425</c:v>
                </c:pt>
                <c:pt idx="25">
                  <c:v>68788.414238856145</c:v>
                </c:pt>
                <c:pt idx="26">
                  <c:v>68700.188216901268</c:v>
                </c:pt>
                <c:pt idx="27">
                  <c:v>68593.975907745989</c:v>
                </c:pt>
                <c:pt idx="28">
                  <c:v>68466.827407856195</c:v>
                </c:pt>
                <c:pt idx="29">
                  <c:v>68315.469238247126</c:v>
                </c:pt>
                <c:pt idx="30">
                  <c:v>68136.301945981555</c:v>
                </c:pt>
                <c:pt idx="31">
                  <c:v>67925.405223567243</c:v>
                </c:pt>
                <c:pt idx="32">
                  <c:v>67678.551792839935</c:v>
                </c:pt>
                <c:pt idx="33">
                  <c:v>67391.231208224926</c:v>
                </c:pt>
                <c:pt idx="34">
                  <c:v>67058.68457701274</c:v>
                </c:pt>
                <c:pt idx="35">
                  <c:v>66675.95096751918</c:v>
                </c:pt>
                <c:pt idx="36">
                  <c:v>66237.92597887927</c:v>
                </c:pt>
                <c:pt idx="37">
                  <c:v>65739.432581575122</c:v>
                </c:pt>
                <c:pt idx="38">
                  <c:v>65175.303912548894</c:v>
                </c:pt>
                <c:pt idx="39">
                  <c:v>64540.477234163634</c:v>
                </c:pt>
                <c:pt idx="40">
                  <c:v>63830.097757915391</c:v>
                </c:pt>
                <c:pt idx="41">
                  <c:v>63039.630511234951</c:v>
                </c:pt>
                <c:pt idx="42">
                  <c:v>62164.977911902133</c:v>
                </c:pt>
                <c:pt idx="43">
                  <c:v>61202.600234950558</c:v>
                </c:pt>
                <c:pt idx="44">
                  <c:v>60149.635738167322</c:v>
                </c:pt>
                <c:pt idx="45">
                  <c:v>59004.016880940457</c:v>
                </c:pt>
                <c:pt idx="46">
                  <c:v>57764.578852110666</c:v>
                </c:pt>
                <c:pt idx="47">
                  <c:v>56431.156537113151</c:v>
                </c:pt>
                <c:pt idx="48">
                  <c:v>55004.666119574336</c:v>
                </c:pt>
                <c:pt idx="49">
                  <c:v>53487.167737806391</c:v>
                </c:pt>
                <c:pt idx="50">
                  <c:v>51881.906004946715</c:v>
                </c:pt>
                <c:pt idx="51">
                  <c:v>50193.325747160525</c:v>
                </c:pt>
                <c:pt idx="52">
                  <c:v>48427.061003117196</c:v>
                </c:pt>
                <c:pt idx="53">
                  <c:v>46589.89613725763</c:v>
                </c:pt>
                <c:pt idx="54">
                  <c:v>44689.698818990721</c:v>
                </c:pt>
                <c:pt idx="55">
                  <c:v>42735.325573387228</c:v>
                </c:pt>
                <c:pt idx="56">
                  <c:v>40736.501575134898</c:v>
                </c:pt>
                <c:pt idx="57">
                  <c:v>38703.677293016292</c:v>
                </c:pt>
                <c:pt idx="58">
                  <c:v>36647.86545347068</c:v>
                </c:pt>
                <c:pt idx="59">
                  <c:v>34580.462537815889</c:v>
                </c:pt>
                <c:pt idx="60">
                  <c:v>32513.059622161101</c:v>
                </c:pt>
                <c:pt idx="61">
                  <c:v>30457.247782615483</c:v>
                </c:pt>
                <c:pt idx="62">
                  <c:v>28424.42350049688</c:v>
                </c:pt>
                <c:pt idx="63">
                  <c:v>26425.599502244546</c:v>
                </c:pt>
                <c:pt idx="64">
                  <c:v>24471.226256641057</c:v>
                </c:pt>
                <c:pt idx="65">
                  <c:v>22571.028938374144</c:v>
                </c:pt>
                <c:pt idx="66">
                  <c:v>20733.864072514581</c:v>
                </c:pt>
                <c:pt idx="67">
                  <c:v>18967.599328471257</c:v>
                </c:pt>
                <c:pt idx="68">
                  <c:v>17279.019070685063</c:v>
                </c:pt>
                <c:pt idx="69">
                  <c:v>15673.757337825387</c:v>
                </c:pt>
                <c:pt idx="70">
                  <c:v>14156.258956057438</c:v>
                </c:pt>
                <c:pt idx="71">
                  <c:v>12729.768538518629</c:v>
                </c:pt>
                <c:pt idx="72">
                  <c:v>11396.346223521108</c:v>
                </c:pt>
                <c:pt idx="73">
                  <c:v>10156.908194691321</c:v>
                </c:pt>
                <c:pt idx="74">
                  <c:v>9011.2893374644573</c:v>
                </c:pt>
                <c:pt idx="75">
                  <c:v>7958.324840681219</c:v>
                </c:pt>
                <c:pt idx="76">
                  <c:v>6995.9471637296474</c:v>
                </c:pt>
                <c:pt idx="77">
                  <c:v>6121.2945643968233</c:v>
                </c:pt>
                <c:pt idx="78">
                  <c:v>5330.8273177163901</c:v>
                </c:pt>
                <c:pt idx="79">
                  <c:v>4620.4478414681462</c:v>
                </c:pt>
                <c:pt idx="80">
                  <c:v>3985.621163082883</c:v>
                </c:pt>
                <c:pt idx="81">
                  <c:v>3421.4924940566489</c:v>
                </c:pt>
                <c:pt idx="82">
                  <c:v>2922.9990967525105</c:v>
                </c:pt>
                <c:pt idx="83">
                  <c:v>2484.9741081125994</c:v>
                </c:pt>
                <c:pt idx="84">
                  <c:v>2102.2404986190418</c:v>
                </c:pt>
                <c:pt idx="85">
                  <c:v>1769.6938674068508</c:v>
                </c:pt>
                <c:pt idx="86">
                  <c:v>1482.3732827918427</c:v>
                </c:pt>
                <c:pt idx="87">
                  <c:v>1235.519852064532</c:v>
                </c:pt>
                <c:pt idx="88">
                  <c:v>1024.6231296502156</c:v>
                </c:pt>
                <c:pt idx="89">
                  <c:v>845.45583738465405</c:v>
                </c:pt>
                <c:pt idx="90">
                  <c:v>694.09766777558627</c:v>
                </c:pt>
                <c:pt idx="91">
                  <c:v>566.94916788579462</c:v>
                </c:pt>
                <c:pt idx="92">
                  <c:v>460.73685873050391</c:v>
                </c:pt>
                <c:pt idx="93">
                  <c:v>372.51083677562588</c:v>
                </c:pt>
                <c:pt idx="94">
                  <c:v>299.6361366283586</c:v>
                </c:pt>
                <c:pt idx="95">
                  <c:v>239.77911543127036</c:v>
                </c:pt>
                <c:pt idx="96">
                  <c:v>190.89005894745091</c:v>
                </c:pt>
                <c:pt idx="97">
                  <c:v>151.18311640147309</c:v>
                </c:pt>
                <c:pt idx="98">
                  <c:v>119.11455521369358</c:v>
                </c:pt>
                <c:pt idx="99">
                  <c:v>93.360196625312398</c:v>
                </c:pt>
                <c:pt idx="100">
                  <c:v>72.792756714800731</c:v>
                </c:pt>
                <c:pt idx="101">
                  <c:v>56.459681142858663</c:v>
                </c:pt>
                <c:pt idx="102">
                  <c:v>43.561931542113712</c:v>
                </c:pt>
                <c:pt idx="103">
                  <c:v>33.434060891156264</c:v>
                </c:pt>
                <c:pt idx="104">
                  <c:v>25.52580732314528</c:v>
                </c:pt>
                <c:pt idx="105">
                  <c:v>19.38534231709016</c:v>
                </c:pt>
                <c:pt idx="106">
                  <c:v>14.644230805038639</c:v>
                </c:pt>
                <c:pt idx="107">
                  <c:v>11.004097282775916</c:v>
                </c:pt>
                <c:pt idx="108">
                  <c:v>8.2249427730683831</c:v>
                </c:pt>
                <c:pt idx="109">
                  <c:v>6.1150212371643127</c:v>
                </c:pt>
                <c:pt idx="110">
                  <c:v>4.5221592376995519</c:v>
                </c:pt>
                <c:pt idx="111">
                  <c:v>3.3263876450123293</c:v>
                </c:pt>
                <c:pt idx="112">
                  <c:v>2.4337472301066931</c:v>
                </c:pt>
                <c:pt idx="113">
                  <c:v>1.7711294374384365</c:v>
                </c:pt>
                <c:pt idx="114">
                  <c:v>1.2820179373305702</c:v>
                </c:pt>
                <c:pt idx="115">
                  <c:v>0.92300434776703988</c:v>
                </c:pt>
                <c:pt idx="116">
                  <c:v>0.66096160605075127</c:v>
                </c:pt>
                <c:pt idx="117">
                  <c:v>0.47076988248841184</c:v>
                </c:pt>
                <c:pt idx="118">
                  <c:v>0.33350187617022292</c:v>
                </c:pt>
                <c:pt idx="119">
                  <c:v>0.23498621641154158</c:v>
                </c:pt>
                <c:pt idx="120">
                  <c:v>0.16467907404859067</c:v>
                </c:pt>
                <c:pt idx="121">
                  <c:v>0.11478466830596391</c:v>
                </c:pt>
                <c:pt idx="122">
                  <c:v>7.9574954580241816E-2</c:v>
                </c:pt>
                <c:pt idx="123">
                  <c:v>5.4867308877333584E-2</c:v>
                </c:pt>
                <c:pt idx="124">
                  <c:v>3.7626467058199248E-2</c:v>
                </c:pt>
                <c:pt idx="125">
                  <c:v>2.5663365196582792E-2</c:v>
                </c:pt>
                <c:pt idx="126">
                  <c:v>1.7408929962708493E-2</c:v>
                </c:pt>
                <c:pt idx="127">
                  <c:v>1.1745374487332622E-2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003-419C-A35B-51E0E111B9A1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output'!$Z$3:$Z$130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72695.466525160577</c:v>
                </c:pt>
                <c:pt idx="21">
                  <c:v>72668.359371232116</c:v>
                </c:pt>
                <c:pt idx="22">
                  <c:v>72634.606349529087</c:v>
                </c:pt>
                <c:pt idx="23">
                  <c:v>72592.813726353153</c:v>
                </c:pt>
                <c:pt idx="24">
                  <c:v>72541.356681714446</c:v>
                </c:pt>
                <c:pt idx="25">
                  <c:v>72478.355559721051</c:v>
                </c:pt>
                <c:pt idx="26">
                  <c:v>72401.652981103049</c:v>
                </c:pt>
                <c:pt idx="27">
                  <c:v>72308.792724093772</c:v>
                </c:pt>
                <c:pt idx="28">
                  <c:v>72197.001416867512</c:v>
                </c:pt>
                <c:pt idx="29">
                  <c:v>72063.174206748634</c:v>
                </c:pt>
                <c:pt idx="30">
                  <c:v>71903.865669211489</c:v>
                </c:pt>
                <c:pt idx="31">
                  <c:v>71715.287283393031</c:v>
                </c:pt>
                <c:pt idx="32">
                  <c:v>71493.31282039592</c:v>
                </c:pt>
                <c:pt idx="33">
                  <c:v>71233.492956448274</c:v>
                </c:pt>
                <c:pt idx="34">
                  <c:v>70931.080326475581</c:v>
                </c:pt>
                <c:pt idx="35">
                  <c:v>70581.066068123051</c:v>
                </c:pt>
                <c:pt idx="36">
                  <c:v>70178.228667590214</c:v>
                </c:pt>
                <c:pt idx="37">
                  <c:v>69717.195605911562</c:v>
                </c:pt>
                <c:pt idx="38">
                  <c:v>69192.517920514394</c:v>
                </c:pt>
                <c:pt idx="39">
                  <c:v>68598.757349298059</c:v>
                </c:pt>
                <c:pt idx="40">
                  <c:v>67930.585224963288</c:v>
                </c:pt>
                <c:pt idx="41">
                  <c:v>67182.891752256808</c:v>
                </c:pt>
                <c:pt idx="42">
                  <c:v>66350.903750783778</c:v>
                </c:pt>
                <c:pt idx="43">
                  <c:v>65430.308405235832</c:v>
                </c:pt>
                <c:pt idx="44">
                  <c:v>64417.380060042939</c:v>
                </c:pt>
                <c:pt idx="45">
                  <c:v>63309.106654687144</c:v>
                </c:pt>
                <c:pt idx="46">
                  <c:v>62103.312047160136</c:v>
                </c:pt>
                <c:pt idx="47">
                  <c:v>60798.770242441118</c:v>
                </c:pt>
                <c:pt idx="48">
                  <c:v>59395.307453017253</c:v>
                </c:pt>
                <c:pt idx="49">
                  <c:v>57893.887986755239</c:v>
                </c:pt>
                <c:pt idx="50">
                  <c:v>56296.680194544104</c:v>
                </c:pt>
                <c:pt idx="51">
                  <c:v>54607.099118830047</c:v>
                </c:pt>
                <c:pt idx="52">
                  <c:v>52829.823058497212</c:v>
                </c:pt>
                <c:pt idx="53">
                  <c:v>50970.781990521165</c:v>
                </c:pt>
                <c:pt idx="54">
                  <c:v>49037.116640638691</c:v>
                </c:pt>
                <c:pt idx="55">
                  <c:v>47037.107942152499</c:v>
                </c:pt>
                <c:pt idx="56">
                  <c:v>44980.077625500606</c:v>
                </c:pt>
                <c:pt idx="57">
                  <c:v>42876.261698166432</c:v>
                </c:pt>
                <c:pt idx="58">
                  <c:v>40736.659559142645</c:v>
                </c:pt>
                <c:pt idx="59">
                  <c:v>38572.862398702389</c:v>
                </c:pt>
                <c:pt idx="60">
                  <c:v>36396.865319432494</c:v>
                </c:pt>
                <c:pt idx="61">
                  <c:v>34220.868240162599</c:v>
                </c:pt>
                <c:pt idx="62">
                  <c:v>32057.071079722344</c:v>
                </c:pt>
                <c:pt idx="63">
                  <c:v>29917.468940698556</c:v>
                </c:pt>
                <c:pt idx="64">
                  <c:v>27813.653013364386</c:v>
                </c:pt>
                <c:pt idx="65">
                  <c:v>25756.622696712489</c:v>
                </c:pt>
                <c:pt idx="66">
                  <c:v>23756.613998226301</c:v>
                </c:pt>
                <c:pt idx="67">
                  <c:v>21822.948648343823</c:v>
                </c:pt>
                <c:pt idx="68">
                  <c:v>19963.907580367777</c:v>
                </c:pt>
                <c:pt idx="69">
                  <c:v>18186.631520034942</c:v>
                </c:pt>
                <c:pt idx="70">
                  <c:v>16497.050444320888</c:v>
                </c:pt>
                <c:pt idx="71">
                  <c:v>14899.842652109752</c:v>
                </c:pt>
                <c:pt idx="72">
                  <c:v>13398.42318584774</c:v>
                </c:pt>
                <c:pt idx="73">
                  <c:v>11994.960396423872</c:v>
                </c:pt>
                <c:pt idx="74">
                  <c:v>10690.418591704854</c:v>
                </c:pt>
                <c:pt idx="75">
                  <c:v>9484.6239841778406</c:v>
                </c:pt>
                <c:pt idx="76">
                  <c:v>8376.3505788220518</c:v>
                </c:pt>
                <c:pt idx="77">
                  <c:v>7363.4222336291587</c:v>
                </c:pt>
                <c:pt idx="78">
                  <c:v>6442.8268880812147</c:v>
                </c:pt>
                <c:pt idx="79">
                  <c:v>5610.8388866081868</c:v>
                </c:pt>
                <c:pt idx="80">
                  <c:v>4863.1454139016951</c:v>
                </c:pt>
                <c:pt idx="81">
                  <c:v>4194.9732895669322</c:v>
                </c:pt>
                <c:pt idx="82">
                  <c:v>3601.2127183506</c:v>
                </c:pt>
                <c:pt idx="83">
                  <c:v>3076.5350329534213</c:v>
                </c:pt>
                <c:pt idx="84">
                  <c:v>2615.5019712747808</c:v>
                </c:pt>
                <c:pt idx="85">
                  <c:v>2212.6645707419325</c:v>
                </c:pt>
                <c:pt idx="86">
                  <c:v>1862.650312389402</c:v>
                </c:pt>
                <c:pt idx="87">
                  <c:v>1560.23768241671</c:v>
                </c:pt>
                <c:pt idx="88">
                  <c:v>1300.4178184690697</c:v>
                </c:pt>
                <c:pt idx="89">
                  <c:v>1078.4433554719524</c:v>
                </c:pt>
                <c:pt idx="90">
                  <c:v>889.86496965349249</c:v>
                </c:pt>
                <c:pt idx="91">
                  <c:v>730.5564321163597</c:v>
                </c:pt>
                <c:pt idx="92">
                  <c:v>596.72922199747154</c:v>
                </c:pt>
                <c:pt idx="93">
                  <c:v>484.93791477121476</c:v>
                </c:pt>
                <c:pt idx="94">
                  <c:v>392.07765776194555</c:v>
                </c:pt>
                <c:pt idx="95">
                  <c:v>315.37507914393137</c:v>
                </c:pt>
                <c:pt idx="96">
                  <c:v>252.37395715054012</c:v>
                </c:pt>
                <c:pt idx="97">
                  <c:v>200.91691251182797</c:v>
                </c:pt>
                <c:pt idx="98">
                  <c:v>159.12428933589524</c:v>
                </c:pt>
                <c:pt idx="99">
                  <c:v>125.37126763286884</c:v>
                </c:pt>
                <c:pt idx="100">
                  <c:v>98.264113704415806</c:v>
                </c:pt>
                <c:pt idx="101">
                  <c:v>76.616330955131176</c:v>
                </c:pt>
                <c:pt idx="102">
                  <c:v>59.425330366460756</c:v>
                </c:pt>
                <c:pt idx="103">
                  <c:v>45.850102602265331</c:v>
                </c:pt>
                <c:pt idx="104">
                  <c:v>35.190246805009309</c:v>
                </c:pt>
                <c:pt idx="105">
                  <c:v>26.866597585105122</c:v>
                </c:pt>
                <c:pt idx="106">
                  <c:v>20.403593292445002</c:v>
                </c:pt>
                <c:pt idx="107">
                  <c:v>15.413446125389521</c:v>
                </c:pt>
                <c:pt idx="108">
                  <c:v>11.582107854258467</c:v>
                </c:pt>
                <c:pt idx="109">
                  <c:v>8.6569731114509647</c:v>
                </c:pt>
                <c:pt idx="110">
                  <c:v>6.4362240427278099</c:v>
                </c:pt>
                <c:pt idx="111">
                  <c:v>4.7596940193493955</c:v>
                </c:pt>
                <c:pt idx="112">
                  <c:v>3.5011123111306075</c:v>
                </c:pt>
                <c:pt idx="113">
                  <c:v>2.561584306712688</c:v>
                </c:pt>
                <c:pt idx="114">
                  <c:v>1.8641612883932392</c:v>
                </c:pt>
                <c:pt idx="115">
                  <c:v>1.3493583017025939</c:v>
                </c:pt>
                <c:pt idx="116">
                  <c:v>0.97148685903752574</c:v>
                </c:pt>
                <c:pt idx="117">
                  <c:v>0.69567983743529282</c:v>
                </c:pt>
                <c:pt idx="118">
                  <c:v>0.49549794166686151</c:v>
                </c:pt>
                <c:pt idx="119">
                  <c:v>0.35101967931954459</c:v>
                </c:pt>
                <c:pt idx="120">
                  <c:v>0.24732930224114033</c:v>
                </c:pt>
                <c:pt idx="121">
                  <c:v>0.17332914713100814</c:v>
                </c:pt>
                <c:pt idx="122">
                  <c:v>0.12081394540339688</c:v>
                </c:pt>
                <c:pt idx="123">
                  <c:v>8.3754776313062843E-2</c:v>
                </c:pt>
                <c:pt idx="124">
                  <c:v>5.7749315801203405E-2</c:v>
                </c:pt>
                <c:pt idx="125">
                  <c:v>3.960286686349912E-2</c:v>
                </c:pt>
                <c:pt idx="126">
                  <c:v>2.7011380940378565E-2</c:v>
                </c:pt>
                <c:pt idx="127">
                  <c:v>1.8323366222045747E-2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003-419C-A35B-51E0E111B9A1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output'!$AA$3:$AA$130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76334.699442832367</c:v>
                </c:pt>
                <c:pt idx="22">
                  <c:v>76306.235268286313</c:v>
                </c:pt>
                <c:pt idx="23">
                  <c:v>76270.792524878139</c:v>
                </c:pt>
                <c:pt idx="24">
                  <c:v>76226.907706724349</c:v>
                </c:pt>
                <c:pt idx="25">
                  <c:v>76172.874653158986</c:v>
                </c:pt>
                <c:pt idx="26">
                  <c:v>76106.719610185814</c:v>
                </c:pt>
                <c:pt idx="27">
                  <c:v>76026.177197224344</c:v>
                </c:pt>
                <c:pt idx="28">
                  <c:v>75928.668230739713</c:v>
                </c:pt>
                <c:pt idx="29">
                  <c:v>75811.28050017904</c:v>
                </c:pt>
                <c:pt idx="30">
                  <c:v>75670.753719761968</c:v>
                </c:pt>
                <c:pt idx="31">
                  <c:v>75503.469982372859</c:v>
                </c:pt>
                <c:pt idx="32">
                  <c:v>75305.451108694062</c:v>
                </c:pt>
                <c:pt idx="33">
                  <c:v>75072.364305254887</c:v>
                </c:pt>
                <c:pt idx="34">
                  <c:v>74799.537509145724</c:v>
                </c:pt>
                <c:pt idx="35">
                  <c:v>74481.985695805444</c:v>
                </c:pt>
                <c:pt idx="36">
                  <c:v>74114.449252486811</c:v>
                </c:pt>
                <c:pt idx="37">
                  <c:v>73691.445269379226</c:v>
                </c:pt>
                <c:pt idx="38">
                  <c:v>73207.332271985273</c:v>
                </c:pt>
                <c:pt idx="39">
                  <c:v>72656.388515330342</c:v>
                </c:pt>
                <c:pt idx="40">
                  <c:v>72032.903490592027</c:v>
                </c:pt>
                <c:pt idx="41">
                  <c:v>71331.281770212532</c:v>
                </c:pt>
                <c:pt idx="42">
                  <c:v>70546.157755709326</c:v>
                </c:pt>
                <c:pt idx="43">
                  <c:v>69672.519314851321</c:v>
                </c:pt>
                <c:pt idx="44">
                  <c:v>68705.837726989848</c:v>
                </c:pt>
                <c:pt idx="45">
                  <c:v>67642.200825221516</c:v>
                </c:pt>
                <c:pt idx="46">
                  <c:v>66478.445761223993</c:v>
                </c:pt>
                <c:pt idx="47">
                  <c:v>65212.287452390454</c:v>
                </c:pt>
                <c:pt idx="48">
                  <c:v>63842.43852873893</c:v>
                </c:pt>
                <c:pt idx="49">
                  <c:v>62368.716502719741</c:v>
                </c:pt>
                <c:pt idx="50">
                  <c:v>60792.133956749552</c:v>
                </c:pt>
                <c:pt idx="51">
                  <c:v>59114.967792281939</c:v>
                </c:pt>
                <c:pt idx="52">
                  <c:v>57340.80401338535</c:v>
                </c:pt>
                <c:pt idx="53">
                  <c:v>55474.555120884019</c:v>
                </c:pt>
                <c:pt idx="54">
                  <c:v>53522.447954383933</c:v>
                </c:pt>
                <c:pt idx="55">
                  <c:v>51491.980713965153</c:v>
                </c:pt>
                <c:pt idx="56">
                  <c:v>49391.84888759943</c:v>
                </c:pt>
                <c:pt idx="57">
                  <c:v>47231.840864099511</c:v>
                </c:pt>
                <c:pt idx="58">
                  <c:v>45022.705079263265</c:v>
                </c:pt>
                <c:pt idx="59">
                  <c:v>42775.991576804437</c:v>
                </c:pt>
                <c:pt idx="60">
                  <c:v>40503.871817585437</c:v>
                </c:pt>
                <c:pt idx="61">
                  <c:v>38218.941395176516</c:v>
                </c:pt>
                <c:pt idx="62">
                  <c:v>35934.010972767595</c:v>
                </c:pt>
                <c:pt idx="63">
                  <c:v>33661.891213548595</c:v>
                </c:pt>
                <c:pt idx="64">
                  <c:v>31415.177711089767</c:v>
                </c:pt>
                <c:pt idx="65">
                  <c:v>29206.041926253522</c:v>
                </c:pt>
                <c:pt idx="66">
                  <c:v>27046.033902753599</c:v>
                </c:pt>
                <c:pt idx="67">
                  <c:v>24945.90207638788</c:v>
                </c:pt>
                <c:pt idx="68">
                  <c:v>22915.434835969103</c:v>
                </c:pt>
                <c:pt idx="69">
                  <c:v>20963.32766946901</c:v>
                </c:pt>
                <c:pt idx="70">
                  <c:v>19097.078776967683</c:v>
                </c:pt>
                <c:pt idx="71">
                  <c:v>17322.91499807109</c:v>
                </c:pt>
                <c:pt idx="72">
                  <c:v>15645.748833603484</c:v>
                </c:pt>
                <c:pt idx="73">
                  <c:v>14069.166287633292</c:v>
                </c:pt>
                <c:pt idx="74">
                  <c:v>12595.444261614099</c:v>
                </c:pt>
                <c:pt idx="75">
                  <c:v>11225.595337962581</c:v>
                </c:pt>
                <c:pt idx="76">
                  <c:v>9959.4370291290379</c:v>
                </c:pt>
                <c:pt idx="77">
                  <c:v>8795.6819651315091</c:v>
                </c:pt>
                <c:pt idx="78">
                  <c:v>7732.0450633631808</c:v>
                </c:pt>
                <c:pt idx="79">
                  <c:v>6765.3634755017092</c:v>
                </c:pt>
                <c:pt idx="80">
                  <c:v>5891.7250346437067</c:v>
                </c:pt>
                <c:pt idx="81">
                  <c:v>5106.6010201404988</c:v>
                </c:pt>
                <c:pt idx="82">
                  <c:v>4404.9792997610075</c:v>
                </c:pt>
                <c:pt idx="83">
                  <c:v>3781.4942750226905</c:v>
                </c:pt>
                <c:pt idx="84">
                  <c:v>3230.5505183677619</c:v>
                </c:pt>
                <c:pt idx="85">
                  <c:v>2746.4375209738014</c:v>
                </c:pt>
                <c:pt idx="86">
                  <c:v>2323.4335378662186</c:v>
                </c:pt>
                <c:pt idx="87">
                  <c:v>1955.8970945475853</c:v>
                </c:pt>
                <c:pt idx="88">
                  <c:v>1638.3452812073112</c:v>
                </c:pt>
                <c:pt idx="89">
                  <c:v>1365.518485098145</c:v>
                </c:pt>
                <c:pt idx="90">
                  <c:v>1132.4316816589724</c:v>
                </c:pt>
                <c:pt idx="91">
                  <c:v>934.41280798018033</c:v>
                </c:pt>
                <c:pt idx="92">
                  <c:v>767.12907059106453</c:v>
                </c:pt>
                <c:pt idx="93">
                  <c:v>626.60229017398922</c:v>
                </c:pt>
                <c:pt idx="94">
                  <c:v>509.21455961332066</c:v>
                </c:pt>
                <c:pt idx="95">
                  <c:v>411.70559312868642</c:v>
                </c:pt>
                <c:pt idx="96">
                  <c:v>331.16318016721465</c:v>
                </c:pt>
                <c:pt idx="97">
                  <c:v>265.00813719404329</c:v>
                </c:pt>
                <c:pt idx="98">
                  <c:v>210.97508362868791</c:v>
                </c:pt>
                <c:pt idx="99">
                  <c:v>167.09026547488722</c:v>
                </c:pt>
                <c:pt idx="100">
                  <c:v>131.64752206672492</c:v>
                </c:pt>
                <c:pt idx="101">
                  <c:v>103.18334752067013</c:v>
                </c:pt>
                <c:pt idx="102">
                  <c:v>80.451847624477352</c:v>
                </c:pt>
                <c:pt idx="103">
                  <c:v>62.400242403627402</c:v>
                </c:pt>
                <c:pt idx="104">
                  <c:v>48.145420462438103</c:v>
                </c:pt>
                <c:pt idx="105">
                  <c:v>36.951917933558427</c:v>
                </c:pt>
                <c:pt idx="106">
                  <c:v>28.211575628319352</c:v>
                </c:pt>
                <c:pt idx="107">
                  <c:v>21.42502464020248</c:v>
                </c:pt>
                <c:pt idx="108">
                  <c:v>16.185063988174182</c:v>
                </c:pt>
                <c:pt idx="109">
                  <c:v>12.161923765401344</c:v>
                </c:pt>
                <c:pt idx="110">
                  <c:v>9.0903528395209108</c:v>
                </c:pt>
                <c:pt idx="111">
                  <c:v>6.758430082821091</c:v>
                </c:pt>
                <c:pt idx="112">
                  <c:v>4.9979707095095263</c:v>
                </c:pt>
                <c:pt idx="113">
                  <c:v>3.6763827066610162</c:v>
                </c:pt>
                <c:pt idx="114">
                  <c:v>2.6898206655391879</c:v>
                </c:pt>
                <c:pt idx="115">
                  <c:v>1.9574837120442667</c:v>
                </c:pt>
                <c:pt idx="116">
                  <c:v>1.4169089948065463</c:v>
                </c:pt>
                <c:pt idx="117">
                  <c:v>1.0201207990270473</c:v>
                </c:pt>
                <c:pt idx="118">
                  <c:v>0.73050650662901517</c:v>
                </c:pt>
                <c:pt idx="119">
                  <c:v>0.52030323567138581</c:v>
                </c:pt>
                <c:pt idx="120">
                  <c:v>0.3685921970127648</c:v>
                </c:pt>
                <c:pt idx="121">
                  <c:v>0.25971094006870998</c:v>
                </c:pt>
                <c:pt idx="122">
                  <c:v>0.18200623757395645</c:v>
                </c:pt>
                <c:pt idx="123">
                  <c:v>0.1268620541513292</c:v>
                </c:pt>
                <c:pt idx="124">
                  <c:v>8.7947653166879303E-2</c:v>
                </c:pt>
                <c:pt idx="125">
                  <c:v>6.0640324292964357E-2</c:v>
                </c:pt>
                <c:pt idx="126">
                  <c:v>4.1585439692493023E-2</c:v>
                </c:pt>
                <c:pt idx="127">
                  <c:v>2.8363607033266701E-2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003-419C-A35B-51E0E111B9A1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output'!$AB$3:$AB$130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79974.476566552039</c:v>
                </c:pt>
                <c:pt idx="23">
                  <c:v>79944.655168461322</c:v>
                </c:pt>
                <c:pt idx="24">
                  <c:v>79907.52245066929</c:v>
                </c:pt>
                <c:pt idx="25">
                  <c:v>79861.545124673576</c:v>
                </c:pt>
                <c:pt idx="26">
                  <c:v>79804.935676968627</c:v>
                </c:pt>
                <c:pt idx="27">
                  <c:v>79735.626241382532</c:v>
                </c:pt>
                <c:pt idx="28">
                  <c:v>79651.243419873877</c:v>
                </c:pt>
                <c:pt idx="29">
                  <c:v>79549.085048752051</c:v>
                </c:pt>
                <c:pt idx="30">
                  <c:v>79426.100057975273</c:v>
                </c:pt>
                <c:pt idx="31">
                  <c:v>79278.872705415182</c:v>
                </c:pt>
                <c:pt idx="32">
                  <c:v>79103.612575573308</c:v>
                </c:pt>
                <c:pt idx="33">
                  <c:v>78896.151802316192</c:v>
                </c:pt>
                <c:pt idx="34">
                  <c:v>78651.950996710366</c:v>
                </c:pt>
                <c:pt idx="35">
                  <c:v>78366.115323400343</c:v>
                </c:pt>
                <c:pt idx="36">
                  <c:v>78033.422062799145</c:v>
                </c:pt>
                <c:pt idx="37">
                  <c:v>77648.3608142702</c:v>
                </c:pt>
                <c:pt idx="38">
                  <c:v>77205.187232903947</c:v>
                </c:pt>
                <c:pt idx="39">
                  <c:v>76697.990848451795</c:v>
                </c:pt>
                <c:pt idx="40">
                  <c:v>76120.777092745775</c:v>
                </c:pt>
                <c:pt idx="41">
                  <c:v>75467.563169530244</c:v>
                </c:pt>
                <c:pt idx="42">
                  <c:v>74732.486851097943</c:v>
                </c:pt>
                <c:pt idx="43">
                  <c:v>73909.92669748461</c:v>
                </c:pt>
                <c:pt idx="44">
                  <c:v>72994.631588890348</c:v>
                </c:pt>
                <c:pt idx="45">
                  <c:v>71981.856867039998</c:v>
                </c:pt>
                <c:pt idx="46">
                  <c:v>70867.503825806154</c:v>
                </c:pt>
                <c:pt idx="47">
                  <c:v>69648.258806513491</c:v>
                </c:pt>
                <c:pt idx="48">
                  <c:v>68321.727769665842</c:v>
                </c:pt>
                <c:pt idx="49">
                  <c:v>66886.561961142157</c:v>
                </c:pt>
                <c:pt idx="50">
                  <c:v>65342.570192054896</c:v>
                </c:pt>
                <c:pt idx="51">
                  <c:v>63690.813326589603</c:v>
                </c:pt>
                <c:pt idx="52">
                  <c:v>61933.676832996935</c:v>
                </c:pt>
                <c:pt idx="53">
                  <c:v>60074.917702532919</c:v>
                </c:pt>
                <c:pt idx="54">
                  <c:v>58119.68267298417</c:v>
                </c:pt>
                <c:pt idx="55">
                  <c:v>56074.495490979505</c:v>
                </c:pt>
                <c:pt idx="56">
                  <c:v>53947.21188439853</c:v>
                </c:pt>
                <c:pt idx="57">
                  <c:v>51746.941957873962</c:v>
                </c:pt>
                <c:pt idx="58">
                  <c:v>49483.94082837677</c:v>
                </c:pt>
                <c:pt idx="59">
                  <c:v>47169.469436647101</c:v>
                </c:pt>
                <c:pt idx="60">
                  <c:v>44815.628553462469</c:v>
                </c:pt>
                <c:pt idx="61">
                  <c:v>42435.169997047444</c:v>
                </c:pt>
                <c:pt idx="62">
                  <c:v>40041.289941752322</c:v>
                </c:pt>
                <c:pt idx="63">
                  <c:v>37647.409886457201</c:v>
                </c:pt>
                <c:pt idx="64">
                  <c:v>35266.951330042175</c:v>
                </c:pt>
                <c:pt idx="65">
                  <c:v>32913.110446857543</c:v>
                </c:pt>
                <c:pt idx="66">
                  <c:v>30598.639055127878</c:v>
                </c:pt>
                <c:pt idx="67">
                  <c:v>28335.637925630679</c:v>
                </c:pt>
                <c:pt idx="68">
                  <c:v>26135.367999106114</c:v>
                </c:pt>
                <c:pt idx="69">
                  <c:v>24008.084392525143</c:v>
                </c:pt>
                <c:pt idx="70">
                  <c:v>21962.89721052047</c:v>
                </c:pt>
                <c:pt idx="71">
                  <c:v>20007.662180971722</c:v>
                </c:pt>
                <c:pt idx="72">
                  <c:v>18148.90305050771</c:v>
                </c:pt>
                <c:pt idx="73">
                  <c:v>16391.766556915041</c:v>
                </c:pt>
                <c:pt idx="74">
                  <c:v>14740.009691449748</c:v>
                </c:pt>
                <c:pt idx="75">
                  <c:v>13196.01792236248</c:v>
                </c:pt>
                <c:pt idx="76">
                  <c:v>11760.852113838797</c:v>
                </c:pt>
                <c:pt idx="77">
                  <c:v>10434.321076991158</c:v>
                </c:pt>
                <c:pt idx="78">
                  <c:v>9215.0760576984849</c:v>
                </c:pt>
                <c:pt idx="79">
                  <c:v>8100.7230164646453</c:v>
                </c:pt>
                <c:pt idx="80">
                  <c:v>7087.9482946142962</c:v>
                </c:pt>
                <c:pt idx="81">
                  <c:v>6172.6531860200375</c:v>
                </c:pt>
                <c:pt idx="82">
                  <c:v>5350.0930324067003</c:v>
                </c:pt>
                <c:pt idx="83">
                  <c:v>4615.0167139743971</c:v>
                </c:pt>
                <c:pt idx="84">
                  <c:v>3961.8027907588707</c:v>
                </c:pt>
                <c:pt idx="85">
                  <c:v>3384.5890350528475</c:v>
                </c:pt>
                <c:pt idx="86">
                  <c:v>2877.3926506006915</c:v>
                </c:pt>
                <c:pt idx="87">
                  <c:v>2434.2190692344516</c:v>
                </c:pt>
                <c:pt idx="88">
                  <c:v>2049.1578207054918</c:v>
                </c:pt>
                <c:pt idx="89">
                  <c:v>1716.4645601043003</c:v>
                </c:pt>
                <c:pt idx="90">
                  <c:v>1430.6288867942803</c:v>
                </c:pt>
                <c:pt idx="91">
                  <c:v>1186.4280811884494</c:v>
                </c:pt>
                <c:pt idx="92">
                  <c:v>978.96730793133304</c:v>
                </c:pt>
                <c:pt idx="93">
                  <c:v>803.70717808946085</c:v>
                </c:pt>
                <c:pt idx="94">
                  <c:v>656.47982552937071</c:v>
                </c:pt>
                <c:pt idx="95">
                  <c:v>533.49483475259206</c:v>
                </c:pt>
                <c:pt idx="96">
                  <c:v>431.33646363076372</c:v>
                </c:pt>
                <c:pt idx="97">
                  <c:v>346.95364212211615</c:v>
                </c:pt>
                <c:pt idx="98">
                  <c:v>277.6442065360182</c:v>
                </c:pt>
                <c:pt idx="99">
                  <c:v>221.03475883107254</c:v>
                </c:pt>
                <c:pt idx="100">
                  <c:v>175.05743283535097</c:v>
                </c:pt>
                <c:pt idx="101">
                  <c:v>137.92471504331743</c:v>
                </c:pt>
                <c:pt idx="102">
                  <c:v>108.10331695260344</c:v>
                </c:pt>
                <c:pt idx="103">
                  <c:v>84.287937851882432</c:v>
                </c:pt>
                <c:pt idx="104">
                  <c:v>65.375599305181453</c:v>
                </c:pt>
                <c:pt idx="105">
                  <c:v>50.441081561389375</c:v>
                </c:pt>
                <c:pt idx="106">
                  <c:v>38.713852500063908</c:v>
                </c:pt>
                <c:pt idx="107">
                  <c:v>29.556754797760441</c:v>
                </c:pt>
                <c:pt idx="108">
                  <c:v>22.44660873144451</c:v>
                </c:pt>
                <c:pt idx="109">
                  <c:v>16.956797237667274</c:v>
                </c:pt>
                <c:pt idx="110">
                  <c:v>12.741826381444028</c:v>
                </c:pt>
                <c:pt idx="111">
                  <c:v>9.5237973746187059</c:v>
                </c:pt>
                <c:pt idx="112">
                  <c:v>7.0806843051768569</c:v>
                </c:pt>
                <c:pt idx="113">
                  <c:v>5.2362830312488367</c:v>
                </c:pt>
                <c:pt idx="114">
                  <c:v>3.8516793118931449</c:v>
                </c:pt>
                <c:pt idx="115">
                  <c:v>2.8180762006601459</c:v>
                </c:pt>
                <c:pt idx="116">
                  <c:v>2.0508200910063459</c:v>
                </c:pt>
                <c:pt idx="117">
                  <c:v>1.484469789351258</c:v>
                </c:pt>
                <c:pt idx="118">
                  <c:v>1.0687620116712393</c:v>
                </c:pt>
                <c:pt idx="119">
                  <c:v>0.76533838375650576</c:v>
                </c:pt>
                <c:pt idx="120">
                  <c:v>0.5451122390265678</c:v>
                </c:pt>
                <c:pt idx="121">
                  <c:v>0.3861673424768976</c:v>
                </c:pt>
                <c:pt idx="122">
                  <c:v>0.27209442942992451</c:v>
                </c:pt>
                <c:pt idx="123">
                  <c:v>0.1906846255774633</c:v>
                </c:pt>
                <c:pt idx="124">
                  <c:v>0.13291106732539565</c:v>
                </c:pt>
                <c:pt idx="125">
                  <c:v>9.2141157017921166E-2</c:v>
                </c:pt>
                <c:pt idx="126">
                  <c:v>6.3531765102288182E-2</c:v>
                </c:pt>
                <c:pt idx="127">
                  <c:v>4.3568308992789621E-2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003-419C-A35B-51E0E111B9A1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output'!$AC$3:$AC$130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83954.242771997539</c:v>
                </c:pt>
                <c:pt idx="24">
                  <c:v>83922.937373042863</c:v>
                </c:pt>
                <c:pt idx="25">
                  <c:v>83883.956821520245</c:v>
                </c:pt>
                <c:pt idx="26">
                  <c:v>83835.691527961986</c:v>
                </c:pt>
                <c:pt idx="27">
                  <c:v>83776.26502691007</c:v>
                </c:pt>
                <c:pt idx="28">
                  <c:v>83703.506549063153</c:v>
                </c:pt>
                <c:pt idx="29">
                  <c:v>83614.924589082118</c:v>
                </c:pt>
                <c:pt idx="30">
                  <c:v>83507.682515628636</c:v>
                </c:pt>
                <c:pt idx="31">
                  <c:v>83378.577428402539</c:v>
                </c:pt>
                <c:pt idx="32">
                  <c:v>83224.023607856783</c:v>
                </c:pt>
                <c:pt idx="33">
                  <c:v>83040.042016220454</c:v>
                </c:pt>
                <c:pt idx="34">
                  <c:v>82822.257382029071</c:v>
                </c:pt>
                <c:pt idx="35">
                  <c:v>82565.904422946071</c:v>
                </c:pt>
                <c:pt idx="36">
                  <c:v>82265.844722148933</c:v>
                </c:pt>
                <c:pt idx="37">
                  <c:v>81916.595662095686</c:v>
                </c:pt>
                <c:pt idx="38">
                  <c:v>81512.372628335812</c:v>
                </c:pt>
                <c:pt idx="39">
                  <c:v>81047.145420387853</c:v>
                </c:pt>
                <c:pt idx="40">
                  <c:v>80514.709445543544</c:v>
                </c:pt>
                <c:pt idx="41">
                  <c:v>79908.77182821442</c:v>
                </c:pt>
                <c:pt idx="42">
                  <c:v>79223.052050529484</c:v>
                </c:pt>
                <c:pt idx="43">
                  <c:v>78451.396163013211</c:v>
                </c:pt>
                <c:pt idx="44">
                  <c:v>77587.902986242523</c:v>
                </c:pt>
                <c:pt idx="45">
                  <c:v>76627.060089184</c:v>
                </c:pt>
                <c:pt idx="46">
                  <c:v>75563.886705350596</c:v>
                </c:pt>
                <c:pt idx="47">
                  <c:v>74394.080164890067</c:v>
                </c:pt>
                <c:pt idx="48">
                  <c:v>73114.16191168256</c:v>
                </c:pt>
                <c:pt idx="49">
                  <c:v>71721.618771754424</c:v>
                </c:pt>
                <c:pt idx="50">
                  <c:v>70215.034872995151</c:v>
                </c:pt>
                <c:pt idx="51">
                  <c:v>68594.209512393398</c:v>
                </c:pt>
                <c:pt idx="52">
                  <c:v>66860.256345870468</c:v>
                </c:pt>
                <c:pt idx="53">
                  <c:v>65015.679549624045</c:v>
                </c:pt>
                <c:pt idx="54">
                  <c:v>63064.423073893529</c:v>
                </c:pt>
                <c:pt idx="55">
                  <c:v>61011.889773341703</c:v>
                </c:pt>
                <c:pt idx="56">
                  <c:v>58864.928035501347</c:v>
                </c:pt>
                <c:pt idx="57">
                  <c:v>56631.784512477854</c:v>
                </c:pt>
                <c:pt idx="58">
                  <c:v>54322.022654622509</c:v>
                </c:pt>
                <c:pt idx="59">
                  <c:v>51946.407903821222</c:v>
                </c:pt>
                <c:pt idx="60">
                  <c:v>49516.761578491198</c:v>
                </c:pt>
                <c:pt idx="61">
                  <c:v>47045.786619510545</c:v>
                </c:pt>
                <c:pt idx="62">
                  <c:v>44546.869413248642</c:v>
                </c:pt>
                <c:pt idx="63">
                  <c:v>42033.86281467411</c:v>
                </c:pt>
                <c:pt idx="64">
                  <c:v>39520.856216099579</c:v>
                </c:pt>
                <c:pt idx="65">
                  <c:v>37021.939009837675</c:v>
                </c:pt>
                <c:pt idx="66">
                  <c:v>34550.964050857023</c:v>
                </c:pt>
                <c:pt idx="67">
                  <c:v>32121.317725526995</c:v>
                </c:pt>
                <c:pt idx="68">
                  <c:v>29745.702974725715</c:v>
                </c:pt>
                <c:pt idx="69">
                  <c:v>27435.941116870363</c:v>
                </c:pt>
                <c:pt idx="70">
                  <c:v>25202.797593846873</c:v>
                </c:pt>
                <c:pt idx="71">
                  <c:v>23055.835856006513</c:v>
                </c:pt>
                <c:pt idx="72">
                  <c:v>21003.302555454691</c:v>
                </c:pt>
                <c:pt idx="73">
                  <c:v>19052.046079724179</c:v>
                </c:pt>
                <c:pt idx="74">
                  <c:v>17207.469283477752</c:v>
                </c:pt>
                <c:pt idx="75">
                  <c:v>15473.516116954823</c:v>
                </c:pt>
                <c:pt idx="76">
                  <c:v>13852.690756353066</c:v>
                </c:pt>
                <c:pt idx="77">
                  <c:v>12346.106857593801</c:v>
                </c:pt>
                <c:pt idx="78">
                  <c:v>10953.563717665655</c:v>
                </c:pt>
                <c:pt idx="79">
                  <c:v>9673.6454644581481</c:v>
                </c:pt>
                <c:pt idx="80">
                  <c:v>8503.8389239976241</c:v>
                </c:pt>
                <c:pt idx="81">
                  <c:v>7440.6655401642183</c:v>
                </c:pt>
                <c:pt idx="82">
                  <c:v>6479.8226431057028</c:v>
                </c:pt>
                <c:pt idx="83">
                  <c:v>5616.3294663350061</c:v>
                </c:pt>
                <c:pt idx="84">
                  <c:v>4844.673578818737</c:v>
                </c:pt>
                <c:pt idx="85">
                  <c:v>4158.9538011338</c:v>
                </c:pt>
                <c:pt idx="86">
                  <c:v>3553.0161838046815</c:v>
                </c:pt>
                <c:pt idx="87">
                  <c:v>3020.5802089603699</c:v>
                </c:pt>
                <c:pt idx="88">
                  <c:v>2555.3530010124055</c:v>
                </c:pt>
                <c:pt idx="89">
                  <c:v>2151.129967252542</c:v>
                </c:pt>
                <c:pt idx="90">
                  <c:v>1801.8809071992805</c:v>
                </c:pt>
                <c:pt idx="91">
                  <c:v>1501.8212064021493</c:v>
                </c:pt>
                <c:pt idx="92">
                  <c:v>1245.4682473191535</c:v>
                </c:pt>
                <c:pt idx="93">
                  <c:v>1027.6836131277655</c:v>
                </c:pt>
                <c:pt idx="94">
                  <c:v>843.70202149143893</c:v>
                </c:pt>
                <c:pt idx="95">
                  <c:v>689.14820094567494</c:v>
                </c:pt>
                <c:pt idx="96">
                  <c:v>560.04311371958545</c:v>
                </c:pt>
                <c:pt idx="97">
                  <c:v>452.8010402661053</c:v>
                </c:pt>
                <c:pt idx="98">
                  <c:v>364.21908028506283</c:v>
                </c:pt>
                <c:pt idx="99">
                  <c:v>291.46060243815668</c:v>
                </c:pt>
                <c:pt idx="100">
                  <c:v>232.03410138622723</c:v>
                </c:pt>
                <c:pt idx="101">
                  <c:v>183.76880782797645</c:v>
                </c:pt>
                <c:pt idx="102">
                  <c:v>144.78825630536386</c:v>
                </c:pt>
                <c:pt idx="103">
                  <c:v>113.48285735067677</c:v>
                </c:pt>
                <c:pt idx="104">
                  <c:v>88.482354633222243</c:v>
                </c:pt>
                <c:pt idx="105">
                  <c:v>68.628882251759975</c:v>
                </c:pt>
                <c:pt idx="106">
                  <c:v>52.95117878718473</c:v>
                </c:pt>
                <c:pt idx="107">
                  <c:v>40.640368164522712</c:v>
                </c:pt>
                <c:pt idx="108">
                  <c:v>31.027586229697096</c:v>
                </c:pt>
                <c:pt idx="109">
                  <c:v>23.563618291137239</c:v>
                </c:pt>
                <c:pt idx="110">
                  <c:v>17.800617560053528</c:v>
                </c:pt>
                <c:pt idx="111">
                  <c:v>13.375897302637568</c:v>
                </c:pt>
                <c:pt idx="112">
                  <c:v>9.9977296660976869</c:v>
                </c:pt>
                <c:pt idx="113">
                  <c:v>7.4330400731539221</c:v>
                </c:pt>
                <c:pt idx="114">
                  <c:v>5.4968559433149782</c:v>
                </c:pt>
                <c:pt idx="115">
                  <c:v>4.0433502526454719</c:v>
                </c:pt>
                <c:pt idx="116">
                  <c:v>2.9583119972448793</c:v>
                </c:pt>
                <c:pt idx="117">
                  <c:v>2.1528749570340562</c:v>
                </c:pt>
                <c:pt idx="118">
                  <c:v>1.5583413913210269</c:v>
                </c:pt>
                <c:pt idx="119">
                  <c:v>1.1219467665870604</c:v>
                </c:pt>
                <c:pt idx="120">
                  <c:v>0.80342388260775188</c:v>
                </c:pt>
                <c:pt idx="121">
                  <c:v>0.57223863434904731</c:v>
                </c:pt>
                <c:pt idx="122">
                  <c:v>0.40538417021014744</c:v>
                </c:pt>
                <c:pt idx="123">
                  <c:v>0.28563465202874405</c:v>
                </c:pt>
                <c:pt idx="124">
                  <c:v>0.20017365584501001</c:v>
                </c:pt>
                <c:pt idx="125">
                  <c:v>0.13952511466625098</c:v>
                </c:pt>
                <c:pt idx="126">
                  <c:v>9.6726373184049044E-2</c:v>
                </c:pt>
                <c:pt idx="127">
                  <c:v>6.6693293412085644E-2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003-419C-A35B-51E0E111B9A1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output'!$AD$3:$AD$130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88682.053868154981</c:v>
                </c:pt>
                <c:pt idx="25">
                  <c:v>88648.985532537889</c:v>
                </c:pt>
                <c:pt idx="26">
                  <c:v>88607.809824726108</c:v>
                </c:pt>
                <c:pt idx="27">
                  <c:v>88556.826512603104</c:v>
                </c:pt>
                <c:pt idx="28">
                  <c:v>88494.053459169751</c:v>
                </c:pt>
                <c:pt idx="29">
                  <c:v>88417.197650115442</c:v>
                </c:pt>
                <c:pt idx="30">
                  <c:v>88323.627273117105</c:v>
                </c:pt>
                <c:pt idx="31">
                  <c:v>88210.345954378252</c:v>
                </c:pt>
                <c:pt idx="32">
                  <c:v>88073.970425018386</c:v>
                </c:pt>
                <c:pt idx="33">
                  <c:v>87910.713038772985</c:v>
                </c:pt>
                <c:pt idx="34">
                  <c:v>87716.370681775588</c:v>
                </c:pt>
                <c:pt idx="35">
                  <c:v>87486.321692905913</c:v>
                </c:pt>
                <c:pt idx="36">
                  <c:v>87215.532437044254</c:v>
                </c:pt>
                <c:pt idx="37">
                  <c:v>86898.575131836682</c:v>
                </c:pt>
                <c:pt idx="38">
                  <c:v>86529.658410841905</c:v>
                </c:pt>
                <c:pt idx="39">
                  <c:v>86102.671904013463</c:v>
                </c:pt>
                <c:pt idx="40">
                  <c:v>85611.245825307487</c:v>
                </c:pt>
                <c:pt idx="41">
                  <c:v>85048.826175704788</c:v>
                </c:pt>
                <c:pt idx="42">
                  <c:v>84408.76570173139</c:v>
                </c:pt>
                <c:pt idx="43">
                  <c:v>83684.430203545009</c:v>
                </c:pt>
                <c:pt idx="44">
                  <c:v>82869.319177289392</c:v>
                </c:pt>
                <c:pt idx="45">
                  <c:v>81957.199123689134</c:v>
                </c:pt>
                <c:pt idx="46">
                  <c:v>80942.247183890344</c:v>
                </c:pt>
                <c:pt idx="47">
                  <c:v>79819.202103817865</c:v>
                </c:pt>
                <c:pt idx="48">
                  <c:v>78583.518912461121</c:v>
                </c:pt>
                <c:pt idx="49">
                  <c:v>77231.523161799167</c:v>
                </c:pt>
                <c:pt idx="50">
                  <c:v>75760.560150623889</c:v>
                </c:pt>
                <c:pt idx="51">
                  <c:v>74169.134273202624</c:v>
                </c:pt>
                <c:pt idx="52">
                  <c:v>72457.033524106242</c:v>
                </c:pt>
                <c:pt idx="53">
                  <c:v>70625.434273833045</c:v>
                </c:pt>
                <c:pt idx="54">
                  <c:v>68676.981719113144</c:v>
                </c:pt>
                <c:pt idx="55">
                  <c:v>66615.841910357252</c:v>
                </c:pt>
                <c:pt idx="56">
                  <c:v>64447.721959349481</c:v>
                </c:pt>
                <c:pt idx="57">
                  <c:v>62179.855914686254</c:v>
                </c:pt>
                <c:pt idx="58">
                  <c:v>59820.954831605486</c:v>
                </c:pt>
                <c:pt idx="59">
                  <c:v>57381.120717953527</c:v>
                </c:pt>
                <c:pt idx="60">
                  <c:v>54871.72526223259</c:v>
                </c:pt>
                <c:pt idx="61">
                  <c:v>52305.255490256401</c:v>
                </c:pt>
                <c:pt idx="62">
                  <c:v>49695.129698111516</c:v>
                </c:pt>
                <c:pt idx="63">
                  <c:v>47055.488115021755</c:v>
                </c:pt>
                <c:pt idx="64">
                  <c:v>44400.963707588846</c:v>
                </c:pt>
                <c:pt idx="65">
                  <c:v>41746.439300155937</c:v>
                </c:pt>
                <c:pt idx="66">
                  <c:v>39106.797717066176</c:v>
                </c:pt>
                <c:pt idx="67">
                  <c:v>36496.671924921291</c:v>
                </c:pt>
                <c:pt idx="68">
                  <c:v>33930.202152945101</c:v>
                </c:pt>
                <c:pt idx="69">
                  <c:v>31420.806697224161</c:v>
                </c:pt>
                <c:pt idx="70">
                  <c:v>28980.972583572206</c:v>
                </c:pt>
                <c:pt idx="71">
                  <c:v>26622.071500491442</c:v>
                </c:pt>
                <c:pt idx="72">
                  <c:v>24354.205455828211</c:v>
                </c:pt>
                <c:pt idx="73">
                  <c:v>22186.085504820432</c:v>
                </c:pt>
                <c:pt idx="74">
                  <c:v>20124.945696064555</c:v>
                </c:pt>
                <c:pt idx="75">
                  <c:v>18176.493141344643</c:v>
                </c:pt>
                <c:pt idx="76">
                  <c:v>16344.893891071448</c:v>
                </c:pt>
                <c:pt idx="77">
                  <c:v>14632.793141975064</c:v>
                </c:pt>
                <c:pt idx="78">
                  <c:v>13041.367264553797</c:v>
                </c:pt>
                <c:pt idx="79">
                  <c:v>11570.404253378525</c:v>
                </c:pt>
                <c:pt idx="80">
                  <c:v>10218.408502716567</c:v>
                </c:pt>
                <c:pt idx="81">
                  <c:v>8982.7253113598308</c:v>
                </c:pt>
                <c:pt idx="82">
                  <c:v>7859.6802312873469</c:v>
                </c:pt>
                <c:pt idx="83">
                  <c:v>6844.7282914885582</c:v>
                </c:pt>
                <c:pt idx="84">
                  <c:v>5932.6082378883029</c:v>
                </c:pt>
                <c:pt idx="85">
                  <c:v>5117.497211632679</c:v>
                </c:pt>
                <c:pt idx="86">
                  <c:v>4393.1617134463022</c:v>
                </c:pt>
                <c:pt idx="87">
                  <c:v>3753.1012394729055</c:v>
                </c:pt>
                <c:pt idx="88">
                  <c:v>3190.6815898702057</c:v>
                </c:pt>
                <c:pt idx="89">
                  <c:v>2699.2555111642246</c:v>
                </c:pt>
                <c:pt idx="90">
                  <c:v>2272.2690043357939</c:v>
                </c:pt>
                <c:pt idx="91">
                  <c:v>1903.3522833410047</c:v>
                </c:pt>
                <c:pt idx="92">
                  <c:v>1586.3949781334443</c:v>
                </c:pt>
                <c:pt idx="93">
                  <c:v>1315.6057222717748</c:v>
                </c:pt>
                <c:pt idx="94">
                  <c:v>1085.5567334021014</c:v>
                </c:pt>
                <c:pt idx="95">
                  <c:v>891.21437640470538</c:v>
                </c:pt>
                <c:pt idx="96">
                  <c:v>727.95699015929938</c:v>
                </c:pt>
                <c:pt idx="97">
                  <c:v>591.58146079944459</c:v>
                </c:pt>
                <c:pt idx="98">
                  <c:v>478.30014206058615</c:v>
                </c:pt>
                <c:pt idx="99">
                  <c:v>384.72976506225109</c:v>
                </c:pt>
                <c:pt idx="100">
                  <c:v>307.87395600793553</c:v>
                </c:pt>
                <c:pt idx="101">
                  <c:v>245.10090257458396</c:v>
                </c:pt>
                <c:pt idx="102">
                  <c:v>194.11759045158107</c:v>
                </c:pt>
                <c:pt idx="103">
                  <c:v>152.94188263980456</c:v>
                </c:pt>
                <c:pt idx="104">
                  <c:v>119.87354702270768</c:v>
                </c:pt>
                <c:pt idx="105">
                  <c:v>93.465162460876385</c:v>
                </c:pt>
                <c:pt idx="106">
                  <c:v>72.493658829019239</c:v>
                </c:pt>
                <c:pt idx="107">
                  <c:v>55.933078955167289</c:v>
                </c:pt>
                <c:pt idx="108">
                  <c:v>42.928995602709094</c:v>
                </c:pt>
                <c:pt idx="109">
                  <c:v>32.774878107037118</c:v>
                </c:pt>
                <c:pt idx="110">
                  <c:v>24.890583222796597</c:v>
                </c:pt>
                <c:pt idx="111">
                  <c:v>18.80304405382147</c:v>
                </c:pt>
                <c:pt idx="112">
                  <c:v>14.129149474302265</c:v>
                </c:pt>
                <c:pt idx="113">
                  <c:v>10.560743227903343</c:v>
                </c:pt>
                <c:pt idx="114">
                  <c:v>7.8516253426498128</c:v>
                </c:pt>
                <c:pt idx="115">
                  <c:v>5.8064066660028333</c:v>
                </c:pt>
                <c:pt idx="116">
                  <c:v>4.2710480503854136</c:v>
                </c:pt>
                <c:pt idx="117">
                  <c:v>3.1249067972772497</c:v>
                </c:pt>
                <c:pt idx="118">
                  <c:v>2.2741122617185554</c:v>
                </c:pt>
                <c:pt idx="119">
                  <c:v>1.6460980487361585</c:v>
                </c:pt>
                <c:pt idx="120">
                  <c:v>1.1851282354113792</c:v>
                </c:pt>
                <c:pt idx="121">
                  <c:v>0.84866800871376169</c:v>
                </c:pt>
                <c:pt idx="122">
                  <c:v>0.604463761701727</c:v>
                </c:pt>
                <c:pt idx="123">
                  <c:v>0.42821303168092684</c:v>
                </c:pt>
                <c:pt idx="124">
                  <c:v>0.30171992220354682</c:v>
                </c:pt>
                <c:pt idx="125">
                  <c:v>0.21144626339901559</c:v>
                </c:pt>
                <c:pt idx="126">
                  <c:v>0.14738235169837108</c:v>
                </c:pt>
                <c:pt idx="127">
                  <c:v>0.1021734358378396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003-419C-A35B-51E0E111B9A1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output'!$AE$3:$AE$130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93340.901029809043</c:v>
                </c:pt>
                <c:pt idx="26">
                  <c:v>93306.095473245761</c:v>
                </c:pt>
                <c:pt idx="27">
                  <c:v>93262.756629589683</c:v>
                </c:pt>
                <c:pt idx="28">
                  <c:v>93209.094946267374</c:v>
                </c:pt>
                <c:pt idx="29">
                  <c:v>93143.024156154963</c:v>
                </c:pt>
                <c:pt idx="30">
                  <c:v>93062.130783103741</c:v>
                </c:pt>
                <c:pt idx="31">
                  <c:v>92963.644754445588</c:v>
                </c:pt>
                <c:pt idx="32">
                  <c:v>92844.412284067192</c:v>
                </c:pt>
                <c:pt idx="33">
                  <c:v>92700.872365519623</c:v>
                </c:pt>
                <c:pt idx="34">
                  <c:v>92529.038371298273</c:v>
                </c:pt>
                <c:pt idx="35">
                  <c:v>92324.486380008544</c:v>
                </c:pt>
                <c:pt idx="36">
                  <c:v>92082.351934926613</c:v>
                </c:pt>
                <c:pt idx="37">
                  <c:v>91797.336962574962</c:v>
                </c:pt>
                <c:pt idx="38">
                  <c:v>91463.728536003808</c:v>
                </c:pt>
                <c:pt idx="39">
                  <c:v>91075.431043550474</c:v>
                </c:pt>
                <c:pt idx="40">
                  <c:v>90626.013111324966</c:v>
                </c:pt>
                <c:pt idx="41">
                  <c:v>90108.770321209187</c:v>
                </c:pt>
                <c:pt idx="42">
                  <c:v>89516.804364615164</c:v>
                </c:pt>
                <c:pt idx="43">
                  <c:v>88843.118779445183</c:v>
                </c:pt>
                <c:pt idx="44">
                  <c:v>88080.730842996301</c:v>
                </c:pt>
                <c:pt idx="45">
                  <c:v>87222.79855217287</c:v>
                </c:pt>
                <c:pt idx="46">
                  <c:v>86262.760935351529</c:v>
                </c:pt>
                <c:pt idx="47">
                  <c:v>85194.489234026056</c:v>
                </c:pt>
                <c:pt idx="48">
                  <c:v>84012.445797967317</c:v>
                </c:pt>
                <c:pt idx="49">
                  <c:v>82711.846889420325</c:v>
                </c:pt>
                <c:pt idx="50">
                  <c:v>81288.825025911414</c:v>
                </c:pt>
                <c:pt idx="51">
                  <c:v>79740.586043436459</c:v>
                </c:pt>
                <c:pt idx="52">
                  <c:v>78065.555765704063</c:v>
                </c:pt>
                <c:pt idx="53">
                  <c:v>76263.511049734152</c:v>
                </c:pt>
                <c:pt idx="54">
                  <c:v>74335.690065793067</c:v>
                </c:pt>
                <c:pt idx="55">
                  <c:v>72284.876974096085</c:v>
                </c:pt>
                <c:pt idx="56">
                  <c:v>70115.456685480429</c:v>
                </c:pt>
                <c:pt idx="57">
                  <c:v>67833.43613069439</c:v>
                </c:pt>
                <c:pt idx="58">
                  <c:v>65446.429393812883</c:v>
                </c:pt>
                <c:pt idx="59">
                  <c:v>62963.605159021266</c:v>
                </c:pt>
                <c:pt idx="60">
                  <c:v>60395.596135796361</c:v>
                </c:pt>
                <c:pt idx="61">
                  <c:v>57754.371416020105</c:v>
                </c:pt>
                <c:pt idx="62">
                  <c:v>55053.074022319925</c:v>
                </c:pt>
                <c:pt idx="63">
                  <c:v>52305.827171202116</c:v>
                </c:pt>
                <c:pt idx="64">
                  <c:v>49527.513938542259</c:v>
                </c:pt>
                <c:pt idx="65">
                  <c:v>46733.536023193345</c:v>
                </c:pt>
                <c:pt idx="66">
                  <c:v>43939.55810784443</c:v>
                </c:pt>
                <c:pt idx="67">
                  <c:v>41161.244875184573</c:v>
                </c:pt>
                <c:pt idx="68">
                  <c:v>38413.998024066765</c:v>
                </c:pt>
                <c:pt idx="69">
                  <c:v>35712.700630366584</c:v>
                </c:pt>
                <c:pt idx="70">
                  <c:v>33071.475910590329</c:v>
                </c:pt>
                <c:pt idx="71">
                  <c:v>30503.466887365426</c:v>
                </c:pt>
                <c:pt idx="72">
                  <c:v>28020.642652573806</c:v>
                </c:pt>
                <c:pt idx="73">
                  <c:v>25633.635915692295</c:v>
                </c:pt>
                <c:pt idx="74">
                  <c:v>23351.615360906268</c:v>
                </c:pt>
                <c:pt idx="75">
                  <c:v>21182.195072290611</c:v>
                </c:pt>
                <c:pt idx="76">
                  <c:v>19131.381980593622</c:v>
                </c:pt>
                <c:pt idx="77">
                  <c:v>17203.560996652537</c:v>
                </c:pt>
                <c:pt idx="78">
                  <c:v>15401.516280682628</c:v>
                </c:pt>
                <c:pt idx="79">
                  <c:v>13726.486002950227</c:v>
                </c:pt>
                <c:pt idx="80">
                  <c:v>12178.247020475277</c:v>
                </c:pt>
                <c:pt idx="81">
                  <c:v>10755.225156966359</c:v>
                </c:pt>
                <c:pt idx="82">
                  <c:v>9454.6262484193685</c:v>
                </c:pt>
                <c:pt idx="83">
                  <c:v>8272.5828123606352</c:v>
                </c:pt>
                <c:pt idx="84">
                  <c:v>7204.3111110351583</c:v>
                </c:pt>
                <c:pt idx="85">
                  <c:v>6244.273494213815</c:v>
                </c:pt>
                <c:pt idx="86">
                  <c:v>5386.3412033903942</c:v>
                </c:pt>
                <c:pt idx="87">
                  <c:v>4623.953266941503</c:v>
                </c:pt>
                <c:pt idx="88">
                  <c:v>3950.2676817715255</c:v>
                </c:pt>
                <c:pt idx="89">
                  <c:v>3358.3017251774972</c:v>
                </c:pt>
                <c:pt idx="90">
                  <c:v>2841.0589350617201</c:v>
                </c:pt>
                <c:pt idx="91">
                  <c:v>2391.6410028362225</c:v>
                </c:pt>
                <c:pt idx="92">
                  <c:v>2003.3435103828858</c:v>
                </c:pt>
                <c:pt idx="93">
                  <c:v>1669.7350838117275</c:v>
                </c:pt>
                <c:pt idx="94">
                  <c:v>1384.7201114600775</c:v>
                </c:pt>
                <c:pt idx="95">
                  <c:v>1142.5856663781442</c:v>
                </c:pt>
                <c:pt idx="96">
                  <c:v>938.03367508841927</c:v>
                </c:pt>
                <c:pt idx="97">
                  <c:v>766.19968086707195</c:v>
                </c:pt>
                <c:pt idx="98">
                  <c:v>622.65976231950378</c:v>
                </c:pt>
                <c:pt idx="99">
                  <c:v>503.42729194110859</c:v>
                </c:pt>
                <c:pt idx="100">
                  <c:v>404.94126328294959</c:v>
                </c:pt>
                <c:pt idx="101">
                  <c:v>324.04789023173271</c:v>
                </c:pt>
                <c:pt idx="102">
                  <c:v>257.97710011931053</c:v>
                </c:pt>
                <c:pt idx="103">
                  <c:v>204.31541679699936</c:v>
                </c:pt>
                <c:pt idx="104">
                  <c:v>160.97657314092686</c:v>
                </c:pt>
                <c:pt idx="105">
                  <c:v>126.17101657764645</c:v>
                </c:pt>
                <c:pt idx="106">
                  <c:v>98.375286751544763</c:v>
                </c:pt>
                <c:pt idx="107">
                  <c:v>76.302060438386704</c:v>
                </c:pt>
                <c:pt idx="108">
                  <c:v>58.871482552813639</c:v>
                </c:pt>
                <c:pt idx="109">
                  <c:v>45.1842391451476</c:v>
                </c:pt>
                <c:pt idx="110">
                  <c:v>34.496682476493184</c:v>
                </c:pt>
                <c:pt idx="111">
                  <c:v>26.198191898299783</c:v>
                </c:pt>
                <c:pt idx="112">
                  <c:v>19.790848289285385</c:v>
                </c:pt>
                <c:pt idx="113">
                  <c:v>14.871414059455004</c:v>
                </c:pt>
                <c:pt idx="114">
                  <c:v>11.11554418780694</c:v>
                </c:pt>
                <c:pt idx="115">
                  <c:v>8.2641047660104689</c:v>
                </c:pt>
                <c:pt idx="116">
                  <c:v>6.1114420145924582</c:v>
                </c:pt>
                <c:pt idx="117">
                  <c:v>4.4954244514598525</c:v>
                </c:pt>
                <c:pt idx="118">
                  <c:v>3.2890715017232348</c:v>
                </c:pt>
                <c:pt idx="119">
                  <c:v>2.3935810944041576</c:v>
                </c:pt>
                <c:pt idx="120">
                  <c:v>1.732574611779683</c:v>
                </c:pt>
                <c:pt idx="121">
                  <c:v>1.2473880847823811</c:v>
                </c:pt>
                <c:pt idx="122">
                  <c:v>0.89325216493392445</c:v>
                </c:pt>
                <c:pt idx="123">
                  <c:v>0.63621882552460107</c:v>
                </c:pt>
                <c:pt idx="124">
                  <c:v>0.45070889166851724</c:v>
                </c:pt>
                <c:pt idx="125">
                  <c:v>0.31757055874002471</c:v>
                </c:pt>
                <c:pt idx="126">
                  <c:v>0.22255443896679641</c:v>
                </c:pt>
                <c:pt idx="127">
                  <c:v>0.15512497628743036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003-419C-A35B-51E0E111B9A1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output'!$AF$3:$AF$130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97067.882743291717</c:v>
                </c:pt>
                <c:pt idx="27">
                  <c:v>97031.6874457745</c:v>
                </c:pt>
                <c:pt idx="28">
                  <c:v>96986.618138023827</c:v>
                </c:pt>
                <c:pt idx="29">
                  <c:v>96930.813812941575</c:v>
                </c:pt>
                <c:pt idx="30">
                  <c:v>96862.104901450133</c:v>
                </c:pt>
                <c:pt idx="31">
                  <c:v>96777.981560412984</c:v>
                </c:pt>
                <c:pt idx="32">
                  <c:v>96675.563111735377</c:v>
                </c:pt>
                <c:pt idx="33">
                  <c:v>96551.569842694764</c:v>
                </c:pt>
                <c:pt idx="34">
                  <c:v>96402.298560450465</c:v>
                </c:pt>
                <c:pt idx="35">
                  <c:v>96223.603456606739</c:v>
                </c:pt>
                <c:pt idx="36">
                  <c:v>96010.883968297145</c:v>
                </c:pt>
                <c:pt idx="37">
                  <c:v>95759.081407318867</c:v>
                </c:pt>
                <c:pt idx="38">
                  <c:v>95462.686154958094</c:v>
                </c:pt>
                <c:pt idx="39">
                  <c:v>95115.757174464947</c:v>
                </c:pt>
                <c:pt idx="40">
                  <c:v>94711.955464269995</c:v>
                </c:pt>
                <c:pt idx="41">
                  <c:v>94244.592854024086</c:v>
                </c:pt>
                <c:pt idx="42">
                  <c:v>93706.69722684627</c:v>
                </c:pt>
                <c:pt idx="43">
                  <c:v>93091.094833589537</c:v>
                </c:pt>
                <c:pt idx="44">
                  <c:v>92390.509852454197</c:v>
                </c:pt>
                <c:pt idx="45">
                  <c:v>91597.680749631545</c:v>
                </c:pt>
                <c:pt idx="46">
                  <c:v>90705.492329672576</c:v>
                </c:pt>
                <c:pt idx="47">
                  <c:v>89707.12164982449</c:v>
                </c:pt>
                <c:pt idx="48">
                  <c:v>88596.195238163622</c:v>
                </c:pt>
                <c:pt idx="49">
                  <c:v>87366.954333234025</c:v>
                </c:pt>
                <c:pt idx="50">
                  <c:v>86014.424188805962</c:v>
                </c:pt>
                <c:pt idx="51">
                  <c:v>84534.582898821944</c:v>
                </c:pt>
                <c:pt idx="52">
                  <c:v>82924.52473191527</c:v>
                </c:pt>
                <c:pt idx="53">
                  <c:v>81182.612656966827</c:v>
                </c:pt>
                <c:pt idx="54">
                  <c:v>79308.614621185334</c:v>
                </c:pt>
                <c:pt idx="55">
                  <c:v>77303.818233377926</c:v>
                </c:pt>
                <c:pt idx="56">
                  <c:v>75171.118821684038</c:v>
                </c:pt>
                <c:pt idx="57">
                  <c:v>72915.076380771541</c:v>
                </c:pt>
                <c:pt idx="58">
                  <c:v>70541.937690381019</c:v>
                </c:pt>
                <c:pt idx="59">
                  <c:v>68059.620855137851</c:v>
                </c:pt>
                <c:pt idx="60">
                  <c:v>65477.66065295392</c:v>
                </c:pt>
                <c:pt idx="61">
                  <c:v>62807.11434367302</c:v>
                </c:pt>
                <c:pt idx="62">
                  <c:v>60060.42892956877</c:v>
                </c:pt>
                <c:pt idx="63">
                  <c:v>57251.272217199876</c:v>
                </c:pt>
                <c:pt idx="64">
                  <c:v>54394.331344880491</c:v>
                </c:pt>
                <c:pt idx="65">
                  <c:v>51505.083650497967</c:v>
                </c:pt>
                <c:pt idx="66">
                  <c:v>48599.545802863264</c:v>
                </c:pt>
                <c:pt idx="67">
                  <c:v>45694.007955228561</c:v>
                </c:pt>
                <c:pt idx="68">
                  <c:v>42804.760260846037</c:v>
                </c:pt>
                <c:pt idx="69">
                  <c:v>39947.819388526652</c:v>
                </c:pt>
                <c:pt idx="70">
                  <c:v>37138.662676157757</c:v>
                </c:pt>
                <c:pt idx="71">
                  <c:v>34391.977262053508</c:v>
                </c:pt>
                <c:pt idx="72">
                  <c:v>31721.430952772604</c:v>
                </c:pt>
                <c:pt idx="73">
                  <c:v>29139.470750588676</c:v>
                </c:pt>
                <c:pt idx="74">
                  <c:v>26657.153915345501</c:v>
                </c:pt>
                <c:pt idx="75">
                  <c:v>24284.015224954986</c:v>
                </c:pt>
                <c:pt idx="76">
                  <c:v>22027.972784042482</c:v>
                </c:pt>
                <c:pt idx="77">
                  <c:v>19895.273372348602</c:v>
                </c:pt>
                <c:pt idx="78">
                  <c:v>17890.476984541187</c:v>
                </c:pt>
                <c:pt idx="79">
                  <c:v>16016.478948759708</c:v>
                </c:pt>
                <c:pt idx="80">
                  <c:v>14274.566873811264</c:v>
                </c:pt>
                <c:pt idx="81">
                  <c:v>12664.508706904588</c:v>
                </c:pt>
                <c:pt idx="82">
                  <c:v>11184.66741692056</c:v>
                </c:pt>
                <c:pt idx="83">
                  <c:v>9832.1372724925041</c:v>
                </c:pt>
                <c:pt idx="84">
                  <c:v>8602.896367562902</c:v>
                </c:pt>
                <c:pt idx="85">
                  <c:v>7491.9699559020328</c:v>
                </c:pt>
                <c:pt idx="86">
                  <c:v>6493.5992760539466</c:v>
                </c:pt>
                <c:pt idx="87">
                  <c:v>5601.4108560949817</c:v>
                </c:pt>
                <c:pt idx="88">
                  <c:v>4808.5817532723331</c:v>
                </c:pt>
                <c:pt idx="89">
                  <c:v>4107.996772136984</c:v>
                </c:pt>
                <c:pt idx="90">
                  <c:v>3492.3943788802585</c:v>
                </c:pt>
                <c:pt idx="91">
                  <c:v>2954.4987517024456</c:v>
                </c:pt>
                <c:pt idx="92">
                  <c:v>2487.1361414565295</c:v>
                </c:pt>
                <c:pt idx="93">
                  <c:v>2083.3344312615773</c:v>
                </c:pt>
                <c:pt idx="94">
                  <c:v>1736.4054507684318</c:v>
                </c:pt>
                <c:pt idx="95">
                  <c:v>1440.0101984076555</c:v>
                </c:pt>
                <c:pt idx="96">
                  <c:v>1188.2076374293861</c:v>
                </c:pt>
                <c:pt idx="97">
                  <c:v>975.48814911978752</c:v>
                </c:pt>
                <c:pt idx="98">
                  <c:v>796.79304527605586</c:v>
                </c:pt>
                <c:pt idx="99">
                  <c:v>647.52176303176554</c:v>
                </c:pt>
                <c:pt idx="100">
                  <c:v>523.52849399114473</c:v>
                </c:pt>
                <c:pt idx="101">
                  <c:v>421.11004531354251</c:v>
                </c:pt>
                <c:pt idx="102">
                  <c:v>336.98670427639917</c:v>
                </c:pt>
                <c:pt idx="103">
                  <c:v>268.27779278495029</c:v>
                </c:pt>
                <c:pt idx="104">
                  <c:v>212.47346770269849</c:v>
                </c:pt>
                <c:pt idx="105">
                  <c:v>167.40415995202633</c:v>
                </c:pt>
                <c:pt idx="106">
                  <c:v>131.20886243480436</c:v>
                </c:pt>
                <c:pt idx="107">
                  <c:v>102.30328498957904</c:v>
                </c:pt>
                <c:pt idx="108">
                  <c:v>79.348703237175414</c:v>
                </c:pt>
                <c:pt idx="109">
                  <c:v>61.22214487232435</c:v>
                </c:pt>
                <c:pt idx="110">
                  <c:v>46.988387499980966</c:v>
                </c:pt>
                <c:pt idx="111">
                  <c:v>35.874090486778506</c:v>
                </c:pt>
                <c:pt idx="112">
                  <c:v>27.244251889729384</c:v>
                </c:pt>
                <c:pt idx="113">
                  <c:v>20.581071319647183</c:v>
                </c:pt>
                <c:pt idx="114">
                  <c:v>15.465210429981978</c:v>
                </c:pt>
                <c:pt idx="115">
                  <c:v>11.559373521639221</c:v>
                </c:pt>
                <c:pt idx="116">
                  <c:v>8.5940798037636377</c:v>
                </c:pt>
                <c:pt idx="117">
                  <c:v>6.3554640068820092</c:v>
                </c:pt>
                <c:pt idx="118">
                  <c:v>4.6749209480662346</c:v>
                </c:pt>
                <c:pt idx="119">
                  <c:v>3.4203998819511559</c:v>
                </c:pt>
                <c:pt idx="120">
                  <c:v>2.4891536983769136</c:v>
                </c:pt>
                <c:pt idx="121">
                  <c:v>1.801754079988213</c:v>
                </c:pt>
                <c:pt idx="122">
                  <c:v>1.2971946811437707</c:v>
                </c:pt>
                <c:pt idx="123">
                  <c:v>0.92891857105929887</c:v>
                </c:pt>
                <c:pt idx="124">
                  <c:v>0.66162222213147948</c:v>
                </c:pt>
                <c:pt idx="125">
                  <c:v>0.46870511603339837</c:v>
                </c:pt>
                <c:pt idx="126">
                  <c:v>0.33025074129779292</c:v>
                </c:pt>
                <c:pt idx="127">
                  <c:v>0.23144075048867421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003-419C-A35B-51E0E111B9A1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output'!$AG$3:$AG$130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101080.76199870618</c:v>
                </c:pt>
                <c:pt idx="28">
                  <c:v>101043.07035291757</c:v>
                </c:pt>
                <c:pt idx="29">
                  <c:v>100996.1378368119</c:v>
                </c:pt>
                <c:pt idx="30">
                  <c:v>100938.02650747493</c:v>
                </c:pt>
                <c:pt idx="31">
                  <c:v>100866.47710376512</c:v>
                </c:pt>
                <c:pt idx="32">
                  <c:v>100778.87602322646</c:v>
                </c:pt>
                <c:pt idx="33">
                  <c:v>100672.22349777234</c:v>
                </c:pt>
                <c:pt idx="34">
                  <c:v>100543.10422821454</c:v>
                </c:pt>
                <c:pt idx="35">
                  <c:v>100387.66192817302</c:v>
                </c:pt>
                <c:pt idx="36">
                  <c:v>100201.57939756163</c:v>
                </c:pt>
                <c:pt idx="37">
                  <c:v>99980.065881838062</c:v>
                </c:pt>
                <c:pt idx="38">
                  <c:v>99717.853561783428</c:v>
                </c:pt>
                <c:pt idx="39">
                  <c:v>99409.205045768525</c:v>
                </c:pt>
                <c:pt idx="40">
                  <c:v>99047.93368889323</c:v>
                </c:pt>
                <c:pt idx="41">
                  <c:v>98627.438429190996</c:v>
                </c:pt>
                <c:pt idx="42">
                  <c:v>98140.754600943736</c:v>
                </c:pt>
                <c:pt idx="43">
                  <c:v>97580.621853279954</c:v>
                </c:pt>
                <c:pt idx="44">
                  <c:v>96939.569867391067</c:v>
                </c:pt>
                <c:pt idx="45">
                  <c:v>96210.022032034525</c:v>
                </c:pt>
                <c:pt idx="46">
                  <c:v>95384.416614638089</c:v>
                </c:pt>
                <c:pt idx="47">
                  <c:v>94455.344270757108</c:v>
                </c:pt>
                <c:pt idx="48">
                  <c:v>93415.699990649591</c:v>
                </c:pt>
                <c:pt idx="49">
                  <c:v>92258.846816957288</c:v>
                </c:pt>
                <c:pt idx="50">
                  <c:v>90978.787915509267</c:v>
                </c:pt>
                <c:pt idx="51">
                  <c:v>89570.342879301286</c:v>
                </c:pt>
                <c:pt idx="52">
                  <c:v>88029.323532826762</c:v>
                </c:pt>
                <c:pt idx="53">
                  <c:v>86352.704019000856</c:v>
                </c:pt>
                <c:pt idx="54">
                  <c:v>84538.77963026987</c:v>
                </c:pt>
                <c:pt idx="55">
                  <c:v>82587.308720557863</c:v>
                </c:pt>
                <c:pt idx="56">
                  <c:v>80499.63212965343</c:v>
                </c:pt>
                <c:pt idx="57">
                  <c:v>78278.764881334791</c:v>
                </c:pt>
                <c:pt idx="58">
                  <c:v>75929.455484817474</c:v>
                </c:pt>
                <c:pt idx="59">
                  <c:v>73458.208967700426</c:v>
                </c:pt>
                <c:pt idx="60">
                  <c:v>70873.27077663911</c:v>
                </c:pt>
                <c:pt idx="61">
                  <c:v>68184.569866397796</c:v>
                </c:pt>
                <c:pt idx="62">
                  <c:v>65403.620614534149</c:v>
                </c:pt>
                <c:pt idx="63">
                  <c:v>62543.384594318937</c:v>
                </c:pt>
                <c:pt idx="64">
                  <c:v>59618.094652526612</c:v>
                </c:pt>
                <c:pt idx="65">
                  <c:v>56643.045107838261</c:v>
                </c:pt>
                <c:pt idx="66">
                  <c:v>53634.353146115485</c:v>
                </c:pt>
                <c:pt idx="67">
                  <c:v>50608.697580600507</c:v>
                </c:pt>
                <c:pt idx="68">
                  <c:v>47583.042015085528</c:v>
                </c:pt>
                <c:pt idx="69">
                  <c:v>44574.350053362752</c:v>
                </c:pt>
                <c:pt idx="70">
                  <c:v>41599.300508674401</c:v>
                </c:pt>
                <c:pt idx="71">
                  <c:v>38674.010566882076</c:v>
                </c:pt>
                <c:pt idx="72">
                  <c:v>35813.774546666864</c:v>
                </c:pt>
                <c:pt idx="73">
                  <c:v>33032.82529480321</c:v>
                </c:pt>
                <c:pt idx="74">
                  <c:v>30344.124384561903</c:v>
                </c:pt>
                <c:pt idx="75">
                  <c:v>27759.186193500587</c:v>
                </c:pt>
                <c:pt idx="76">
                  <c:v>25287.939676383547</c:v>
                </c:pt>
                <c:pt idx="77">
                  <c:v>22938.630279866222</c:v>
                </c:pt>
                <c:pt idx="78">
                  <c:v>20717.763031547587</c:v>
                </c:pt>
                <c:pt idx="79">
                  <c:v>18630.08644064315</c:v>
                </c:pt>
                <c:pt idx="80">
                  <c:v>16678.615530931136</c:v>
                </c:pt>
                <c:pt idx="81">
                  <c:v>14864.691142200154</c:v>
                </c:pt>
                <c:pt idx="82">
                  <c:v>13188.071628374257</c:v>
                </c:pt>
                <c:pt idx="83">
                  <c:v>11647.052281899725</c:v>
                </c:pt>
                <c:pt idx="84">
                  <c:v>10238.607245691741</c:v>
                </c:pt>
                <c:pt idx="85">
                  <c:v>8958.5483442437198</c:v>
                </c:pt>
                <c:pt idx="86">
                  <c:v>7801.6951705514211</c:v>
                </c:pt>
                <c:pt idx="87">
                  <c:v>6762.0508904438984</c:v>
                </c:pt>
                <c:pt idx="88">
                  <c:v>5832.9785465629211</c:v>
                </c:pt>
                <c:pt idx="89">
                  <c:v>5007.3731291664844</c:v>
                </c:pt>
                <c:pt idx="90">
                  <c:v>4277.8252938099504</c:v>
                </c:pt>
                <c:pt idx="91">
                  <c:v>3636.7733079210611</c:v>
                </c:pt>
                <c:pt idx="92">
                  <c:v>3076.6405602572841</c:v>
                </c:pt>
                <c:pt idx="93">
                  <c:v>2589.9567320100223</c:v>
                </c:pt>
                <c:pt idx="94">
                  <c:v>2169.461472307788</c:v>
                </c:pt>
                <c:pt idx="95">
                  <c:v>1808.1901154324892</c:v>
                </c:pt>
                <c:pt idx="96">
                  <c:v>1499.5415994175812</c:v>
                </c:pt>
                <c:pt idx="97">
                  <c:v>1237.3292793629525</c:v>
                </c:pt>
                <c:pt idx="98">
                  <c:v>1015.81576363939</c:v>
                </c:pt>
                <c:pt idx="99">
                  <c:v>829.73323302799042</c:v>
                </c:pt>
                <c:pt idx="100">
                  <c:v>674.29093298648104</c:v>
                </c:pt>
                <c:pt idx="101">
                  <c:v>545.17166342867563</c:v>
                </c:pt>
                <c:pt idx="102">
                  <c:v>438.51913797454569</c:v>
                </c:pt>
                <c:pt idx="103">
                  <c:v>350.91805743589413</c:v>
                </c:pt>
                <c:pt idx="104">
                  <c:v>279.36865372607355</c:v>
                </c:pt>
                <c:pt idx="105">
                  <c:v>221.25732438910651</c:v>
                </c:pt>
                <c:pt idx="106">
                  <c:v>174.32480828344362</c:v>
                </c:pt>
                <c:pt idx="107">
                  <c:v>136.63316249483159</c:v>
                </c:pt>
                <c:pt idx="108">
                  <c:v>106.53260078892676</c:v>
                </c:pt>
                <c:pt idx="109">
                  <c:v>82.629054638334466</c:v>
                </c:pt>
                <c:pt idx="110">
                  <c:v>63.75312698697347</c:v>
                </c:pt>
                <c:pt idx="111">
                  <c:v>48.930932450123919</c:v>
                </c:pt>
                <c:pt idx="112">
                  <c:v>37.357159751840889</c:v>
                </c:pt>
                <c:pt idx="113">
                  <c:v>28.370555360535608</c:v>
                </c:pt>
                <c:pt idx="114">
                  <c:v>21.43191252292382</c:v>
                </c:pt>
                <c:pt idx="115">
                  <c:v>16.104557043518604</c:v>
                </c:pt>
                <c:pt idx="116">
                  <c:v>12.037249095924157</c:v>
                </c:pt>
                <c:pt idx="117">
                  <c:v>8.9493672952514736</c:v>
                </c:pt>
                <c:pt idx="118">
                  <c:v>6.6182049769225104</c:v>
                </c:pt>
                <c:pt idx="119">
                  <c:v>4.8681866582374393</c:v>
                </c:pt>
                <c:pt idx="120">
                  <c:v>3.5618024895242817</c:v>
                </c:pt>
                <c:pt idx="121">
                  <c:v>2.5920576966661439</c:v>
                </c:pt>
                <c:pt idx="122">
                  <c:v>1.8762403195826658</c:v>
                </c:pt>
                <c:pt idx="123">
                  <c:v>1.350821951864843</c:v>
                </c:pt>
                <c:pt idx="124">
                  <c:v>0.96732095461217094</c:v>
                </c:pt>
                <c:pt idx="125">
                  <c:v>0.68897431857242208</c:v>
                </c:pt>
                <c:pt idx="126">
                  <c:v>0.48808183451000525</c:v>
                </c:pt>
                <c:pt idx="127">
                  <c:v>0.34390362329527058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003-419C-A35B-51E0E111B9A1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output'!$AH$3:$AH$130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104738.0695448865</c:v>
                </c:pt>
                <c:pt idx="29">
                  <c:v>104699.01413869635</c:v>
                </c:pt>
                <c:pt idx="30">
                  <c:v>104650.38350870709</c:v>
                </c:pt>
                <c:pt idx="31">
                  <c:v>104590.16959328846</c:v>
                </c:pt>
                <c:pt idx="32">
                  <c:v>104516.03138663594</c:v>
                </c:pt>
                <c:pt idx="33">
                  <c:v>104425.26072084118</c:v>
                </c:pt>
                <c:pt idx="34">
                  <c:v>104314.74929010725</c:v>
                </c:pt>
                <c:pt idx="35">
                  <c:v>104180.95822277533</c:v>
                </c:pt>
                <c:pt idx="36">
                  <c:v>104019.89170418128</c:v>
                </c:pt>
                <c:pt idx="37">
                  <c:v>103827.07632915954</c:v>
                </c:pt>
                <c:pt idx="38">
                  <c:v>103597.54800392507</c:v>
                </c:pt>
                <c:pt idx="39">
                  <c:v>103325.84830884601</c:v>
                </c:pt>
                <c:pt idx="40">
                  <c:v>103006.03226179534</c:v>
                </c:pt>
                <c:pt idx="41">
                  <c:v>102631.68937247813</c:v>
                </c:pt>
                <c:pt idx="42">
                  <c:v>102195.97973908072</c:v>
                </c:pt>
                <c:pt idx="43">
                  <c:v>101691.68670011465</c:v>
                </c:pt>
                <c:pt idx="44">
                  <c:v>101111.28721044789</c:v>
                </c:pt>
                <c:pt idx="45">
                  <c:v>100447.04065994426</c:v>
                </c:pt>
                <c:pt idx="46">
                  <c:v>99691.096300157267</c:v>
                </c:pt>
                <c:pt idx="47">
                  <c:v>98835.618799651187</c:v>
                </c:pt>
                <c:pt idx="48">
                  <c:v>97872.930728830324</c:v>
                </c:pt>
                <c:pt idx="49">
                  <c:v>96795.670004250118</c:v>
                </c:pt>
                <c:pt idx="50">
                  <c:v>95596.959529936939</c:v>
                </c:pt>
                <c:pt idx="51">
                  <c:v>94270.585494063242</c:v>
                </c:pt>
                <c:pt idx="52">
                  <c:v>92811.180051963471</c:v>
                </c:pt>
                <c:pt idx="53">
                  <c:v>91214.403491423393</c:v>
                </c:pt>
                <c:pt idx="54">
                  <c:v>89477.120473694871</c:v>
                </c:pt>
                <c:pt idx="55">
                  <c:v>87597.564611437891</c:v>
                </c:pt>
                <c:pt idx="56">
                  <c:v>85575.485515330001</c:v>
                </c:pt>
                <c:pt idx="57">
                  <c:v>83412.272539470374</c:v>
                </c:pt>
                <c:pt idx="58">
                  <c:v>81111.04979732944</c:v>
                </c:pt>
                <c:pt idx="59">
                  <c:v>78676.737608843599</c:v>
                </c:pt>
                <c:pt idx="60">
                  <c:v>76116.076366740221</c:v>
                </c:pt>
                <c:pt idx="61">
                  <c:v>73437.609854704235</c:v>
                </c:pt>
                <c:pt idx="62">
                  <c:v>70651.626277276737</c:v>
                </c:pt>
                <c:pt idx="63">
                  <c:v>67770.056625613201</c:v>
                </c:pt>
                <c:pt idx="64">
                  <c:v>64806.331449066507</c:v>
                </c:pt>
                <c:pt idx="65">
                  <c:v>61775.198567754007</c:v>
                </c:pt>
                <c:pt idx="66">
                  <c:v>58692.505679912108</c:v>
                </c:pt>
                <c:pt idx="67">
                  <c:v>55574.953123965861</c:v>
                </c:pt>
                <c:pt idx="68">
                  <c:v>52439.823186541791</c:v>
                </c:pt>
                <c:pt idx="69">
                  <c:v>49304.693249117721</c:v>
                </c:pt>
                <c:pt idx="70">
                  <c:v>46187.140693171474</c:v>
                </c:pt>
                <c:pt idx="71">
                  <c:v>43104.447805329575</c:v>
                </c:pt>
                <c:pt idx="72">
                  <c:v>40073.314924017075</c:v>
                </c:pt>
                <c:pt idx="73">
                  <c:v>37109.589747470374</c:v>
                </c:pt>
                <c:pt idx="74">
                  <c:v>34228.020095806853</c:v>
                </c:pt>
                <c:pt idx="75">
                  <c:v>31442.036518379344</c:v>
                </c:pt>
                <c:pt idx="76">
                  <c:v>28763.570006343365</c:v>
                </c:pt>
                <c:pt idx="77">
                  <c:v>26202.908764239986</c:v>
                </c:pt>
                <c:pt idx="78">
                  <c:v>23768.596575754145</c:v>
                </c:pt>
                <c:pt idx="79">
                  <c:v>21467.373833613212</c:v>
                </c:pt>
                <c:pt idx="80">
                  <c:v>19304.160857753577</c:v>
                </c:pt>
                <c:pt idx="81">
                  <c:v>17282.081761645695</c:v>
                </c:pt>
                <c:pt idx="82">
                  <c:v>15402.525899388709</c:v>
                </c:pt>
                <c:pt idx="83">
                  <c:v>13665.24288166019</c:v>
                </c:pt>
                <c:pt idx="84">
                  <c:v>12068.466321120104</c:v>
                </c:pt>
                <c:pt idx="85">
                  <c:v>10609.060879020348</c:v>
                </c:pt>
                <c:pt idx="86">
                  <c:v>9282.6868431466391</c:v>
                </c:pt>
                <c:pt idx="87">
                  <c:v>8083.9763688334588</c:v>
                </c:pt>
                <c:pt idx="88">
                  <c:v>7006.7156442532569</c:v>
                </c:pt>
                <c:pt idx="89">
                  <c:v>6044.0275734324014</c:v>
                </c:pt>
                <c:pt idx="90">
                  <c:v>5188.5500729263213</c:v>
                </c:pt>
                <c:pt idx="91">
                  <c:v>4432.6057131393218</c:v>
                </c:pt>
                <c:pt idx="92">
                  <c:v>3768.3591626357006</c:v>
                </c:pt>
                <c:pt idx="93">
                  <c:v>3187.9596729689333</c:v>
                </c:pt>
                <c:pt idx="94">
                  <c:v>2683.6666340028664</c:v>
                </c:pt>
                <c:pt idx="95">
                  <c:v>2247.9570006054505</c:v>
                </c:pt>
                <c:pt idx="96">
                  <c:v>1873.614111288244</c:v>
                </c:pt>
                <c:pt idx="97">
                  <c:v>1553.7980642375774</c:v>
                </c:pt>
                <c:pt idx="98">
                  <c:v>1282.0983691585152</c:v>
                </c:pt>
                <c:pt idx="99">
                  <c:v>1052.5700439240479</c:v>
                </c:pt>
                <c:pt idx="100">
                  <c:v>859.75466890229359</c:v>
                </c:pt>
                <c:pt idx="101">
                  <c:v>698.68815030824976</c:v>
                </c:pt>
                <c:pt idx="102">
                  <c:v>564.89708297633285</c:v>
                </c:pt>
                <c:pt idx="103">
                  <c:v>454.38565224240728</c:v>
                </c:pt>
                <c:pt idx="104">
                  <c:v>363.61498644764475</c:v>
                </c:pt>
                <c:pt idx="105">
                  <c:v>289.476779795124</c:v>
                </c:pt>
                <c:pt idx="106">
                  <c:v>229.26286437649108</c:v>
                </c:pt>
                <c:pt idx="107">
                  <c:v>180.63223438723216</c:v>
                </c:pt>
                <c:pt idx="108">
                  <c:v>141.57682819708685</c:v>
                </c:pt>
                <c:pt idx="109">
                  <c:v>110.38716695043377</c:v>
                </c:pt>
                <c:pt idx="110">
                  <c:v>85.618741885314208</c:v>
                </c:pt>
                <c:pt idx="111">
                  <c:v>66.059844781849549</c:v>
                </c:pt>
                <c:pt idx="112">
                  <c:v>50.701353101422214</c:v>
                </c:pt>
                <c:pt idx="113">
                  <c:v>38.708817768289357</c:v>
                </c:pt>
                <c:pt idx="114">
                  <c:v>29.397059753238359</c:v>
                </c:pt>
                <c:pt idx="115">
                  <c:v>22.207362706017701</c:v>
                </c:pt>
                <c:pt idx="116">
                  <c:v>16.687252670644032</c:v>
                </c:pt>
                <c:pt idx="117">
                  <c:v>12.47278124945441</c:v>
                </c:pt>
                <c:pt idx="118">
                  <c:v>9.2731736051295233</c:v>
                </c:pt>
                <c:pt idx="119">
                  <c:v>6.8576650930282499</c:v>
                </c:pt>
                <c:pt idx="120">
                  <c:v>5.0443275524029785</c:v>
                </c:pt>
                <c:pt idx="121">
                  <c:v>3.6906757475544074</c:v>
                </c:pt>
                <c:pt idx="122">
                  <c:v>2.6858436158331682</c:v>
                </c:pt>
                <c:pt idx="123">
                  <c:v>1.944126510224415</c:v>
                </c:pt>
                <c:pt idx="124">
                  <c:v>1.3996974373718136</c:v>
                </c:pt>
                <c:pt idx="125">
                  <c:v>1.0023205940779549</c:v>
                </c:pt>
                <c:pt idx="126">
                  <c:v>0.71390281064761651</c:v>
                </c:pt>
                <c:pt idx="127">
                  <c:v>0.50574162793864819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3003-419C-A35B-51E0E111B9A1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output'!$AI$3:$AI$130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110662.89270669057</c:v>
                </c:pt>
                <c:pt idx="30">
                  <c:v>110621.62801426672</c:v>
                </c:pt>
                <c:pt idx="31">
                  <c:v>110570.2464467799</c:v>
                </c:pt>
                <c:pt idx="32">
                  <c:v>110506.62635056869</c:v>
                </c:pt>
                <c:pt idx="33">
                  <c:v>110428.29429381127</c:v>
                </c:pt>
                <c:pt idx="34">
                  <c:v>110332.38891295587</c:v>
                </c:pt>
                <c:pt idx="35">
                  <c:v>110215.62607156199</c:v>
                </c:pt>
                <c:pt idx="36">
                  <c:v>110074.2667110773</c:v>
                </c:pt>
                <c:pt idx="37">
                  <c:v>109904.0889815921</c:v>
                </c:pt>
                <c:pt idx="38">
                  <c:v>109700.3664263555</c:v>
                </c:pt>
                <c:pt idx="39">
                  <c:v>109457.8541427232</c:v>
                </c:pt>
                <c:pt idx="40">
                  <c:v>109170.78493917931</c:v>
                </c:pt>
                <c:pt idx="41">
                  <c:v>108832.87753784539</c:v>
                </c:pt>
                <c:pt idx="42">
                  <c:v>108437.35881980877</c:v>
                </c:pt>
                <c:pt idx="43">
                  <c:v>107977.00196368717</c:v>
                </c:pt>
                <c:pt idx="44">
                  <c:v>107444.18207588204</c:v>
                </c:pt>
                <c:pt idx="45">
                  <c:v>106830.95054764114</c:v>
                </c:pt>
                <c:pt idx="46">
                  <c:v>106129.12889799093</c:v>
                </c:pt>
                <c:pt idx="47">
                  <c:v>105330.42227734344</c:v>
                </c:pt>
                <c:pt idx="48">
                  <c:v>104426.55212523109</c:v>
                </c:pt>
                <c:pt idx="49">
                  <c:v>103409.40671521756</c:v>
                </c:pt>
                <c:pt idx="50">
                  <c:v>102271.20750551892</c:v>
                </c:pt>
                <c:pt idx="51">
                  <c:v>101004.68837659364</c:v>
                </c:pt>
                <c:pt idx="52">
                  <c:v>99603.284013704091</c:v>
                </c:pt>
                <c:pt idx="53">
                  <c:v>98061.322923945481</c:v>
                </c:pt>
                <c:pt idx="54">
                  <c:v>96374.219906261191</c:v>
                </c:pt>
                <c:pt idx="55">
                  <c:v>94538.662262059472</c:v>
                </c:pt>
                <c:pt idx="56">
                  <c:v>92552.783683000525</c:v>
                </c:pt>
                <c:pt idx="57">
                  <c:v>90416.319615738626</c:v>
                </c:pt>
                <c:pt idx="58">
                  <c:v>88130.738007356165</c:v>
                </c:pt>
                <c:pt idx="59">
                  <c:v>85699.33969617571</c:v>
                </c:pt>
                <c:pt idx="60">
                  <c:v>83127.323334793866</c:v>
                </c:pt>
                <c:pt idx="61">
                  <c:v>80421.810606476618</c:v>
                </c:pt>
                <c:pt idx="62">
                  <c:v>77591.828599667977</c:v>
                </c:pt>
                <c:pt idx="63">
                  <c:v>74648.247502067781</c:v>
                </c:pt>
                <c:pt idx="64">
                  <c:v>71603.673217144227</c:v>
                </c:pt>
                <c:pt idx="65">
                  <c:v>68472.296033571562</c:v>
                </c:pt>
                <c:pt idx="66">
                  <c:v>65269.698026161714</c:v>
                </c:pt>
                <c:pt idx="67">
                  <c:v>62012.623365751562</c:v>
                </c:pt>
                <c:pt idx="68">
                  <c:v>58718.71709551716</c:v>
                </c:pt>
                <c:pt idx="69">
                  <c:v>55406.239126482149</c:v>
                </c:pt>
                <c:pt idx="70">
                  <c:v>52093.761157447138</c:v>
                </c:pt>
                <c:pt idx="71">
                  <c:v>48799.854887212736</c:v>
                </c:pt>
                <c:pt idx="72">
                  <c:v>45542.780226802584</c:v>
                </c:pt>
                <c:pt idx="73">
                  <c:v>42340.182219392736</c:v>
                </c:pt>
                <c:pt idx="74">
                  <c:v>39208.805035820071</c:v>
                </c:pt>
                <c:pt idx="75">
                  <c:v>36164.230750896517</c:v>
                </c:pt>
                <c:pt idx="76">
                  <c:v>33220.649653296328</c:v>
                </c:pt>
                <c:pt idx="77">
                  <c:v>30390.667646487684</c:v>
                </c:pt>
                <c:pt idx="78">
                  <c:v>27685.154918170436</c:v>
                </c:pt>
                <c:pt idx="79">
                  <c:v>25113.138556788592</c:v>
                </c:pt>
                <c:pt idx="80">
                  <c:v>22681.740245608133</c:v>
                </c:pt>
                <c:pt idx="81">
                  <c:v>20396.158637225672</c:v>
                </c:pt>
                <c:pt idx="82">
                  <c:v>18259.694569963769</c:v>
                </c:pt>
                <c:pt idx="83">
                  <c:v>16273.815990904825</c:v>
                </c:pt>
                <c:pt idx="84">
                  <c:v>14438.258346703115</c:v>
                </c:pt>
                <c:pt idx="85">
                  <c:v>12751.155329018815</c:v>
                </c:pt>
                <c:pt idx="86">
                  <c:v>11209.19423926021</c:v>
                </c:pt>
                <c:pt idx="87">
                  <c:v>9807.7898763706671</c:v>
                </c:pt>
                <c:pt idx="88">
                  <c:v>8541.2707474453819</c:v>
                </c:pt>
                <c:pt idx="89">
                  <c:v>7403.071537746745</c:v>
                </c:pt>
                <c:pt idx="90">
                  <c:v>6385.9261277332153</c:v>
                </c:pt>
                <c:pt idx="91">
                  <c:v>5482.0559756208486</c:v>
                </c:pt>
                <c:pt idx="92">
                  <c:v>4683.349354973373</c:v>
                </c:pt>
                <c:pt idx="93">
                  <c:v>3981.5277053231544</c:v>
                </c:pt>
                <c:pt idx="94">
                  <c:v>3368.2961770822635</c:v>
                </c:pt>
                <c:pt idx="95">
                  <c:v>2835.4762892771291</c:v>
                </c:pt>
                <c:pt idx="96">
                  <c:v>2375.1194331555262</c:v>
                </c:pt>
                <c:pt idx="97">
                  <c:v>1979.6007151189185</c:v>
                </c:pt>
                <c:pt idx="98">
                  <c:v>1641.6933137849812</c:v>
                </c:pt>
                <c:pt idx="99">
                  <c:v>1354.6241102410943</c:v>
                </c:pt>
                <c:pt idx="100">
                  <c:v>1112.1118266088024</c:v>
                </c:pt>
                <c:pt idx="101">
                  <c:v>908.38927137220503</c:v>
                </c:pt>
                <c:pt idx="102">
                  <c:v>738.21154188699472</c:v>
                </c:pt>
                <c:pt idx="103">
                  <c:v>596.85218140231041</c:v>
                </c:pt>
                <c:pt idx="104">
                  <c:v>480.08934000842549</c:v>
                </c:pt>
                <c:pt idx="105">
                  <c:v>384.18395915303546</c:v>
                </c:pt>
                <c:pt idx="106">
                  <c:v>305.85190239559915</c:v>
                </c:pt>
                <c:pt idx="107">
                  <c:v>242.23180618439073</c:v>
                </c:pt>
                <c:pt idx="108">
                  <c:v>190.8502386975679</c:v>
                </c:pt>
                <c:pt idx="109">
                  <c:v>149.58554627373016</c:v>
                </c:pt>
                <c:pt idx="110">
                  <c:v>116.63154825663662</c:v>
                </c:pt>
                <c:pt idx="111">
                  <c:v>90.462022912078183</c:v>
                </c:pt>
                <c:pt idx="112">
                  <c:v>69.79671810908755</c:v>
                </c:pt>
                <c:pt idx="113">
                  <c:v>53.569427264860707</c:v>
                </c:pt>
                <c:pt idx="114">
                  <c:v>40.898498187989347</c:v>
                </c:pt>
                <c:pt idx="115">
                  <c:v>31.059992641649881</c:v>
                </c:pt>
                <c:pt idx="116">
                  <c:v>23.463588808856173</c:v>
                </c:pt>
                <c:pt idx="117">
                  <c:v>17.631217186693636</c:v>
                </c:pt>
                <c:pt idx="118">
                  <c:v>13.178341544388173</c:v>
                </c:pt>
                <c:pt idx="119">
                  <c:v>9.7977384935014218</c:v>
                </c:pt>
                <c:pt idx="120">
                  <c:v>7.2455894948777271</c:v>
                </c:pt>
                <c:pt idx="121">
                  <c:v>5.3296750754962439</c:v>
                </c:pt>
                <c:pt idx="122">
                  <c:v>3.899449894785064</c:v>
                </c:pt>
                <c:pt idx="123">
                  <c:v>2.8377764186165173</c:v>
                </c:pt>
                <c:pt idx="124">
                  <c:v>2.0541018594675911</c:v>
                </c:pt>
                <c:pt idx="125">
                  <c:v>1.4788755225942483</c:v>
                </c:pt>
                <c:pt idx="126">
                  <c:v>1.0590198658628074</c:v>
                </c:pt>
                <c:pt idx="127">
                  <c:v>0.75428686513879961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003-419C-A35B-51E0E111B9A1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output'!$AJ$3:$AJ$130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114769.51908963844</c:v>
                </c:pt>
                <c:pt idx="31">
                  <c:v>114726.7230919103</c:v>
                </c:pt>
                <c:pt idx="32">
                  <c:v>114673.43478861098</c:v>
                </c:pt>
                <c:pt idx="33">
                  <c:v>114607.45379292211</c:v>
                </c:pt>
                <c:pt idx="34">
                  <c:v>114526.21488561123</c:v>
                </c:pt>
                <c:pt idx="35">
                  <c:v>114426.75051982734</c:v>
                </c:pt>
                <c:pt idx="36">
                  <c:v>114305.65468700978</c:v>
                </c:pt>
                <c:pt idx="37">
                  <c:v>114159.04957462901</c:v>
                </c:pt>
                <c:pt idx="38">
                  <c:v>113982.5566627317</c:v>
                </c:pt>
                <c:pt idx="39">
                  <c:v>113771.27409889895</c:v>
                </c:pt>
                <c:pt idx="40">
                  <c:v>113519.76234563602</c:v>
                </c:pt>
                <c:pt idx="41">
                  <c:v>113222.04019478368</c:v>
                </c:pt>
                <c:pt idx="42">
                  <c:v>112871.59327441703</c:v>
                </c:pt>
                <c:pt idx="43">
                  <c:v>112461.39711968316</c:v>
                </c:pt>
                <c:pt idx="44">
                  <c:v>111983.95672666241</c:v>
                </c:pt>
                <c:pt idx="45">
                  <c:v>111431.36424702364</c:v>
                </c:pt>
                <c:pt idx="46">
                  <c:v>110795.37610442779</c:v>
                </c:pt>
                <c:pt idx="47">
                  <c:v>110067.5103199092</c:v>
                </c:pt>
                <c:pt idx="48">
                  <c:v>109239.16422752588</c:v>
                </c:pt>
                <c:pt idx="49">
                  <c:v>108301.75205493461</c:v>
                </c:pt>
                <c:pt idx="50">
                  <c:v>107246.86105492346</c:v>
                </c:pt>
                <c:pt idx="51">
                  <c:v>106066.42402919388</c:v>
                </c:pt>
                <c:pt idx="52">
                  <c:v>104752.9052173384</c:v>
                </c:pt>
                <c:pt idx="53">
                  <c:v>103299.49567015392</c:v>
                </c:pt>
                <c:pt idx="54">
                  <c:v>101700.31342940422</c:v>
                </c:pt>
                <c:pt idx="55">
                  <c:v>99950.603140269523</c:v>
                </c:pt>
                <c:pt idx="56">
                  <c:v>98046.92917211559</c:v>
                </c:pt>
                <c:pt idx="57">
                  <c:v>95987.355959140739</c:v>
                </c:pt>
                <c:pt idx="58">
                  <c:v>93771.609130600467</c:v>
                </c:pt>
                <c:pt idx="59">
                  <c:v>91401.211108117568</c:v>
                </c:pt>
                <c:pt idx="60">
                  <c:v>88879.585221930422</c:v>
                </c:pt>
                <c:pt idx="61">
                  <c:v>86212.123043177635</c:v>
                </c:pt>
                <c:pt idx="62">
                  <c:v>83406.210536056868</c:v>
                </c:pt>
                <c:pt idx="63">
                  <c:v>80471.209778263365</c:v>
                </c:pt>
                <c:pt idx="64">
                  <c:v>77418.394342936328</c:v>
                </c:pt>
                <c:pt idx="65">
                  <c:v>74260.837930241629</c:v>
                </c:pt>
                <c:pt idx="66">
                  <c:v>71013.257421032933</c:v>
                </c:pt>
                <c:pt idx="67">
                  <c:v>67691.813130559953</c:v>
                </c:pt>
                <c:pt idx="68">
                  <c:v>64313.870594708271</c:v>
                </c:pt>
                <c:pt idx="69">
                  <c:v>60897.729652476322</c:v>
                </c:pt>
                <c:pt idx="70">
                  <c:v>57462.327828047186</c:v>
                </c:pt>
                <c:pt idx="71">
                  <c:v>54026.926003618049</c:v>
                </c:pt>
                <c:pt idx="72">
                  <c:v>50610.785061386101</c:v>
                </c:pt>
                <c:pt idx="73">
                  <c:v>47232.842525534419</c:v>
                </c:pt>
                <c:pt idx="74">
                  <c:v>43911.398235061431</c:v>
                </c:pt>
                <c:pt idx="75">
                  <c:v>40663.817725852736</c:v>
                </c:pt>
                <c:pt idx="76">
                  <c:v>37506.261313158037</c:v>
                </c:pt>
                <c:pt idx="77">
                  <c:v>34453.445877831007</c:v>
                </c:pt>
                <c:pt idx="78">
                  <c:v>31518.445120037504</c:v>
                </c:pt>
                <c:pt idx="79">
                  <c:v>28712.532612916744</c:v>
                </c:pt>
                <c:pt idx="80">
                  <c:v>26045.070434163947</c:v>
                </c:pt>
                <c:pt idx="81">
                  <c:v>23523.444547976811</c:v>
                </c:pt>
                <c:pt idx="82">
                  <c:v>21153.046525493908</c:v>
                </c:pt>
                <c:pt idx="83">
                  <c:v>18937.299696953636</c:v>
                </c:pt>
                <c:pt idx="84">
                  <c:v>16877.726483978789</c:v>
                </c:pt>
                <c:pt idx="85">
                  <c:v>14974.052515824844</c:v>
                </c:pt>
                <c:pt idx="86">
                  <c:v>13224.342226690154</c:v>
                </c:pt>
                <c:pt idx="87">
                  <c:v>11625.159985940445</c:v>
                </c:pt>
                <c:pt idx="88">
                  <c:v>10171.750438755982</c:v>
                </c:pt>
                <c:pt idx="89">
                  <c:v>8858.2316269005005</c:v>
                </c:pt>
                <c:pt idx="90">
                  <c:v>7677.7946011709064</c:v>
                </c:pt>
                <c:pt idx="91">
                  <c:v>6622.9036011597691</c:v>
                </c:pt>
                <c:pt idx="92">
                  <c:v>5685.4914285684881</c:v>
                </c:pt>
                <c:pt idx="93">
                  <c:v>4857.1453361851736</c:v>
                </c:pt>
                <c:pt idx="94">
                  <c:v>4129.2795516665801</c:v>
                </c:pt>
                <c:pt idx="95">
                  <c:v>3493.2914090707386</c:v>
                </c:pt>
                <c:pt idx="96">
                  <c:v>2940.6989294319587</c:v>
                </c:pt>
                <c:pt idx="97">
                  <c:v>2463.2585364112192</c:v>
                </c:pt>
                <c:pt idx="98">
                  <c:v>2053.062381677345</c:v>
                </c:pt>
                <c:pt idx="99">
                  <c:v>1702.6154613106885</c:v>
                </c:pt>
                <c:pt idx="100">
                  <c:v>1404.8933104583505</c:v>
                </c:pt>
                <c:pt idx="101">
                  <c:v>1153.3815571954126</c:v>
                </c:pt>
                <c:pt idx="102">
                  <c:v>942.09899336267631</c:v>
                </c:pt>
                <c:pt idx="103">
                  <c:v>765.60608146535935</c:v>
                </c:pt>
                <c:pt idx="104">
                  <c:v>619.00096908458409</c:v>
                </c:pt>
                <c:pt idx="105">
                  <c:v>497.90513626703381</c:v>
                </c:pt>
                <c:pt idx="106">
                  <c:v>398.44077048314301</c:v>
                </c:pt>
                <c:pt idx="107">
                  <c:v>317.20186317225819</c:v>
                </c:pt>
                <c:pt idx="108">
                  <c:v>251.22086748339828</c:v>
                </c:pt>
                <c:pt idx="109">
                  <c:v>197.93256418407623</c:v>
                </c:pt>
                <c:pt idx="110">
                  <c:v>155.13656645592923</c:v>
                </c:pt>
                <c:pt idx="111">
                  <c:v>120.95966747925843</c:v>
                </c:pt>
                <c:pt idx="112">
                  <c:v>93.81900844588499</c:v>
                </c:pt>
                <c:pt idx="113">
                  <c:v>72.386827919334948</c:v>
                </c:pt>
                <c:pt idx="114">
                  <c:v>55.55735309929883</c:v>
                </c:pt>
                <c:pt idx="115">
                  <c:v>42.416214267641301</c:v>
                </c:pt>
                <c:pt idx="116">
                  <c:v>32.212608320822838</c:v>
                </c:pt>
                <c:pt idx="117">
                  <c:v>24.334306991657332</c:v>
                </c:pt>
                <c:pt idx="118">
                  <c:v>18.28549993578341</c:v>
                </c:pt>
                <c:pt idx="119">
                  <c:v>13.667381038531186</c:v>
                </c:pt>
                <c:pt idx="120">
                  <c:v>10.161326055750319</c:v>
                </c:pt>
                <c:pt idx="121">
                  <c:v>7.5144685043803943</c:v>
                </c:pt>
                <c:pt idx="122">
                  <c:v>5.5274557745385469</c:v>
                </c:pt>
                <c:pt idx="123">
                  <c:v>4.0441558881423072</c:v>
                </c:pt>
                <c:pt idx="124">
                  <c:v>2.9430844150420739</c:v>
                </c:pt>
                <c:pt idx="125">
                  <c:v>2.1303282139666533</c:v>
                </c:pt>
                <c:pt idx="126">
                  <c:v>1.5337556101252892</c:v>
                </c:pt>
                <c:pt idx="127">
                  <c:v>1.0983193890800889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3003-419C-A35B-51E0E111B9A1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output'!$AK$3:$AK$130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118324.97620209302</c:v>
                </c:pt>
                <c:pt idx="32">
                  <c:v>118280.85442260929</c:v>
                </c:pt>
                <c:pt idx="33">
                  <c:v>118225.91529530653</c:v>
                </c:pt>
                <c:pt idx="34">
                  <c:v>118157.8902673496</c:v>
                </c:pt>
                <c:pt idx="35">
                  <c:v>118074.13465130719</c:v>
                </c:pt>
                <c:pt idx="36">
                  <c:v>117971.58896837945</c:v>
                </c:pt>
                <c:pt idx="37">
                  <c:v>117846.74169490505</c:v>
                </c:pt>
                <c:pt idx="38">
                  <c:v>117695.59488718852</c:v>
                </c:pt>
                <c:pt idx="39">
                  <c:v>117513.63438264221</c:v>
                </c:pt>
                <c:pt idx="40">
                  <c:v>117295.80647384093</c:v>
                </c:pt>
                <c:pt idx="41">
                  <c:v>117036.50311128052</c:v>
                </c:pt>
                <c:pt idx="42">
                  <c:v>116729.55779431945</c:v>
                </c:pt>
                <c:pt idx="43">
                  <c:v>116368.25434161354</c:v>
                </c:pt>
                <c:pt idx="44">
                  <c:v>115945.35067666775</c:v>
                </c:pt>
                <c:pt idx="45">
                  <c:v>115453.1196070405</c:v>
                </c:pt>
                <c:pt idx="46">
                  <c:v>114883.40830632794</c:v>
                </c:pt>
                <c:pt idx="47">
                  <c:v>114227.71781956471</c:v>
                </c:pt>
                <c:pt idx="48">
                  <c:v>113477.30340365856</c:v>
                </c:pt>
                <c:pt idx="49">
                  <c:v>112623.2958897663</c:v>
                </c:pt>
                <c:pt idx="50">
                  <c:v>111656.84352599205</c:v>
                </c:pt>
                <c:pt idx="51">
                  <c:v>110569.27294573518</c:v>
                </c:pt>
                <c:pt idx="52">
                  <c:v>109352.26703610482</c:v>
                </c:pt>
                <c:pt idx="53">
                  <c:v>107998.05658557212</c:v>
                </c:pt>
                <c:pt idx="54">
                  <c:v>106499.62170977396</c:v>
                </c:pt>
                <c:pt idx="55">
                  <c:v>104850.89823266564</c:v>
                </c:pt>
                <c:pt idx="56">
                  <c:v>103046.98348278576</c:v>
                </c:pt>
                <c:pt idx="57">
                  <c:v>101084.33539673399</c:v>
                </c:pt>
                <c:pt idx="58">
                  <c:v>98960.958446610326</c:v>
                </c:pt>
                <c:pt idx="59">
                  <c:v>96676.569761909806</c:v>
                </c:pt>
                <c:pt idx="60">
                  <c:v>94232.738927516242</c:v>
                </c:pt>
                <c:pt idx="61">
                  <c:v>91632.995325378841</c:v>
                </c:pt>
                <c:pt idx="62">
                  <c:v>88882.897552690658</c:v>
                </c:pt>
                <c:pt idx="63">
                  <c:v>85990.060384218174</c:v>
                </c:pt>
                <c:pt idx="64">
                  <c:v>82964.135926455114</c:v>
                </c:pt>
                <c:pt idx="65">
                  <c:v>79816.746997759445</c:v>
                </c:pt>
                <c:pt idx="66">
                  <c:v>76561.372309842016</c:v>
                </c:pt>
                <c:pt idx="67">
                  <c:v>73213.184659370338</c:v>
                </c:pt>
                <c:pt idx="68">
                  <c:v>69788.844993715364</c:v>
                </c:pt>
                <c:pt idx="69">
                  <c:v>66306.256817541915</c:v>
                </c:pt>
                <c:pt idx="70">
                  <c:v>62784.286882502922</c:v>
                </c:pt>
                <c:pt idx="71">
                  <c:v>59242.459380352979</c:v>
                </c:pt>
                <c:pt idx="72">
                  <c:v>55700.631878203036</c:v>
                </c:pt>
                <c:pt idx="73">
                  <c:v>52178.661943164036</c:v>
                </c:pt>
                <c:pt idx="74">
                  <c:v>48696.073766990587</c:v>
                </c:pt>
                <c:pt idx="75">
                  <c:v>45271.73410133562</c:v>
                </c:pt>
                <c:pt idx="76">
                  <c:v>41923.546450863949</c:v>
                </c:pt>
                <c:pt idx="77">
                  <c:v>38668.171762946506</c:v>
                </c:pt>
                <c:pt idx="78">
                  <c:v>35520.782834250851</c:v>
                </c:pt>
                <c:pt idx="79">
                  <c:v>32494.858376487791</c:v>
                </c:pt>
                <c:pt idx="80">
                  <c:v>29602.021208015296</c:v>
                </c:pt>
                <c:pt idx="81">
                  <c:v>26851.923435327117</c:v>
                </c:pt>
                <c:pt idx="82">
                  <c:v>24252.179833189712</c:v>
                </c:pt>
                <c:pt idx="83">
                  <c:v>21808.348998796158</c:v>
                </c:pt>
                <c:pt idx="84">
                  <c:v>19523.960314095639</c:v>
                </c:pt>
                <c:pt idx="85">
                  <c:v>17400.583363971964</c:v>
                </c:pt>
                <c:pt idx="86">
                  <c:v>15437.935277920205</c:v>
                </c:pt>
                <c:pt idx="87">
                  <c:v>13634.020528040324</c:v>
                </c:pt>
                <c:pt idx="88">
                  <c:v>11985.297050931998</c:v>
                </c:pt>
                <c:pt idx="89">
                  <c:v>10486.862175133843</c:v>
                </c:pt>
                <c:pt idx="90">
                  <c:v>9132.6517246011354</c:v>
                </c:pt>
                <c:pt idx="91">
                  <c:v>7915.6458149707823</c:v>
                </c:pt>
                <c:pt idx="92">
                  <c:v>6828.0752347139132</c:v>
                </c:pt>
                <c:pt idx="93">
                  <c:v>5861.6228709396573</c:v>
                </c:pt>
                <c:pt idx="94">
                  <c:v>5007.6153570473971</c:v>
                </c:pt>
                <c:pt idx="95">
                  <c:v>4257.20094114125</c:v>
                </c:pt>
                <c:pt idx="96">
                  <c:v>3601.5104543780249</c:v>
                </c:pt>
                <c:pt idx="97">
                  <c:v>3031.7991536654536</c:v>
                </c:pt>
                <c:pt idx="98">
                  <c:v>2539.5680840382115</c:v>
                </c:pt>
                <c:pt idx="99">
                  <c:v>2116.6644190924053</c:v>
                </c:pt>
                <c:pt idx="100">
                  <c:v>1755.3609663865111</c:v>
                </c:pt>
                <c:pt idx="101">
                  <c:v>1448.4156494254394</c:v>
                </c:pt>
                <c:pt idx="102">
                  <c:v>1189.1122868650343</c:v>
                </c:pt>
                <c:pt idx="103">
                  <c:v>971.28437806374404</c:v>
                </c:pt>
                <c:pt idx="104">
                  <c:v>789.32387351743262</c:v>
                </c:pt>
                <c:pt idx="105">
                  <c:v>638.17706580090078</c:v>
                </c:pt>
                <c:pt idx="106">
                  <c:v>513.32979232650246</c:v>
                </c:pt>
                <c:pt idx="107">
                  <c:v>410.78410939876346</c:v>
                </c:pt>
                <c:pt idx="108">
                  <c:v>327.02849335634744</c:v>
                </c:pt>
                <c:pt idx="109">
                  <c:v>259.00346539942893</c:v>
                </c:pt>
                <c:pt idx="110">
                  <c:v>204.06433809666888</c:v>
                </c:pt>
                <c:pt idx="111">
                  <c:v>159.9425586129297</c:v>
                </c:pt>
                <c:pt idx="112">
                  <c:v>124.70688985564023</c:v>
                </c:pt>
                <c:pt idx="113">
                  <c:v>96.725437465613041</c:v>
                </c:pt>
                <c:pt idx="114">
                  <c:v>74.62930714391733</c:v>
                </c:pt>
                <c:pt idx="115">
                  <c:v>57.278470237306301</c:v>
                </c:pt>
                <c:pt idx="116">
                  <c:v>43.730230671103762</c:v>
                </c:pt>
                <c:pt idx="117">
                  <c:v>33.210526132742324</c:v>
                </c:pt>
                <c:pt idx="118">
                  <c:v>25.088162070570462</c:v>
                </c:pt>
                <c:pt idx="119">
                  <c:v>18.851968378948108</c:v>
                </c:pt>
                <c:pt idx="120">
                  <c:v>14.090784286253427</c:v>
                </c:pt>
                <c:pt idx="121">
                  <c:v>10.4761148540607</c:v>
                </c:pt>
                <c:pt idx="122">
                  <c:v>7.7472600216938732</c:v>
                </c:pt>
                <c:pt idx="123">
                  <c:v>5.6986914136110771</c:v>
                </c:pt>
                <c:pt idx="124">
                  <c:v>4.1694402226104197</c:v>
                </c:pt>
                <c:pt idx="125">
                  <c:v>3.0342585394874582</c:v>
                </c:pt>
                <c:pt idx="126">
                  <c:v>2.1963238778004857</c:v>
                </c:pt>
                <c:pt idx="127">
                  <c:v>1.5812699879500143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3003-419C-A35B-51E0E111B9A1}"/>
            </c:ext>
          </c:extLst>
        </c:ser>
        <c:ser>
          <c:idx val="32"/>
          <c:order val="32"/>
          <c:spPr>
            <a:solidFill>
              <a:schemeClr val="accent3">
                <a:lumMod val="5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output'!$AL$3:$AL$130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122032.79008928619</c:v>
                </c:pt>
                <c:pt idx="33">
                  <c:v>121987.28571627109</c:v>
                </c:pt>
                <c:pt idx="34">
                  <c:v>121930.62502463168</c:v>
                </c:pt>
                <c:pt idx="35">
                  <c:v>121860.46837449801</c:v>
                </c:pt>
                <c:pt idx="36">
                  <c:v>121774.08820490605</c:v>
                </c:pt>
                <c:pt idx="37">
                  <c:v>121668.32916568249</c:v>
                </c:pt>
                <c:pt idx="38">
                  <c:v>121539.56969658191</c:v>
                </c:pt>
                <c:pt idx="39">
                  <c:v>121383.68657493872</c:v>
                </c:pt>
                <c:pt idx="40">
                  <c:v>121196.02418303666</c:v>
                </c:pt>
                <c:pt idx="41">
                  <c:v>120971.37045122491</c:v>
                </c:pt>
                <c:pt idx="42">
                  <c:v>120703.94159699269</c:v>
                </c:pt>
                <c:pt idx="43">
                  <c:v>120387.37788714985</c:v>
                </c:pt>
                <c:pt idx="44">
                  <c:v>120014.75268309076</c:v>
                </c:pt>
                <c:pt idx="45">
                  <c:v>119578.59697168645</c:v>
                </c:pt>
                <c:pt idx="46">
                  <c:v>119070.94142234029</c:v>
                </c:pt>
                <c:pt idx="47">
                  <c:v>118483.37773289057</c:v>
                </c:pt>
                <c:pt idx="48">
                  <c:v>117807.14062638099</c:v>
                </c:pt>
                <c:pt idx="49">
                  <c:v>117033.21133574801</c:v>
                </c:pt>
                <c:pt idx="50">
                  <c:v>116152.44276919035</c:v>
                </c:pt>
                <c:pt idx="51">
                  <c:v>115155.70579762886</c:v>
                </c:pt>
                <c:pt idx="52">
                  <c:v>114034.05526713486</c:v>
                </c:pt>
                <c:pt idx="53">
                  <c:v>112778.91344100267</c:v>
                </c:pt>
                <c:pt idx="54">
                  <c:v>111382.26765284444</c:v>
                </c:pt>
                <c:pt idx="55">
                  <c:v>109836.87804424288</c:v>
                </c:pt>
                <c:pt idx="56">
                  <c:v>108136.49041303304</c:v>
                </c:pt>
                <c:pt idx="57">
                  <c:v>106276.04845836847</c:v>
                </c:pt>
                <c:pt idx="58">
                  <c:v>104251.89912327606</c:v>
                </c:pt>
                <c:pt idx="59">
                  <c:v>102061.98434828971</c:v>
                </c:pt>
                <c:pt idx="60">
                  <c:v>99706.012398916369</c:v>
                </c:pt>
                <c:pt idx="61">
                  <c:v>97185.602044318744</c:v>
                </c:pt>
                <c:pt idx="62">
                  <c:v>94504.393262634767</c:v>
                </c:pt>
                <c:pt idx="63">
                  <c:v>91668.118834433917</c:v>
                </c:pt>
                <c:pt idx="64">
                  <c:v>88684.632149934216</c:v>
                </c:pt>
                <c:pt idx="65">
                  <c:v>85563.887772605493</c:v>
                </c:pt>
                <c:pt idx="66">
                  <c:v>82317.872731716212</c:v>
                </c:pt>
                <c:pt idx="67">
                  <c:v>78960.488105886237</c:v>
                </c:pt>
                <c:pt idx="68">
                  <c:v>75507.382144286879</c:v>
                </c:pt>
                <c:pt idx="69">
                  <c:v>71975.73787926232</c:v>
                </c:pt>
                <c:pt idx="70">
                  <c:v>68384.019837041516</c:v>
                </c:pt>
                <c:pt idx="71">
                  <c:v>64751.685975006156</c:v>
                </c:pt>
                <c:pt idx="72">
                  <c:v>61098.872292085005</c:v>
                </c:pt>
                <c:pt idx="73">
                  <c:v>57446.058609163854</c:v>
                </c:pt>
                <c:pt idx="74">
                  <c:v>53813.724747128494</c:v>
                </c:pt>
                <c:pt idx="75">
                  <c:v>50222.00670490769</c:v>
                </c:pt>
                <c:pt idx="76">
                  <c:v>46690.362439883131</c:v>
                </c:pt>
                <c:pt idx="77">
                  <c:v>43237.256478283773</c:v>
                </c:pt>
                <c:pt idx="78">
                  <c:v>39879.871852453798</c:v>
                </c:pt>
                <c:pt idx="79">
                  <c:v>36633.85681156451</c:v>
                </c:pt>
                <c:pt idx="80">
                  <c:v>33513.112434235787</c:v>
                </c:pt>
                <c:pt idx="81">
                  <c:v>30529.625749736086</c:v>
                </c:pt>
                <c:pt idx="82">
                  <c:v>27693.351321535243</c:v>
                </c:pt>
                <c:pt idx="83">
                  <c:v>25012.142539851269</c:v>
                </c:pt>
                <c:pt idx="84">
                  <c:v>22491.732185253637</c:v>
                </c:pt>
                <c:pt idx="85">
                  <c:v>20135.760235880298</c:v>
                </c:pt>
                <c:pt idx="86">
                  <c:v>17945.845460893954</c:v>
                </c:pt>
                <c:pt idx="87">
                  <c:v>15921.696125801529</c:v>
                </c:pt>
                <c:pt idx="88">
                  <c:v>14061.254171136974</c:v>
                </c:pt>
                <c:pt idx="89">
                  <c:v>12360.866539927129</c:v>
                </c:pt>
                <c:pt idx="90">
                  <c:v>10815.476931325564</c:v>
                </c:pt>
                <c:pt idx="91">
                  <c:v>9418.8311431673392</c:v>
                </c:pt>
                <c:pt idx="92">
                  <c:v>8163.6893170351586</c:v>
                </c:pt>
                <c:pt idx="93">
                  <c:v>7042.0387865411403</c:v>
                </c:pt>
                <c:pt idx="94">
                  <c:v>6045.3018149796626</c:v>
                </c:pt>
                <c:pt idx="95">
                  <c:v>5164.5332484219971</c:v>
                </c:pt>
                <c:pt idx="96">
                  <c:v>4390.6039577890251</c:v>
                </c:pt>
                <c:pt idx="97">
                  <c:v>3714.3668512794429</c:v>
                </c:pt>
                <c:pt idx="98">
                  <c:v>3126.8031618297287</c:v>
                </c:pt>
                <c:pt idx="99">
                  <c:v>2619.1476124835581</c:v>
                </c:pt>
                <c:pt idx="100">
                  <c:v>2182.9919010792532</c:v>
                </c:pt>
                <c:pt idx="101">
                  <c:v>1810.3666970201557</c:v>
                </c:pt>
                <c:pt idx="102">
                  <c:v>1493.8029871773194</c:v>
                </c:pt>
                <c:pt idx="103">
                  <c:v>1226.3741329451034</c:v>
                </c:pt>
                <c:pt idx="104">
                  <c:v>1001.7204011333589</c:v>
                </c:pt>
                <c:pt idx="105">
                  <c:v>814.05800923128606</c:v>
                </c:pt>
                <c:pt idx="106">
                  <c:v>658.17488758810612</c:v>
                </c:pt>
                <c:pt idx="107">
                  <c:v>529.41541848752024</c:v>
                </c:pt>
                <c:pt idx="108">
                  <c:v>423.65637926396602</c:v>
                </c:pt>
                <c:pt idx="109">
                  <c:v>337.27620967199272</c:v>
                </c:pt>
                <c:pt idx="110">
                  <c:v>267.11955953832785</c:v>
                </c:pt>
                <c:pt idx="111">
                  <c:v>210.45886789892651</c:v>
                </c:pt>
                <c:pt idx="112">
                  <c:v>164.95449488380925</c:v>
                </c:pt>
                <c:pt idx="113">
                  <c:v>128.6146864415924</c:v>
                </c:pt>
                <c:pt idx="114">
                  <c:v>99.756411413727733</c:v>
                </c:pt>
                <c:pt idx="115">
                  <c:v>76.967880032765521</c:v>
                </c:pt>
                <c:pt idx="116">
                  <c:v>59.073339876834766</c:v>
                </c:pt>
                <c:pt idx="117">
                  <c:v>45.100554687020285</c:v>
                </c:pt>
                <c:pt idx="118">
                  <c:v>34.251206249048955</c:v>
                </c:pt>
                <c:pt idx="119">
                  <c:v>25.874320992508775</c:v>
                </c:pt>
                <c:pt idx="120">
                  <c:v>19.442710861220029</c:v>
                </c:pt>
                <c:pt idx="121">
                  <c:v>14.532331010664175</c:v>
                </c:pt>
                <c:pt idx="122">
                  <c:v>10.804392833794871</c:v>
                </c:pt>
                <c:pt idx="123">
                  <c:v>7.9900270115394614</c:v>
                </c:pt>
                <c:pt idx="124">
                  <c:v>5.8772647616937954</c:v>
                </c:pt>
                <c:pt idx="125">
                  <c:v>4.3000931824116764</c:v>
                </c:pt>
                <c:pt idx="126">
                  <c:v>3.1293396146007195</c:v>
                </c:pt>
                <c:pt idx="127">
                  <c:v>2.2651475567587966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3003-419C-A35B-51E0E111B9A1}"/>
            </c:ext>
          </c:extLst>
        </c:ser>
        <c:ser>
          <c:idx val="33"/>
          <c:order val="33"/>
          <c:spPr>
            <a:solidFill>
              <a:schemeClr val="accent4">
                <a:lumMod val="5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output'!$AM$3:$AM$130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125911.12134182196</c:v>
                </c:pt>
                <c:pt idx="34">
                  <c:v>125864.17079166164</c:v>
                </c:pt>
                <c:pt idx="35">
                  <c:v>125805.70936326112</c:v>
                </c:pt>
                <c:pt idx="36">
                  <c:v>125733.32306051861</c:v>
                </c:pt>
                <c:pt idx="37">
                  <c:v>125644.19763769525</c:v>
                </c:pt>
                <c:pt idx="38">
                  <c:v>125535.07746424901</c:v>
                </c:pt>
                <c:pt idx="39">
                  <c:v>125402.22588291607</c:v>
                </c:pt>
                <c:pt idx="40">
                  <c:v>125241.38863064973</c:v>
                </c:pt>
                <c:pt idx="41">
                  <c:v>125047.76212927424</c:v>
                </c:pt>
                <c:pt idx="42">
                  <c:v>124815.96866404783</c:v>
                </c:pt>
                <c:pt idx="43">
                  <c:v>124540.04063772885</c:v>
                </c:pt>
                <c:pt idx="44">
                  <c:v>124213.41619807393</c:v>
                </c:pt>
                <c:pt idx="45">
                  <c:v>123828.94857057005</c:v>
                </c:pt>
                <c:pt idx="46">
                  <c:v>123378.93136894437</c:v>
                </c:pt>
                <c:pt idx="47">
                  <c:v>122855.14198883752</c:v>
                </c:pt>
                <c:pt idx="48">
                  <c:v>122248.90490334417</c:v>
                </c:pt>
                <c:pt idx="49">
                  <c:v>121551.17626572739</c:v>
                </c:pt>
                <c:pt idx="50">
                  <c:v>120752.65068295918</c:v>
                </c:pt>
                <c:pt idx="51">
                  <c:v>119843.8903589777</c:v>
                </c:pt>
                <c:pt idx="52">
                  <c:v>118815.47603131761</c:v>
                </c:pt>
                <c:pt idx="53">
                  <c:v>117658.17825958904</c:v>
                </c:pt>
                <c:pt idx="54">
                  <c:v>116363.14669753349</c:v>
                </c:pt>
                <c:pt idx="55">
                  <c:v>114922.1140277431</c:v>
                </c:pt>
                <c:pt idx="56">
                  <c:v>113327.61030143597</c:v>
                </c:pt>
                <c:pt idx="57">
                  <c:v>111573.18255128169</c:v>
                </c:pt>
                <c:pt idx="58">
                  <c:v>109653.61378184035</c:v>
                </c:pt>
                <c:pt idx="59">
                  <c:v>107565.13483812106</c:v>
                </c:pt>
                <c:pt idx="60">
                  <c:v>105305.62225334928</c:v>
                </c:pt>
                <c:pt idx="61">
                  <c:v>102874.77502140093</c:v>
                </c:pt>
                <c:pt idx="62">
                  <c:v>100274.26335763633</c:v>
                </c:pt>
                <c:pt idx="63">
                  <c:v>97507.842922551907</c:v>
                </c:pt>
                <c:pt idx="64">
                  <c:v>94581.428690552333</c:v>
                </c:pt>
                <c:pt idx="65">
                  <c:v>91503.123640910329</c:v>
                </c:pt>
                <c:pt idx="66">
                  <c:v>88283.198703660673</c:v>
                </c:pt>
                <c:pt idx="67">
                  <c:v>84934.021868551397</c:v>
                </c:pt>
                <c:pt idx="68">
                  <c:v>81469.936005196563</c:v>
                </c:pt>
                <c:pt idx="69">
                  <c:v>77907.086680691296</c:v>
                </c:pt>
                <c:pt idx="70">
                  <c:v>74263.203022337606</c:v>
                </c:pt>
                <c:pt idx="71">
                  <c:v>70557.336378554464</c:v>
                </c:pt>
                <c:pt idx="72">
                  <c:v>66809.563101207299</c:v>
                </c:pt>
                <c:pt idx="73">
                  <c:v>63040.659132586719</c:v>
                </c:pt>
                <c:pt idx="74">
                  <c:v>59271.75516396614</c:v>
                </c:pt>
                <c:pt idx="75">
                  <c:v>55523.981886618974</c:v>
                </c:pt>
                <c:pt idx="76">
                  <c:v>51818.11524283584</c:v>
                </c:pt>
                <c:pt idx="77">
                  <c:v>48174.231584482142</c:v>
                </c:pt>
                <c:pt idx="78">
                  <c:v>44611.382259976883</c:v>
                </c:pt>
                <c:pt idx="79">
                  <c:v>41147.296396622041</c:v>
                </c:pt>
                <c:pt idx="80">
                  <c:v>37798.119561512765</c:v>
                </c:pt>
                <c:pt idx="81">
                  <c:v>34578.194624263109</c:v>
                </c:pt>
                <c:pt idx="82">
                  <c:v>31499.889574621109</c:v>
                </c:pt>
                <c:pt idx="83">
                  <c:v>28573.475342621539</c:v>
                </c:pt>
                <c:pt idx="84">
                  <c:v>25807.054907537113</c:v>
                </c:pt>
                <c:pt idx="85">
                  <c:v>23206.543243772503</c:v>
                </c:pt>
                <c:pt idx="86">
                  <c:v>20775.696011824155</c:v>
                </c:pt>
                <c:pt idx="87">
                  <c:v>18516.18342705238</c:v>
                </c:pt>
                <c:pt idx="88">
                  <c:v>16427.704483333091</c:v>
                </c:pt>
                <c:pt idx="89">
                  <c:v>14508.135713891745</c:v>
                </c:pt>
                <c:pt idx="90">
                  <c:v>12753.707963737465</c:v>
                </c:pt>
                <c:pt idx="91">
                  <c:v>11159.204237430336</c:v>
                </c:pt>
                <c:pt idx="92">
                  <c:v>9718.1715676399417</c:v>
                </c:pt>
                <c:pt idx="93">
                  <c:v>8423.1400055843951</c:v>
                </c:pt>
                <c:pt idx="94">
                  <c:v>7265.8422338558248</c:v>
                </c:pt>
                <c:pt idx="95">
                  <c:v>6237.4279061957404</c:v>
                </c:pt>
                <c:pt idx="96">
                  <c:v>5328.6675822142506</c:v>
                </c:pt>
                <c:pt idx="97">
                  <c:v>4530.1419994460375</c:v>
                </c:pt>
                <c:pt idx="98">
                  <c:v>3832.4133618292708</c:v>
                </c:pt>
                <c:pt idx="99">
                  <c:v>3226.1762763359134</c:v>
                </c:pt>
                <c:pt idx="100">
                  <c:v>2702.3868962290767</c:v>
                </c:pt>
                <c:pt idx="101">
                  <c:v>2252.3696946033838</c:v>
                </c:pt>
                <c:pt idx="102">
                  <c:v>1867.9020670995096</c:v>
                </c:pt>
                <c:pt idx="103">
                  <c:v>1541.2776274445969</c:v>
                </c:pt>
                <c:pt idx="104">
                  <c:v>1265.3496011256018</c:v>
                </c:pt>
                <c:pt idx="105">
                  <c:v>1033.5561358992006</c:v>
                </c:pt>
                <c:pt idx="106">
                  <c:v>839.92963452370748</c:v>
                </c:pt>
                <c:pt idx="107">
                  <c:v>679.09238225736283</c:v>
                </c:pt>
                <c:pt idx="108">
                  <c:v>546.24080092442239</c:v>
                </c:pt>
                <c:pt idx="109">
                  <c:v>437.12062747818294</c:v>
                </c:pt>
                <c:pt idx="110">
                  <c:v>347.99520465482175</c:v>
                </c:pt>
                <c:pt idx="111">
                  <c:v>275.60890191231681</c:v>
                </c:pt>
                <c:pt idx="112">
                  <c:v>217.14747351179909</c:v>
                </c:pt>
                <c:pt idx="113">
                  <c:v>170.19692335148625</c:v>
                </c:pt>
                <c:pt idx="114">
                  <c:v>132.70219732777764</c:v>
                </c:pt>
                <c:pt idx="115">
                  <c:v>102.92677577025523</c:v>
                </c:pt>
                <c:pt idx="116">
                  <c:v>79.414000738143898</c:v>
                </c:pt>
                <c:pt idx="117">
                  <c:v>60.950753152958079</c:v>
                </c:pt>
                <c:pt idx="118">
                  <c:v>46.533898058268214</c:v>
                </c:pt>
                <c:pt idx="119">
                  <c:v>35.339745841854651</c:v>
                </c:pt>
                <c:pt idx="120">
                  <c:v>26.696634304119264</c:v>
                </c:pt>
                <c:pt idx="121">
                  <c:v>20.060620794377463</c:v>
                </c:pt>
                <c:pt idx="122">
                  <c:v>14.994183874059464</c:v>
                </c:pt>
                <c:pt idx="123">
                  <c:v>11.147767875546529</c:v>
                </c:pt>
                <c:pt idx="124">
                  <c:v>8.2439585281817163</c:v>
                </c:pt>
                <c:pt idx="125">
                  <c:v>6.0640504574729928</c:v>
                </c:pt>
                <c:pt idx="126">
                  <c:v>4.4367546958127964</c:v>
                </c:pt>
                <c:pt idx="127">
                  <c:v>3.2287933402610465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3003-419C-A35B-51E0E111B9A1}"/>
            </c:ext>
          </c:extLst>
        </c:ser>
        <c:ser>
          <c:idx val="34"/>
          <c:order val="34"/>
          <c:spPr>
            <a:solidFill>
              <a:schemeClr val="accent5">
                <a:lumMod val="5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output'!$AN$3:$AN$130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128479.42077699999</c:v>
                </c:pt>
                <c:pt idx="35">
                  <c:v>128431.51254279897</c:v>
                </c:pt>
                <c:pt idx="36">
                  <c:v>128371.8586347196</c:v>
                </c:pt>
                <c:pt idx="37">
                  <c:v>128297.99581665051</c:v>
                </c:pt>
                <c:pt idx="38">
                  <c:v>128207.05243866435</c:v>
                </c:pt>
                <c:pt idx="39">
                  <c:v>128095.70646278826</c:v>
                </c:pt>
                <c:pt idx="40">
                  <c:v>127960.14501248057</c:v>
                </c:pt>
                <c:pt idx="41">
                  <c:v>127796.02704744041</c:v>
                </c:pt>
                <c:pt idx="42">
                  <c:v>127598.45100746326</c:v>
                </c:pt>
                <c:pt idx="43">
                  <c:v>127361.9294847033</c:v>
                </c:pt>
                <c:pt idx="44">
                  <c:v>127080.37315655843</c:v>
                </c:pt>
                <c:pt idx="45">
                  <c:v>126747.08632397953</c:v>
                </c:pt>
                <c:pt idx="46">
                  <c:v>126354.77643456867</c:v>
                </c:pt>
                <c:pt idx="47">
                  <c:v>125895.57990936586</c:v>
                </c:pt>
                <c:pt idx="48">
                  <c:v>125361.10642165404</c:v>
                </c:pt>
                <c:pt idx="49">
                  <c:v>124742.50348358417</c:v>
                </c:pt>
                <c:pt idx="50">
                  <c:v>124030.54277459196</c:v>
                </c:pt>
                <c:pt idx="51">
                  <c:v>123215.72909287471</c:v>
                </c:pt>
                <c:pt idx="52">
                  <c:v>122288.43213287632</c:v>
                </c:pt>
                <c:pt idx="53">
                  <c:v>121239.04050068022</c:v>
                </c:pt>
                <c:pt idx="54">
                  <c:v>120058.1364963823</c:v>
                </c:pt>
                <c:pt idx="55">
                  <c:v>118736.68924686467</c:v>
                </c:pt>
                <c:pt idx="56">
                  <c:v>117266.26280031767</c:v>
                </c:pt>
                <c:pt idx="57">
                  <c:v>115639.23483805725</c:v>
                </c:pt>
                <c:pt idx="58">
                  <c:v>113849.02076695084</c:v>
                </c:pt>
                <c:pt idx="59">
                  <c:v>111890.29717676132</c:v>
                </c:pt>
                <c:pt idx="60">
                  <c:v>109759.21803034052</c:v>
                </c:pt>
                <c:pt idx="61">
                  <c:v>107453.61654703933</c:v>
                </c:pt>
                <c:pt idx="62">
                  <c:v>104973.18558089591</c:v>
                </c:pt>
                <c:pt idx="63">
                  <c:v>102319.629415851</c:v>
                </c:pt>
                <c:pt idx="64">
                  <c:v>99496.780319301441</c:v>
                </c:pt>
                <c:pt idx="65">
                  <c:v>96510.673917626584</c:v>
                </c:pt>
                <c:pt idx="66">
                  <c:v>93369.578472378169</c:v>
                </c:pt>
                <c:pt idx="67">
                  <c:v>90083.974417116347</c:v>
                </c:pt>
                <c:pt idx="68">
                  <c:v>86666.482020345356</c:v>
                </c:pt>
                <c:pt idx="69">
                  <c:v>83131.736713476304</c:v>
                </c:pt>
                <c:pt idx="70">
                  <c:v>79496.213396314677</c:v>
                </c:pt>
                <c:pt idx="71">
                  <c:v>75778.002829885896</c:v>
                </c:pt>
                <c:pt idx="72">
                  <c:v>71996.544966624744</c:v>
                </c:pt>
                <c:pt idx="73">
                  <c:v>68172.325670142731</c:v>
                </c:pt>
                <c:pt idx="74">
                  <c:v>64326.544664524205</c:v>
                </c:pt>
                <c:pt idx="75">
                  <c:v>60480.763658905678</c:v>
                </c:pt>
                <c:pt idx="76">
                  <c:v>56656.544362423665</c:v>
                </c:pt>
                <c:pt idx="77">
                  <c:v>52875.086499162513</c:v>
                </c:pt>
                <c:pt idx="78">
                  <c:v>49156.875932733732</c:v>
                </c:pt>
                <c:pt idx="79">
                  <c:v>45521.352615572097</c:v>
                </c:pt>
                <c:pt idx="80">
                  <c:v>41986.607308703053</c:v>
                </c:pt>
                <c:pt idx="81">
                  <c:v>38569.114911932069</c:v>
                </c:pt>
                <c:pt idx="82">
                  <c:v>35283.510856670247</c:v>
                </c:pt>
                <c:pt idx="83">
                  <c:v>32142.415411421818</c:v>
                </c:pt>
                <c:pt idx="84">
                  <c:v>29156.309009746965</c:v>
                </c:pt>
                <c:pt idx="85">
                  <c:v>26333.459913197414</c:v>
                </c:pt>
                <c:pt idx="86">
                  <c:v>23679.903748152501</c:v>
                </c:pt>
                <c:pt idx="87">
                  <c:v>21199.472782009074</c:v>
                </c:pt>
                <c:pt idx="88">
                  <c:v>18893.871298707894</c:v>
                </c:pt>
                <c:pt idx="89">
                  <c:v>16762.792152287097</c:v>
                </c:pt>
                <c:pt idx="90">
                  <c:v>14804.068562097569</c:v>
                </c:pt>
                <c:pt idx="91">
                  <c:v>13013.854490991151</c:v>
                </c:pt>
                <c:pt idx="92">
                  <c:v>11386.82652873074</c:v>
                </c:pt>
                <c:pt idx="93">
                  <c:v>9916.400082183738</c:v>
                </c:pt>
                <c:pt idx="94">
                  <c:v>8594.9528326661148</c:v>
                </c:pt>
                <c:pt idx="95">
                  <c:v>7414.0488283681907</c:v>
                </c:pt>
                <c:pt idx="96">
                  <c:v>6364.657196172092</c:v>
                </c:pt>
                <c:pt idx="97">
                  <c:v>5437.3602361736966</c:v>
                </c:pt>
                <c:pt idx="98">
                  <c:v>4622.546554456454</c:v>
                </c:pt>
                <c:pt idx="99">
                  <c:v>3910.5858454642457</c:v>
                </c:pt>
                <c:pt idx="100">
                  <c:v>3291.9829073943738</c:v>
                </c:pt>
                <c:pt idx="101">
                  <c:v>2757.5094196825498</c:v>
                </c:pt>
                <c:pt idx="102">
                  <c:v>2298.3128944797286</c:v>
                </c:pt>
                <c:pt idx="103">
                  <c:v>1906.0030050688874</c:v>
                </c:pt>
                <c:pt idx="104">
                  <c:v>1572.7161724899718</c:v>
                </c:pt>
                <c:pt idx="105">
                  <c:v>1291.1598443451117</c:v>
                </c:pt>
                <c:pt idx="106">
                  <c:v>1054.6383215851527</c:v>
                </c:pt>
                <c:pt idx="107">
                  <c:v>857.06228160799662</c:v>
                </c:pt>
                <c:pt idx="108">
                  <c:v>692.94431656783888</c:v>
                </c:pt>
                <c:pt idx="109">
                  <c:v>557.38286626015065</c:v>
                </c:pt>
                <c:pt idx="110">
                  <c:v>446.03689038405537</c:v>
                </c:pt>
                <c:pt idx="111">
                  <c:v>355.09351239789464</c:v>
                </c:pt>
                <c:pt idx="112">
                  <c:v>281.23069432880868</c:v>
                </c:pt>
                <c:pt idx="113">
                  <c:v>221.57678624944566</c:v>
                </c:pt>
                <c:pt idx="114">
                  <c:v>173.66855204841431</c:v>
                </c:pt>
                <c:pt idx="115">
                  <c:v>135.40901920984606</c:v>
                </c:pt>
                <c:pt idx="116">
                  <c:v>105.02624702631527</c:v>
                </c:pt>
                <c:pt idx="117">
                  <c:v>81.033865060432774</c:v>
                </c:pt>
                <c:pt idx="118">
                  <c:v>62.194009373919258</c:v>
                </c:pt>
                <c:pt idx="119">
                  <c:v>47.483083347272434</c:v>
                </c:pt>
                <c:pt idx="120">
                  <c:v>36.06059598056931</c:v>
                </c:pt>
                <c:pt idx="121">
                  <c:v>27.241184698665311</c:v>
                </c:pt>
                <c:pt idx="122">
                  <c:v>20.469811662558598</c:v>
                </c:pt>
                <c:pt idx="123">
                  <c:v>15.30003099514226</c:v>
                </c:pt>
                <c:pt idx="124">
                  <c:v>11.375156891172365</c:v>
                </c:pt>
                <c:pt idx="125">
                  <c:v>8.4121164621745379</c:v>
                </c:pt>
                <c:pt idx="126">
                  <c:v>6.1877432432956061</c:v>
                </c:pt>
                <c:pt idx="127">
                  <c:v>4.5272543630212612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3003-419C-A35B-51E0E111B9A1}"/>
            </c:ext>
          </c:extLst>
        </c:ser>
        <c:ser>
          <c:idx val="35"/>
          <c:order val="35"/>
          <c:spPr>
            <a:solidFill>
              <a:schemeClr val="accent6">
                <a:lumMod val="5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output'!$AO$3:$AO$130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130891.47200128925</c:v>
                </c:pt>
                <c:pt idx="36">
                  <c:v>130842.66434588707</c:v>
                </c:pt>
                <c:pt idx="37">
                  <c:v>130781.89050528352</c:v>
                </c:pt>
                <c:pt idx="38">
                  <c:v>130706.64099898316</c:v>
                </c:pt>
                <c:pt idx="39">
                  <c:v>130613.99026518168</c:v>
                </c:pt>
                <c:pt idx="40">
                  <c:v>130500.55389851921</c:v>
                </c:pt>
                <c:pt idx="41">
                  <c:v>130362.44744014561</c:v>
                </c:pt>
                <c:pt idx="42">
                  <c:v>130195.24835179318</c:v>
                </c:pt>
                <c:pt idx="43">
                  <c:v>129993.96305218335</c:v>
                </c:pt>
                <c:pt idx="44">
                  <c:v>129753.00111379033</c:v>
                </c:pt>
                <c:pt idx="45">
                  <c:v>129466.15889408479</c:v>
                </c:pt>
                <c:pt idx="46">
                  <c:v>129126.61499007995</c:v>
                </c:pt>
                <c:pt idx="47">
                  <c:v>128726.93994021516</c:v>
                </c:pt>
                <c:pt idx="48">
                  <c:v>128259.12253601002</c:v>
                </c:pt>
                <c:pt idx="49">
                  <c:v>127714.61493215269</c:v>
                </c:pt>
                <c:pt idx="50">
                  <c:v>127084.39844566317</c:v>
                </c:pt>
                <c:pt idx="51">
                  <c:v>126359.07150502558</c:v>
                </c:pt>
                <c:pt idx="52">
                  <c:v>125528.96064710169</c:v>
                </c:pt>
                <c:pt idx="53">
                  <c:v>124584.25476858453</c:v>
                </c:pt>
                <c:pt idx="54">
                  <c:v>123515.1620328507</c:v>
                </c:pt>
                <c:pt idx="55">
                  <c:v>122312.08793366824</c:v>
                </c:pt>
                <c:pt idx="56">
                  <c:v>120965.83205381312</c:v>
                </c:pt>
                <c:pt idx="57">
                  <c:v>119467.8000663229</c:v>
                </c:pt>
                <c:pt idx="58">
                  <c:v>117810.22655237344</c:v>
                </c:pt>
                <c:pt idx="59">
                  <c:v>115986.40330077852</c:v>
                </c:pt>
                <c:pt idx="60">
                  <c:v>113990.90696048482</c:v>
                </c:pt>
                <c:pt idx="61">
                  <c:v>111819.81928948402</c:v>
                </c:pt>
                <c:pt idx="62">
                  <c:v>109470.93282834836</c:v>
                </c:pt>
                <c:pt idx="63">
                  <c:v>106943.9346648089</c:v>
                </c:pt>
                <c:pt idx="64">
                  <c:v>104240.56107874893</c:v>
                </c:pt>
                <c:pt idx="65">
                  <c:v>101364.71628391449</c:v>
                </c:pt>
                <c:pt idx="66">
                  <c:v>98322.549218528206</c:v>
                </c:pt>
                <c:pt idx="67">
                  <c:v>95122.483371105642</c:v>
                </c:pt>
                <c:pt idx="68">
                  <c:v>91775.195933119205</c:v>
                </c:pt>
                <c:pt idx="69">
                  <c:v>88293.544103889857</c:v>
                </c:pt>
                <c:pt idx="70">
                  <c:v>84692.438077977858</c:v>
                </c:pt>
                <c:pt idx="71">
                  <c:v>80988.662052210755</c:v>
                </c:pt>
                <c:pt idx="72">
                  <c:v>77200.646420545221</c:v>
                </c:pt>
                <c:pt idx="73">
                  <c:v>73348.196097841792</c:v>
                </c:pt>
                <c:pt idx="74">
                  <c:v>69452.181545899846</c:v>
                </c:pt>
                <c:pt idx="75">
                  <c:v>65534.20048888903</c:v>
                </c:pt>
                <c:pt idx="76">
                  <c:v>61616.21943187822</c:v>
                </c:pt>
                <c:pt idx="77">
                  <c:v>57720.204879936267</c:v>
                </c:pt>
                <c:pt idx="78">
                  <c:v>53867.754557232845</c:v>
                </c:pt>
                <c:pt idx="79">
                  <c:v>50079.738925567304</c:v>
                </c:pt>
                <c:pt idx="80">
                  <c:v>46375.962899800201</c:v>
                </c:pt>
                <c:pt idx="81">
                  <c:v>42774.856873888195</c:v>
                </c:pt>
                <c:pt idx="82">
                  <c:v>39293.205044658855</c:v>
                </c:pt>
                <c:pt idx="83">
                  <c:v>35945.917606672425</c:v>
                </c:pt>
                <c:pt idx="84">
                  <c:v>32745.85175924985</c:v>
                </c:pt>
                <c:pt idx="85">
                  <c:v>29703.684693863572</c:v>
                </c:pt>
                <c:pt idx="86">
                  <c:v>26827.839899029124</c:v>
                </c:pt>
                <c:pt idx="87">
                  <c:v>24124.466312969169</c:v>
                </c:pt>
                <c:pt idx="88">
                  <c:v>21597.468149429704</c:v>
                </c:pt>
                <c:pt idx="89">
                  <c:v>19248.581688294038</c:v>
                </c:pt>
                <c:pt idx="90">
                  <c:v>17077.494017293237</c:v>
                </c:pt>
                <c:pt idx="91">
                  <c:v>15081.997676999541</c:v>
                </c:pt>
                <c:pt idx="92">
                  <c:v>13258.174425404623</c:v>
                </c:pt>
                <c:pt idx="93">
                  <c:v>11600.600911455162</c:v>
                </c:pt>
                <c:pt idx="94">
                  <c:v>10102.568923964936</c:v>
                </c:pt>
                <c:pt idx="95">
                  <c:v>8756.3130441098147</c:v>
                </c:pt>
                <c:pt idx="96">
                  <c:v>7553.2389449273642</c:v>
                </c:pt>
                <c:pt idx="97">
                  <c:v>6484.1462091935191</c:v>
                </c:pt>
                <c:pt idx="98">
                  <c:v>5539.440330676367</c:v>
                </c:pt>
                <c:pt idx="99">
                  <c:v>4709.3294727524772</c:v>
                </c:pt>
                <c:pt idx="100">
                  <c:v>3984.0025321148819</c:v>
                </c:pt>
                <c:pt idx="101">
                  <c:v>3353.7860456253748</c:v>
                </c:pt>
                <c:pt idx="102">
                  <c:v>2809.2784417680318</c:v>
                </c:pt>
                <c:pt idx="103">
                  <c:v>2341.4610375629049</c:v>
                </c:pt>
                <c:pt idx="104">
                  <c:v>1941.7859876981056</c:v>
                </c:pt>
                <c:pt idx="105">
                  <c:v>1602.2420836932781</c:v>
                </c:pt>
                <c:pt idx="106">
                  <c:v>1315.3998639877227</c:v>
                </c:pt>
                <c:pt idx="107">
                  <c:v>1074.4379255947094</c:v>
                </c:pt>
                <c:pt idx="108">
                  <c:v>873.15262598488209</c:v>
                </c:pt>
                <c:pt idx="109">
                  <c:v>705.9535376324543</c:v>
                </c:pt>
                <c:pt idx="110">
                  <c:v>567.84707925885471</c:v>
                </c:pt>
                <c:pt idx="111">
                  <c:v>454.41071259637988</c:v>
                </c:pt>
                <c:pt idx="112">
                  <c:v>361.7599787948995</c:v>
                </c:pt>
                <c:pt idx="113">
                  <c:v>286.51047249453461</c:v>
                </c:pt>
                <c:pt idx="114">
                  <c:v>225.73663189098772</c:v>
                </c:pt>
                <c:pt idx="115">
                  <c:v>176.92897648880773</c:v>
                </c:pt>
                <c:pt idx="116">
                  <c:v>137.95116555974138</c:v>
                </c:pt>
                <c:pt idx="117">
                  <c:v>106.99799227695762</c:v>
                </c:pt>
                <c:pt idx="118">
                  <c:v>82.555181332298304</c:v>
                </c:pt>
                <c:pt idx="119">
                  <c:v>63.361629336295948</c:v>
                </c:pt>
                <c:pt idx="120">
                  <c:v>48.374522837178048</c:v>
                </c:pt>
                <c:pt idx="121">
                  <c:v>36.737591597124144</c:v>
                </c:pt>
                <c:pt idx="122">
                  <c:v>27.752606158274414</c:v>
                </c:pt>
                <c:pt idx="123">
                  <c:v>20.854108493779091</c:v>
                </c:pt>
                <c:pt idx="124">
                  <c:v>15.587271226070378</c:v>
                </c:pt>
                <c:pt idx="125">
                  <c:v>11.588712190066945</c:v>
                </c:pt>
                <c:pt idx="126">
                  <c:v>8.5700441340829432</c:v>
                </c:pt>
                <c:pt idx="127">
                  <c:v>6.3039109032625991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3003-419C-A35B-51E0E111B9A1}"/>
            </c:ext>
          </c:extLst>
        </c:ser>
        <c:ser>
          <c:idx val="36"/>
          <c:order val="36"/>
          <c:spPr>
            <a:solidFill>
              <a:schemeClr val="accent1">
                <a:lumMod val="70000"/>
                <a:lumOff val="3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output'!$AP$3:$AP$130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132716.26932188205</c:v>
                </c:pt>
                <c:pt idx="37">
                  <c:v>132666.78122429794</c:v>
                </c:pt>
                <c:pt idx="38">
                  <c:v>132605.1601173309</c:v>
                </c:pt>
                <c:pt idx="39">
                  <c:v>132528.86153506421</c:v>
                </c:pt>
                <c:pt idx="40">
                  <c:v>132434.91912955788</c:v>
                </c:pt>
                <c:pt idx="41">
                  <c:v>132319.90131244046</c:v>
                </c:pt>
                <c:pt idx="42">
                  <c:v>132179.86947045443</c:v>
                </c:pt>
                <c:pt idx="43">
                  <c:v>132010.33940939794</c:v>
                </c:pt>
                <c:pt idx="44">
                  <c:v>131806.2479309761</c:v>
                </c:pt>
                <c:pt idx="45">
                  <c:v>131561.92666983409</c:v>
                </c:pt>
                <c:pt idx="46">
                  <c:v>131271.08549659894</c:v>
                </c:pt>
                <c:pt idx="47">
                  <c:v>130926.80790905633</c:v>
                </c:pt>
                <c:pt idx="48">
                  <c:v>130521.56086929065</c:v>
                </c:pt>
                <c:pt idx="49">
                  <c:v>130047.22148215823</c:v>
                </c:pt>
                <c:pt idx="50">
                  <c:v>129495.1227342686</c:v>
                </c:pt>
                <c:pt idx="51">
                  <c:v>128856.12021047386</c:v>
                </c:pt>
                <c:pt idx="52">
                  <c:v>128120.68126912611</c:v>
                </c:pt>
                <c:pt idx="53">
                  <c:v>127278.99758643241</c:v>
                </c:pt>
                <c:pt idx="54">
                  <c:v>126321.1212795481</c:v>
                </c:pt>
                <c:pt idx="55">
                  <c:v>125237.12400091467</c:v>
                </c:pt>
                <c:pt idx="56">
                  <c:v>124017.27748440742</c:v>
                </c:pt>
                <c:pt idx="57">
                  <c:v>122652.25304702268</c:v>
                </c:pt>
                <c:pt idx="58">
                  <c:v>121133.33654570479</c:v>
                </c:pt>
                <c:pt idx="59">
                  <c:v>119452.65430159366</c:v>
                </c:pt>
                <c:pt idx="60">
                  <c:v>117603.40458231633</c:v>
                </c:pt>
                <c:pt idx="61">
                  <c:v>115580.08842825367</c:v>
                </c:pt>
                <c:pt idx="62">
                  <c:v>113378.73297200882</c:v>
                </c:pt>
                <c:pt idx="63">
                  <c:v>110997.09997929915</c:v>
                </c:pt>
                <c:pt idx="64">
                  <c:v>108434.87217545183</c:v>
                </c:pt>
                <c:pt idx="65">
                  <c:v>105693.81004634949</c:v>
                </c:pt>
                <c:pt idx="66">
                  <c:v>102777.87223555443</c:v>
                </c:pt>
                <c:pt idx="67">
                  <c:v>99693.293405483768</c:v>
                </c:pt>
                <c:pt idx="68">
                  <c:v>96448.614479036158</c:v>
                </c:pt>
                <c:pt idx="69">
                  <c:v>93054.661501616938</c:v>
                </c:pt>
                <c:pt idx="70">
                  <c:v>89524.47091862408</c:v>
                </c:pt>
                <c:pt idx="71">
                  <c:v>85873.160792118026</c:v>
                </c:pt>
                <c:pt idx="72">
                  <c:v>82117.74931245498</c:v>
                </c:pt>
                <c:pt idx="73">
                  <c:v>78276.923817248753</c:v>
                </c:pt>
                <c:pt idx="74">
                  <c:v>74370.765327625821</c:v>
                </c:pt>
                <c:pt idx="75">
                  <c:v>70420.435266761298</c:v>
                </c:pt>
                <c:pt idx="76">
                  <c:v>66447.832459183759</c:v>
                </c:pt>
                <c:pt idx="77">
                  <c:v>62475.22965160622</c:v>
                </c:pt>
                <c:pt idx="78">
                  <c:v>58524.899590741697</c:v>
                </c:pt>
                <c:pt idx="79">
                  <c:v>54618.741101118758</c:v>
                </c:pt>
                <c:pt idx="80">
                  <c:v>50777.915605912538</c:v>
                </c:pt>
                <c:pt idx="81">
                  <c:v>47022.504126249485</c:v>
                </c:pt>
                <c:pt idx="82">
                  <c:v>43371.193999743446</c:v>
                </c:pt>
                <c:pt idx="83">
                  <c:v>39841.003416750587</c:v>
                </c:pt>
                <c:pt idx="84">
                  <c:v>36447.050439331368</c:v>
                </c:pt>
                <c:pt idx="85">
                  <c:v>33202.371512883758</c:v>
                </c:pt>
                <c:pt idx="86">
                  <c:v>30117.792682813084</c:v>
                </c:pt>
                <c:pt idx="87">
                  <c:v>27201.854872018033</c:v>
                </c:pt>
                <c:pt idx="88">
                  <c:v>24460.792742915677</c:v>
                </c:pt>
                <c:pt idx="89">
                  <c:v>21898.564939068368</c:v>
                </c:pt>
                <c:pt idx="90">
                  <c:v>19516.931946358709</c:v>
                </c:pt>
                <c:pt idx="91">
                  <c:v>17315.576490113843</c:v>
                </c:pt>
                <c:pt idx="92">
                  <c:v>15292.260336051189</c:v>
                </c:pt>
                <c:pt idx="93">
                  <c:v>13443.01061677385</c:v>
                </c:pt>
                <c:pt idx="94">
                  <c:v>11762.328372662727</c:v>
                </c:pt>
                <c:pt idx="95">
                  <c:v>10243.411871344835</c:v>
                </c:pt>
                <c:pt idx="96">
                  <c:v>8878.3874339601007</c:v>
                </c:pt>
                <c:pt idx="97">
                  <c:v>7658.5409174528531</c:v>
                </c:pt>
                <c:pt idx="98">
                  <c:v>6574.5436388194285</c:v>
                </c:pt>
                <c:pt idx="99">
                  <c:v>5616.6673319351066</c:v>
                </c:pt>
                <c:pt idx="100">
                  <c:v>4774.9836492413988</c:v>
                </c:pt>
                <c:pt idx="101">
                  <c:v>4039.5447078936563</c:v>
                </c:pt>
                <c:pt idx="102">
                  <c:v>3400.542184098922</c:v>
                </c:pt>
                <c:pt idx="103">
                  <c:v>2848.4434362092807</c:v>
                </c:pt>
                <c:pt idx="104">
                  <c:v>2374.1040490768646</c:v>
                </c:pt>
                <c:pt idx="105">
                  <c:v>1968.8570093111962</c:v>
                </c:pt>
                <c:pt idx="106">
                  <c:v>1624.5794217685632</c:v>
                </c:pt>
                <c:pt idx="107">
                  <c:v>1333.7382485334267</c:v>
                </c:pt>
                <c:pt idx="108">
                  <c:v>1089.4169873914107</c:v>
                </c:pt>
                <c:pt idx="109">
                  <c:v>885.325508969574</c:v>
                </c:pt>
                <c:pt idx="110">
                  <c:v>715.79544791307217</c:v>
                </c:pt>
                <c:pt idx="111">
                  <c:v>575.7636059270535</c:v>
                </c:pt>
                <c:pt idx="112">
                  <c:v>460.7457888096443</c:v>
                </c:pt>
                <c:pt idx="113">
                  <c:v>366.80338330330119</c:v>
                </c:pt>
                <c:pt idx="114">
                  <c:v>290.50480103661607</c:v>
                </c:pt>
                <c:pt idx="115">
                  <c:v>228.88369406957074</c:v>
                </c:pt>
                <c:pt idx="116">
                  <c:v>179.39559648547811</c:v>
                </c:pt>
                <c:pt idx="117">
                  <c:v>139.87438418840489</c:v>
                </c:pt>
                <c:pt idx="118">
                  <c:v>108.48968342100616</c:v>
                </c:pt>
                <c:pt idx="119">
                  <c:v>83.706107908284437</c:v>
                </c:pt>
                <c:pt idx="120">
                  <c:v>64.244972839684223</c:v>
                </c:pt>
                <c:pt idx="121">
                  <c:v>49.048926587923305</c:v>
                </c:pt>
                <c:pt idx="122">
                  <c:v>37.249761394640089</c:v>
                </c:pt>
                <c:pt idx="123">
                  <c:v>28.139513575409943</c:v>
                </c:pt>
                <c:pt idx="124">
                  <c:v>21.144841883212013</c:v>
                </c:pt>
                <c:pt idx="125">
                  <c:v>15.804578055413746</c:v>
                </c:pt>
                <c:pt idx="126">
                  <c:v>11.750273907039206</c:v>
                </c:pt>
                <c:pt idx="127">
                  <c:v>8.6895216931181292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3003-419C-A35B-51E0E111B9A1}"/>
            </c:ext>
          </c:extLst>
        </c:ser>
        <c:ser>
          <c:idx val="37"/>
          <c:order val="37"/>
          <c:spPr>
            <a:solidFill>
              <a:schemeClr val="accent2">
                <a:lumMod val="70000"/>
                <a:lumOff val="3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output'!$AQ$3:$AQ$130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135293.45182934689</c:v>
                </c:pt>
                <c:pt idx="38">
                  <c:v>135243.00273534487</c:v>
                </c:pt>
                <c:pt idx="39">
                  <c:v>135180.18502422539</c:v>
                </c:pt>
                <c:pt idx="40">
                  <c:v>135102.40481975392</c:v>
                </c:pt>
                <c:pt idx="41">
                  <c:v>135006.638171256</c:v>
                </c:pt>
                <c:pt idx="42">
                  <c:v>134889.38685324352</c:v>
                </c:pt>
                <c:pt idx="43">
                  <c:v>134746.63576955863</c:v>
                </c:pt>
                <c:pt idx="44">
                  <c:v>134573.81364860566</c:v>
                </c:pt>
                <c:pt idx="45">
                  <c:v>134365.75897116686</c:v>
                </c:pt>
                <c:pt idx="46">
                  <c:v>134116.69329938377</c:v>
                </c:pt>
                <c:pt idx="47">
                  <c:v>133820.20435750697</c:v>
                </c:pt>
                <c:pt idx="48">
                  <c:v>133469.24133357542</c:v>
                </c:pt>
                <c:pt idx="49">
                  <c:v>133056.12490758134</c:v>
                </c:pt>
                <c:pt idx="50">
                  <c:v>132572.5744480057</c:v>
                </c:pt>
                <c:pt idx="51">
                  <c:v>132009.75463899277</c:v>
                </c:pt>
                <c:pt idx="52">
                  <c:v>131358.34349238966</c:v>
                </c:pt>
                <c:pt idx="53">
                  <c:v>130608.62325467462</c:v>
                </c:pt>
                <c:pt idx="54">
                  <c:v>129750.59513678137</c:v>
                </c:pt>
                <c:pt idx="55">
                  <c:v>128774.11808053126</c:v>
                </c:pt>
                <c:pt idx="56">
                  <c:v>127669.07094238244</c:v>
                </c:pt>
                <c:pt idx="57">
                  <c:v>126425.53654555579</c:v>
                </c:pt>
                <c:pt idx="58">
                  <c:v>125034.00505579334</c:v>
                </c:pt>
                <c:pt idx="59">
                  <c:v>123485.59311237556</c:v>
                </c:pt>
                <c:pt idx="60">
                  <c:v>121772.27413953282</c:v>
                </c:pt>
                <c:pt idx="61">
                  <c:v>119887.11432383093</c:v>
                </c:pt>
                <c:pt idx="62">
                  <c:v>117824.50792279279</c:v>
                </c:pt>
                <c:pt idx="63">
                  <c:v>115580.40492094908</c:v>
                </c:pt>
                <c:pt idx="64">
                  <c:v>113152.52362033133</c:v>
                </c:pt>
                <c:pt idx="65">
                  <c:v>110540.54058519281</c:v>
                </c:pt>
                <c:pt idx="66">
                  <c:v>107746.25048783087</c:v>
                </c:pt>
                <c:pt idx="67">
                  <c:v>104773.68884367133</c:v>
                </c:pt>
                <c:pt idx="68">
                  <c:v>101629.21138440944</c:v>
                </c:pt>
                <c:pt idx="69">
                  <c:v>98321.524886890795</c:v>
                </c:pt>
                <c:pt idx="70">
                  <c:v>94861.665624663729</c:v>
                </c:pt>
                <c:pt idx="71">
                  <c:v>91262.923194448274</c:v>
                </c:pt>
                <c:pt idx="72">
                  <c:v>87540.709231996268</c:v>
                </c:pt>
                <c:pt idx="73">
                  <c:v>83712.372399449407</c:v>
                </c:pt>
                <c:pt idx="74">
                  <c:v>79796.962918940946</c:v>
                </c:pt>
                <c:pt idx="75">
                  <c:v>75814.951759692209</c:v>
                </c:pt>
                <c:pt idx="76">
                  <c:v>71787.911273017875</c:v>
                </c:pt>
                <c:pt idx="77">
                  <c:v>67738.165530989965</c:v>
                </c:pt>
                <c:pt idx="78">
                  <c:v>63688.419788962063</c:v>
                </c:pt>
                <c:pt idx="79">
                  <c:v>59661.379302287714</c:v>
                </c:pt>
                <c:pt idx="80">
                  <c:v>55679.368143038984</c:v>
                </c:pt>
                <c:pt idx="81">
                  <c:v>51763.958662530524</c:v>
                </c:pt>
                <c:pt idx="82">
                  <c:v>47935.621829983669</c:v>
                </c:pt>
                <c:pt idx="83">
                  <c:v>44213.407867531649</c:v>
                </c:pt>
                <c:pt idx="84">
                  <c:v>40614.665437316195</c:v>
                </c:pt>
                <c:pt idx="85">
                  <c:v>37154.806175089128</c:v>
                </c:pt>
                <c:pt idx="86">
                  <c:v>33847.119677570488</c:v>
                </c:pt>
                <c:pt idx="87">
                  <c:v>30702.642218308589</c:v>
                </c:pt>
                <c:pt idx="88">
                  <c:v>27730.080574149066</c:v>
                </c:pt>
                <c:pt idx="89">
                  <c:v>24935.790476787119</c:v>
                </c:pt>
                <c:pt idx="90">
                  <c:v>22323.807441648605</c:v>
                </c:pt>
                <c:pt idx="91">
                  <c:v>19895.92614103085</c:v>
                </c:pt>
                <c:pt idx="92">
                  <c:v>17651.82313918713</c:v>
                </c:pt>
                <c:pt idx="93">
                  <c:v>15589.216738148996</c:v>
                </c:pt>
                <c:pt idx="94">
                  <c:v>13704.056922447104</c:v>
                </c:pt>
                <c:pt idx="95">
                  <c:v>11990.737949604367</c:v>
                </c:pt>
                <c:pt idx="96">
                  <c:v>10442.326006186593</c:v>
                </c:pt>
                <c:pt idx="97">
                  <c:v>9050.7945164241428</c:v>
                </c:pt>
                <c:pt idx="98">
                  <c:v>7807.2601195974921</c:v>
                </c:pt>
                <c:pt idx="99">
                  <c:v>6702.212981448668</c:v>
                </c:pt>
                <c:pt idx="100">
                  <c:v>5725.735925198569</c:v>
                </c:pt>
                <c:pt idx="101">
                  <c:v>4867.7078073053162</c:v>
                </c:pt>
                <c:pt idx="102">
                  <c:v>4117.987569590261</c:v>
                </c:pt>
                <c:pt idx="103">
                  <c:v>3466.5764229871538</c:v>
                </c:pt>
                <c:pt idx="104">
                  <c:v>2903.7566139742262</c:v>
                </c:pt>
                <c:pt idx="105">
                  <c:v>2420.2061543985787</c:v>
                </c:pt>
                <c:pt idx="106">
                  <c:v>2007.089728404512</c:v>
                </c:pt>
                <c:pt idx="107">
                  <c:v>1656.1267044729527</c:v>
                </c:pt>
                <c:pt idx="108">
                  <c:v>1359.637762596172</c:v>
                </c:pt>
                <c:pt idx="109">
                  <c:v>1110.5720908130625</c:v>
                </c:pt>
                <c:pt idx="110">
                  <c:v>902.51741337426347</c:v>
                </c:pt>
                <c:pt idx="111">
                  <c:v>729.69529242128715</c:v>
                </c:pt>
                <c:pt idx="112">
                  <c:v>586.94420873642923</c:v>
                </c:pt>
                <c:pt idx="113">
                  <c:v>469.69289072394241</c:v>
                </c:pt>
                <c:pt idx="114">
                  <c:v>373.92624222601154</c:v>
                </c:pt>
                <c:pt idx="115">
                  <c:v>296.14603775455237</c:v>
                </c:pt>
                <c:pt idx="116">
                  <c:v>233.32832663507324</c:v>
                </c:pt>
                <c:pt idx="117">
                  <c:v>182.87923263303495</c:v>
                </c:pt>
                <c:pt idx="118">
                  <c:v>142.5905682554727</c:v>
                </c:pt>
                <c:pt idx="119">
                  <c:v>110.59641619598266</c:v>
                </c:pt>
                <c:pt idx="120">
                  <c:v>85.331574915241873</c:v>
                </c:pt>
                <c:pt idx="121">
                  <c:v>65.4925291569389</c:v>
                </c:pt>
                <c:pt idx="122">
                  <c:v>50.001394859207672</c:v>
                </c:pt>
                <c:pt idx="123">
                  <c:v>37.973104764401896</c:v>
                </c:pt>
                <c:pt idx="124">
                  <c:v>28.685947426554666</c:v>
                </c:pt>
                <c:pt idx="125">
                  <c:v>21.555448034989514</c:v>
                </c:pt>
                <c:pt idx="126">
                  <c:v>16.111483021250965</c:v>
                </c:pt>
                <c:pt idx="127">
                  <c:v>11.978449401467072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3003-419C-A35B-51E0E111B9A1}"/>
            </c:ext>
          </c:extLst>
        </c:ser>
        <c:ser>
          <c:idx val="38"/>
          <c:order val="38"/>
          <c:spPr>
            <a:solidFill>
              <a:schemeClr val="accent3">
                <a:lumMod val="70000"/>
                <a:lumOff val="3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output'!$AR$3:$AR$130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138660.23409214336</c:v>
                </c:pt>
                <c:pt idx="39">
                  <c:v>138608.5295706793</c:v>
                </c:pt>
                <c:pt idx="40">
                  <c:v>138544.14863862985</c:v>
                </c:pt>
                <c:pt idx="41">
                  <c:v>138464.43287106004</c:v>
                </c:pt>
                <c:pt idx="42">
                  <c:v>138366.28306617745</c:v>
                </c:pt>
                <c:pt idx="43">
                  <c:v>138246.11394503084</c:v>
                </c:pt>
                <c:pt idx="44">
                  <c:v>138099.81049565462</c:v>
                </c:pt>
                <c:pt idx="45">
                  <c:v>137922.68769020008</c:v>
                </c:pt>
                <c:pt idx="46">
                  <c:v>137709.45556486398</c:v>
                </c:pt>
                <c:pt idx="47">
                  <c:v>137454.19188516037</c:v>
                </c:pt>
                <c:pt idx="48">
                  <c:v>137150.32480563445</c:v>
                </c:pt>
                <c:pt idx="49">
                  <c:v>136790.62805462375</c:v>
                </c:pt>
                <c:pt idx="50">
                  <c:v>136367.23121197463</c:v>
                </c:pt>
                <c:pt idx="51">
                  <c:v>135871.64758236412</c:v>
                </c:pt>
                <c:pt idx="52">
                  <c:v>135294.8219827936</c:v>
                </c:pt>
                <c:pt idx="53">
                  <c:v>134627.20044711017</c:v>
                </c:pt>
                <c:pt idx="54">
                  <c:v>133858.82339515712</c:v>
                </c:pt>
                <c:pt idx="55">
                  <c:v>132979.44321765387</c:v>
                </c:pt>
                <c:pt idx="56">
                  <c:v>131978.66649583564</c:v>
                </c:pt>
                <c:pt idx="57">
                  <c:v>130846.12022115088</c:v>
                </c:pt>
                <c:pt idx="58">
                  <c:v>129571.64042753079</c:v>
                </c:pt>
                <c:pt idx="59">
                  <c:v>128145.48062816053</c:v>
                </c:pt>
                <c:pt idx="60">
                  <c:v>126558.53639957956</c:v>
                </c:pt>
                <c:pt idx="61">
                  <c:v>124802.58142440055</c:v>
                </c:pt>
                <c:pt idx="62">
                  <c:v>122870.50934100038</c:v>
                </c:pt>
                <c:pt idx="63">
                  <c:v>120756.57490780512</c:v>
                </c:pt>
                <c:pt idx="64">
                  <c:v>118456.62732456934</c:v>
                </c:pt>
                <c:pt idx="65">
                  <c:v>115968.32811319116</c:v>
                </c:pt>
                <c:pt idx="66">
                  <c:v>113291.34578921403</c:v>
                </c:pt>
                <c:pt idx="67">
                  <c:v>110427.51968541792</c:v>
                </c:pt>
                <c:pt idx="68">
                  <c:v>107380.98574117066</c:v>
                </c:pt>
                <c:pt idx="69">
                  <c:v>104158.25785077216</c:v>
                </c:pt>
                <c:pt idx="70">
                  <c:v>100768.25945951321</c:v>
                </c:pt>
                <c:pt idx="71">
                  <c:v>97222.301478993904</c:v>
                </c:pt>
                <c:pt idx="72">
                  <c:v>93534.004218011731</c:v>
                </c:pt>
                <c:pt idx="73">
                  <c:v>89719.162831411173</c:v>
                </c:pt>
                <c:pt idx="74">
                  <c:v>85795.55770339584</c:v>
                </c:pt>
                <c:pt idx="75">
                  <c:v>81782.71312154051</c:v>
                </c:pt>
                <c:pt idx="76">
                  <c:v>77701.609475848847</c:v>
                </c:pt>
                <c:pt idx="77">
                  <c:v>73574.355946349635</c:v>
                </c:pt>
                <c:pt idx="78">
                  <c:v>69423.832140426268</c:v>
                </c:pt>
                <c:pt idx="79">
                  <c:v>65273.308334502901</c:v>
                </c:pt>
                <c:pt idx="80">
                  <c:v>61146.054805003696</c:v>
                </c:pt>
                <c:pt idx="81">
                  <c:v>57064.951159312033</c:v>
                </c:pt>
                <c:pt idx="82">
                  <c:v>53052.106577456703</c:v>
                </c:pt>
                <c:pt idx="83">
                  <c:v>49128.501449441355</c:v>
                </c:pt>
                <c:pt idx="84">
                  <c:v>45313.660062840805</c:v>
                </c:pt>
                <c:pt idx="85">
                  <c:v>41625.362801858631</c:v>
                </c:pt>
                <c:pt idx="86">
                  <c:v>38079.404821339333</c:v>
                </c:pt>
                <c:pt idx="87">
                  <c:v>34689.40643008038</c:v>
                </c:pt>
                <c:pt idx="88">
                  <c:v>31466.678539681874</c:v>
                </c:pt>
                <c:pt idx="89">
                  <c:v>28420.14459543462</c:v>
                </c:pt>
                <c:pt idx="90">
                  <c:v>25556.318491638503</c:v>
                </c:pt>
                <c:pt idx="91">
                  <c:v>22879.336167661371</c:v>
                </c:pt>
                <c:pt idx="92">
                  <c:v>20391.036956283191</c:v>
                </c:pt>
                <c:pt idx="93">
                  <c:v>18091.08937304742</c:v>
                </c:pt>
                <c:pt idx="94">
                  <c:v>15977.154939852157</c:v>
                </c:pt>
                <c:pt idx="95">
                  <c:v>14045.082856451991</c:v>
                </c:pt>
                <c:pt idx="96">
                  <c:v>12289.127881272972</c:v>
                </c:pt>
                <c:pt idx="97">
                  <c:v>10702.183652692005</c:v>
                </c:pt>
                <c:pt idx="98">
                  <c:v>9276.0238533217525</c:v>
                </c:pt>
                <c:pt idx="99">
                  <c:v>8001.5440597016623</c:v>
                </c:pt>
                <c:pt idx="100">
                  <c:v>6868.9977850168998</c:v>
                </c:pt>
                <c:pt idx="101">
                  <c:v>5868.2210631986745</c:v>
                </c:pt>
                <c:pt idx="102">
                  <c:v>4988.8408856954165</c:v>
                </c:pt>
                <c:pt idx="103">
                  <c:v>4220.4638337423557</c:v>
                </c:pt>
                <c:pt idx="104">
                  <c:v>3552.842298058943</c:v>
                </c:pt>
                <c:pt idx="105">
                  <c:v>2976.0166984884258</c:v>
                </c:pt>
                <c:pt idx="106">
                  <c:v>2480.4330688779128</c:v>
                </c:pt>
                <c:pt idx="107">
                  <c:v>2057.0362262287886</c:v>
                </c:pt>
                <c:pt idx="108">
                  <c:v>1697.3394752181046</c:v>
                </c:pt>
                <c:pt idx="109">
                  <c:v>1393.4723956921705</c:v>
                </c:pt>
                <c:pt idx="110">
                  <c:v>1138.208715988555</c:v>
                </c:pt>
                <c:pt idx="111">
                  <c:v>924.97659065245239</c:v>
                </c:pt>
                <c:pt idx="112">
                  <c:v>747.85378519792857</c:v>
                </c:pt>
                <c:pt idx="113">
                  <c:v>601.55033582170381</c:v>
                </c:pt>
                <c:pt idx="114">
                  <c:v>481.38121467509433</c:v>
                </c:pt>
                <c:pt idx="115">
                  <c:v>383.23140979249973</c:v>
                </c:pt>
                <c:pt idx="116">
                  <c:v>303.51564222267643</c:v>
                </c:pt>
                <c:pt idx="117">
                  <c:v>239.13471017323459</c:v>
                </c:pt>
                <c:pt idx="118">
                  <c:v>187.43018870916026</c:v>
                </c:pt>
                <c:pt idx="119">
                  <c:v>146.13893951478641</c:v>
                </c:pt>
                <c:pt idx="120">
                  <c:v>113.34861186652526</c:v>
                </c:pt>
                <c:pt idx="121">
                  <c:v>87.455054130211593</c:v>
                </c:pt>
                <c:pt idx="122">
                  <c:v>67.122313026962345</c:v>
                </c:pt>
                <c:pt idx="123">
                  <c:v>51.245681312475234</c:v>
                </c:pt>
                <c:pt idx="124">
                  <c:v>38.918066799559085</c:v>
                </c:pt>
                <c:pt idx="125">
                  <c:v>29.399798227767555</c:v>
                </c:pt>
                <c:pt idx="126">
                  <c:v>22.091856110395657</c:v>
                </c:pt>
                <c:pt idx="127">
                  <c:v>16.512417837606417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3003-419C-A35B-51E0E111B9A1}"/>
            </c:ext>
          </c:extLst>
        </c:ser>
        <c:ser>
          <c:idx val="39"/>
          <c:order val="39"/>
          <c:spPr>
            <a:solidFill>
              <a:schemeClr val="accent4">
                <a:lumMod val="70000"/>
                <a:lumOff val="3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output'!$AS$3:$AS$130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141997.24387503977</c:v>
                </c:pt>
                <c:pt idx="40">
                  <c:v>141944.29502786777</c:v>
                </c:pt>
                <c:pt idx="41">
                  <c:v>141878.36469846236</c:v>
                </c:pt>
                <c:pt idx="42">
                  <c:v>141796.73048399267</c:v>
                </c:pt>
                <c:pt idx="43">
                  <c:v>141696.21859699453</c:v>
                </c:pt>
                <c:pt idx="44">
                  <c:v>141573.15747486803</c:v>
                </c:pt>
                <c:pt idx="45">
                  <c:v>141423.33307339594</c:v>
                </c:pt>
                <c:pt idx="46">
                  <c:v>141241.94761442402</c:v>
                </c:pt>
                <c:pt idx="47">
                  <c:v>141023.58382539981</c:v>
                </c:pt>
                <c:pt idx="48">
                  <c:v>140762.17694680457</c:v>
                </c:pt>
                <c:pt idx="49">
                  <c:v>140450.99697455406</c:v>
                </c:pt>
                <c:pt idx="50">
                  <c:v>140082.64372887599</c:v>
                </c:pt>
                <c:pt idx="51">
                  <c:v>139649.05737937064</c:v>
                </c:pt>
                <c:pt idx="52">
                  <c:v>139141.54698913489</c:v>
                </c:pt>
                <c:pt idx="53">
                  <c:v>138550.83945231399</c:v>
                </c:pt>
                <c:pt idx="54">
                  <c:v>137867.15087613816</c:v>
                </c:pt>
                <c:pt idx="55">
                  <c:v>137080.28199229034</c:v>
                </c:pt>
                <c:pt idx="56">
                  <c:v>136179.73857159461</c:v>
                </c:pt>
                <c:pt idx="57">
                  <c:v>135154.87706632665</c:v>
                </c:pt>
                <c:pt idx="58">
                  <c:v>133995.07483016921</c:v>
                </c:pt>
                <c:pt idx="59">
                  <c:v>132689.92329012335</c:v>
                </c:pt>
                <c:pt idx="60">
                  <c:v>131229.44139953761</c:v>
                </c:pt>
                <c:pt idx="61">
                  <c:v>129604.30562706981</c:v>
                </c:pt>
                <c:pt idx="62">
                  <c:v>127806.09168003155</c:v>
                </c:pt>
                <c:pt idx="63">
                  <c:v>125827.52217445565</c:v>
                </c:pt>
                <c:pt idx="64">
                  <c:v>123662.71360326285</c:v>
                </c:pt>
                <c:pt idx="65">
                  <c:v>121307.41527267217</c:v>
                </c:pt>
                <c:pt idx="66">
                  <c:v>118759.23242655539</c:v>
                </c:pt>
                <c:pt idx="67">
                  <c:v>116017.82560292094</c:v>
                </c:pt>
                <c:pt idx="68">
                  <c:v>113085.07840009849</c:v>
                </c:pt>
                <c:pt idx="69">
                  <c:v>109965.22629334817</c:v>
                </c:pt>
                <c:pt idx="70">
                  <c:v>106664.93994094155</c:v>
                </c:pt>
                <c:pt idx="71">
                  <c:v>103193.35754061394</c:v>
                </c:pt>
                <c:pt idx="72">
                  <c:v>99562.062213390978</c:v>
                </c:pt>
                <c:pt idx="73">
                  <c:v>95785.002055658275</c:v>
                </c:pt>
                <c:pt idx="74">
                  <c:v>91878.352349890847</c:v>
                </c:pt>
                <c:pt idx="75">
                  <c:v>87860.321384632873</c:v>
                </c:pt>
                <c:pt idx="76">
                  <c:v>83750.903320736572</c:v>
                </c:pt>
                <c:pt idx="77">
                  <c:v>79571.583464176278</c:v>
                </c:pt>
                <c:pt idx="78">
                  <c:v>75345.003076514695</c:v>
                </c:pt>
                <c:pt idx="79">
                  <c:v>71094.592387843775</c:v>
                </c:pt>
                <c:pt idx="80">
                  <c:v>66844.181699172856</c:v>
                </c:pt>
                <c:pt idx="81">
                  <c:v>62617.601311511266</c:v>
                </c:pt>
                <c:pt idx="82">
                  <c:v>58438.281454950979</c:v>
                </c:pt>
                <c:pt idx="83">
                  <c:v>54328.863391054678</c:v>
                </c:pt>
                <c:pt idx="84">
                  <c:v>50310.832425796703</c:v>
                </c:pt>
                <c:pt idx="85">
                  <c:v>46404.182720029283</c:v>
                </c:pt>
                <c:pt idx="86">
                  <c:v>42627.122562296565</c:v>
                </c:pt>
                <c:pt idx="87">
                  <c:v>38995.827235073601</c:v>
                </c:pt>
                <c:pt idx="88">
                  <c:v>35524.244834746001</c:v>
                </c:pt>
                <c:pt idx="89">
                  <c:v>32223.958482339374</c:v>
                </c:pt>
                <c:pt idx="90">
                  <c:v>29104.106375589068</c:v>
                </c:pt>
                <c:pt idx="91">
                  <c:v>26171.359172766603</c:v>
                </c:pt>
                <c:pt idx="92">
                  <c:v>23429.952349132156</c:v>
                </c:pt>
                <c:pt idx="93">
                  <c:v>20881.769503015377</c:v>
                </c:pt>
                <c:pt idx="94">
                  <c:v>18526.471172424699</c:v>
                </c:pt>
                <c:pt idx="95">
                  <c:v>16361.662601231901</c:v>
                </c:pt>
                <c:pt idx="96">
                  <c:v>14383.09309565601</c:v>
                </c:pt>
                <c:pt idx="97">
                  <c:v>12584.879148617734</c:v>
                </c:pt>
                <c:pt idx="98">
                  <c:v>10959.743376149954</c:v>
                </c:pt>
                <c:pt idx="99">
                  <c:v>9499.2614855642096</c:v>
                </c:pt>
                <c:pt idx="100">
                  <c:v>8194.1099455183357</c:v>
                </c:pt>
                <c:pt idx="101">
                  <c:v>7034.3077093609099</c:v>
                </c:pt>
                <c:pt idx="102">
                  <c:v>6009.4462040929238</c:v>
                </c:pt>
                <c:pt idx="103">
                  <c:v>5108.9027833972204</c:v>
                </c:pt>
                <c:pt idx="104">
                  <c:v>4322.0338995493967</c:v>
                </c:pt>
                <c:pt idx="105">
                  <c:v>3638.3453233735568</c:v>
                </c:pt>
                <c:pt idx="106">
                  <c:v>3047.6377865526465</c:v>
                </c:pt>
                <c:pt idx="107">
                  <c:v>2540.1273963169165</c:v>
                </c:pt>
                <c:pt idx="108">
                  <c:v>2106.5410468115679</c:v>
                </c:pt>
                <c:pt idx="109">
                  <c:v>1738.1878011334866</c:v>
                </c:pt>
                <c:pt idx="110">
                  <c:v>1427.0078288829925</c:v>
                </c:pt>
                <c:pt idx="111">
                  <c:v>1165.6009502877394</c:v>
                </c:pt>
                <c:pt idx="112">
                  <c:v>947.23716126353486</c:v>
                </c:pt>
                <c:pt idx="113">
                  <c:v>765.8517022916152</c:v>
                </c:pt>
                <c:pt idx="114">
                  <c:v>616.02730081952484</c:v>
                </c:pt>
                <c:pt idx="115">
                  <c:v>492.96617869301065</c:v>
                </c:pt>
                <c:pt idx="116">
                  <c:v>392.45429169489807</c:v>
                </c:pt>
                <c:pt idx="117">
                  <c:v>310.82007722518836</c:v>
                </c:pt>
                <c:pt idx="118">
                  <c:v>244.88974781977345</c:v>
                </c:pt>
                <c:pt idx="119">
                  <c:v>191.9409006477897</c:v>
                </c:pt>
                <c:pt idx="120">
                  <c:v>149.65593250139045</c:v>
                </c:pt>
                <c:pt idx="121">
                  <c:v>116.07646985084804</c:v>
                </c:pt>
                <c:pt idx="122">
                  <c:v>89.559755403125322</c:v>
                </c:pt>
                <c:pt idx="123">
                  <c:v>68.7376847064358</c:v>
                </c:pt>
                <c:pt idx="124">
                  <c:v>52.478964531637274</c:v>
                </c:pt>
                <c:pt idx="125">
                  <c:v>39.854672528604958</c:v>
                </c:pt>
                <c:pt idx="126">
                  <c:v>30.107336441182404</c:v>
                </c:pt>
                <c:pt idx="127">
                  <c:v>22.623520725311423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3003-419C-A35B-51E0E111B9A1}"/>
            </c:ext>
          </c:extLst>
        </c:ser>
        <c:ser>
          <c:idx val="40"/>
          <c:order val="40"/>
          <c:spPr>
            <a:solidFill>
              <a:schemeClr val="accent5">
                <a:lumMod val="70000"/>
                <a:lumOff val="3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output'!$AT$3:$AT$130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146813.22621563822</c:v>
                </c:pt>
                <c:pt idx="41">
                  <c:v>146758.48155394214</c:v>
                </c:pt>
                <c:pt idx="42">
                  <c:v>146690.31512971219</c:v>
                </c:pt>
                <c:pt idx="43">
                  <c:v>146605.91220702993</c:v>
                </c:pt>
                <c:pt idx="44">
                  <c:v>146501.99135617033</c:v>
                </c:pt>
                <c:pt idx="45">
                  <c:v>146374.75648971749</c:v>
                </c:pt>
                <c:pt idx="46">
                  <c:v>146219.85063981733</c:v>
                </c:pt>
                <c:pt idx="47">
                  <c:v>146032.3133067427</c:v>
                </c:pt>
                <c:pt idx="48">
                  <c:v>145806.54348557963</c:v>
                </c:pt>
                <c:pt idx="49">
                  <c:v>145536.27072426252</c:v>
                </c:pt>
                <c:pt idx="50">
                  <c:v>145214.53676370767</c:v>
                </c:pt>
                <c:pt idx="51">
                  <c:v>144833.69043944668</c:v>
                </c:pt>
                <c:pt idx="52">
                  <c:v>144385.39856365536</c:v>
                </c:pt>
                <c:pt idx="53">
                  <c:v>143860.67543738091</c:v>
                </c:pt>
                <c:pt idx="54">
                  <c:v>143249.93344786111</c:v>
                </c:pt>
                <c:pt idx="55">
                  <c:v>142543.05687155598</c:v>
                </c:pt>
                <c:pt idx="56">
                  <c:v>141729.50052149006</c:v>
                </c:pt>
                <c:pt idx="57">
                  <c:v>140798.41424592861</c:v>
                </c:pt>
                <c:pt idx="58">
                  <c:v>139738.79351029644</c:v>
                </c:pt>
                <c:pt idx="59">
                  <c:v>138539.65539031837</c:v>
                </c:pt>
                <c:pt idx="60">
                  <c:v>137190.23829555372</c:v>
                </c:pt>
                <c:pt idx="61">
                  <c:v>135680.22266190453</c:v>
                </c:pt>
                <c:pt idx="62">
                  <c:v>133999.96874088896</c:v>
                </c:pt>
                <c:pt idx="63">
                  <c:v>132140.7665212813</c:v>
                </c:pt>
                <c:pt idx="64">
                  <c:v>130095.09179916412</c:v>
                </c:pt>
                <c:pt idx="65">
                  <c:v>127856.86152227387</c:v>
                </c:pt>
                <c:pt idx="66">
                  <c:v>125421.68083018505</c:v>
                </c:pt>
                <c:pt idx="67">
                  <c:v>122787.07374615621</c:v>
                </c:pt>
                <c:pt idx="68">
                  <c:v>119952.68929499375</c:v>
                </c:pt>
                <c:pt idx="69">
                  <c:v>116920.47495919888</c:v>
                </c:pt>
                <c:pt idx="70">
                  <c:v>113694.80986452459</c:v>
                </c:pt>
                <c:pt idx="71">
                  <c:v>110282.59091146766</c:v>
                </c:pt>
                <c:pt idx="72">
                  <c:v>106693.26622912349</c:v>
                </c:pt>
                <c:pt idx="73">
                  <c:v>102938.81179196179</c:v>
                </c:pt>
                <c:pt idx="74">
                  <c:v>99033.648760380151</c:v>
                </c:pt>
                <c:pt idx="75">
                  <c:v>94994.501018168885</c:v>
                </c:pt>
                <c:pt idx="76">
                  <c:v>90840.194406675917</c:v>
                </c:pt>
                <c:pt idx="77">
                  <c:v>86591.401209250427</c:v>
                </c:pt>
                <c:pt idx="78">
                  <c:v>82270.335428081773</c:v>
                </c:pt>
                <c:pt idx="79">
                  <c:v>77900.406226368475</c:v>
                </c:pt>
                <c:pt idx="80">
                  <c:v>73505.838494516182</c:v>
                </c:pt>
                <c:pt idx="81">
                  <c:v>69111.270762663888</c:v>
                </c:pt>
                <c:pt idx="82">
                  <c:v>64741.34156095059</c:v>
                </c:pt>
                <c:pt idx="83">
                  <c:v>60420.275779781936</c:v>
                </c:pt>
                <c:pt idx="84">
                  <c:v>56171.482582356446</c:v>
                </c:pt>
                <c:pt idx="85">
                  <c:v>52017.175970863471</c:v>
                </c:pt>
                <c:pt idx="86">
                  <c:v>47978.028228652205</c:v>
                </c:pt>
                <c:pt idx="87">
                  <c:v>44072.865197070569</c:v>
                </c:pt>
                <c:pt idx="88">
                  <c:v>40318.410759908867</c:v>
                </c:pt>
                <c:pt idx="89">
                  <c:v>36729.086077564702</c:v>
                </c:pt>
                <c:pt idx="90">
                  <c:v>33316.867124507771</c:v>
                </c:pt>
                <c:pt idx="91">
                  <c:v>30091.202029833486</c:v>
                </c:pt>
                <c:pt idx="92">
                  <c:v>27058.98769403862</c:v>
                </c:pt>
                <c:pt idx="93">
                  <c:v>24224.60324287615</c:v>
                </c:pt>
                <c:pt idx="94">
                  <c:v>21589.996158847305</c:v>
                </c:pt>
                <c:pt idx="95">
                  <c:v>19154.815466758482</c:v>
                </c:pt>
                <c:pt idx="96">
                  <c:v>16916.585189868245</c:v>
                </c:pt>
                <c:pt idx="97">
                  <c:v>14870.910467751068</c:v>
                </c:pt>
                <c:pt idx="98">
                  <c:v>13011.708248143395</c:v>
                </c:pt>
                <c:pt idx="99">
                  <c:v>11331.454327127836</c:v>
                </c:pt>
                <c:pt idx="100">
                  <c:v>9821.438693478638</c:v>
                </c:pt>
                <c:pt idx="101">
                  <c:v>8472.0215987139873</c:v>
                </c:pt>
                <c:pt idx="102">
                  <c:v>7272.8834787359147</c:v>
                </c:pt>
                <c:pt idx="103">
                  <c:v>6213.2627431037581</c:v>
                </c:pt>
                <c:pt idx="104">
                  <c:v>5282.1764675422992</c:v>
                </c:pt>
                <c:pt idx="105">
                  <c:v>4468.620117476381</c:v>
                </c:pt>
                <c:pt idx="106">
                  <c:v>3761.7435411712622</c:v>
                </c:pt>
                <c:pt idx="107">
                  <c:v>3151.0015516514572</c:v>
                </c:pt>
                <c:pt idx="108">
                  <c:v>2626.2784253770164</c:v>
                </c:pt>
                <c:pt idx="109">
                  <c:v>2177.9865495856789</c:v>
                </c:pt>
                <c:pt idx="110">
                  <c:v>1797.1402253246861</c:v>
                </c:pt>
                <c:pt idx="111">
                  <c:v>1475.4062647698477</c:v>
                </c:pt>
                <c:pt idx="112">
                  <c:v>1205.1335034527187</c:v>
                </c:pt>
                <c:pt idx="113">
                  <c:v>979.36368228966376</c:v>
                </c:pt>
                <c:pt idx="114">
                  <c:v>791.82634921504064</c:v>
                </c:pt>
                <c:pt idx="115">
                  <c:v>636.92049931487168</c:v>
                </c:pt>
                <c:pt idx="116">
                  <c:v>509.68563286204449</c:v>
                </c:pt>
                <c:pt idx="117">
                  <c:v>405.76478200242821</c:v>
                </c:pt>
                <c:pt idx="118">
                  <c:v>321.36185932017935</c:v>
                </c:pt>
                <c:pt idx="119">
                  <c:v>253.19543509023569</c:v>
                </c:pt>
                <c:pt idx="120">
                  <c:v>198.45077339413535</c:v>
                </c:pt>
                <c:pt idx="121">
                  <c:v>154.73166713132989</c:v>
                </c:pt>
                <c:pt idx="122">
                  <c:v>120.01332252281007</c:v>
                </c:pt>
                <c:pt idx="123">
                  <c:v>92.597266475025691</c:v>
                </c:pt>
                <c:pt idx="124">
                  <c:v>71.068993868824478</c:v>
                </c:pt>
                <c:pt idx="125">
                  <c:v>54.258842503491941</c:v>
                </c:pt>
                <c:pt idx="126">
                  <c:v>41.206384673504104</c:v>
                </c:pt>
                <c:pt idx="127">
                  <c:v>31.128457673301465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3003-419C-A35B-51E0E111B9A1}"/>
            </c:ext>
          </c:extLst>
        </c:ser>
        <c:ser>
          <c:idx val="41"/>
          <c:order val="41"/>
          <c:spPr>
            <a:solidFill>
              <a:schemeClr val="accent6">
                <a:lumMod val="70000"/>
                <a:lumOff val="3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output'!$AU$3:$AU$130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151777.7012030484</c:v>
                </c:pt>
                <c:pt idx="42">
                  <c:v>151721.10535593331</c:v>
                </c:pt>
                <c:pt idx="43">
                  <c:v>151650.63389068769</c:v>
                </c:pt>
                <c:pt idx="44">
                  <c:v>151563.37689137133</c:v>
                </c:pt>
                <c:pt idx="45">
                  <c:v>151455.94196703169</c:v>
                </c:pt>
                <c:pt idx="46">
                  <c:v>151324.40466592557</c:v>
                </c:pt>
                <c:pt idx="47">
                  <c:v>151164.26068975398</c:v>
                </c:pt>
                <c:pt idx="48">
                  <c:v>150970.38179997323</c:v>
                </c:pt>
                <c:pt idx="49">
                  <c:v>150736.97759423213</c:v>
                </c:pt>
                <c:pt idx="50">
                  <c:v>150457.56558573732</c:v>
                </c:pt>
                <c:pt idx="51">
                  <c:v>150124.95222254997</c:v>
                </c:pt>
                <c:pt idx="52">
                  <c:v>149731.22761681819</c:v>
                </c:pt>
                <c:pt idx="53">
                  <c:v>149267.77679478072</c:v>
                </c:pt>
                <c:pt idx="54">
                  <c:v>148725.3102069473</c:v>
                </c:pt>
                <c:pt idx="55">
                  <c:v>148093.91603636122</c:v>
                </c:pt>
                <c:pt idx="56">
                  <c:v>147363.13649727331</c:v>
                </c:pt>
                <c:pt idx="57">
                  <c:v>146522.06981823457</c:v>
                </c:pt>
                <c:pt idx="58">
                  <c:v>145559.49895068305</c:v>
                </c:pt>
                <c:pt idx="59">
                  <c:v>144464.04724277553</c:v>
                </c:pt>
                <c:pt idx="60">
                  <c:v>143224.36038371903</c:v>
                </c:pt>
                <c:pt idx="61">
                  <c:v>141829.31288093716</c:v>
                </c:pt>
                <c:pt idx="62">
                  <c:v>140268.23621527414</c:v>
                </c:pt>
                <c:pt idx="63">
                  <c:v>138531.16467108935</c:v>
                </c:pt>
                <c:pt idx="64">
                  <c:v>136609.09370897326</c:v>
                </c:pt>
                <c:pt idx="65">
                  <c:v>134494.24469478373</c:v>
                </c:pt>
                <c:pt idx="66">
                  <c:v>132180.32887843557</c:v>
                </c:pt>
                <c:pt idx="67">
                  <c:v>129662.80278772482</c:v>
                </c:pt>
                <c:pt idx="68">
                  <c:v>126939.10672099693</c:v>
                </c:pt>
                <c:pt idx="69">
                  <c:v>124008.87783486625</c:v>
                </c:pt>
                <c:pt idx="70">
                  <c:v>120874.12946576561</c:v>
                </c:pt>
                <c:pt idx="71">
                  <c:v>117539.38881916011</c:v>
                </c:pt>
                <c:pt idx="72">
                  <c:v>114011.78601356706</c:v>
                </c:pt>
                <c:pt idx="73">
                  <c:v>110301.0886656497</c:v>
                </c:pt>
                <c:pt idx="74">
                  <c:v>106419.67771629147</c:v>
                </c:pt>
                <c:pt idx="75">
                  <c:v>102382.46197602831</c:v>
                </c:pt>
                <c:pt idx="76">
                  <c:v>98206.730845156882</c:v>
                </c:pt>
                <c:pt idx="77">
                  <c:v>93911.946759022103</c:v>
                </c:pt>
                <c:pt idx="78">
                  <c:v>89519.481032227122</c:v>
                </c:pt>
                <c:pt idx="79">
                  <c:v>85052.298831288092</c:v>
                </c:pt>
                <c:pt idx="80">
                  <c:v>80534.600897983852</c:v>
                </c:pt>
                <c:pt idx="81">
                  <c:v>75991.431285036626</c:v>
                </c:pt>
                <c:pt idx="82">
                  <c:v>71448.2616720894</c:v>
                </c:pt>
                <c:pt idx="83">
                  <c:v>66930.56373878516</c:v>
                </c:pt>
                <c:pt idx="84">
                  <c:v>62463.381537846137</c:v>
                </c:pt>
                <c:pt idx="85">
                  <c:v>58070.915811051149</c:v>
                </c:pt>
                <c:pt idx="86">
                  <c:v>53776.131724916362</c:v>
                </c:pt>
                <c:pt idx="87">
                  <c:v>49600.400594044942</c:v>
                </c:pt>
                <c:pt idx="88">
                  <c:v>45563.184853781793</c:v>
                </c:pt>
                <c:pt idx="89">
                  <c:v>41681.773904423542</c:v>
                </c:pt>
                <c:pt idx="90">
                  <c:v>37971.076556506188</c:v>
                </c:pt>
                <c:pt idx="91">
                  <c:v>34443.47375091313</c:v>
                </c:pt>
                <c:pt idx="92">
                  <c:v>31108.733104307634</c:v>
                </c:pt>
                <c:pt idx="93">
                  <c:v>27973.98473520701</c:v>
                </c:pt>
                <c:pt idx="94">
                  <c:v>25043.755849076311</c:v>
                </c:pt>
                <c:pt idx="95">
                  <c:v>22320.059782348428</c:v>
                </c:pt>
                <c:pt idx="96">
                  <c:v>19802.533691637673</c:v>
                </c:pt>
                <c:pt idx="97">
                  <c:v>17488.617875289532</c:v>
                </c:pt>
                <c:pt idx="98">
                  <c:v>15373.768861099981</c:v>
                </c:pt>
                <c:pt idx="99">
                  <c:v>13451.697898983899</c:v>
                </c:pt>
                <c:pt idx="100">
                  <c:v>11714.626354799106</c:v>
                </c:pt>
                <c:pt idx="101">
                  <c:v>10153.549689136082</c:v>
                </c:pt>
                <c:pt idx="102">
                  <c:v>8758.5021863542206</c:v>
                </c:pt>
                <c:pt idx="103">
                  <c:v>7518.8153272977115</c:v>
                </c:pt>
                <c:pt idx="104">
                  <c:v>6423.3636193902066</c:v>
                </c:pt>
                <c:pt idx="105">
                  <c:v>5460.7927518386732</c:v>
                </c:pt>
                <c:pt idx="106">
                  <c:v>4619.726072799951</c:v>
                </c:pt>
                <c:pt idx="107">
                  <c:v>3888.9465337120478</c:v>
                </c:pt>
                <c:pt idx="108">
                  <c:v>3257.5523631259484</c:v>
                </c:pt>
                <c:pt idx="109">
                  <c:v>2715.0857752925403</c:v>
                </c:pt>
                <c:pt idx="110">
                  <c:v>2251.634953255063</c:v>
                </c:pt>
                <c:pt idx="111">
                  <c:v>1857.9103475232728</c:v>
                </c:pt>
                <c:pt idx="112">
                  <c:v>1525.2969843359435</c:v>
                </c:pt>
                <c:pt idx="113">
                  <c:v>1245.8849758411359</c:v>
                </c:pt>
                <c:pt idx="114">
                  <c:v>1012.4807701000198</c:v>
                </c:pt>
                <c:pt idx="115">
                  <c:v>818.60188031927885</c:v>
                </c:pt>
                <c:pt idx="116">
                  <c:v>658.45790414768419</c:v>
                </c:pt>
                <c:pt idx="117">
                  <c:v>526.92060304156655</c:v>
                </c:pt>
                <c:pt idx="118">
                  <c:v>419.48567870191391</c:v>
                </c:pt>
                <c:pt idx="119">
                  <c:v>332.22867938555515</c:v>
                </c:pt>
                <c:pt idx="120">
                  <c:v>261.75721413993563</c:v>
                </c:pt>
                <c:pt idx="121">
                  <c:v>205.16136702485042</c:v>
                </c:pt>
                <c:pt idx="122">
                  <c:v>159.96390342934225</c:v>
                </c:pt>
                <c:pt idx="123">
                  <c:v>124.07156136939308</c:v>
                </c:pt>
                <c:pt idx="124">
                  <c:v>95.728434048733391</c:v>
                </c:pt>
                <c:pt idx="125">
                  <c:v>73.472184994969794</c:v>
                </c:pt>
                <c:pt idx="126">
                  <c:v>56.093599993656824</c:v>
                </c:pt>
                <c:pt idx="127">
                  <c:v>42.599774569675617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3003-419C-A35B-51E0E111B9A1}"/>
            </c:ext>
          </c:extLst>
        </c:ser>
        <c:ser>
          <c:idx val="42"/>
          <c:order val="42"/>
          <c:spPr>
            <a:solidFill>
              <a:schemeClr val="accent1">
                <a:lumMod val="7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output'!$AV$3:$AV$130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155764.11112077392</c:v>
                </c:pt>
                <c:pt idx="43">
                  <c:v>155706.02879544461</c:v>
                </c:pt>
                <c:pt idx="44">
                  <c:v>155633.7064117456</c:v>
                </c:pt>
                <c:pt idx="45">
                  <c:v>155544.15762539656</c:v>
                </c:pt>
                <c:pt idx="46">
                  <c:v>155433.90094499852</c:v>
                </c:pt>
                <c:pt idx="47">
                  <c:v>155298.90884389527</c:v>
                </c:pt>
                <c:pt idx="48">
                  <c:v>155134.55871932497</c:v>
                </c:pt>
                <c:pt idx="49">
                  <c:v>154935.58764061969</c:v>
                </c:pt>
                <c:pt idx="50">
                  <c:v>154696.05312170851</c:v>
                </c:pt>
                <c:pt idx="51">
                  <c:v>154409.30241462382</c:v>
                </c:pt>
                <c:pt idx="52">
                  <c:v>154067.95303027352</c:v>
                </c:pt>
                <c:pt idx="53">
                  <c:v>153663.88732923786</c:v>
                </c:pt>
                <c:pt idx="54">
                  <c:v>153188.26406725234</c:v>
                </c:pt>
                <c:pt idx="55">
                  <c:v>152631.54970673143</c:v>
                </c:pt>
                <c:pt idx="56">
                  <c:v>151983.57209889684</c:v>
                </c:pt>
                <c:pt idx="57">
                  <c:v>151233.59878642063</c:v>
                </c:pt>
                <c:pt idx="58">
                  <c:v>150370.44166508233</c:v>
                </c:pt>
                <c:pt idx="59">
                  <c:v>149382.5890728604</c:v>
                </c:pt>
                <c:pt idx="60">
                  <c:v>148258.36555250495</c:v>
                </c:pt>
                <c:pt idx="61">
                  <c:v>146986.11857459933</c:v>
                </c:pt>
                <c:pt idx="62">
                  <c:v>145554.43043780664</c:v>
                </c:pt>
                <c:pt idx="63">
                  <c:v>143952.35241652283</c:v>
                </c:pt>
                <c:pt idx="64">
                  <c:v>142169.65704764807</c:v>
                </c:pt>
                <c:pt idx="65">
                  <c:v>140197.10328940832</c:v>
                </c:pt>
                <c:pt idx="66">
                  <c:v>138026.70820344516</c:v>
                </c:pt>
                <c:pt idx="67">
                  <c:v>135652.01786695368</c:v>
                </c:pt>
                <c:pt idx="68">
                  <c:v>133068.36947437254</c:v>
                </c:pt>
                <c:pt idx="69">
                  <c:v>130273.13609401288</c:v>
                </c:pt>
                <c:pt idx="70">
                  <c:v>127265.94535248255</c:v>
                </c:pt>
                <c:pt idx="71">
                  <c:v>124048.86346607927</c:v>
                </c:pt>
                <c:pt idx="72">
                  <c:v>120626.53654638294</c:v>
                </c:pt>
                <c:pt idx="73">
                  <c:v>117006.28198299839</c:v>
                </c:pt>
                <c:pt idx="74">
                  <c:v>113198.12393701957</c:v>
                </c:pt>
                <c:pt idx="75">
                  <c:v>109214.7685321804</c:v>
                </c:pt>
                <c:pt idx="76">
                  <c:v>105071.51615584084</c:v>
                </c:pt>
                <c:pt idx="77">
                  <c:v>100786.11031081894</c:v>
                </c:pt>
                <c:pt idx="78">
                  <c:v>96378.524609296976</c:v>
                </c:pt>
                <c:pt idx="79">
                  <c:v>91870.691679034193</c:v>
                </c:pt>
                <c:pt idx="80">
                  <c:v>87286.179861893601</c:v>
                </c:pt>
                <c:pt idx="81">
                  <c:v>82649.825527129447</c:v>
                </c:pt>
                <c:pt idx="82">
                  <c:v>77987.330504326834</c:v>
                </c:pt>
                <c:pt idx="83">
                  <c:v>73324.83548152422</c:v>
                </c:pt>
                <c:pt idx="84">
                  <c:v>68688.481146760067</c:v>
                </c:pt>
                <c:pt idx="85">
                  <c:v>64103.969329619475</c:v>
                </c:pt>
                <c:pt idx="86">
                  <c:v>59596.136399356699</c:v>
                </c:pt>
                <c:pt idx="87">
                  <c:v>55188.550697834726</c:v>
                </c:pt>
                <c:pt idx="88">
                  <c:v>50903.144852812824</c:v>
                </c:pt>
                <c:pt idx="89">
                  <c:v>46759.892476473266</c:v>
                </c:pt>
                <c:pt idx="90">
                  <c:v>42776.537071634099</c:v>
                </c:pt>
                <c:pt idx="91">
                  <c:v>38968.379025655267</c:v>
                </c:pt>
                <c:pt idx="92">
                  <c:v>35348.124462270731</c:v>
                </c:pt>
                <c:pt idx="93">
                  <c:v>31925.797542574386</c:v>
                </c:pt>
                <c:pt idx="94">
                  <c:v>28708.71565617112</c:v>
                </c:pt>
                <c:pt idx="95">
                  <c:v>25701.524914640791</c:v>
                </c:pt>
                <c:pt idx="96">
                  <c:v>22906.291534281125</c:v>
                </c:pt>
                <c:pt idx="97">
                  <c:v>20322.643141699977</c:v>
                </c:pt>
                <c:pt idx="98">
                  <c:v>17947.952805208508</c:v>
                </c:pt>
                <c:pt idx="99">
                  <c:v>15777.557719245355</c:v>
                </c:pt>
                <c:pt idx="100">
                  <c:v>13805.003961005608</c:v>
                </c:pt>
                <c:pt idx="101">
                  <c:v>12022.308592130828</c:v>
                </c:pt>
                <c:pt idx="102">
                  <c:v>10420.230570847038</c:v>
                </c:pt>
                <c:pt idx="103">
                  <c:v>8988.5424340543341</c:v>
                </c:pt>
                <c:pt idx="104">
                  <c:v>7716.2954561487095</c:v>
                </c:pt>
                <c:pt idx="105">
                  <c:v>6592.0719357932758</c:v>
                </c:pt>
                <c:pt idx="106">
                  <c:v>5604.2193435713461</c:v>
                </c:pt>
                <c:pt idx="107">
                  <c:v>4741.0622222330476</c:v>
                </c:pt>
                <c:pt idx="108">
                  <c:v>3991.0889097568274</c:v>
                </c:pt>
                <c:pt idx="109">
                  <c:v>3343.1113019222535</c:v>
                </c:pt>
                <c:pt idx="110">
                  <c:v>2786.3969414013354</c:v>
                </c:pt>
                <c:pt idx="111">
                  <c:v>2310.7736794158009</c:v>
                </c:pt>
                <c:pt idx="112">
                  <c:v>1906.7079783801491</c:v>
                </c:pt>
                <c:pt idx="113">
                  <c:v>1565.3585940298417</c:v>
                </c:pt>
                <c:pt idx="114">
                  <c:v>1278.6078869451458</c:v>
                </c:pt>
                <c:pt idx="115">
                  <c:v>1039.0733680339779</c:v>
                </c:pt>
                <c:pt idx="116">
                  <c:v>840.1022893286887</c:v>
                </c:pt>
                <c:pt idx="117">
                  <c:v>675.75216475838818</c:v>
                </c:pt>
                <c:pt idx="118">
                  <c:v>540.7600636551432</c:v>
                </c:pt>
                <c:pt idx="119">
                  <c:v>430.50338325710413</c:v>
                </c:pt>
                <c:pt idx="120">
                  <c:v>340.95459690807479</c:v>
                </c:pt>
                <c:pt idx="121">
                  <c:v>268.6322132090524</c:v>
                </c:pt>
                <c:pt idx="122">
                  <c:v>210.54988787975424</c:v>
                </c:pt>
                <c:pt idx="123">
                  <c:v>164.16532225473165</c:v>
                </c:pt>
                <c:pt idx="124">
                  <c:v>127.33027525707385</c:v>
                </c:pt>
                <c:pt idx="125">
                  <c:v>98.242721561822549</c:v>
                </c:pt>
                <c:pt idx="126">
                  <c:v>75.401916731709449</c:v>
                </c:pt>
                <c:pt idx="127">
                  <c:v>57.566886791145556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3003-419C-A35B-51E0E111B9A1}"/>
            </c:ext>
          </c:extLst>
        </c:ser>
        <c:ser>
          <c:idx val="43"/>
          <c:order val="43"/>
          <c:spPr>
            <a:solidFill>
              <a:schemeClr val="accent2">
                <a:lumMod val="7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output'!$AW$3:$AW$130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160155.7320205631</c:v>
                </c:pt>
                <c:pt idx="44">
                  <c:v>160096.01211933786</c:v>
                </c:pt>
                <c:pt idx="45">
                  <c:v>160021.65067484693</c:v>
                </c:pt>
                <c:pt idx="46">
                  <c:v>159929.57714567459</c:v>
                </c:pt>
                <c:pt idx="47">
                  <c:v>159816.21188308456</c:v>
                </c:pt>
                <c:pt idx="48">
                  <c:v>159677.41380813892</c:v>
                </c:pt>
                <c:pt idx="49">
                  <c:v>159508.42998818943</c:v>
                </c:pt>
                <c:pt idx="50">
                  <c:v>159303.84910924576</c:v>
                </c:pt>
                <c:pt idx="51">
                  <c:v>159057.56114249668</c:v>
                </c:pt>
                <c:pt idx="52">
                  <c:v>158762.72577207585</c:v>
                </c:pt>
                <c:pt idx="53">
                  <c:v>158411.75236663586</c:v>
                </c:pt>
                <c:pt idx="54">
                  <c:v>157996.29441763766</c:v>
                </c:pt>
                <c:pt idx="55">
                  <c:v>157507.2614103473</c:v>
                </c:pt>
                <c:pt idx="56">
                  <c:v>156934.85101815846</c:v>
                </c:pt>
                <c:pt idx="57">
                  <c:v>156268.6042982371</c:v>
                </c:pt>
                <c:pt idx="58">
                  <c:v>155497.48620183309</c:v>
                </c:pt>
                <c:pt idx="59">
                  <c:v>154609.99318677321</c:v>
                </c:pt>
                <c:pt idx="60">
                  <c:v>153594.28903067886</c:v>
                </c:pt>
                <c:pt idx="61">
                  <c:v>152438.36909789246</c:v>
                </c:pt>
                <c:pt idx="62">
                  <c:v>151130.25232701807</c:v>
                </c:pt>
                <c:pt idx="63">
                  <c:v>149658.19910549387</c:v>
                </c:pt>
                <c:pt idx="64">
                  <c:v>148010.95201881535</c:v>
                </c:pt>
                <c:pt idx="65">
                  <c:v>146177.99525029224</c:v>
                </c:pt>
                <c:pt idx="66">
                  <c:v>144149.82721577081</c:v>
                </c:pt>
                <c:pt idx="67">
                  <c:v>141918.23990554153</c:v>
                </c:pt>
                <c:pt idx="68">
                  <c:v>139476.59743458708</c:v>
                </c:pt>
                <c:pt idx="69">
                  <c:v>136820.1055339801</c:v>
                </c:pt>
                <c:pt idx="70">
                  <c:v>133946.0632081923</c:v>
                </c:pt>
                <c:pt idx="71">
                  <c:v>130854.08758511813</c:v>
                </c:pt>
                <c:pt idx="72">
                  <c:v>127546.30313605774</c:v>
                </c:pt>
                <c:pt idx="73">
                  <c:v>124027.48696528614</c:v>
                </c:pt>
                <c:pt idx="74">
                  <c:v>120305.16276924539</c:v>
                </c:pt>
                <c:pt idx="75">
                  <c:v>116389.63733071326</c:v>
                </c:pt>
                <c:pt idx="76">
                  <c:v>112293.97501049218</c:v>
                </c:pt>
                <c:pt idx="77">
                  <c:v>108033.90757580502</c:v>
                </c:pt>
                <c:pt idx="78">
                  <c:v>103627.67879064844</c:v>
                </c:pt>
                <c:pt idx="79">
                  <c:v>99095.825404194809</c:v>
                </c:pt>
                <c:pt idx="80">
                  <c:v>94460.898413773655</c:v>
                </c:pt>
                <c:pt idx="81">
                  <c:v>89747.130648220962</c:v>
                </c:pt>
                <c:pt idx="82">
                  <c:v>84980.058714589686</c:v>
                </c:pt>
                <c:pt idx="83">
                  <c:v>80186.109081094197</c:v>
                </c:pt>
                <c:pt idx="84">
                  <c:v>75392.159447598708</c:v>
                </c:pt>
                <c:pt idx="85">
                  <c:v>70625.087513967432</c:v>
                </c:pt>
                <c:pt idx="86">
                  <c:v>65911.319748414739</c:v>
                </c:pt>
                <c:pt idx="87">
                  <c:v>61276.392757993577</c:v>
                </c:pt>
                <c:pt idx="88">
                  <c:v>56744.539371539955</c:v>
                </c:pt>
                <c:pt idx="89">
                  <c:v>52338.31058638337</c:v>
                </c:pt>
                <c:pt idx="90">
                  <c:v>48078.243151696217</c:v>
                </c:pt>
                <c:pt idx="91">
                  <c:v>43982.580831475134</c:v>
                </c:pt>
                <c:pt idx="92">
                  <c:v>40067.055392942995</c:v>
                </c:pt>
                <c:pt idx="93">
                  <c:v>36344.731196902263</c:v>
                </c:pt>
                <c:pt idx="94">
                  <c:v>32825.915026130642</c:v>
                </c:pt>
                <c:pt idx="95">
                  <c:v>29518.13057707026</c:v>
                </c:pt>
                <c:pt idx="96">
                  <c:v>26426.154953996087</c:v>
                </c:pt>
                <c:pt idx="97">
                  <c:v>23552.112628208302</c:v>
                </c:pt>
                <c:pt idx="98">
                  <c:v>20895.620727601301</c:v>
                </c:pt>
                <c:pt idx="99">
                  <c:v>18453.978256646864</c:v>
                </c:pt>
                <c:pt idx="100">
                  <c:v>16222.390946417589</c:v>
                </c:pt>
                <c:pt idx="101">
                  <c:v>14194.222911896146</c:v>
                </c:pt>
                <c:pt idx="102">
                  <c:v>12361.266143373039</c:v>
                </c:pt>
                <c:pt idx="103">
                  <c:v>10714.019056694538</c:v>
                </c:pt>
                <c:pt idx="104">
                  <c:v>9241.9658351703201</c:v>
                </c:pt>
                <c:pt idx="105">
                  <c:v>7933.8490642959432</c:v>
                </c:pt>
                <c:pt idx="106">
                  <c:v>6777.9291315095397</c:v>
                </c:pt>
                <c:pt idx="107">
                  <c:v>5762.224975415179</c:v>
                </c:pt>
                <c:pt idx="108">
                  <c:v>4874.7319603553024</c:v>
                </c:pt>
                <c:pt idx="109">
                  <c:v>4103.613863951281</c:v>
                </c:pt>
                <c:pt idx="110">
                  <c:v>3437.3671440299363</c:v>
                </c:pt>
                <c:pt idx="111">
                  <c:v>2864.9567518411022</c:v>
                </c:pt>
                <c:pt idx="112">
                  <c:v>2375.9237445507456</c:v>
                </c:pt>
                <c:pt idx="113">
                  <c:v>1960.4657955525304</c:v>
                </c:pt>
                <c:pt idx="114">
                  <c:v>1609.4923901125339</c:v>
                </c:pt>
                <c:pt idx="115">
                  <c:v>1314.6570196917114</c:v>
                </c:pt>
                <c:pt idx="116">
                  <c:v>1068.3690529426422</c:v>
                </c:pt>
                <c:pt idx="117">
                  <c:v>863.78817399897696</c:v>
                </c:pt>
                <c:pt idx="118">
                  <c:v>694.80435404947411</c:v>
                </c:pt>
                <c:pt idx="119">
                  <c:v>556.00627910382207</c:v>
                </c:pt>
                <c:pt idx="120">
                  <c:v>442.64101651381719</c:v>
                </c:pt>
                <c:pt idx="121">
                  <c:v>350.56748734147965</c:v>
                </c:pt>
                <c:pt idx="122">
                  <c:v>276.20604285053366</c:v>
                </c:pt>
                <c:pt idx="123">
                  <c:v>216.48614162529165</c:v>
                </c:pt>
                <c:pt idx="124">
                  <c:v>168.79380730849033</c:v>
                </c:pt>
                <c:pt idx="125">
                  <c:v>130.92023121015797</c:v>
                </c:pt>
                <c:pt idx="126">
                  <c:v>101.01258161596907</c:v>
                </c:pt>
                <c:pt idx="127">
                  <c:v>77.527802027240639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3003-419C-A35B-51E0E111B9A1}"/>
            </c:ext>
          </c:extLst>
        </c:ser>
        <c:ser>
          <c:idx val="44"/>
          <c:order val="44"/>
          <c:spPr>
            <a:solidFill>
              <a:schemeClr val="accent3">
                <a:lumMod val="7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output'!$AX$3:$AX$130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164491.4438287229</c:v>
                </c:pt>
                <c:pt idx="45">
                  <c:v>164430.10719934403</c:v>
                </c:pt>
                <c:pt idx="46">
                  <c:v>164353.73265304969</c:v>
                </c:pt>
                <c:pt idx="47">
                  <c:v>164259.16652319042</c:v>
                </c:pt>
                <c:pt idx="48">
                  <c:v>164142.73225331953</c:v>
                </c:pt>
                <c:pt idx="49">
                  <c:v>164000.17665783496</c:v>
                </c:pt>
                <c:pt idx="50">
                  <c:v>163826.61813341314</c:v>
                </c:pt>
                <c:pt idx="51">
                  <c:v>163616.498871788</c:v>
                </c:pt>
                <c:pt idx="52">
                  <c:v>163363.54343437043</c:v>
                </c:pt>
                <c:pt idx="53">
                  <c:v>163060.72632529517</c:v>
                </c:pt>
                <c:pt idx="54">
                  <c:v>162700.2514207885</c:v>
                </c:pt>
                <c:pt idx="55">
                  <c:v>162273.54625689177</c:v>
                </c:pt>
                <c:pt idx="56">
                  <c:v>161771.274221828</c:v>
                </c:pt>
                <c:pt idx="57">
                  <c:v>161183.3676218843</c:v>
                </c:pt>
                <c:pt idx="58">
                  <c:v>160499.08437130452</c:v>
                </c:pt>
                <c:pt idx="59">
                  <c:v>159707.0906821641</c:v>
                </c:pt>
                <c:pt idx="60">
                  <c:v>158795.57159013208</c:v>
                </c:pt>
                <c:pt idx="61">
                  <c:v>157752.37044440384</c:v>
                </c:pt>
                <c:pt idx="62">
                  <c:v>156565.15762163693</c:v>
                </c:pt>
                <c:pt idx="63">
                  <c:v>155221.62771094934</c:v>
                </c:pt>
                <c:pt idx="64">
                  <c:v>153709.72328675954</c:v>
                </c:pt>
                <c:pt idx="65">
                  <c:v>152017.88217553654</c:v>
                </c:pt>
                <c:pt idx="66">
                  <c:v>150135.30387798746</c:v>
                </c:pt>
                <c:pt idx="67">
                  <c:v>148052.22958450631</c:v>
                </c:pt>
                <c:pt idx="68">
                  <c:v>145760.22907938334</c:v>
                </c:pt>
                <c:pt idx="69">
                  <c:v>143252.48683192348</c:v>
                </c:pt>
                <c:pt idx="70">
                  <c:v>140524.07878347443</c:v>
                </c:pt>
                <c:pt idx="71">
                  <c:v>137572.23081756462</c:v>
                </c:pt>
                <c:pt idx="72">
                  <c:v>134396.54969703261</c:v>
                </c:pt>
                <c:pt idx="73">
                  <c:v>130999.21740654501</c:v>
                </c:pt>
                <c:pt idx="74">
                  <c:v>127385.14037542279</c:v>
                </c:pt>
                <c:pt idx="75">
                  <c:v>123562.04598048277</c:v>
                </c:pt>
                <c:pt idx="76">
                  <c:v>119540.52002817062</c:v>
                </c:pt>
                <c:pt idx="77">
                  <c:v>115333.98055569289</c:v>
                </c:pt>
                <c:pt idx="78">
                  <c:v>110958.58521830065</c:v>
                </c:pt>
                <c:pt idx="79">
                  <c:v>106433.07167241628</c:v>
                </c:pt>
                <c:pt idx="80">
                  <c:v>101778.53263498656</c:v>
                </c:pt>
                <c:pt idx="81">
                  <c:v>97018.129600537533</c:v>
                </c:pt>
                <c:pt idx="82">
                  <c:v>92176.751425390466</c:v>
                </c:pt>
                <c:pt idx="83">
                  <c:v>87280.626039770737</c:v>
                </c:pt>
                <c:pt idx="84">
                  <c:v>82356.895325252175</c:v>
                </c:pt>
                <c:pt idx="85">
                  <c:v>77433.164610733613</c:v>
                </c:pt>
                <c:pt idx="86">
                  <c:v>72537.039225113884</c:v>
                </c:pt>
                <c:pt idx="87">
                  <c:v>67695.661049966817</c:v>
                </c:pt>
                <c:pt idx="88">
                  <c:v>62935.258015517793</c:v>
                </c:pt>
                <c:pt idx="89">
                  <c:v>58280.718978088073</c:v>
                </c:pt>
                <c:pt idx="90">
                  <c:v>53755.2054322037</c:v>
                </c:pt>
                <c:pt idx="91">
                  <c:v>49379.810094811452</c:v>
                </c:pt>
                <c:pt idx="92">
                  <c:v>45173.27062233373</c:v>
                </c:pt>
                <c:pt idx="93">
                  <c:v>41151.744670021581</c:v>
                </c:pt>
                <c:pt idx="94">
                  <c:v>37328.650275081556</c:v>
                </c:pt>
                <c:pt idx="95">
                  <c:v>33714.573243959348</c:v>
                </c:pt>
                <c:pt idx="96">
                  <c:v>30317.240953471737</c:v>
                </c:pt>
                <c:pt idx="97">
                  <c:v>27141.559832939733</c:v>
                </c:pt>
                <c:pt idx="98">
                  <c:v>24189.711867029935</c:v>
                </c:pt>
                <c:pt idx="99">
                  <c:v>21461.303818580884</c:v>
                </c:pt>
                <c:pt idx="100">
                  <c:v>18953.561571121023</c:v>
                </c:pt>
                <c:pt idx="101">
                  <c:v>16661.561065998052</c:v>
                </c:pt>
                <c:pt idx="102">
                  <c:v>14578.486772516875</c:v>
                </c:pt>
                <c:pt idx="103">
                  <c:v>12695.908474967808</c:v>
                </c:pt>
                <c:pt idx="104">
                  <c:v>11004.0673637448</c:v>
                </c:pt>
                <c:pt idx="105">
                  <c:v>9492.1629395550226</c:v>
                </c:pt>
                <c:pt idx="106">
                  <c:v>8148.6330288674317</c:v>
                </c:pt>
                <c:pt idx="107">
                  <c:v>6961.4202061005071</c:v>
                </c:pt>
                <c:pt idx="108">
                  <c:v>5918.2190603722702</c:v>
                </c:pt>
                <c:pt idx="109">
                  <c:v>5006.6999683402601</c:v>
                </c:pt>
                <c:pt idx="110">
                  <c:v>4214.7062791998187</c:v>
                </c:pt>
                <c:pt idx="111">
                  <c:v>3530.4230286200527</c:v>
                </c:pt>
                <c:pt idx="112">
                  <c:v>2942.5164286763325</c:v>
                </c:pt>
                <c:pt idx="113">
                  <c:v>2440.2443936125806</c:v>
                </c:pt>
                <c:pt idx="114">
                  <c:v>2013.539229715843</c:v>
                </c:pt>
                <c:pt idx="115">
                  <c:v>1653.0643252091702</c:v>
                </c:pt>
                <c:pt idx="116">
                  <c:v>1350.2472161339197</c:v>
                </c:pt>
                <c:pt idx="117">
                  <c:v>1097.2917787163358</c:v>
                </c:pt>
                <c:pt idx="118">
                  <c:v>887.17251709120728</c:v>
                </c:pt>
                <c:pt idx="119">
                  <c:v>713.61399266937906</c:v>
                </c:pt>
                <c:pt idx="120">
                  <c:v>571.05839718481536</c:v>
                </c:pt>
                <c:pt idx="121">
                  <c:v>454.62412731392516</c:v>
                </c:pt>
                <c:pt idx="122">
                  <c:v>360.05799745465004</c:v>
                </c:pt>
                <c:pt idx="123">
                  <c:v>283.68345116033049</c:v>
                </c:pt>
                <c:pt idx="124">
                  <c:v>222.34682178144877</c:v>
                </c:pt>
                <c:pt idx="125">
                  <c:v>173.36336778727298</c:v>
                </c:pt>
                <c:pt idx="126">
                  <c:v>134.46448395230777</c:v>
                </c:pt>
                <c:pt idx="127">
                  <c:v>103.74717898166828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3003-419C-A35B-51E0E111B9A1}"/>
            </c:ext>
          </c:extLst>
        </c:ser>
        <c:ser>
          <c:idx val="45"/>
          <c:order val="45"/>
          <c:spPr>
            <a:solidFill>
              <a:schemeClr val="accent4">
                <a:lumMod val="7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output'!$AY$3:$AY$130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169921.36873598132</c:v>
                </c:pt>
                <c:pt idx="46">
                  <c:v>169858.00736121848</c:v>
                </c:pt>
                <c:pt idx="47">
                  <c:v>169779.11166220307</c:v>
                </c:pt>
                <c:pt idx="48">
                  <c:v>169681.42386855415</c:v>
                </c:pt>
                <c:pt idx="49">
                  <c:v>169561.14605930325</c:v>
                </c:pt>
                <c:pt idx="50">
                  <c:v>169413.88464957953</c:v>
                </c:pt>
                <c:pt idx="51">
                  <c:v>169234.59689248342</c:v>
                </c:pt>
                <c:pt idx="52">
                  <c:v>169017.54151439146</c:v>
                </c:pt>
                <c:pt idx="53">
                  <c:v>168756.23592210811</c:v>
                </c:pt>
                <c:pt idx="54">
                  <c:v>168443.42270548685</c:v>
                </c:pt>
                <c:pt idx="55">
                  <c:v>168071.0483877532</c:v>
                </c:pt>
                <c:pt idx="56">
                  <c:v>167630.25752466402</c:v>
                </c:pt>
                <c:pt idx="57">
                  <c:v>167111.40529934884</c:v>
                </c:pt>
                <c:pt idx="58">
                  <c:v>166504.09167970932</c:v>
                </c:pt>
                <c:pt idx="59">
                  <c:v>165797.21997966702</c:v>
                </c:pt>
                <c:pt idx="60">
                  <c:v>164979.08227866216</c:v>
                </c:pt>
                <c:pt idx="61">
                  <c:v>164037.47359591309</c:v>
                </c:pt>
                <c:pt idx="62">
                  <c:v>162959.83598496439</c:v>
                </c:pt>
                <c:pt idx="63">
                  <c:v>161733.43281693384</c:v>
                </c:pt>
                <c:pt idx="64">
                  <c:v>160345.5524746622</c:v>
                </c:pt>
                <c:pt idx="65">
                  <c:v>158783.7395123794</c:v>
                </c:pt>
                <c:pt idx="66">
                  <c:v>157036.05008482377</c:v>
                </c:pt>
                <c:pt idx="67">
                  <c:v>155091.3271641272</c:v>
                </c:pt>
                <c:pt idx="68">
                  <c:v>152939.48979867969</c:v>
                </c:pt>
                <c:pt idx="69">
                  <c:v>150571.82948815566</c:v>
                </c:pt>
                <c:pt idx="70">
                  <c:v>147981.30571860858</c:v>
                </c:pt>
                <c:pt idx="71">
                  <c:v>145162.83188634366</c:v>
                </c:pt>
                <c:pt idx="72">
                  <c:v>142113.54230025318</c:v>
                </c:pt>
                <c:pt idx="73">
                  <c:v>138833.03074226787</c:v>
                </c:pt>
                <c:pt idx="74">
                  <c:v>135323.55122519529</c:v>
                </c:pt>
                <c:pt idx="75">
                  <c:v>131590.17214144793</c:v>
                </c:pt>
                <c:pt idx="76">
                  <c:v>127640.87595148018</c:v>
                </c:pt>
                <c:pt idx="77">
                  <c:v>123486.59790322083</c:v>
                </c:pt>
                <c:pt idx="78">
                  <c:v>119141.19896837036</c:v>
                </c:pt>
                <c:pt idx="79">
                  <c:v>114621.37017250384</c:v>
                </c:pt>
                <c:pt idx="80">
                  <c:v>109946.46770918423</c:v>
                </c:pt>
                <c:pt idx="81">
                  <c:v>105138.2805739394</c:v>
                </c:pt>
                <c:pt idx="82">
                  <c:v>100220.73483100846</c:v>
                </c:pt>
                <c:pt idx="83">
                  <c:v>95219.540927293405</c:v>
                </c:pt>
                <c:pt idx="84">
                  <c:v>90161.792586937387</c:v>
                </c:pt>
                <c:pt idx="85">
                  <c:v>85075.527655312457</c:v>
                </c:pt>
                <c:pt idx="86">
                  <c:v>79989.262723687527</c:v>
                </c:pt>
                <c:pt idx="87">
                  <c:v>74931.514383331509</c:v>
                </c:pt>
                <c:pt idx="88">
                  <c:v>69930.32047961645</c:v>
                </c:pt>
                <c:pt idx="89">
                  <c:v>65012.774736685526</c:v>
                </c:pt>
                <c:pt idx="90">
                  <c:v>60204.587601440682</c:v>
                </c:pt>
                <c:pt idx="91">
                  <c:v>55529.685138121065</c:v>
                </c:pt>
                <c:pt idx="92">
                  <c:v>51009.856342254556</c:v>
                </c:pt>
                <c:pt idx="93">
                  <c:v>46664.457407404094</c:v>
                </c:pt>
                <c:pt idx="94">
                  <c:v>42510.179359144728</c:v>
                </c:pt>
                <c:pt idx="95">
                  <c:v>38560.883169176996</c:v>
                </c:pt>
                <c:pt idx="96">
                  <c:v>34827.504085429631</c:v>
                </c:pt>
                <c:pt idx="97">
                  <c:v>31318.024568357036</c:v>
                </c:pt>
                <c:pt idx="98">
                  <c:v>28037.513010371746</c:v>
                </c:pt>
                <c:pt idx="99">
                  <c:v>24988.223424281248</c:v>
                </c:pt>
                <c:pt idx="100">
                  <c:v>22169.749592016327</c:v>
                </c:pt>
                <c:pt idx="101">
                  <c:v>19579.225822469245</c:v>
                </c:pt>
                <c:pt idx="102">
                  <c:v>17211.565511945239</c:v>
                </c:pt>
                <c:pt idx="103">
                  <c:v>15059.728146497715</c:v>
                </c:pt>
                <c:pt idx="104">
                  <c:v>13115.005225801138</c:v>
                </c:pt>
                <c:pt idx="105">
                  <c:v>11367.315798245523</c:v>
                </c:pt>
                <c:pt idx="106">
                  <c:v>9805.5028359627231</c:v>
                </c:pt>
                <c:pt idx="107">
                  <c:v>8417.6224936910712</c:v>
                </c:pt>
                <c:pt idx="108">
                  <c:v>7191.2193256605278</c:v>
                </c:pt>
                <c:pt idx="109">
                  <c:v>6113.581714711836</c:v>
                </c:pt>
                <c:pt idx="110">
                  <c:v>5171.9730319627552</c:v>
                </c:pt>
                <c:pt idx="111">
                  <c:v>4353.8353309578852</c:v>
                </c:pt>
                <c:pt idx="112">
                  <c:v>3646.9636309155949</c:v>
                </c:pt>
                <c:pt idx="113">
                  <c:v>3039.6500112760659</c:v>
                </c:pt>
                <c:pt idx="114">
                  <c:v>2520.7977859608877</c:v>
                </c:pt>
                <c:pt idx="115">
                  <c:v>2080.0069228717275</c:v>
                </c:pt>
                <c:pt idx="116">
                  <c:v>1707.6326051380636</c:v>
                </c:pt>
                <c:pt idx="117">
                  <c:v>1394.8193885167952</c:v>
                </c:pt>
                <c:pt idx="118">
                  <c:v>1133.5137962334641</c:v>
                </c:pt>
                <c:pt idx="119">
                  <c:v>916.4584181415056</c:v>
                </c:pt>
                <c:pt idx="120">
                  <c:v>737.1706610453848</c:v>
                </c:pt>
                <c:pt idx="121">
                  <c:v>589.90925132165182</c:v>
                </c:pt>
                <c:pt idx="122">
                  <c:v>469.63144207075175</c:v>
                </c:pt>
                <c:pt idx="123">
                  <c:v>371.94364842183546</c:v>
                </c:pt>
                <c:pt idx="124">
                  <c:v>293.04794940643035</c:v>
                </c:pt>
                <c:pt idx="125">
                  <c:v>229.68657464359742</c:v>
                </c:pt>
                <c:pt idx="126">
                  <c:v>179.08615826708967</c:v>
                </c:pt>
                <c:pt idx="127">
                  <c:v>138.90320753305849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3003-419C-A35B-51E0E111B9A1}"/>
            </c:ext>
          </c:extLst>
        </c:ser>
        <c:ser>
          <c:idx val="46"/>
          <c:order val="46"/>
          <c:spPr>
            <a:solidFill>
              <a:schemeClr val="accent5">
                <a:lumMod val="7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output'!$AZ$3:$AZ$130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174854.3175486312</c:v>
                </c:pt>
                <c:pt idx="47">
                  <c:v>174789.11674413254</c:v>
                </c:pt>
                <c:pt idx="48">
                  <c:v>174707.93064192845</c:v>
                </c:pt>
                <c:pt idx="49">
                  <c:v>174607.40689604304</c:v>
                </c:pt>
                <c:pt idx="50">
                  <c:v>174483.63732892353</c:v>
                </c:pt>
                <c:pt idx="51">
                  <c:v>174332.10080653062</c:v>
                </c:pt>
                <c:pt idx="52">
                  <c:v>174147.60818712044</c:v>
                </c:pt>
                <c:pt idx="53">
                  <c:v>173924.25152345383</c:v>
                </c:pt>
                <c:pt idx="54">
                  <c:v>173655.36002763888</c:v>
                </c:pt>
                <c:pt idx="55">
                  <c:v>173333.46560129695</c:v>
                </c:pt>
                <c:pt idx="56">
                  <c:v>172950.28096899137</c:v>
                </c:pt>
                <c:pt idx="57">
                  <c:v>172496.69360608069</c:v>
                </c:pt>
                <c:pt idx="58">
                  <c:v>171962.77869919786</c:v>
                </c:pt>
                <c:pt idx="59">
                  <c:v>171337.83429526561</c:v>
                </c:pt>
                <c:pt idx="60">
                  <c:v>170610.44156282253</c:v>
                </c:pt>
                <c:pt idx="61">
                  <c:v>169768.55269131582</c:v>
                </c:pt>
                <c:pt idx="62">
                  <c:v>168799.60837992802</c:v>
                </c:pt>
                <c:pt idx="63">
                  <c:v>167690.68611530133</c:v>
                </c:pt>
                <c:pt idx="64">
                  <c:v>166428.67951436198</c:v>
                </c:pt>
                <c:pt idx="65">
                  <c:v>165000.50793186881</c:v>
                </c:pt>
                <c:pt idx="66">
                  <c:v>163393.35433082358</c:v>
                </c:pt>
                <c:pt idx="67">
                  <c:v>161594.92812689504</c:v>
                </c:pt>
                <c:pt idx="68">
                  <c:v>159593.74839506313</c:v>
                </c:pt>
                <c:pt idx="69">
                  <c:v>157379.44152589244</c:v>
                </c:pt>
                <c:pt idx="70">
                  <c:v>154943.04620455467</c:v>
                </c:pt>
                <c:pt idx="71">
                  <c:v>152277.31752553568</c:v>
                </c:pt>
                <c:pt idx="72">
                  <c:v>149377.02121709968</c:v>
                </c:pt>
                <c:pt idx="73">
                  <c:v>146239.20839490872</c:v>
                </c:pt>
                <c:pt idx="74">
                  <c:v>142863.46104806871</c:v>
                </c:pt>
                <c:pt idx="75">
                  <c:v>139252.09862512298</c:v>
                </c:pt>
                <c:pt idx="76">
                  <c:v>135410.33665783753</c:v>
                </c:pt>
                <c:pt idx="77">
                  <c:v>131346.38934367025</c:v>
                </c:pt>
                <c:pt idx="78">
                  <c:v>127071.50938925853</c:v>
                </c:pt>
                <c:pt idx="79">
                  <c:v>122599.96016103639</c:v>
                </c:pt>
                <c:pt idx="80">
                  <c:v>117948.91723796616</c:v>
                </c:pt>
                <c:pt idx="81">
                  <c:v>113138.298738887</c:v>
                </c:pt>
                <c:pt idx="82">
                  <c:v>108190.52621072634</c:v>
                </c:pt>
                <c:pt idx="83">
                  <c:v>103130.22030988123</c:v>
                </c:pt>
                <c:pt idx="84">
                  <c:v>97983.837877420883</c:v>
                </c:pt>
                <c:pt idx="85">
                  <c:v>92779.259189264354</c:v>
                </c:pt>
                <c:pt idx="86">
                  <c:v>87545.336051129416</c:v>
                </c:pt>
                <c:pt idx="87">
                  <c:v>82311.412912994478</c:v>
                </c:pt>
                <c:pt idx="88">
                  <c:v>77106.834224837949</c:v>
                </c:pt>
                <c:pt idx="89">
                  <c:v>71960.4517923776</c:v>
                </c:pt>
                <c:pt idx="90">
                  <c:v>66900.145891532491</c:v>
                </c:pt>
                <c:pt idx="91">
                  <c:v>61952.373363371844</c:v>
                </c:pt>
                <c:pt idx="92">
                  <c:v>57141.754864292663</c:v>
                </c:pt>
                <c:pt idx="93">
                  <c:v>52490.711941222442</c:v>
                </c:pt>
                <c:pt idx="94">
                  <c:v>48019.162713000311</c:v>
                </c:pt>
                <c:pt idx="95">
                  <c:v>43744.282758588583</c:v>
                </c:pt>
                <c:pt idx="96">
                  <c:v>39680.335444421311</c:v>
                </c:pt>
                <c:pt idx="97">
                  <c:v>35838.573477135862</c:v>
                </c:pt>
                <c:pt idx="98">
                  <c:v>32227.211054190131</c:v>
                </c:pt>
                <c:pt idx="99">
                  <c:v>28851.463707350107</c:v>
                </c:pt>
                <c:pt idx="100">
                  <c:v>25713.650885159135</c:v>
                </c:pt>
                <c:pt idx="101">
                  <c:v>22813.354576723141</c:v>
                </c:pt>
                <c:pt idx="102">
                  <c:v>20147.625897704173</c:v>
                </c:pt>
                <c:pt idx="103">
                  <c:v>17711.230576366401</c:v>
                </c:pt>
                <c:pt idx="104">
                  <c:v>15496.923707195698</c:v>
                </c:pt>
                <c:pt idx="105">
                  <c:v>13495.743975363795</c:v>
                </c:pt>
                <c:pt idx="106">
                  <c:v>11697.317771435241</c:v>
                </c:pt>
                <c:pt idx="107">
                  <c:v>10090.164170390022</c:v>
                </c:pt>
                <c:pt idx="108">
                  <c:v>8661.9925878968588</c:v>
                </c:pt>
                <c:pt idx="109">
                  <c:v>7399.9859869574975</c:v>
                </c:pt>
                <c:pt idx="110">
                  <c:v>6291.0637223308095</c:v>
                </c:pt>
                <c:pt idx="111">
                  <c:v>5322.1194109430198</c:v>
                </c:pt>
                <c:pt idx="112">
                  <c:v>4480.2305394362993</c:v>
                </c:pt>
                <c:pt idx="113">
                  <c:v>3752.8378069932082</c:v>
                </c:pt>
                <c:pt idx="114">
                  <c:v>3127.8934030609648</c:v>
                </c:pt>
                <c:pt idx="115">
                  <c:v>2593.978496178137</c:v>
                </c:pt>
                <c:pt idx="116">
                  <c:v>2140.3911332674561</c:v>
                </c:pt>
                <c:pt idx="117">
                  <c:v>1757.2065009618814</c:v>
                </c:pt>
                <c:pt idx="118">
                  <c:v>1435.3120746199527</c:v>
                </c:pt>
                <c:pt idx="119">
                  <c:v>1166.4205788049965</c:v>
                </c:pt>
                <c:pt idx="120">
                  <c:v>943.0639151384047</c:v>
                </c:pt>
                <c:pt idx="121">
                  <c:v>758.57129572820872</c:v>
                </c:pt>
                <c:pt idx="122">
                  <c:v>607.03477333530623</c:v>
                </c:pt>
                <c:pt idx="123">
                  <c:v>483.26520621577544</c:v>
                </c:pt>
                <c:pt idx="124">
                  <c:v>382.74146033038937</c:v>
                </c:pt>
                <c:pt idx="125">
                  <c:v>301.55535812628386</c:v>
                </c:pt>
                <c:pt idx="126">
                  <c:v>236.35455362763108</c:v>
                </c:pt>
                <c:pt idx="127">
                  <c:v>184.28516801116902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3003-419C-A35B-51E0E111B9A1}"/>
            </c:ext>
          </c:extLst>
        </c:ser>
        <c:ser>
          <c:idx val="47"/>
          <c:order val="47"/>
          <c:spPr>
            <a:solidFill>
              <a:schemeClr val="accent6">
                <a:lumMod val="7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output'!$BA$3:$BA$130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179076.58389848474</c:v>
                </c:pt>
                <c:pt idx="48">
                  <c:v>179009.80866810586</c:v>
                </c:pt>
                <c:pt idx="49">
                  <c:v>178926.66213763083</c:v>
                </c:pt>
                <c:pt idx="50">
                  <c:v>178823.71101085166</c:v>
                </c:pt>
                <c:pt idx="51">
                  <c:v>178696.95273813017</c:v>
                </c:pt>
                <c:pt idx="52">
                  <c:v>178541.75701207423</c:v>
                </c:pt>
                <c:pt idx="53">
                  <c:v>178352.809386979</c:v>
                </c:pt>
                <c:pt idx="54">
                  <c:v>178124.05925440506</c:v>
                </c:pt>
                <c:pt idx="55">
                  <c:v>177848.67474468882</c:v>
                </c:pt>
                <c:pt idx="56">
                  <c:v>177519.00742475409</c:v>
                </c:pt>
                <c:pt idx="57">
                  <c:v>177126.56990352104</c:v>
                </c:pt>
                <c:pt idx="58">
                  <c:v>176662.02961313346</c:v>
                </c:pt>
                <c:pt idx="59">
                  <c:v>176115.22208239883</c:v>
                </c:pt>
                <c:pt idx="60">
                  <c:v>175475.18693455905</c:v>
                </c:pt>
                <c:pt idx="61">
                  <c:v>174730.22960376702</c:v>
                </c:pt>
                <c:pt idx="62">
                  <c:v>173868.01135691334</c:v>
                </c:pt>
                <c:pt idx="63">
                  <c:v>172875.66961949566</c:v>
                </c:pt>
                <c:pt idx="64">
                  <c:v>171739.96983385502</c:v>
                </c:pt>
                <c:pt idx="65">
                  <c:v>170447.48913265241</c:v>
                </c:pt>
                <c:pt idx="66">
                  <c:v>168984.83100788156</c:v>
                </c:pt>
                <c:pt idx="67">
                  <c:v>167338.86892521646</c:v>
                </c:pt>
                <c:pt idx="68">
                  <c:v>165497.01551542879</c:v>
                </c:pt>
                <c:pt idx="69">
                  <c:v>163447.51261971862</c:v>
                </c:pt>
                <c:pt idx="70">
                  <c:v>161179.73613359468</c:v>
                </c:pt>
                <c:pt idx="71">
                  <c:v>158684.50835032834</c:v>
                </c:pt>
                <c:pt idx="72">
                  <c:v>155954.40941922148</c:v>
                </c:pt>
                <c:pt idx="73">
                  <c:v>152984.07867480817</c:v>
                </c:pt>
                <c:pt idx="74">
                  <c:v>149770.49602504293</c:v>
                </c:pt>
                <c:pt idx="75">
                  <c:v>146313.23336518122</c:v>
                </c:pt>
                <c:pt idx="76">
                  <c:v>142614.66615227491</c:v>
                </c:pt>
                <c:pt idx="77">
                  <c:v>138680.13585929968</c:v>
                </c:pt>
                <c:pt idx="78">
                  <c:v>134518.05503471787</c:v>
                </c:pt>
                <c:pt idx="79">
                  <c:v>130139.94810808022</c:v>
                </c:pt>
                <c:pt idx="80">
                  <c:v>125560.42286815459</c:v>
                </c:pt>
                <c:pt idx="81">
                  <c:v>120797.06963841814</c:v>
                </c:pt>
                <c:pt idx="82">
                  <c:v>115870.28750726281</c:v>
                </c:pt>
                <c:pt idx="83">
                  <c:v>110803.0394422938</c:v>
                </c:pt>
                <c:pt idx="84">
                  <c:v>105620.540623226</c:v>
                </c:pt>
                <c:pt idx="85">
                  <c:v>100349.88675341889</c:v>
                </c:pt>
                <c:pt idx="86">
                  <c:v>95019.63134324459</c:v>
                </c:pt>
                <c:pt idx="87">
                  <c:v>89659.322892732554</c:v>
                </c:pt>
                <c:pt idx="88">
                  <c:v>84299.014442220519</c:v>
                </c:pt>
                <c:pt idx="89">
                  <c:v>78968.759032046219</c:v>
                </c:pt>
                <c:pt idx="90">
                  <c:v>73698.10516223911</c:v>
                </c:pt>
                <c:pt idx="91">
                  <c:v>68515.606343171312</c:v>
                </c:pt>
                <c:pt idx="92">
                  <c:v>63448.3582782023</c:v>
                </c:pt>
                <c:pt idx="93">
                  <c:v>58521.576147046973</c:v>
                </c:pt>
                <c:pt idx="94">
                  <c:v>53758.222917310515</c:v>
                </c:pt>
                <c:pt idx="95">
                  <c:v>49178.697677384895</c:v>
                </c:pt>
                <c:pt idx="96">
                  <c:v>44800.590750747237</c:v>
                </c:pt>
                <c:pt idx="97">
                  <c:v>40638.509926165425</c:v>
                </c:pt>
                <c:pt idx="98">
                  <c:v>36703.979633190196</c:v>
                </c:pt>
                <c:pt idx="99">
                  <c:v>33005.412420283879</c:v>
                </c:pt>
                <c:pt idx="100">
                  <c:v>29548.149760422169</c:v>
                </c:pt>
                <c:pt idx="101">
                  <c:v>26334.567110656932</c:v>
                </c:pt>
                <c:pt idx="102">
                  <c:v>23364.236366243636</c:v>
                </c:pt>
                <c:pt idx="103">
                  <c:v>20634.137435136778</c:v>
                </c:pt>
                <c:pt idx="104">
                  <c:v>18138.909651870443</c:v>
                </c:pt>
                <c:pt idx="105">
                  <c:v>15871.13316574648</c:v>
                </c:pt>
                <c:pt idx="106">
                  <c:v>13821.630270036323</c:v>
                </c:pt>
                <c:pt idx="107">
                  <c:v>11979.776860248638</c:v>
                </c:pt>
                <c:pt idx="108">
                  <c:v>10333.814777583559</c:v>
                </c:pt>
                <c:pt idx="109">
                  <c:v>8871.1566528127041</c:v>
                </c:pt>
                <c:pt idx="110">
                  <c:v>7578.675951610091</c:v>
                </c:pt>
                <c:pt idx="111">
                  <c:v>6442.9761659694632</c:v>
                </c:pt>
                <c:pt idx="112">
                  <c:v>5450.6344285517625</c:v>
                </c:pt>
                <c:pt idx="113">
                  <c:v>4588.4161816981032</c:v>
                </c:pt>
                <c:pt idx="114">
                  <c:v>3843.4588509060563</c:v>
                </c:pt>
                <c:pt idx="115">
                  <c:v>3203.4237030662825</c:v>
                </c:pt>
                <c:pt idx="116">
                  <c:v>2656.6161723316613</c:v>
                </c:pt>
                <c:pt idx="117">
                  <c:v>2192.0758819440598</c:v>
                </c:pt>
                <c:pt idx="118">
                  <c:v>1799.638360711022</c:v>
                </c:pt>
                <c:pt idx="119">
                  <c:v>1469.9710407762832</c:v>
                </c:pt>
                <c:pt idx="120">
                  <c:v>1194.5865310600516</c:v>
                </c:pt>
                <c:pt idx="121">
                  <c:v>965.83639848610676</c:v>
                </c:pt>
                <c:pt idx="122">
                  <c:v>776.88877339087617</c:v>
                </c:pt>
                <c:pt idx="123">
                  <c:v>621.69304733492754</c:v>
                </c:pt>
                <c:pt idx="124">
                  <c:v>494.93477461343531</c:v>
                </c:pt>
                <c:pt idx="125">
                  <c:v>391.98364783426587</c:v>
                </c:pt>
                <c:pt idx="126">
                  <c:v>308.83711735925516</c:v>
                </c:pt>
                <c:pt idx="127">
                  <c:v>242.06188698037511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3003-419C-A35B-51E0E111B9A1}"/>
            </c:ext>
          </c:extLst>
        </c:ser>
        <c:ser>
          <c:idx val="48"/>
          <c:order val="48"/>
          <c:spPr>
            <a:solidFill>
              <a:schemeClr val="accent1">
                <a:lumMod val="50000"/>
                <a:lumOff val="5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output'!$BB$3:$BB$130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184046.88731310354</c:v>
                </c:pt>
                <c:pt idx="49">
                  <c:v>183978.25872396419</c:v>
                </c:pt>
                <c:pt idx="50">
                  <c:v>183892.80444629333</c:v>
                </c:pt>
                <c:pt idx="51">
                  <c:v>183786.99589211729</c:v>
                </c:pt>
                <c:pt idx="52">
                  <c:v>183656.71942029896</c:v>
                </c:pt>
                <c:pt idx="53">
                  <c:v>183497.21620841566</c:v>
                </c:pt>
                <c:pt idx="54">
                  <c:v>183303.02430734783</c:v>
                </c:pt>
                <c:pt idx="55">
                  <c:v>183067.92517290957</c:v>
                </c:pt>
                <c:pt idx="56">
                  <c:v>182784.89731564239</c:v>
                </c:pt>
                <c:pt idx="57">
                  <c:v>182446.08001880787</c:v>
                </c:pt>
                <c:pt idx="58">
                  <c:v>182042.75032223095</c:v>
                </c:pt>
                <c:pt idx="59">
                  <c:v>181565.3166309236</c:v>
                </c:pt>
                <c:pt idx="60">
                  <c:v>181003.33235693208</c:v>
                </c:pt>
                <c:pt idx="61">
                  <c:v>180345.53291623204</c:v>
                </c:pt>
                <c:pt idx="62">
                  <c:v>179579.89915815747</c:v>
                </c:pt>
                <c:pt idx="63">
                  <c:v>178693.7498857996</c:v>
                </c:pt>
                <c:pt idx="64">
                  <c:v>177673.8655215427</c:v>
                </c:pt>
                <c:pt idx="65">
                  <c:v>176506.64418015387</c:v>
                </c:pt>
                <c:pt idx="66">
                  <c:v>175178.29044015039</c:v>
                </c:pt>
                <c:pt idx="67">
                  <c:v>173675.03597099043</c:v>
                </c:pt>
                <c:pt idx="68">
                  <c:v>171983.38990898139</c:v>
                </c:pt>
                <c:pt idx="69">
                  <c:v>170090.41552015446</c:v>
                </c:pt>
                <c:pt idx="70">
                  <c:v>167984.02829585675</c:v>
                </c:pt>
                <c:pt idx="71">
                  <c:v>165653.30925762912</c:v>
                </c:pt>
                <c:pt idx="72">
                  <c:v>163088.82596981034</c:v>
                </c:pt>
                <c:pt idx="73">
                  <c:v>160282.95264238588</c:v>
                </c:pt>
                <c:pt idx="74">
                  <c:v>157230.1798236371</c:v>
                </c:pt>
                <c:pt idx="75">
                  <c:v>153927.40359831011</c:v>
                </c:pt>
                <c:pt idx="76">
                  <c:v>150374.18397953475</c:v>
                </c:pt>
                <c:pt idx="77">
                  <c:v>146572.96235560879</c:v>
                </c:pt>
                <c:pt idx="78">
                  <c:v>142529.22845306963</c:v>
                </c:pt>
                <c:pt idx="79">
                  <c:v>138251.6283122043</c:v>
                </c:pt>
                <c:pt idx="80">
                  <c:v>133752.00622521844</c:v>
                </c:pt>
                <c:pt idx="81">
                  <c:v>129045.37542273507</c:v>
                </c:pt>
                <c:pt idx="82">
                  <c:v>124149.81445088412</c:v>
                </c:pt>
                <c:pt idx="83">
                  <c:v>119086.28857849547</c:v>
                </c:pt>
                <c:pt idx="84">
                  <c:v>113878.39811454974</c:v>
                </c:pt>
                <c:pt idx="85">
                  <c:v>108552.05809069735</c:v>
                </c:pt>
                <c:pt idx="86">
                  <c:v>103135.11625651167</c:v>
                </c:pt>
                <c:pt idx="87">
                  <c:v>97656.918630279702</c:v>
                </c:pt>
                <c:pt idx="88">
                  <c:v>92147.833836066056</c:v>
                </c:pt>
                <c:pt idx="89">
                  <c:v>86638.74904185241</c:v>
                </c:pt>
                <c:pt idx="90">
                  <c:v>81160.551415620444</c:v>
                </c:pt>
                <c:pt idx="91">
                  <c:v>75743.609581434765</c:v>
                </c:pt>
                <c:pt idx="92">
                  <c:v>70417.269557582375</c:v>
                </c:pt>
                <c:pt idx="93">
                  <c:v>65209.379093636649</c:v>
                </c:pt>
                <c:pt idx="94">
                  <c:v>60145.853221247984</c:v>
                </c:pt>
                <c:pt idx="95">
                  <c:v>55250.292249397033</c:v>
                </c:pt>
                <c:pt idx="96">
                  <c:v>50543.661446913669</c:v>
                </c:pt>
                <c:pt idx="97">
                  <c:v>46044.03935992781</c:v>
                </c:pt>
                <c:pt idx="98">
                  <c:v>41766.439219062493</c:v>
                </c:pt>
                <c:pt idx="99">
                  <c:v>37722.705316523316</c:v>
                </c:pt>
                <c:pt idx="100">
                  <c:v>33921.483692597372</c:v>
                </c:pt>
                <c:pt idx="101">
                  <c:v>30368.264073822007</c:v>
                </c:pt>
                <c:pt idx="102">
                  <c:v>27065.487848495028</c:v>
                </c:pt>
                <c:pt idx="103">
                  <c:v>24012.715029746243</c:v>
                </c:pt>
                <c:pt idx="104">
                  <c:v>21206.841702321773</c:v>
                </c:pt>
                <c:pt idx="105">
                  <c:v>18642.358414502982</c:v>
                </c:pt>
                <c:pt idx="106">
                  <c:v>16311.639376275367</c:v>
                </c:pt>
                <c:pt idx="107">
                  <c:v>14205.252151977649</c:v>
                </c:pt>
                <c:pt idx="108">
                  <c:v>12312.277763150712</c:v>
                </c:pt>
                <c:pt idx="109">
                  <c:v>10620.631701141685</c:v>
                </c:pt>
                <c:pt idx="110">
                  <c:v>9117.3772319817181</c:v>
                </c:pt>
                <c:pt idx="111">
                  <c:v>7789.0234919782424</c:v>
                </c:pt>
                <c:pt idx="112">
                  <c:v>6621.8021505894239</c:v>
                </c:pt>
                <c:pt idx="113">
                  <c:v>5601.9177863325167</c:v>
                </c:pt>
                <c:pt idx="114">
                  <c:v>4715.7685139746363</c:v>
                </c:pt>
                <c:pt idx="115">
                  <c:v>3950.1347559000587</c:v>
                </c:pt>
                <c:pt idx="116">
                  <c:v>3292.3353152000445</c:v>
                </c:pt>
                <c:pt idx="117">
                  <c:v>2730.3510412085257</c:v>
                </c:pt>
                <c:pt idx="118">
                  <c:v>2252.9173499011795</c:v>
                </c:pt>
                <c:pt idx="119">
                  <c:v>1849.5876533242406</c:v>
                </c:pt>
                <c:pt idx="120">
                  <c:v>1510.7703564897374</c:v>
                </c:pt>
                <c:pt idx="121">
                  <c:v>1227.7424992225406</c:v>
                </c:pt>
                <c:pt idx="122">
                  <c:v>992.64336478427981</c:v>
                </c:pt>
                <c:pt idx="123">
                  <c:v>798.45146371644455</c:v>
                </c:pt>
                <c:pt idx="124">
                  <c:v>638.94825183316186</c:v>
                </c:pt>
                <c:pt idx="125">
                  <c:v>508.67178001481858</c:v>
                </c:pt>
                <c:pt idx="126">
                  <c:v>402.86322583877944</c:v>
                </c:pt>
                <c:pt idx="127">
                  <c:v>317.40894816792138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3003-419C-A35B-51E0E111B9A1}"/>
            </c:ext>
          </c:extLst>
        </c:ser>
        <c:ser>
          <c:idx val="49"/>
          <c:order val="49"/>
          <c:spPr>
            <a:solidFill>
              <a:schemeClr val="accent2">
                <a:lumMod val="50000"/>
                <a:lumOff val="5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output'!$BC$3:$BC$130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189190.30310633959</c:v>
                </c:pt>
                <c:pt idx="50">
                  <c:v>189119.75660718069</c:v>
                </c:pt>
                <c:pt idx="51">
                  <c:v>189031.91420500638</c:v>
                </c:pt>
                <c:pt idx="52">
                  <c:v>188923.14870112829</c:v>
                </c:pt>
                <c:pt idx="53">
                  <c:v>188789.23149366686</c:v>
                </c:pt>
                <c:pt idx="54">
                  <c:v>188625.27076907555</c:v>
                </c:pt>
                <c:pt idx="55">
                  <c:v>188425.65193737359</c:v>
                </c:pt>
                <c:pt idx="56">
                  <c:v>188183.98266953783</c:v>
                </c:pt>
                <c:pt idx="57">
                  <c:v>187893.04525198278</c:v>
                </c:pt>
                <c:pt idx="58">
                  <c:v>187544.75929060849</c:v>
                </c:pt>
                <c:pt idx="59">
                  <c:v>187130.15805142879</c:v>
                </c:pt>
                <c:pt idx="60">
                  <c:v>186639.38189058044</c:v>
                </c:pt>
                <c:pt idx="61">
                  <c:v>186061.69227740823</c:v>
                </c:pt>
                <c:pt idx="62">
                  <c:v>185385.50982528395</c:v>
                </c:pt>
                <c:pt idx="63">
                  <c:v>184598.47949364813</c:v>
                </c:pt>
                <c:pt idx="64">
                  <c:v>183687.56569400511</c:v>
                </c:pt>
                <c:pt idx="65">
                  <c:v>182639.17941144371</c:v>
                </c:pt>
                <c:pt idx="66">
                  <c:v>181439.33863938076</c:v>
                </c:pt>
                <c:pt idx="67">
                  <c:v>180073.8624263755</c:v>
                </c:pt>
                <c:pt idx="68">
                  <c:v>178528.59766901776</c:v>
                </c:pt>
                <c:pt idx="69">
                  <c:v>176789.67648489759</c:v>
                </c:pt>
                <c:pt idx="70">
                  <c:v>174843.80060716299</c:v>
                </c:pt>
                <c:pt idx="71">
                  <c:v>172678.54781075867</c:v>
                </c:pt>
                <c:pt idx="72">
                  <c:v>170282.69397299259</c:v>
                </c:pt>
                <c:pt idx="73">
                  <c:v>167646.54305723062</c:v>
                </c:pt>
                <c:pt idx="74">
                  <c:v>164762.25616141179</c:v>
                </c:pt>
                <c:pt idx="75">
                  <c:v>161624.16986543805</c:v>
                </c:pt>
                <c:pt idx="76">
                  <c:v>158229.09351134021</c:v>
                </c:pt>
                <c:pt idx="77">
                  <c:v>154576.57481627591</c:v>
                </c:pt>
                <c:pt idx="78">
                  <c:v>150669.12339613054</c:v>
                </c:pt>
                <c:pt idx="79">
                  <c:v>146512.38239457653</c:v>
                </c:pt>
                <c:pt idx="80">
                  <c:v>142115.23947609149</c:v>
                </c:pt>
                <c:pt idx="81">
                  <c:v>137489.8699361404</c:v>
                </c:pt>
                <c:pt idx="82">
                  <c:v>132651.70656847305</c:v>
                </c:pt>
                <c:pt idx="83">
                  <c:v>127619.33314634397</c:v>
                </c:pt>
                <c:pt idx="84">
                  <c:v>122414.30083871091</c:v>
                </c:pt>
                <c:pt idx="85">
                  <c:v>117060.86949410834</c:v>
                </c:pt>
                <c:pt idx="86">
                  <c:v>111585.67837150184</c:v>
                </c:pt>
                <c:pt idx="87">
                  <c:v>106017.35345995071</c:v>
                </c:pt>
                <c:pt idx="88">
                  <c:v>100386.06088818295</c:v>
                </c:pt>
                <c:pt idx="89">
                  <c:v>94723.017968675777</c:v>
                </c:pt>
                <c:pt idx="90">
                  <c:v>89059.975049168599</c:v>
                </c:pt>
                <c:pt idx="91">
                  <c:v>83428.682477400842</c:v>
                </c:pt>
                <c:pt idx="92">
                  <c:v>77860.357565849714</c:v>
                </c:pt>
                <c:pt idx="93">
                  <c:v>72385.166443243215</c:v>
                </c:pt>
                <c:pt idx="94">
                  <c:v>67031.735098640638</c:v>
                </c:pt>
                <c:pt idx="95">
                  <c:v>61826.702791007592</c:v>
                </c:pt>
                <c:pt idx="96">
                  <c:v>56794.329368878505</c:v>
                </c:pt>
                <c:pt idx="97">
                  <c:v>51956.166001211139</c:v>
                </c:pt>
                <c:pt idx="98">
                  <c:v>47330.79646126007</c:v>
                </c:pt>
                <c:pt idx="99">
                  <c:v>42933.65354277502</c:v>
                </c:pt>
                <c:pt idx="100">
                  <c:v>38776.912541221005</c:v>
                </c:pt>
                <c:pt idx="101">
                  <c:v>34869.461121075634</c:v>
                </c:pt>
                <c:pt idx="102">
                  <c:v>31216.94242601133</c:v>
                </c:pt>
                <c:pt idx="103">
                  <c:v>27821.866071913515</c:v>
                </c:pt>
                <c:pt idx="104">
                  <c:v>24683.779775939754</c:v>
                </c:pt>
                <c:pt idx="105">
                  <c:v>21799.492880120928</c:v>
                </c:pt>
                <c:pt idx="106">
                  <c:v>19163.341964358948</c:v>
                </c:pt>
                <c:pt idx="107">
                  <c:v>16767.488126592874</c:v>
                </c:pt>
                <c:pt idx="108">
                  <c:v>14602.235330188565</c:v>
                </c:pt>
                <c:pt idx="109">
                  <c:v>12656.359452453968</c:v>
                </c:pt>
                <c:pt idx="110">
                  <c:v>10917.438268333795</c:v>
                </c:pt>
                <c:pt idx="111">
                  <c:v>9372.1735109760375</c:v>
                </c:pt>
                <c:pt idx="112">
                  <c:v>8006.6972979708044</c:v>
                </c:pt>
                <c:pt idx="113">
                  <c:v>6806.8565259078441</c:v>
                </c:pt>
                <c:pt idx="114">
                  <c:v>5758.4702433464481</c:v>
                </c:pt>
                <c:pt idx="115">
                  <c:v>4847.55644370343</c:v>
                </c:pt>
                <c:pt idx="116">
                  <c:v>4060.5261120675937</c:v>
                </c:pt>
                <c:pt idx="117">
                  <c:v>3384.3436599433085</c:v>
                </c:pt>
                <c:pt idx="118">
                  <c:v>2806.6540467711229</c:v>
                </c:pt>
                <c:pt idx="119">
                  <c:v>2315.8778859227641</c:v>
                </c:pt>
                <c:pt idx="120">
                  <c:v>1901.2766467430658</c:v>
                </c:pt>
                <c:pt idx="121">
                  <c:v>1552.9906853687737</c:v>
                </c:pt>
                <c:pt idx="122">
                  <c:v>1262.0532678137283</c:v>
                </c:pt>
                <c:pt idx="123">
                  <c:v>1020.3839999779451</c:v>
                </c:pt>
                <c:pt idx="124">
                  <c:v>820.76516827600653</c:v>
                </c:pt>
                <c:pt idx="125">
                  <c:v>656.80444368468932</c:v>
                </c:pt>
                <c:pt idx="126">
                  <c:v>522.88723622327268</c:v>
                </c:pt>
                <c:pt idx="127">
                  <c:v>414.12173234515745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3003-419C-A35B-51E0E111B9A1}"/>
            </c:ext>
          </c:extLst>
        </c:ser>
        <c:ser>
          <c:idx val="50"/>
          <c:order val="50"/>
          <c:spPr>
            <a:solidFill>
              <a:schemeClr val="accent3">
                <a:lumMod val="50000"/>
                <a:lumOff val="5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output'!$BD$3:$BD$130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194816.23543398571</c:v>
                </c:pt>
                <c:pt idx="51">
                  <c:v>194743.59110093306</c:v>
                </c:pt>
                <c:pt idx="52">
                  <c:v>194653.13653839953</c:v>
                </c:pt>
                <c:pt idx="53">
                  <c:v>194541.13668606721</c:v>
                </c:pt>
                <c:pt idx="54">
                  <c:v>194403.23719656325</c:v>
                </c:pt>
                <c:pt idx="55">
                  <c:v>194234.40078899136</c:v>
                </c:pt>
                <c:pt idx="56">
                  <c:v>194028.84591289371</c:v>
                </c:pt>
                <c:pt idx="57">
                  <c:v>193779.99015122504</c:v>
                </c:pt>
                <c:pt idx="58">
                  <c:v>193480.40115800322</c:v>
                </c:pt>
                <c:pt idx="59">
                  <c:v>193121.75825329099</c:v>
                </c:pt>
                <c:pt idx="60">
                  <c:v>192694.82806026808</c:v>
                </c:pt>
                <c:pt idx="61">
                  <c:v>192189.45773986913</c:v>
                </c:pt>
                <c:pt idx="62">
                  <c:v>191594.589430872</c:v>
                </c:pt>
                <c:pt idx="63">
                  <c:v>190898.29941163497</c:v>
                </c:pt>
                <c:pt idx="64">
                  <c:v>190087.86524104499</c:v>
                </c:pt>
                <c:pt idx="65">
                  <c:v>189149.86369266978</c:v>
                </c:pt>
                <c:pt idx="66">
                  <c:v>188070.30165647788</c:v>
                </c:pt>
                <c:pt idx="67">
                  <c:v>186834.78134441344</c:v>
                </c:pt>
                <c:pt idx="68">
                  <c:v>185428.70010756055</c:v>
                </c:pt>
                <c:pt idx="69">
                  <c:v>183837.48397314778</c:v>
                </c:pt>
                <c:pt idx="70">
                  <c:v>182046.85267099121</c:v>
                </c:pt>
                <c:pt idx="71">
                  <c:v>180043.11248506329</c:v>
                </c:pt>
                <c:pt idx="72">
                  <c:v>177813.47179189679</c:v>
                </c:pt>
                <c:pt idx="73">
                  <c:v>175346.37269823288</c:v>
                </c:pt>
                <c:pt idx="74">
                  <c:v>172631.83083740642</c:v>
                </c:pt>
                <c:pt idx="75">
                  <c:v>169661.77420274282</c:v>
                </c:pt>
                <c:pt idx="76">
                  <c:v>166430.37096161072</c:v>
                </c:pt>
                <c:pt idx="77">
                  <c:v>162934.33557577751</c:v>
                </c:pt>
                <c:pt idx="78">
                  <c:v>159173.20231291294</c:v>
                </c:pt>
                <c:pt idx="79">
                  <c:v>155149.55541708853</c:v>
                </c:pt>
                <c:pt idx="80">
                  <c:v>150869.205841552</c:v>
                </c:pt>
                <c:pt idx="81">
                  <c:v>146341.30554233334</c:v>
                </c:pt>
                <c:pt idx="82">
                  <c:v>141578.39187038995</c:v>
                </c:pt>
                <c:pt idx="83">
                  <c:v>136596.35654285111</c:v>
                </c:pt>
                <c:pt idx="84">
                  <c:v>131414.33595669991</c:v>
                </c:pt>
                <c:pt idx="85">
                  <c:v>126054.52214575962</c:v>
                </c:pt>
                <c:pt idx="86">
                  <c:v>120541.89637115232</c:v>
                </c:pt>
                <c:pt idx="87">
                  <c:v>114903.89006071139</c:v>
                </c:pt>
                <c:pt idx="88">
                  <c:v>109169.98045154959</c:v>
                </c:pt>
                <c:pt idx="89">
                  <c:v>103371.23071942128</c:v>
                </c:pt>
                <c:pt idx="90">
                  <c:v>97539.786482771568</c:v>
                </c:pt>
                <c:pt idx="91">
                  <c:v>91708.342246121858</c:v>
                </c:pt>
                <c:pt idx="92">
                  <c:v>85909.592513993543</c:v>
                </c:pt>
                <c:pt idx="93">
                  <c:v>80175.682904831745</c:v>
                </c:pt>
                <c:pt idx="94">
                  <c:v>74537.67659439081</c:v>
                </c:pt>
                <c:pt idx="95">
                  <c:v>69025.050819783515</c:v>
                </c:pt>
                <c:pt idx="96">
                  <c:v>63665.237008843207</c:v>
                </c:pt>
                <c:pt idx="97">
                  <c:v>58483.216422692036</c:v>
                </c:pt>
                <c:pt idx="98">
                  <c:v>53501.181095153166</c:v>
                </c:pt>
                <c:pt idx="99">
                  <c:v>48738.267423209807</c:v>
                </c:pt>
                <c:pt idx="100">
                  <c:v>44210.367123991127</c:v>
                </c:pt>
                <c:pt idx="101">
                  <c:v>39930.017548454598</c:v>
                </c:pt>
                <c:pt idx="102">
                  <c:v>35906.37065263019</c:v>
                </c:pt>
                <c:pt idx="103">
                  <c:v>32145.237389765633</c:v>
                </c:pt>
                <c:pt idx="104">
                  <c:v>28649.202003932398</c:v>
                </c:pt>
                <c:pt idx="105">
                  <c:v>25417.79876280031</c:v>
                </c:pt>
                <c:pt idx="106">
                  <c:v>22447.742128136713</c:v>
                </c:pt>
                <c:pt idx="107">
                  <c:v>19733.200267310265</c:v>
                </c:pt>
                <c:pt idx="108">
                  <c:v>17266.101173646344</c:v>
                </c:pt>
                <c:pt idx="109">
                  <c:v>15036.460480479849</c:v>
                </c:pt>
                <c:pt idx="110">
                  <c:v>13032.720294551928</c:v>
                </c:pt>
                <c:pt idx="111">
                  <c:v>11242.08899239536</c:v>
                </c:pt>
                <c:pt idx="112">
                  <c:v>9650.8728579825893</c:v>
                </c:pt>
                <c:pt idx="113">
                  <c:v>8244.7916211297033</c:v>
                </c:pt>
                <c:pt idx="114">
                  <c:v>7009.2713090652514</c:v>
                </c:pt>
                <c:pt idx="115">
                  <c:v>5929.7092728733551</c:v>
                </c:pt>
                <c:pt idx="116">
                  <c:v>4991.707724498151</c:v>
                </c:pt>
                <c:pt idx="117">
                  <c:v>4181.2735539081623</c:v>
                </c:pt>
                <c:pt idx="118">
                  <c:v>3484.9835346711229</c:v>
                </c:pt>
                <c:pt idx="119">
                  <c:v>2890.1152256740038</c:v>
                </c:pt>
                <c:pt idx="120">
                  <c:v>2384.744905275074</c:v>
                </c:pt>
                <c:pt idx="121">
                  <c:v>1957.8147122521536</c:v>
                </c:pt>
                <c:pt idx="122">
                  <c:v>1599.1718075399167</c:v>
                </c:pt>
                <c:pt idx="123">
                  <c:v>1299.5828143180954</c:v>
                </c:pt>
                <c:pt idx="124">
                  <c:v>1050.7270526494242</c:v>
                </c:pt>
                <c:pt idx="125">
                  <c:v>845.17217655176614</c:v>
                </c:pt>
                <c:pt idx="126">
                  <c:v>676.33576897988883</c:v>
                </c:pt>
                <c:pt idx="127">
                  <c:v>538.43627947592063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3003-419C-A35B-51E0E111B9A1}"/>
            </c:ext>
          </c:extLst>
        </c:ser>
        <c:ser>
          <c:idx val="51"/>
          <c:order val="51"/>
          <c:spPr>
            <a:solidFill>
              <a:schemeClr val="accent4">
                <a:lumMod val="50000"/>
                <a:lumOff val="5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output'!$BE$3:$BE$130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200227.76954103899</c:v>
                </c:pt>
                <c:pt idx="52">
                  <c:v>200153.10732028246</c:v>
                </c:pt>
                <c:pt idx="53">
                  <c:v>200060.14014400708</c:v>
                </c:pt>
                <c:pt idx="54">
                  <c:v>199945.02920075602</c:v>
                </c:pt>
                <c:pt idx="55">
                  <c:v>199803.29918968832</c:v>
                </c:pt>
                <c:pt idx="56">
                  <c:v>199629.77290616205</c:v>
                </c:pt>
                <c:pt idx="57">
                  <c:v>199418.5082019261</c:v>
                </c:pt>
                <c:pt idx="58">
                  <c:v>199162.73981596302</c:v>
                </c:pt>
                <c:pt idx="59">
                  <c:v>198854.82894930337</c:v>
                </c:pt>
                <c:pt idx="60">
                  <c:v>198486.223793207</c:v>
                </c:pt>
                <c:pt idx="61">
                  <c:v>198047.43448949073</c:v>
                </c:pt>
                <c:pt idx="62">
                  <c:v>197528.02617724045</c:v>
                </c:pt>
                <c:pt idx="63">
                  <c:v>196916.63383401092</c:v>
                </c:pt>
                <c:pt idx="64">
                  <c:v>196201.00252538334</c:v>
                </c:pt>
                <c:pt idx="65">
                  <c:v>195368.05641093047</c:v>
                </c:pt>
                <c:pt idx="66">
                  <c:v>194403.99939874758</c:v>
                </c:pt>
                <c:pt idx="67">
                  <c:v>193294.44968331262</c:v>
                </c:pt>
                <c:pt idx="68">
                  <c:v>192024.60954008112</c:v>
                </c:pt>
                <c:pt idx="69">
                  <c:v>190579.47069309853</c:v>
                </c:pt>
                <c:pt idx="70">
                  <c:v>188944.05433911021</c:v>
                </c:pt>
                <c:pt idx="71">
                  <c:v>187103.68353581199</c:v>
                </c:pt>
                <c:pt idx="72">
                  <c:v>185044.28418814292</c:v>
                </c:pt>
                <c:pt idx="73">
                  <c:v>182752.70935159939</c:v>
                </c:pt>
                <c:pt idx="74">
                  <c:v>180217.08008199246</c:v>
                </c:pt>
                <c:pt idx="75">
                  <c:v>177427.13467057302</c:v>
                </c:pt>
                <c:pt idx="76">
                  <c:v>174374.57688941841</c:v>
                </c:pt>
                <c:pt idx="77">
                  <c:v>171053.41291138434</c:v>
                </c:pt>
                <c:pt idx="78">
                  <c:v>167460.26593375919</c:v>
                </c:pt>
                <c:pt idx="79">
                  <c:v>163594.65728727056</c:v>
                </c:pt>
                <c:pt idx="80">
                  <c:v>159459.24300017618</c:v>
                </c:pt>
                <c:pt idx="81">
                  <c:v>155059.99544025696</c:v>
                </c:pt>
                <c:pt idx="82">
                  <c:v>150406.32078322885</c:v>
                </c:pt>
                <c:pt idx="83">
                  <c:v>145511.10463799699</c:v>
                </c:pt>
                <c:pt idx="84">
                  <c:v>140390.68015599437</c:v>
                </c:pt>
                <c:pt idx="85">
                  <c:v>135064.7152980378</c:v>
                </c:pt>
                <c:pt idx="86">
                  <c:v>129556.01854014627</c:v>
                </c:pt>
                <c:pt idx="87">
                  <c:v>123890.26506377298</c:v>
                </c:pt>
                <c:pt idx="88">
                  <c:v>118095.64827691684</c:v>
                </c:pt>
                <c:pt idx="89">
                  <c:v>112202.4642245978</c:v>
                </c:pt>
                <c:pt idx="90">
                  <c:v>106242.63894410066</c:v>
                </c:pt>
                <c:pt idx="91">
                  <c:v>100249.21098309805</c:v>
                </c:pt>
                <c:pt idx="92">
                  <c:v>94255.783022095435</c:v>
                </c:pt>
                <c:pt idx="93">
                  <c:v>88295.957741598293</c:v>
                </c:pt>
                <c:pt idx="94">
                  <c:v>82402.77368927926</c:v>
                </c:pt>
                <c:pt idx="95">
                  <c:v>76608.156902423114</c:v>
                </c:pt>
                <c:pt idx="96">
                  <c:v>70942.40342604983</c:v>
                </c:pt>
                <c:pt idx="97">
                  <c:v>65433.70666815828</c:v>
                </c:pt>
                <c:pt idx="98">
                  <c:v>60107.74181020174</c:v>
                </c:pt>
                <c:pt idx="99">
                  <c:v>54987.317328199111</c:v>
                </c:pt>
                <c:pt idx="100">
                  <c:v>50092.101182967242</c:v>
                </c:pt>
                <c:pt idx="101">
                  <c:v>45438.426525939147</c:v>
                </c:pt>
                <c:pt idx="102">
                  <c:v>41039.178966019914</c:v>
                </c:pt>
                <c:pt idx="103">
                  <c:v>36903.764678925538</c:v>
                </c:pt>
                <c:pt idx="104">
                  <c:v>33038.156032436898</c:v>
                </c:pt>
                <c:pt idx="105">
                  <c:v>29445.009054811759</c:v>
                </c:pt>
                <c:pt idx="106">
                  <c:v>26123.845076777667</c:v>
                </c:pt>
                <c:pt idx="107">
                  <c:v>23071.287295623086</c:v>
                </c:pt>
                <c:pt idx="108">
                  <c:v>20281.341884203626</c:v>
                </c:pt>
                <c:pt idx="109">
                  <c:v>17745.712614596712</c:v>
                </c:pt>
                <c:pt idx="110">
                  <c:v>15454.137778053173</c:v>
                </c:pt>
                <c:pt idx="111">
                  <c:v>13394.738430384099</c:v>
                </c:pt>
                <c:pt idx="112">
                  <c:v>11554.367627085898</c:v>
                </c:pt>
                <c:pt idx="113">
                  <c:v>9918.9512730975584</c:v>
                </c:pt>
                <c:pt idx="114">
                  <c:v>8473.8124261149678</c:v>
                </c:pt>
                <c:pt idx="115">
                  <c:v>7203.9722828834711</c:v>
                </c:pt>
                <c:pt idx="116">
                  <c:v>6094.4225674485278</c:v>
                </c:pt>
                <c:pt idx="117">
                  <c:v>5130.3655552656301</c:v>
                </c:pt>
                <c:pt idx="118">
                  <c:v>4297.4194408127532</c:v>
                </c:pt>
                <c:pt idx="119">
                  <c:v>3581.7881321851855</c:v>
                </c:pt>
                <c:pt idx="120">
                  <c:v>2970.3957889556432</c:v>
                </c:pt>
                <c:pt idx="121">
                  <c:v>2450.987476705372</c:v>
                </c:pt>
                <c:pt idx="122">
                  <c:v>2012.1981729890967</c:v>
                </c:pt>
                <c:pt idx="123">
                  <c:v>1643.5930168927314</c:v>
                </c:pt>
                <c:pt idx="124">
                  <c:v>1335.6821502330722</c:v>
                </c:pt>
                <c:pt idx="125">
                  <c:v>1079.9137642699898</c:v>
                </c:pt>
                <c:pt idx="126">
                  <c:v>868.64906003405758</c:v>
                </c:pt>
                <c:pt idx="127">
                  <c:v>695.12277650778549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3003-419C-A35B-51E0E111B9A1}"/>
            </c:ext>
          </c:extLst>
        </c:ser>
        <c:ser>
          <c:idx val="52"/>
          <c:order val="52"/>
          <c:spPr>
            <a:solidFill>
              <a:schemeClr val="accent5">
                <a:lumMod val="50000"/>
                <a:lumOff val="5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output'!$BF$3:$BF$130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204663.93746789207</c:v>
                </c:pt>
                <c:pt idx="53">
                  <c:v>204587.62106025714</c:v>
                </c:pt>
                <c:pt idx="54">
                  <c:v>204492.59413968859</c:v>
                </c:pt>
                <c:pt idx="55">
                  <c:v>204374.93284352869</c:v>
                </c:pt>
                <c:pt idx="56">
                  <c:v>204230.06271792637</c:v>
                </c:pt>
                <c:pt idx="57">
                  <c:v>204052.69185412431</c:v>
                </c:pt>
                <c:pt idx="58">
                  <c:v>203836.74645196542</c:v>
                </c:pt>
                <c:pt idx="59">
                  <c:v>203575.31136196267</c:v>
                </c:pt>
                <c:pt idx="60">
                  <c:v>203260.57854291279</c:v>
                </c:pt>
                <c:pt idx="61">
                  <c:v>202883.80671555552</c:v>
                </c:pt>
                <c:pt idx="62">
                  <c:v>202435.29576813191</c:v>
                </c:pt>
                <c:pt idx="63">
                  <c:v>201904.37964904233</c:v>
                </c:pt>
                <c:pt idx="64">
                  <c:v>201279.44153686188</c:v>
                </c:pt>
                <c:pt idx="65">
                  <c:v>200547.95498165156</c:v>
                </c:pt>
                <c:pt idx="66">
                  <c:v>199696.55443979232</c:v>
                </c:pt>
                <c:pt idx="67">
                  <c:v>198711.13815857843</c:v>
                </c:pt>
                <c:pt idx="68">
                  <c:v>197577.00569484566</c:v>
                </c:pt>
                <c:pt idx="69">
                  <c:v>196279.0314714686</c:v>
                </c:pt>
                <c:pt idx="70">
                  <c:v>194801.87469501735</c:v>
                </c:pt>
                <c:pt idx="71">
                  <c:v>193130.22469774744</c:v>
                </c:pt>
                <c:pt idx="72">
                  <c:v>191249.0793607778</c:v>
                </c:pt>
                <c:pt idx="73">
                  <c:v>189144.05276891752</c:v>
                </c:pt>
                <c:pt idx="74">
                  <c:v>186801.70669911717</c:v>
                </c:pt>
                <c:pt idx="75">
                  <c:v>184209.89902195969</c:v>
                </c:pt>
                <c:pt idx="76">
                  <c:v>181358.14067430174</c:v>
                </c:pt>
                <c:pt idx="77">
                  <c:v>178237.95162024899</c:v>
                </c:pt>
                <c:pt idx="78">
                  <c:v>174843.20523577376</c:v>
                </c:pt>
                <c:pt idx="79">
                  <c:v>171170.44990304808</c:v>
                </c:pt>
                <c:pt idx="80">
                  <c:v>167219.19634759089</c:v>
                </c:pt>
                <c:pt idx="81">
                  <c:v>162992.15944358023</c:v>
                </c:pt>
                <c:pt idx="82">
                  <c:v>158495.44388023502</c:v>
                </c:pt>
                <c:pt idx="83">
                  <c:v>153738.66423281105</c:v>
                </c:pt>
                <c:pt idx="84">
                  <c:v>148734.99159871018</c:v>
                </c:pt>
                <c:pt idx="85">
                  <c:v>143501.12100026227</c:v>
                </c:pt>
                <c:pt idx="86">
                  <c:v>138057.15615390966</c:v>
                </c:pt>
                <c:pt idx="87">
                  <c:v>132426.41087131979</c:v>
                </c:pt>
                <c:pt idx="88">
                  <c:v>126635.12918319569</c:v>
                </c:pt>
                <c:pt idx="89">
                  <c:v>120712.12913962557</c:v>
                </c:pt>
                <c:pt idx="90">
                  <c:v>114688.37801291986</c:v>
                </c:pt>
                <c:pt idx="91">
                  <c:v>108596.50918112315</c:v>
                </c:pt>
                <c:pt idx="92">
                  <c:v>102470.29318101164</c:v>
                </c:pt>
                <c:pt idx="93">
                  <c:v>96344.077180900131</c:v>
                </c:pt>
                <c:pt idx="94">
                  <c:v>90252.208349103428</c:v>
                </c:pt>
                <c:pt idx="95">
                  <c:v>84228.457222397716</c:v>
                </c:pt>
                <c:pt idx="96">
                  <c:v>78305.457178827593</c:v>
                </c:pt>
                <c:pt idx="97">
                  <c:v>72514.175490703492</c:v>
                </c:pt>
                <c:pt idx="98">
                  <c:v>66883.430208113612</c:v>
                </c:pt>
                <c:pt idx="99">
                  <c:v>61439.465361761002</c:v>
                </c:pt>
                <c:pt idx="100">
                  <c:v>56205.594763313093</c:v>
                </c:pt>
                <c:pt idx="101">
                  <c:v>51201.922129212231</c:v>
                </c:pt>
                <c:pt idx="102">
                  <c:v>46445.142481788251</c:v>
                </c:pt>
                <c:pt idx="103">
                  <c:v>41948.426918443052</c:v>
                </c:pt>
                <c:pt idx="104">
                  <c:v>37721.3900144324</c:v>
                </c:pt>
                <c:pt idx="105">
                  <c:v>33770.136458975212</c:v>
                </c:pt>
                <c:pt idx="106">
                  <c:v>30097.381126249544</c:v>
                </c:pt>
                <c:pt idx="107">
                  <c:v>26702.634741774295</c:v>
                </c:pt>
                <c:pt idx="108">
                  <c:v>23582.445687721534</c:v>
                </c:pt>
                <c:pt idx="109">
                  <c:v>20730.68734006361</c:v>
                </c:pt>
                <c:pt idx="110">
                  <c:v>18138.879662906114</c:v>
                </c:pt>
                <c:pt idx="111">
                  <c:v>15796.533593105773</c:v>
                </c:pt>
                <c:pt idx="112">
                  <c:v>13691.507001245482</c:v>
                </c:pt>
                <c:pt idx="113">
                  <c:v>11810.361664275841</c:v>
                </c:pt>
                <c:pt idx="114">
                  <c:v>10138.711667005933</c:v>
                </c:pt>
                <c:pt idx="115">
                  <c:v>8661.5548905546748</c:v>
                </c:pt>
                <c:pt idx="116">
                  <c:v>7363.580667177619</c:v>
                </c:pt>
                <c:pt idx="117">
                  <c:v>6229.4482034448547</c:v>
                </c:pt>
                <c:pt idx="118">
                  <c:v>5244.0319222309599</c:v>
                </c:pt>
                <c:pt idx="119">
                  <c:v>4392.6313803717212</c:v>
                </c:pt>
                <c:pt idx="120">
                  <c:v>3661.1448251614124</c:v>
                </c:pt>
                <c:pt idx="121">
                  <c:v>3036.2067129809625</c:v>
                </c:pt>
                <c:pt idx="122">
                  <c:v>2505.2905938913746</c:v>
                </c:pt>
                <c:pt idx="123">
                  <c:v>2056.7796464677645</c:v>
                </c:pt>
                <c:pt idx="124">
                  <c:v>1680.0078191104867</c:v>
                </c:pt>
                <c:pt idx="125">
                  <c:v>1365.2750000606266</c:v>
                </c:pt>
                <c:pt idx="126">
                  <c:v>1103.8399100578736</c:v>
                </c:pt>
                <c:pt idx="127">
                  <c:v>887.89450789899195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3003-419C-A35B-51E0E111B9A1}"/>
            </c:ext>
          </c:extLst>
        </c:ser>
        <c:ser>
          <c:idx val="53"/>
          <c:order val="53"/>
          <c:spPr>
            <a:solidFill>
              <a:schemeClr val="accent6">
                <a:lumMod val="50000"/>
                <a:lumOff val="5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output'!$BG$3:$BG$130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209088.746749048</c:v>
                </c:pt>
                <c:pt idx="54">
                  <c:v>209010.78039001967</c:v>
                </c:pt>
                <c:pt idx="55">
                  <c:v>208913.69899905787</c:v>
                </c:pt>
                <c:pt idx="56">
                  <c:v>208793.49388007447</c:v>
                </c:pt>
                <c:pt idx="57">
                  <c:v>208645.49168008592</c:v>
                </c:pt>
                <c:pt idx="58">
                  <c:v>208464.28607991521</c:v>
                </c:pt>
                <c:pt idx="59">
                  <c:v>208243.67196458919</c:v>
                </c:pt>
                <c:pt idx="60">
                  <c:v>207976.58467993516</c:v>
                </c:pt>
                <c:pt idx="61">
                  <c:v>207655.04737585463</c:v>
                </c:pt>
                <c:pt idx="62">
                  <c:v>207270.12978769946</c:v>
                </c:pt>
                <c:pt idx="63">
                  <c:v>206811.9220884816</c:v>
                </c:pt>
                <c:pt idx="64">
                  <c:v>206269.52762787114</c:v>
                </c:pt>
                <c:pt idx="65">
                  <c:v>205631.07843018565</c:v>
                </c:pt>
                <c:pt idx="66">
                  <c:v>204883.77722517148</c:v>
                </c:pt>
                <c:pt idx="67">
                  <c:v>204013.96950779218</c:v>
                </c:pt>
                <c:pt idx="68">
                  <c:v>203007.2486471743</c:v>
                </c:pt>
                <c:pt idx="69">
                  <c:v>201848.59637837147</c:v>
                </c:pt>
                <c:pt idx="70">
                  <c:v>200522.5601111319</c:v>
                </c:pt>
                <c:pt idx="71">
                  <c:v>199013.46738594913</c:v>
                </c:pt>
                <c:pt idx="72">
                  <c:v>197305.67652031581</c:v>
                </c:pt>
                <c:pt idx="73">
                  <c:v>195383.86105137662</c:v>
                </c:pt>
                <c:pt idx="74">
                  <c:v>193233.32404221475</c:v>
                </c:pt>
                <c:pt idx="75">
                  <c:v>190840.33673704311</c:v>
                </c:pt>
                <c:pt idx="76">
                  <c:v>188192.49449509251</c:v>
                </c:pt>
                <c:pt idx="77">
                  <c:v>185279.08148095818</c:v>
                </c:pt>
                <c:pt idx="78">
                  <c:v>182091.43432140746</c:v>
                </c:pt>
                <c:pt idx="79">
                  <c:v>178623.29393555105</c:v>
                </c:pt>
                <c:pt idx="80">
                  <c:v>174871.13408200591</c:v>
                </c:pt>
                <c:pt idx="81">
                  <c:v>170834.4549082366</c:v>
                </c:pt>
                <c:pt idx="82">
                  <c:v>166516.02998366865</c:v>
                </c:pt>
                <c:pt idx="83">
                  <c:v>161922.09598015479</c:v>
                </c:pt>
                <c:pt idx="84">
                  <c:v>157062.47533889115</c:v>
                </c:pt>
                <c:pt idx="85">
                  <c:v>151950.6239147936</c:v>
                </c:pt>
                <c:pt idx="86">
                  <c:v>146603.59767453157</c:v>
                </c:pt>
                <c:pt idx="87">
                  <c:v>141041.93497443662</c:v>
                </c:pt>
                <c:pt idx="88">
                  <c:v>135289.45366793126</c:v>
                </c:pt>
                <c:pt idx="89">
                  <c:v>129372.96517845055</c:v>
                </c:pt>
                <c:pt idx="90">
                  <c:v>123321.91059879887</c:v>
                </c:pt>
                <c:pt idx="91">
                  <c:v>117167.9267099242</c:v>
                </c:pt>
                <c:pt idx="92">
                  <c:v>110944.35241951075</c:v>
                </c:pt>
                <c:pt idx="93">
                  <c:v>104685.68837920694</c:v>
                </c:pt>
                <c:pt idx="94">
                  <c:v>98427.024338903138</c:v>
                </c:pt>
                <c:pt idx="95">
                  <c:v>92203.450048489685</c:v>
                </c:pt>
                <c:pt idx="96">
                  <c:v>86049.466159615011</c:v>
                </c:pt>
                <c:pt idx="97">
                  <c:v>79998.411579963329</c:v>
                </c:pt>
                <c:pt idx="98">
                  <c:v>74081.923090482625</c:v>
                </c:pt>
                <c:pt idx="99">
                  <c:v>68329.44178397728</c:v>
                </c:pt>
                <c:pt idx="100">
                  <c:v>62767.77908388232</c:v>
                </c:pt>
                <c:pt idx="101">
                  <c:v>57420.752843620292</c:v>
                </c:pt>
                <c:pt idx="102">
                  <c:v>52308.901419522743</c:v>
                </c:pt>
                <c:pt idx="103">
                  <c:v>47449.280778259112</c:v>
                </c:pt>
                <c:pt idx="104">
                  <c:v>42855.346774745231</c:v>
                </c:pt>
                <c:pt idx="105">
                  <c:v>38536.921850177278</c:v>
                </c:pt>
                <c:pt idx="106">
                  <c:v>34500.242676407965</c:v>
                </c:pt>
                <c:pt idx="107">
                  <c:v>30748.082822862849</c:v>
                </c:pt>
                <c:pt idx="108">
                  <c:v>27279.942437006419</c:v>
                </c:pt>
                <c:pt idx="109">
                  <c:v>24092.295277455709</c:v>
                </c:pt>
                <c:pt idx="110">
                  <c:v>21178.882263321382</c:v>
                </c:pt>
                <c:pt idx="111">
                  <c:v>18531.04002137078</c:v>
                </c:pt>
                <c:pt idx="112">
                  <c:v>16138.052716199119</c:v>
                </c:pt>
                <c:pt idx="113">
                  <c:v>13987.515707037272</c:v>
                </c:pt>
                <c:pt idx="114">
                  <c:v>12065.700238098083</c:v>
                </c:pt>
                <c:pt idx="115">
                  <c:v>10357.909372464766</c:v>
                </c:pt>
                <c:pt idx="116">
                  <c:v>8848.8166472819958</c:v>
                </c:pt>
                <c:pt idx="117">
                  <c:v>7522.7803800424199</c:v>
                </c:pt>
                <c:pt idx="118">
                  <c:v>6364.12811123959</c:v>
                </c:pt>
                <c:pt idx="119">
                  <c:v>5357.4072506217071</c:v>
                </c:pt>
                <c:pt idx="120">
                  <c:v>4487.599533242399</c:v>
                </c:pt>
                <c:pt idx="121">
                  <c:v>3740.298328228223</c:v>
                </c:pt>
                <c:pt idx="122">
                  <c:v>3101.849130542746</c:v>
                </c:pt>
                <c:pt idx="123">
                  <c:v>2559.4546699322859</c:v>
                </c:pt>
                <c:pt idx="124">
                  <c:v>2101.246970714426</c:v>
                </c:pt>
                <c:pt idx="125">
                  <c:v>1716.3293825592543</c:v>
                </c:pt>
                <c:pt idx="126">
                  <c:v>1394.7920784787341</c:v>
                </c:pt>
                <c:pt idx="127">
                  <c:v>1127.7047938247106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3003-419C-A35B-51E0E111B9A1}"/>
            </c:ext>
          </c:extLst>
        </c:ser>
        <c:ser>
          <c:idx val="54"/>
          <c:order val="54"/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output'!$BH$3:$BH$130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213445.32284900881</c:v>
                </c:pt>
                <c:pt idx="55">
                  <c:v>213365.73198181528</c:v>
                </c:pt>
                <c:pt idx="56">
                  <c:v>213266.62780161115</c:v>
                </c:pt>
                <c:pt idx="57">
                  <c:v>213143.9180870596</c:v>
                </c:pt>
                <c:pt idx="58">
                  <c:v>212992.83211112788</c:v>
                </c:pt>
                <c:pt idx="59">
                  <c:v>212807.85090849575</c:v>
                </c:pt>
                <c:pt idx="60">
                  <c:v>212582.64007432622</c:v>
                </c:pt>
                <c:pt idx="61">
                  <c:v>212309.98775521186</c:v>
                </c:pt>
                <c:pt idx="62">
                  <c:v>211981.75089529209</c:v>
                </c:pt>
                <c:pt idx="63">
                  <c:v>211588.81315879759</c:v>
                </c:pt>
                <c:pt idx="64">
                  <c:v>211121.05823744432</c:v>
                </c:pt>
                <c:pt idx="65">
                  <c:v>210567.36243814114</c:v>
                </c:pt>
                <c:pt idx="66">
                  <c:v>209915.61050389559</c:v>
                </c:pt>
                <c:pt idx="67">
                  <c:v>209152.73852034906</c:v>
                </c:pt>
                <c:pt idx="68">
                  <c:v>208264.80747700404</c:v>
                </c:pt>
                <c:pt idx="69">
                  <c:v>207237.11056622138</c:v>
                </c:pt>
                <c:pt idx="70">
                  <c:v>206054.31660227274</c:v>
                </c:pt>
                <c:pt idx="71">
                  <c:v>204700.65102451618</c:v>
                </c:pt>
                <c:pt idx="72">
                  <c:v>203160.11482185614</c:v>
                </c:pt>
                <c:pt idx="73">
                  <c:v>201416.74040146614</c:v>
                </c:pt>
                <c:pt idx="74">
                  <c:v>199454.88195809294</c:v>
                </c:pt>
                <c:pt idx="75">
                  <c:v>197259.53632923315</c:v>
                </c:pt>
                <c:pt idx="76">
                  <c:v>194816.68870654888</c:v>
                </c:pt>
                <c:pt idx="77">
                  <c:v>192113.67598599958</c:v>
                </c:pt>
                <c:pt idx="78">
                  <c:v>189139.55905688158</c:v>
                </c:pt>
                <c:pt idx="79">
                  <c:v>185885.49403579443</c:v>
                </c:pt>
                <c:pt idx="80">
                  <c:v>182345.09142755039</c:v>
                </c:pt>
                <c:pt idx="81">
                  <c:v>178514.75151795085</c:v>
                </c:pt>
                <c:pt idx="82">
                  <c:v>174393.96403952583</c:v>
                </c:pt>
                <c:pt idx="83">
                  <c:v>169985.5603518328</c:v>
                </c:pt>
                <c:pt idx="84">
                  <c:v>165295.90707410793</c:v>
                </c:pt>
                <c:pt idx="85">
                  <c:v>160335.03130807178</c:v>
                </c:pt>
                <c:pt idx="86">
                  <c:v>155116.6692750245</c:v>
                </c:pt>
                <c:pt idx="87">
                  <c:v>149658.2323199996</c:v>
                </c:pt>
                <c:pt idx="88">
                  <c:v>143980.68673681311</c:v>
                </c:pt>
                <c:pt idx="89">
                  <c:v>138108.34664802009</c:v>
                </c:pt>
                <c:pt idx="90">
                  <c:v>132068.58212025551</c:v>
                </c:pt>
                <c:pt idx="91">
                  <c:v>125891.44768135196</c:v>
                </c:pt>
                <c:pt idx="92">
                  <c:v>119609.23929667506</c:v>
                </c:pt>
                <c:pt idx="93">
                  <c:v>113255.99052386353</c:v>
                </c:pt>
                <c:pt idx="94">
                  <c:v>106866.92087063404</c:v>
                </c:pt>
                <c:pt idx="95">
                  <c:v>100477.85121740456</c:v>
                </c:pt>
                <c:pt idx="96">
                  <c:v>94124.602444593023</c:v>
                </c:pt>
                <c:pt idx="97">
                  <c:v>87842.394059916129</c:v>
                </c:pt>
                <c:pt idx="98">
                  <c:v>81665.259621012592</c:v>
                </c:pt>
                <c:pt idx="99">
                  <c:v>75625.495093247999</c:v>
                </c:pt>
                <c:pt idx="100">
                  <c:v>69753.155004454995</c:v>
                </c:pt>
                <c:pt idx="101">
                  <c:v>64075.609421268498</c:v>
                </c:pt>
                <c:pt idx="102">
                  <c:v>58617.172466243581</c:v>
                </c:pt>
                <c:pt idx="103">
                  <c:v>53398.810433196311</c:v>
                </c:pt>
                <c:pt idx="104">
                  <c:v>48437.93466716016</c:v>
                </c:pt>
                <c:pt idx="105">
                  <c:v>43748.28138943528</c:v>
                </c:pt>
                <c:pt idx="106">
                  <c:v>39339.877701742269</c:v>
                </c:pt>
                <c:pt idx="107">
                  <c:v>35219.090223317231</c:v>
                </c:pt>
                <c:pt idx="108">
                  <c:v>31388.750313717705</c:v>
                </c:pt>
                <c:pt idx="109">
                  <c:v>27848.347705473643</c:v>
                </c:pt>
                <c:pt idx="110">
                  <c:v>24594.282684386493</c:v>
                </c:pt>
                <c:pt idx="111">
                  <c:v>21620.165755268514</c:v>
                </c:pt>
                <c:pt idx="112">
                  <c:v>18917.153034719206</c:v>
                </c:pt>
                <c:pt idx="113">
                  <c:v>16474.305412034941</c:v>
                </c:pt>
                <c:pt idx="114">
                  <c:v>14278.959783175158</c:v>
                </c:pt>
                <c:pt idx="115">
                  <c:v>12317.10133980194</c:v>
                </c:pt>
                <c:pt idx="116">
                  <c:v>10573.726919411947</c:v>
                </c:pt>
                <c:pt idx="117">
                  <c:v>9033.1907167518984</c:v>
                </c:pt>
                <c:pt idx="118">
                  <c:v>7679.5251389953364</c:v>
                </c:pt>
                <c:pt idx="119">
                  <c:v>6496.7311750467106</c:v>
                </c:pt>
                <c:pt idx="120">
                  <c:v>5469.0342642640444</c:v>
                </c:pt>
                <c:pt idx="121">
                  <c:v>4581.1032209190198</c:v>
                </c:pt>
                <c:pt idx="122">
                  <c:v>3818.2312373724908</c:v>
                </c:pt>
                <c:pt idx="123">
                  <c:v>3166.4793031269542</c:v>
                </c:pt>
                <c:pt idx="124">
                  <c:v>2612.7835038237772</c:v>
                </c:pt>
                <c:pt idx="125">
                  <c:v>2145.0285824704933</c:v>
                </c:pt>
                <c:pt idx="126">
                  <c:v>1752.0908459759944</c:v>
                </c:pt>
                <c:pt idx="127">
                  <c:v>1423.8539860562291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3003-419C-A35B-51E0E111B9A1}"/>
            </c:ext>
          </c:extLst>
        </c:ser>
        <c:ser>
          <c:idx val="55"/>
          <c:order val="55"/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output'!$BI$3:$BI$130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218300.89987185903</c:v>
                </c:pt>
                <c:pt idx="56">
                  <c:v>218219.49842582113</c:v>
                </c:pt>
                <c:pt idx="57">
                  <c:v>218118.13976670016</c:v>
                </c:pt>
                <c:pt idx="58">
                  <c:v>217992.63858095353</c:v>
                </c:pt>
                <c:pt idx="59">
                  <c:v>217838.11561430484</c:v>
                </c:pt>
                <c:pt idx="60">
                  <c:v>217648.92635283511</c:v>
                </c:pt>
                <c:pt idx="61">
                  <c:v>217418.59229302121</c:v>
                </c:pt>
                <c:pt idx="62">
                  <c:v>217139.73752206465</c:v>
                </c:pt>
                <c:pt idx="63">
                  <c:v>216804.03374118448</c:v>
                </c:pt>
                <c:pt idx="64">
                  <c:v>216402.15723095971</c:v>
                </c:pt>
                <c:pt idx="65">
                  <c:v>215923.76155150437</c:v>
                </c:pt>
                <c:pt idx="66">
                  <c:v>215357.46996155629</c:v>
                </c:pt>
                <c:pt idx="67">
                  <c:v>214690.89159928562</c:v>
                </c:pt>
                <c:pt idx="68">
                  <c:v>213910.6653648928</c:v>
                </c:pt>
                <c:pt idx="69">
                  <c:v>213002.53515524892</c:v>
                </c:pt>
                <c:pt idx="70">
                  <c:v>211951.45960379217</c:v>
                </c:pt>
                <c:pt idx="71">
                  <c:v>210741.75876215959</c:v>
                </c:pt>
                <c:pt idx="72">
                  <c:v>209357.29922092683</c:v>
                </c:pt>
                <c:pt idx="73">
                  <c:v>207781.71801428794</c:v>
                </c:pt>
                <c:pt idx="74">
                  <c:v>205998.68430942696</c:v>
                </c:pt>
                <c:pt idx="75">
                  <c:v>203992.19638130994</c:v>
                </c:pt>
                <c:pt idx="76">
                  <c:v>201746.9097668599</c:v>
                </c:pt>
                <c:pt idx="77">
                  <c:v>199248.49084081463</c:v>
                </c:pt>
                <c:pt idx="78">
                  <c:v>196483.98843155635</c:v>
                </c:pt>
                <c:pt idx="79">
                  <c:v>193442.21457919668</c:v>
                </c:pt>
                <c:pt idx="80">
                  <c:v>190114.12421458666</c:v>
                </c:pt>
                <c:pt idx="81">
                  <c:v>186493.18249062539</c:v>
                </c:pt>
                <c:pt idx="82">
                  <c:v>182575.70780474448</c:v>
                </c:pt>
                <c:pt idx="83">
                  <c:v>178361.17828161584</c:v>
                </c:pt>
                <c:pt idx="84">
                  <c:v>173852.48969019338</c:v>
                </c:pt>
                <c:pt idx="85">
                  <c:v>169056.15348123107</c:v>
                </c:pt>
                <c:pt idx="86">
                  <c:v>163982.42485872909</c:v>
                </c:pt>
                <c:pt idx="87">
                  <c:v>158645.35252345374</c:v>
                </c:pt>
                <c:pt idx="88">
                  <c:v>153062.74390373394</c:v>
                </c:pt>
                <c:pt idx="89">
                  <c:v>147256.04224670175</c:v>
                </c:pt>
                <c:pt idx="90">
                  <c:v>141250.11478656271</c:v>
                </c:pt>
                <c:pt idx="91">
                  <c:v>135072.95421997659</c:v>
                </c:pt>
                <c:pt idx="92">
                  <c:v>128755.2987724688</c:v>
                </c:pt>
                <c:pt idx="93">
                  <c:v>122330.17909660858</c:v>
                </c:pt>
                <c:pt idx="94">
                  <c:v>115832.40296498705</c:v>
                </c:pt>
                <c:pt idx="95">
                  <c:v>109297.99107894811</c:v>
                </c:pt>
                <c:pt idx="96">
                  <c:v>102763.57919290916</c:v>
                </c:pt>
                <c:pt idx="97">
                  <c:v>96265.803061287632</c:v>
                </c:pt>
                <c:pt idx="98">
                  <c:v>89840.683385427415</c:v>
                </c:pt>
                <c:pt idx="99">
                  <c:v>83523.027937919644</c:v>
                </c:pt>
                <c:pt idx="100">
                  <c:v>77345.867371333516</c:v>
                </c:pt>
                <c:pt idx="101">
                  <c:v>71339.939911194466</c:v>
                </c:pt>
                <c:pt idx="102">
                  <c:v>65533.238254162272</c:v>
                </c:pt>
                <c:pt idx="103">
                  <c:v>59950.629634442485</c:v>
                </c:pt>
                <c:pt idx="104">
                  <c:v>54613.557299167129</c:v>
                </c:pt>
                <c:pt idx="105">
                  <c:v>49539.828676665151</c:v>
                </c:pt>
                <c:pt idx="106">
                  <c:v>44743.492467702832</c:v>
                </c:pt>
                <c:pt idx="107">
                  <c:v>40234.803876280384</c:v>
                </c:pt>
                <c:pt idx="108">
                  <c:v>36020.274353151734</c:v>
                </c:pt>
                <c:pt idx="109">
                  <c:v>32102.799667270818</c:v>
                </c:pt>
                <c:pt idx="110">
                  <c:v>28481.857943309569</c:v>
                </c:pt>
                <c:pt idx="111">
                  <c:v>25153.767578699531</c:v>
                </c:pt>
                <c:pt idx="112">
                  <c:v>22111.993726339853</c:v>
                </c:pt>
                <c:pt idx="113">
                  <c:v>19347.491317081574</c:v>
                </c:pt>
                <c:pt idx="114">
                  <c:v>16849.072391036301</c:v>
                </c:pt>
                <c:pt idx="115">
                  <c:v>14603.785776586283</c:v>
                </c:pt>
                <c:pt idx="116">
                  <c:v>12597.297848469254</c:v>
                </c:pt>
                <c:pt idx="117">
                  <c:v>10814.264143608274</c:v>
                </c:pt>
                <c:pt idx="118">
                  <c:v>9238.6829369694024</c:v>
                </c:pt>
                <c:pt idx="119">
                  <c:v>7854.2233957366388</c:v>
                </c:pt>
                <c:pt idx="120">
                  <c:v>6644.5225541040381</c:v>
                </c:pt>
                <c:pt idx="121">
                  <c:v>5593.4470026472891</c:v>
                </c:pt>
                <c:pt idx="122">
                  <c:v>4685.3167930034024</c:v>
                </c:pt>
                <c:pt idx="123">
                  <c:v>3905.0905586106037</c:v>
                </c:pt>
                <c:pt idx="124">
                  <c:v>3238.5121963399401</c:v>
                </c:pt>
                <c:pt idx="125">
                  <c:v>2672.2206063918352</c:v>
                </c:pt>
                <c:pt idx="126">
                  <c:v>2193.8249269365115</c:v>
                </c:pt>
                <c:pt idx="127">
                  <c:v>1791.9484167117344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3003-419C-A35B-51E0E111B9A1}"/>
            </c:ext>
          </c:extLst>
        </c:ser>
        <c:ser>
          <c:idx val="56"/>
          <c:order val="56"/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output'!$BJ$3:$BJ$130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223572.51988804067</c:v>
                </c:pt>
                <c:pt idx="57">
                  <c:v>223489.15272636659</c:v>
                </c:pt>
                <c:pt idx="58">
                  <c:v>223385.34641661038</c:v>
                </c:pt>
                <c:pt idx="59">
                  <c:v>223256.81457655487</c:v>
                </c:pt>
                <c:pt idx="60">
                  <c:v>223098.56012568224</c:v>
                </c:pt>
                <c:pt idx="61">
                  <c:v>222904.80224402723</c:v>
                </c:pt>
                <c:pt idx="62">
                  <c:v>222668.90598249622</c:v>
                </c:pt>
                <c:pt idx="63">
                  <c:v>222383.31731171123</c:v>
                </c:pt>
                <c:pt idx="64">
                  <c:v>222039.50681770331</c:v>
                </c:pt>
                <c:pt idx="65">
                  <c:v>221627.92562803574</c:v>
                </c:pt>
                <c:pt idx="66">
                  <c:v>221137.97745273201</c:v>
                </c:pt>
                <c:pt idx="67">
                  <c:v>220558.0108202975</c:v>
                </c:pt>
                <c:pt idx="68">
                  <c:v>219875.33564926902</c:v>
                </c:pt>
                <c:pt idx="69">
                  <c:v>219076.26819050752</c:v>
                </c:pt>
                <c:pt idx="70">
                  <c:v>218146.20807863568</c:v>
                </c:pt>
                <c:pt idx="71">
                  <c:v>217069.75072197872</c:v>
                </c:pt>
                <c:pt idx="72">
                  <c:v>215830.83752632429</c:v>
                </c:pt>
                <c:pt idx="73">
                  <c:v>214412.94548603432</c:v>
                </c:pt>
                <c:pt idx="74">
                  <c:v>212799.31649566707</c:v>
                </c:pt>
                <c:pt idx="75">
                  <c:v>210973.2253587314</c:v>
                </c:pt>
                <c:pt idx="76">
                  <c:v>208918.28393394855</c:v>
                </c:pt>
                <c:pt idx="77">
                  <c:v>206618.77721382902</c:v>
                </c:pt>
                <c:pt idx="78">
                  <c:v>204060.02543882583</c:v>
                </c:pt>
                <c:pt idx="79">
                  <c:v>201228.76468709629</c:v>
                </c:pt>
                <c:pt idx="80">
                  <c:v>198113.53682728997</c:v>
                </c:pt>
                <c:pt idx="81">
                  <c:v>194705.07836620376</c:v>
                </c:pt>
                <c:pt idx="82">
                  <c:v>190996.69665055824</c:v>
                </c:pt>
                <c:pt idx="83">
                  <c:v>186984.62117293026</c:v>
                </c:pt>
                <c:pt idx="84">
                  <c:v>182668.31745553142</c:v>
                </c:pt>
                <c:pt idx="85">
                  <c:v>178050.75119553672</c:v>
                </c:pt>
                <c:pt idx="86">
                  <c:v>173138.591084894</c:v>
                </c:pt>
                <c:pt idx="87">
                  <c:v>167942.33997449226</c:v>
                </c:pt>
                <c:pt idx="88">
                  <c:v>162476.38581890851</c:v>
                </c:pt>
                <c:pt idx="89">
                  <c:v>156758.96606758324</c:v>
                </c:pt>
                <c:pt idx="90">
                  <c:v>150812.04178800952</c:v>
                </c:pt>
                <c:pt idx="91">
                  <c:v>144661.08071860368</c:v>
                </c:pt>
                <c:pt idx="92">
                  <c:v>138334.7515351905</c:v>
                </c:pt>
                <c:pt idx="93">
                  <c:v>131864.534742622</c:v>
                </c:pt>
                <c:pt idx="94">
                  <c:v>125284.25863126606</c:v>
                </c:pt>
                <c:pt idx="95">
                  <c:v>118629.57152613855</c:v>
                </c:pt>
                <c:pt idx="96">
                  <c:v>111937.36397131108</c:v>
                </c:pt>
                <c:pt idx="97">
                  <c:v>105245.1564164836</c:v>
                </c:pt>
                <c:pt idx="98">
                  <c:v>98590.469311356093</c:v>
                </c:pt>
                <c:pt idx="99">
                  <c:v>92010.193200000154</c:v>
                </c:pt>
                <c:pt idx="100">
                  <c:v>85539.976407431634</c:v>
                </c:pt>
                <c:pt idx="101">
                  <c:v>79213.647224018467</c:v>
                </c:pt>
                <c:pt idx="102">
                  <c:v>73062.686154612631</c:v>
                </c:pt>
                <c:pt idx="103">
                  <c:v>67115.761875038908</c:v>
                </c:pt>
                <c:pt idx="104">
                  <c:v>61398.342123713635</c:v>
                </c:pt>
                <c:pt idx="105">
                  <c:v>55932.387968129871</c:v>
                </c:pt>
                <c:pt idx="106">
                  <c:v>50736.136857728146</c:v>
                </c:pt>
                <c:pt idx="107">
                  <c:v>45823.976747085413</c:v>
                </c:pt>
                <c:pt idx="108">
                  <c:v>41206.410487090718</c:v>
                </c:pt>
                <c:pt idx="109">
                  <c:v>36890.106769691891</c:v>
                </c:pt>
                <c:pt idx="110">
                  <c:v>32878.031292063904</c:v>
                </c:pt>
                <c:pt idx="111">
                  <c:v>29169.6495764184</c:v>
                </c:pt>
                <c:pt idx="112">
                  <c:v>25761.191115332178</c:v>
                </c:pt>
                <c:pt idx="113">
                  <c:v>22645.963255525854</c:v>
                </c:pt>
                <c:pt idx="114">
                  <c:v>19814.702503796318</c:v>
                </c:pt>
                <c:pt idx="115">
                  <c:v>17255.950728793126</c:v>
                </c:pt>
                <c:pt idx="116">
                  <c:v>14956.444008673605</c:v>
                </c:pt>
                <c:pt idx="117">
                  <c:v>12901.502583890746</c:v>
                </c:pt>
                <c:pt idx="118">
                  <c:v>11075.411446955097</c:v>
                </c:pt>
                <c:pt idx="119">
                  <c:v>9461.7824565878364</c:v>
                </c:pt>
                <c:pt idx="120">
                  <c:v>8043.8904162978533</c:v>
                </c:pt>
                <c:pt idx="121">
                  <c:v>6804.9772206434163</c:v>
                </c:pt>
                <c:pt idx="122">
                  <c:v>5728.5198639864557</c:v>
                </c:pt>
                <c:pt idx="123">
                  <c:v>4798.4597521146434</c:v>
                </c:pt>
                <c:pt idx="124">
                  <c:v>3999.392293353143</c:v>
                </c:pt>
                <c:pt idx="125">
                  <c:v>3316.7171223246487</c:v>
                </c:pt>
                <c:pt idx="126">
                  <c:v>2736.7504898901498</c:v>
                </c:pt>
                <c:pt idx="127">
                  <c:v>2246.8023145864263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3003-419C-A35B-51E0E111B9A1}"/>
            </c:ext>
          </c:extLst>
        </c:ser>
        <c:ser>
          <c:idx val="57"/>
          <c:order val="57"/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output'!$BK$3:$BK$130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228923.03820294773</c:v>
                </c:pt>
                <c:pt idx="58">
                  <c:v>228837.67590553145</c:v>
                </c:pt>
                <c:pt idx="59">
                  <c:v>228731.3853120993</c:v>
                </c:pt>
                <c:pt idx="60">
                  <c:v>228599.7774591035</c:v>
                </c:pt>
                <c:pt idx="61">
                  <c:v>228437.73567632516</c:v>
                </c:pt>
                <c:pt idx="62">
                  <c:v>228239.34079771291</c:v>
                </c:pt>
                <c:pt idx="63">
                  <c:v>227997.79908714202</c:v>
                </c:pt>
                <c:pt idx="64">
                  <c:v>227705.37573285331</c:v>
                </c:pt>
                <c:pt idx="65">
                  <c:v>227353.33719567637</c:v>
                </c:pt>
                <c:pt idx="66">
                  <c:v>226931.90608038066</c:v>
                </c:pt>
                <c:pt idx="67">
                  <c:v>226430.23250748948</c:v>
                </c:pt>
                <c:pt idx="68">
                  <c:v>225836.38616349458</c:v>
                </c:pt>
                <c:pt idx="69">
                  <c:v>225137.37326899476</c:v>
                </c:pt>
                <c:pt idx="70">
                  <c:v>224319.18259654363</c:v>
                </c:pt>
                <c:pt idx="71">
                  <c:v>223366.86436607555</c:v>
                </c:pt>
                <c:pt idx="72">
                  <c:v>222264.64532455278</c:v>
                </c:pt>
                <c:pt idx="73">
                  <c:v>220996.08256486763</c:v>
                </c:pt>
                <c:pt idx="74">
                  <c:v>219544.25765423232</c:v>
                </c:pt>
                <c:pt idx="75">
                  <c:v>217892.01143366724</c:v>
                </c:pt>
                <c:pt idx="76">
                  <c:v>216022.21844071746</c:v>
                </c:pt>
                <c:pt idx="77">
                  <c:v>213918.09833451675</c:v>
                </c:pt>
                <c:pt idx="78">
                  <c:v>211563.56001736817</c:v>
                </c:pt>
                <c:pt idx="79">
                  <c:v>208943.57241498193</c:v>
                </c:pt>
                <c:pt idx="80">
                  <c:v>206044.55417447875</c:v>
                </c:pt>
                <c:pt idx="81">
                  <c:v>202854.77294949433</c:v>
                </c:pt>
                <c:pt idx="82">
                  <c:v>199364.74355370301</c:v>
                </c:pt>
                <c:pt idx="83">
                  <c:v>195567.61316582281</c:v>
                </c:pt>
                <c:pt idx="84">
                  <c:v>191459.52104297123</c:v>
                </c:pt>
                <c:pt idx="85">
                  <c:v>187039.9199162834</c:v>
                </c:pt>
                <c:pt idx="86">
                  <c:v>182311.84645774405</c:v>
                </c:pt>
                <c:pt idx="87">
                  <c:v>177282.12895386305</c:v>
                </c:pt>
                <c:pt idx="88">
                  <c:v>171961.52160885348</c:v>
                </c:pt>
                <c:pt idx="89">
                  <c:v>166364.75670858368</c:v>
                </c:pt>
                <c:pt idx="90">
                  <c:v>160510.50815956539</c:v>
                </c:pt>
                <c:pt idx="91">
                  <c:v>154421.26259966992</c:v>
                </c:pt>
                <c:pt idx="92">
                  <c:v>148123.09725903874</c:v>
                </c:pt>
                <c:pt idx="93">
                  <c:v>141645.36690978042</c:v>
                </c:pt>
                <c:pt idx="94">
                  <c:v>135020.30544548127</c:v>
                </c:pt>
                <c:pt idx="95">
                  <c:v>128282.55073224443</c:v>
                </c:pt>
                <c:pt idx="96">
                  <c:v>121468.60422773371</c:v>
                </c:pt>
                <c:pt idx="97">
                  <c:v>114616.2393373482</c:v>
                </c:pt>
                <c:pt idx="98">
                  <c:v>107763.8744469627</c:v>
                </c:pt>
                <c:pt idx="99">
                  <c:v>100949.92794245198</c:v>
                </c:pt>
                <c:pt idx="100">
                  <c:v>94212.173229215143</c:v>
                </c:pt>
                <c:pt idx="101">
                  <c:v>87587.111764915986</c:v>
                </c:pt>
                <c:pt idx="102">
                  <c:v>81109.381415657685</c:v>
                </c:pt>
                <c:pt idx="103">
                  <c:v>74811.216075026488</c:v>
                </c:pt>
                <c:pt idx="104">
                  <c:v>68721.970515131034</c:v>
                </c:pt>
                <c:pt idx="105">
                  <c:v>62867.721966112738</c:v>
                </c:pt>
                <c:pt idx="106">
                  <c:v>57270.957065842922</c:v>
                </c:pt>
                <c:pt idx="107">
                  <c:v>51950.349720833365</c:v>
                </c:pt>
                <c:pt idx="108">
                  <c:v>46920.632216952363</c:v>
                </c:pt>
                <c:pt idx="109">
                  <c:v>42192.558758413004</c:v>
                </c:pt>
                <c:pt idx="110">
                  <c:v>37772.957631725192</c:v>
                </c:pt>
                <c:pt idx="111">
                  <c:v>33664.865508873598</c:v>
                </c:pt>
                <c:pt idx="112">
                  <c:v>29867.735120993399</c:v>
                </c:pt>
                <c:pt idx="113">
                  <c:v>26377.705725202079</c:v>
                </c:pt>
                <c:pt idx="114">
                  <c:v>23187.924500217647</c:v>
                </c:pt>
                <c:pt idx="115">
                  <c:v>20288.90625971448</c:v>
                </c:pt>
                <c:pt idx="116">
                  <c:v>17668.91865732825</c:v>
                </c:pt>
                <c:pt idx="117">
                  <c:v>15314.380340179661</c:v>
                </c:pt>
                <c:pt idx="118">
                  <c:v>13210.260233978945</c:v>
                </c:pt>
                <c:pt idx="119">
                  <c:v>11340.467241029164</c:v>
                </c:pt>
                <c:pt idx="120">
                  <c:v>9688.2210204640742</c:v>
                </c:pt>
                <c:pt idx="121">
                  <c:v>8236.3961098287928</c:v>
                </c:pt>
                <c:pt idx="122">
                  <c:v>6967.8333501436391</c:v>
                </c:pt>
                <c:pt idx="123">
                  <c:v>5865.614308620874</c:v>
                </c:pt>
                <c:pt idx="124">
                  <c:v>4913.2960781527936</c:v>
                </c:pt>
                <c:pt idx="125">
                  <c:v>4095.1054057016559</c:v>
                </c:pt>
                <c:pt idx="126">
                  <c:v>3396.0925112018272</c:v>
                </c:pt>
                <c:pt idx="127">
                  <c:v>2802.2461672069371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3003-419C-A35B-51E0E111B9A1}"/>
            </c:ext>
          </c:extLst>
        </c:ser>
        <c:ser>
          <c:idx val="58"/>
          <c:order val="58"/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output'!$BL$3:$BL$130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235069.35685738604</c:v>
                </c:pt>
                <c:pt idx="59">
                  <c:v>234981.7026810697</c:v>
                </c:pt>
                <c:pt idx="60">
                  <c:v>234872.55830820874</c:v>
                </c:pt>
                <c:pt idx="61">
                  <c:v>234737.41693666324</c:v>
                </c:pt>
                <c:pt idx="62">
                  <c:v>234571.02451954025</c:v>
                </c:pt>
                <c:pt idx="63">
                  <c:v>234367.30296802984</c:v>
                </c:pt>
                <c:pt idx="64">
                  <c:v>234119.27614205438</c:v>
                </c:pt>
                <c:pt idx="65">
                  <c:v>233819.00155911013</c:v>
                </c:pt>
                <c:pt idx="66">
                  <c:v>233457.51119460678</c:v>
                </c:pt>
                <c:pt idx="67">
                  <c:v>233024.76514156675</c:v>
                </c:pt>
                <c:pt idx="68">
                  <c:v>232509.62221380547</c:v>
                </c:pt>
                <c:pt idx="69">
                  <c:v>231899.83178270332</c:v>
                </c:pt>
                <c:pt idx="70">
                  <c:v>231182.05120091923</c:v>
                </c:pt>
                <c:pt idx="71">
                  <c:v>230341.89305576438</c:v>
                </c:pt>
                <c:pt idx="72">
                  <c:v>229364.00618287901</c:v>
                </c:pt>
                <c:pt idx="73">
                  <c:v>228232.19383563494</c:v>
                </c:pt>
                <c:pt idx="74">
                  <c:v>226929.5716338972</c:v>
                </c:pt>
                <c:pt idx="75">
                  <c:v>225438.76690453652</c:v>
                </c:pt>
                <c:pt idx="76">
                  <c:v>223742.1597850121</c:v>
                </c:pt>
                <c:pt idx="77">
                  <c:v>221822.16501402057</c:v>
                </c:pt>
                <c:pt idx="78">
                  <c:v>219661.55171796252</c:v>
                </c:pt>
                <c:pt idx="79">
                  <c:v>217243.79677178926</c:v>
                </c:pt>
                <c:pt idx="80">
                  <c:v>214553.46553426102</c:v>
                </c:pt>
                <c:pt idx="81">
                  <c:v>211576.61200889078</c:v>
                </c:pt>
                <c:pt idx="82">
                  <c:v>208301.18884939159</c:v>
                </c:pt>
                <c:pt idx="83">
                  <c:v>204717.45620316171</c:v>
                </c:pt>
                <c:pt idx="84">
                  <c:v>200818.37725859814</c:v>
                </c:pt>
                <c:pt idx="85">
                  <c:v>196599.98761633981</c:v>
                </c:pt>
                <c:pt idx="86">
                  <c:v>192061.72531398624</c:v>
                </c:pt>
                <c:pt idx="87">
                  <c:v>187206.70855465072</c:v>
                </c:pt>
                <c:pt idx="88">
                  <c:v>182041.94895643383</c:v>
                </c:pt>
                <c:pt idx="89">
                  <c:v>176578.48946148652</c:v>
                </c:pt>
                <c:pt idx="90">
                  <c:v>170831.45790050368</c:v>
                </c:pt>
                <c:pt idx="91">
                  <c:v>164820.02955277657</c:v>
                </c:pt>
                <c:pt idx="92">
                  <c:v>158567.29479638068</c:v>
                </c:pt>
                <c:pt idx="93">
                  <c:v>152100.03100490881</c:v>
                </c:pt>
                <c:pt idx="94">
                  <c:v>145448.38109212989</c:v>
                </c:pt>
                <c:pt idx="95">
                  <c:v>138645.44439437031</c:v>
                </c:pt>
                <c:pt idx="96">
                  <c:v>131726.78876435338</c:v>
                </c:pt>
                <c:pt idx="97">
                  <c:v>124729.89568163984</c:v>
                </c:pt>
                <c:pt idx="98">
                  <c:v>117693.5527238505</c:v>
                </c:pt>
                <c:pt idx="99">
                  <c:v>110657.20976606116</c:v>
                </c:pt>
                <c:pt idx="100">
                  <c:v>103660.31668334763</c:v>
                </c:pt>
                <c:pt idx="101">
                  <c:v>96741.66105333071</c:v>
                </c:pt>
                <c:pt idx="102">
                  <c:v>89938.724355571103</c:v>
                </c:pt>
                <c:pt idx="103">
                  <c:v>83287.074442792204</c:v>
                </c:pt>
                <c:pt idx="104">
                  <c:v>76819.810651320338</c:v>
                </c:pt>
                <c:pt idx="105">
                  <c:v>70567.075894924434</c:v>
                </c:pt>
                <c:pt idx="106">
                  <c:v>64555.647547197324</c:v>
                </c:pt>
                <c:pt idx="107">
                  <c:v>58808.615986214492</c:v>
                </c:pt>
                <c:pt idx="108">
                  <c:v>53345.156491267182</c:v>
                </c:pt>
                <c:pt idx="109">
                  <c:v>48180.396893050303</c:v>
                </c:pt>
                <c:pt idx="110">
                  <c:v>43325.380133714752</c:v>
                </c:pt>
                <c:pt idx="111">
                  <c:v>38787.117831361182</c:v>
                </c:pt>
                <c:pt idx="112">
                  <c:v>34568.728189102876</c:v>
                </c:pt>
                <c:pt idx="113">
                  <c:v>30669.649244539309</c:v>
                </c:pt>
                <c:pt idx="114">
                  <c:v>27085.916598309414</c:v>
                </c:pt>
                <c:pt idx="115">
                  <c:v>23810.493438810212</c:v>
                </c:pt>
                <c:pt idx="116">
                  <c:v>20833.639913439976</c:v>
                </c:pt>
                <c:pt idx="117">
                  <c:v>18143.308675911758</c:v>
                </c:pt>
                <c:pt idx="118">
                  <c:v>15725.553729738482</c:v>
                </c:pt>
                <c:pt idx="119">
                  <c:v>13564.940433680416</c:v>
                </c:pt>
                <c:pt idx="120">
                  <c:v>11644.945662688895</c:v>
                </c:pt>
                <c:pt idx="121">
                  <c:v>9948.3385431644729</c:v>
                </c:pt>
                <c:pt idx="122">
                  <c:v>8457.5338138038042</c:v>
                </c:pt>
                <c:pt idx="123">
                  <c:v>7154.9116120660501</c:v>
                </c:pt>
                <c:pt idx="124">
                  <c:v>6023.0992648219863</c:v>
                </c:pt>
                <c:pt idx="125">
                  <c:v>5045.2123919366295</c:v>
                </c:pt>
                <c:pt idx="126">
                  <c:v>4205.0542467817804</c:v>
                </c:pt>
                <c:pt idx="127">
                  <c:v>3487.273664997685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3003-419C-A35B-51E0E111B9A1}"/>
            </c:ext>
          </c:extLst>
        </c:ser>
        <c:ser>
          <c:idx val="59"/>
          <c:order val="59"/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output'!$BM$3:$BM$130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242118.17513037293</c:v>
                </c:pt>
                <c:pt idx="60">
                  <c:v>242027.892545284</c:v>
                </c:pt>
                <c:pt idx="61">
                  <c:v>241915.47535600793</c:v>
                </c:pt>
                <c:pt idx="62">
                  <c:v>241776.28161888861</c:v>
                </c:pt>
                <c:pt idx="63">
                  <c:v>241604.89973854515</c:v>
                </c:pt>
                <c:pt idx="64">
                  <c:v>241395.06936785861</c:v>
                </c:pt>
                <c:pt idx="65">
                  <c:v>241139.60517936814</c:v>
                </c:pt>
                <c:pt idx="66">
                  <c:v>240830.32652632528</c:v>
                </c:pt>
                <c:pt idx="67">
                  <c:v>240457.99646786571</c:v>
                </c:pt>
                <c:pt idx="68">
                  <c:v>240012.27403914233</c:v>
                </c:pt>
                <c:pt idx="69">
                  <c:v>239481.68397300897</c:v>
                </c:pt>
                <c:pt idx="70">
                  <c:v>238853.60829200907</c:v>
                </c:pt>
                <c:pt idx="71">
                  <c:v>238114.30425455846</c:v>
                </c:pt>
                <c:pt idx="72">
                  <c:v>237248.95302526478</c:v>
                </c:pt>
                <c:pt idx="73">
                  <c:v>236241.74311789012</c:v>
                </c:pt>
                <c:pt idx="74">
                  <c:v>235075.99210819553</c:v>
                </c:pt>
                <c:pt idx="75">
                  <c:v>233734.30931897348</c:v>
                </c:pt>
                <c:pt idx="76">
                  <c:v>232198.80113800915</c:v>
                </c:pt>
                <c:pt idx="77">
                  <c:v>230451.31935142449</c:v>
                </c:pt>
                <c:pt idx="78">
                  <c:v>228473.7513841358</c:v>
                </c:pt>
                <c:pt idx="79">
                  <c:v>226248.34967547594</c:v>
                </c:pt>
                <c:pt idx="80">
                  <c:v>223758.09563596261</c:v>
                </c:pt>
                <c:pt idx="81">
                  <c:v>220987.09179933002</c:v>
                </c:pt>
                <c:pt idx="82">
                  <c:v>217920.97398274738</c:v>
                </c:pt>
                <c:pt idx="83">
                  <c:v>214547.33358673932</c:v>
                </c:pt>
                <c:pt idx="84">
                  <c:v>210856.13869830163</c:v>
                </c:pt>
                <c:pt idx="85">
                  <c:v>206840.14149914423</c:v>
                </c:pt>
                <c:pt idx="86">
                  <c:v>202495.25871294556</c:v>
                </c:pt>
                <c:pt idx="87">
                  <c:v>197820.91152623235</c:v>
                </c:pt>
                <c:pt idx="88">
                  <c:v>192820.31164493493</c:v>
                </c:pt>
                <c:pt idx="89">
                  <c:v>187500.68093838563</c:v>
                </c:pt>
                <c:pt idx="90">
                  <c:v>181873.39348373929</c:v>
                </c:pt>
                <c:pt idx="91">
                  <c:v>175954.03073665861</c:v>
                </c:pt>
                <c:pt idx="92">
                  <c:v>169762.34296868765</c:v>
                </c:pt>
                <c:pt idx="93">
                  <c:v>163322.11294878207</c:v>
                </c:pt>
                <c:pt idx="94">
                  <c:v>156660.92100011016</c:v>
                </c:pt>
                <c:pt idx="95">
                  <c:v>149809.81390551256</c:v>
                </c:pt>
                <c:pt idx="96">
                  <c:v>142802.88352203308</c:v>
                </c:pt>
                <c:pt idx="97">
                  <c:v>135676.7642443449</c:v>
                </c:pt>
                <c:pt idx="98">
                  <c:v>128470.06147620527</c:v>
                </c:pt>
                <c:pt idx="99">
                  <c:v>121222.72588424644</c:v>
                </c:pt>
                <c:pt idx="100">
                  <c:v>113975.3902922876</c:v>
                </c:pt>
                <c:pt idx="101">
                  <c:v>106768.68752414796</c:v>
                </c:pt>
                <c:pt idx="102">
                  <c:v>99642.568246459792</c:v>
                </c:pt>
                <c:pt idx="103">
                  <c:v>92635.637862980308</c:v>
                </c:pt>
                <c:pt idx="104">
                  <c:v>85784.530768382712</c:v>
                </c:pt>
                <c:pt idx="105">
                  <c:v>79123.3388197108</c:v>
                </c:pt>
                <c:pt idx="106">
                  <c:v>72683.108799805224</c:v>
                </c:pt>
                <c:pt idx="107">
                  <c:v>66491.421031834252</c:v>
                </c:pt>
                <c:pt idx="108">
                  <c:v>60572.058284753592</c:v>
                </c:pt>
                <c:pt idx="109">
                  <c:v>54944.770830107256</c:v>
                </c:pt>
                <c:pt idx="110">
                  <c:v>49625.14012355794</c:v>
                </c:pt>
                <c:pt idx="111">
                  <c:v>44624.54024226054</c:v>
                </c:pt>
                <c:pt idx="112">
                  <c:v>39950.193055547315</c:v>
                </c:pt>
                <c:pt idx="113">
                  <c:v>35605.310269348651</c:v>
                </c:pt>
                <c:pt idx="114">
                  <c:v>31589.313070191256</c:v>
                </c:pt>
                <c:pt idx="115">
                  <c:v>27898.11818175354</c:v>
                </c:pt>
                <c:pt idx="116">
                  <c:v>24524.477785745501</c:v>
                </c:pt>
                <c:pt idx="117">
                  <c:v>21458.359969162844</c:v>
                </c:pt>
                <c:pt idx="118">
                  <c:v>18687.356132530258</c:v>
                </c:pt>
                <c:pt idx="119">
                  <c:v>16197.102093016929</c:v>
                </c:pt>
                <c:pt idx="120">
                  <c:v>13971.700384357078</c:v>
                </c:pt>
                <c:pt idx="121">
                  <c:v>11994.132417068367</c:v>
                </c:pt>
                <c:pt idx="122">
                  <c:v>10246.650630483709</c:v>
                </c:pt>
                <c:pt idx="123">
                  <c:v>8711.1424495194024</c:v>
                </c:pt>
                <c:pt idx="124">
                  <c:v>7369.4596602973415</c:v>
                </c:pt>
                <c:pt idx="125">
                  <c:v>6203.7086506027472</c:v>
                </c:pt>
                <c:pt idx="126">
                  <c:v>5196.4987432280832</c:v>
                </c:pt>
                <c:pt idx="127">
                  <c:v>4331.1475139344157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3003-419C-A35B-51E0E111B9A1}"/>
            </c:ext>
          </c:extLst>
        </c:ser>
        <c:ser>
          <c:idx val="60"/>
          <c:order val="60"/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output'!$BN$3:$BN$130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250440.88891696604</c:v>
                </c:pt>
                <c:pt idx="61">
                  <c:v>250347.50290473789</c:v>
                </c:pt>
                <c:pt idx="62">
                  <c:v>250231.22142030703</c:v>
                </c:pt>
                <c:pt idx="63">
                  <c:v>250087.24295509243</c:v>
                </c:pt>
                <c:pt idx="64">
                  <c:v>249909.9698923231</c:v>
                </c:pt>
                <c:pt idx="65">
                  <c:v>249692.92668799439</c:v>
                </c:pt>
                <c:pt idx="66">
                  <c:v>249428.68102193667</c:v>
                </c:pt>
                <c:pt idx="67">
                  <c:v>249108.77104099706</c:v>
                </c:pt>
                <c:pt idx="68">
                  <c:v>248723.64228822617</c:v>
                </c:pt>
                <c:pt idx="69">
                  <c:v>248262.59833231659</c:v>
                </c:pt>
                <c:pt idx="70">
                  <c:v>247713.7694484817</c:v>
                </c:pt>
                <c:pt idx="71">
                  <c:v>247064.10392142224</c:v>
                </c:pt>
                <c:pt idx="72">
                  <c:v>246299.38660840213</c:v>
                </c:pt>
                <c:pt idx="73">
                  <c:v>245404.28928259006</c:v>
                </c:pt>
                <c:pt idx="74">
                  <c:v>244362.45694434011</c:v>
                </c:pt>
                <c:pt idx="75">
                  <c:v>243156.63371786586</c:v>
                </c:pt>
                <c:pt idx="76">
                  <c:v>241768.83112850453</c:v>
                </c:pt>
                <c:pt idx="77">
                  <c:v>240180.54047839987</c:v>
                </c:pt>
                <c:pt idx="78">
                  <c:v>238372.98971620362</c:v>
                </c:pt>
                <c:pt idx="79">
                  <c:v>236327.44365443103</c:v>
                </c:pt>
                <c:pt idx="80">
                  <c:v>234025.54466723604</c:v>
                </c:pt>
                <c:pt idx="81">
                  <c:v>231449.68915804528</c:v>
                </c:pt>
                <c:pt idx="82">
                  <c:v>228583.43319165651</c:v>
                </c:pt>
                <c:pt idx="83">
                  <c:v>225411.9188222969</c:v>
                </c:pt>
                <c:pt idx="84">
                  <c:v>221922.31090993143</c:v>
                </c:pt>
                <c:pt idx="85">
                  <c:v>218104.23269862685</c:v>
                </c:pt>
                <c:pt idx="86">
                  <c:v>213950.18722928755</c:v>
                </c:pt>
                <c:pt idx="87">
                  <c:v>209455.9508646293</c:v>
                </c:pt>
                <c:pt idx="88">
                  <c:v>204620.92489470108</c:v>
                </c:pt>
                <c:pt idx="89">
                  <c:v>199448.43142651828</c:v>
                </c:pt>
                <c:pt idx="90">
                  <c:v>193945.94057823386</c:v>
                </c:pt>
                <c:pt idx="91">
                  <c:v>188125.21740627845</c:v>
                </c:pt>
                <c:pt idx="92">
                  <c:v>182002.37897251526</c:v>
                </c:pt>
                <c:pt idx="93">
                  <c:v>175597.85445603906</c:v>
                </c:pt>
                <c:pt idx="94">
                  <c:v>168936.24414881453</c:v>
                </c:pt>
                <c:pt idx="95">
                  <c:v>162046.07643640038</c:v>
                </c:pt>
                <c:pt idx="96">
                  <c:v>154959.46532216886</c:v>
                </c:pt>
                <c:pt idx="97">
                  <c:v>147711.6745568825</c:v>
                </c:pt>
                <c:pt idx="98">
                  <c:v>140340.59782763009</c:v>
                </c:pt>
                <c:pt idx="99">
                  <c:v>132886.16758321991</c:v>
                </c:pt>
                <c:pt idx="100">
                  <c:v>125389.70777819949</c:v>
                </c:pt>
                <c:pt idx="101">
                  <c:v>117893.24797317907</c:v>
                </c:pt>
                <c:pt idx="102">
                  <c:v>110438.81772876889</c:v>
                </c:pt>
                <c:pt idx="103">
                  <c:v>103067.74099951646</c:v>
                </c:pt>
                <c:pt idx="104">
                  <c:v>95819.950234230128</c:v>
                </c:pt>
                <c:pt idx="105">
                  <c:v>88733.339119998593</c:v>
                </c:pt>
                <c:pt idx="106">
                  <c:v>81843.171407584436</c:v>
                </c:pt>
                <c:pt idx="107">
                  <c:v>75181.561100359933</c:v>
                </c:pt>
                <c:pt idx="108">
                  <c:v>68777.036583883717</c:v>
                </c:pt>
                <c:pt idx="109">
                  <c:v>62654.198150120523</c:v>
                </c:pt>
                <c:pt idx="110">
                  <c:v>56833.474978165112</c:v>
                </c:pt>
                <c:pt idx="111">
                  <c:v>51330.9841298807</c:v>
                </c:pt>
                <c:pt idx="112">
                  <c:v>46158.490661697891</c:v>
                </c:pt>
                <c:pt idx="113">
                  <c:v>41323.464691769681</c:v>
                </c:pt>
                <c:pt idx="114">
                  <c:v>36829.228327111428</c:v>
                </c:pt>
                <c:pt idx="115">
                  <c:v>32675.182857772132</c:v>
                </c:pt>
                <c:pt idx="116">
                  <c:v>28857.104646467553</c:v>
                </c:pt>
                <c:pt idx="117">
                  <c:v>25367.496734102082</c:v>
                </c:pt>
                <c:pt idx="118">
                  <c:v>22195.982364742456</c:v>
                </c:pt>
                <c:pt idx="119">
                  <c:v>19329.726398353705</c:v>
                </c:pt>
                <c:pt idx="120">
                  <c:v>16753.870889162947</c:v>
                </c:pt>
                <c:pt idx="121">
                  <c:v>14451.971901967943</c:v>
                </c:pt>
                <c:pt idx="122">
                  <c:v>12406.425840195347</c:v>
                </c:pt>
                <c:pt idx="123">
                  <c:v>10598.875077999101</c:v>
                </c:pt>
                <c:pt idx="124">
                  <c:v>9010.5844278944351</c:v>
                </c:pt>
                <c:pt idx="125">
                  <c:v>7622.7818385331238</c:v>
                </c:pt>
                <c:pt idx="126">
                  <c:v>6416.9586120588683</c:v>
                </c:pt>
                <c:pt idx="127">
                  <c:v>5375.1262738089254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3003-419C-A35B-51E0E111B9A1}"/>
            </c:ext>
          </c:extLst>
        </c:ser>
        <c:ser>
          <c:idx val="61"/>
          <c:order val="61"/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output'!$BO$3:$BO$130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261486.00985866145</c:v>
                </c:pt>
                <c:pt idx="62">
                  <c:v>261388.50527057381</c:v>
                </c:pt>
                <c:pt idx="63">
                  <c:v>261267.09545799982</c:v>
                </c:pt>
                <c:pt idx="64">
                  <c:v>261116.76715283626</c:v>
                </c:pt>
                <c:pt idx="65">
                  <c:v>260931.67586826437</c:v>
                </c:pt>
                <c:pt idx="66">
                  <c:v>260705.06047126476</c:v>
                </c:pt>
                <c:pt idx="67">
                  <c:v>260429.16085623507</c:v>
                </c:pt>
                <c:pt idx="68">
                  <c:v>260095.14197939908</c:v>
                </c:pt>
                <c:pt idx="69">
                  <c:v>259693.02800639966</c:v>
                </c:pt>
                <c:pt idx="70">
                  <c:v>259211.65076436225</c:v>
                </c:pt>
                <c:pt idx="71">
                  <c:v>258638.61704151536</c:v>
                </c:pt>
                <c:pt idx="72">
                  <c:v>257960.29950659469</c:v>
                </c:pt>
                <c:pt idx="73">
                  <c:v>257161.85609060057</c:v>
                </c:pt>
                <c:pt idx="74">
                  <c:v>256227.28255041738</c:v>
                </c:pt>
                <c:pt idx="75">
                  <c:v>255139.50258665506</c:v>
                </c:pt>
                <c:pt idx="76">
                  <c:v>253880.49929270736</c:v>
                </c:pt>
                <c:pt idx="77">
                  <c:v>252431.49085349869</c:v>
                </c:pt>
                <c:pt idx="78">
                  <c:v>250773.15228750921</c:v>
                </c:pt>
                <c:pt idx="79">
                  <c:v>248885.88364512555</c:v>
                </c:pt>
                <c:pt idx="80">
                  <c:v>246750.12346639391</c:v>
                </c:pt>
                <c:pt idx="81">
                  <c:v>244346.70450448917</c:v>
                </c:pt>
                <c:pt idx="82">
                  <c:v>241657.24679659042</c:v>
                </c:pt>
                <c:pt idx="83">
                  <c:v>238664.58118545267</c:v>
                </c:pt>
                <c:pt idx="84">
                  <c:v>235353.19444968601</c:v>
                </c:pt>
                <c:pt idx="85">
                  <c:v>231709.68538484556</c:v>
                </c:pt>
                <c:pt idx="86">
                  <c:v>227723.21959198001</c:v>
                </c:pt>
                <c:pt idx="87">
                  <c:v>223385.9694758094</c:v>
                </c:pt>
                <c:pt idx="88">
                  <c:v>218693.5251252153</c:v>
                </c:pt>
                <c:pt idx="89">
                  <c:v>213645.26142551762</c:v>
                </c:pt>
                <c:pt idx="90">
                  <c:v>208244.64699764142</c:v>
                </c:pt>
                <c:pt idx="91">
                  <c:v>202499.48141216574</c:v>
                </c:pt>
                <c:pt idx="92">
                  <c:v>196422.04859634824</c:v>
                </c:pt>
                <c:pt idx="93">
                  <c:v>190029.17641809615</c:v>
                </c:pt>
                <c:pt idx="94">
                  <c:v>183342.19503858755</c:v>
                </c:pt>
                <c:pt idx="95">
                  <c:v>176386.7896892358</c:v>
                </c:pt>
                <c:pt idx="96">
                  <c:v>169192.74693460597</c:v>
                </c:pt>
                <c:pt idx="97">
                  <c:v>161793.59709252554</c:v>
                </c:pt>
                <c:pt idx="98">
                  <c:v>154226.15914059617</c:v>
                </c:pt>
                <c:pt idx="99">
                  <c:v>146529.99798005464</c:v>
                </c:pt>
                <c:pt idx="100">
                  <c:v>138746.80718876651</c:v>
                </c:pt>
                <c:pt idx="101">
                  <c:v>130919.73321950527</c:v>
                </c:pt>
                <c:pt idx="102">
                  <c:v>123092.65925024403</c:v>
                </c:pt>
                <c:pt idx="103">
                  <c:v>115309.4684589559</c:v>
                </c:pt>
                <c:pt idx="104">
                  <c:v>107613.30729841438</c:v>
                </c:pt>
                <c:pt idx="105">
                  <c:v>100045.86934648499</c:v>
                </c:pt>
                <c:pt idx="106">
                  <c:v>92646.719504404595</c:v>
                </c:pt>
                <c:pt idx="107">
                  <c:v>85452.67674977475</c:v>
                </c:pt>
                <c:pt idx="108">
                  <c:v>78497.271400423007</c:v>
                </c:pt>
                <c:pt idx="109">
                  <c:v>71810.290020914385</c:v>
                </c:pt>
                <c:pt idx="110">
                  <c:v>65417.417842662304</c:v>
                </c:pt>
                <c:pt idx="111">
                  <c:v>59339.985026844814</c:v>
                </c:pt>
                <c:pt idx="112">
                  <c:v>53594.819441369131</c:v>
                </c:pt>
                <c:pt idx="113">
                  <c:v>48194.205013492916</c:v>
                </c:pt>
                <c:pt idx="114">
                  <c:v>43145.941313795265</c:v>
                </c:pt>
                <c:pt idx="115">
                  <c:v>38453.496963201156</c:v>
                </c:pt>
                <c:pt idx="116">
                  <c:v>34116.246847030539</c:v>
                </c:pt>
                <c:pt idx="117">
                  <c:v>30129.781054164981</c:v>
                </c:pt>
                <c:pt idx="118">
                  <c:v>26486.271989324552</c:v>
                </c:pt>
                <c:pt idx="119">
                  <c:v>23174.88525355787</c:v>
                </c:pt>
                <c:pt idx="120">
                  <c:v>20182.21964242011</c:v>
                </c:pt>
                <c:pt idx="121">
                  <c:v>17492.76193452139</c:v>
                </c:pt>
                <c:pt idx="122">
                  <c:v>15089.342972616647</c:v>
                </c:pt>
                <c:pt idx="123">
                  <c:v>12953.582793884985</c:v>
                </c:pt>
                <c:pt idx="124">
                  <c:v>11066.314151501329</c:v>
                </c:pt>
                <c:pt idx="125">
                  <c:v>9407.9755855118656</c:v>
                </c:pt>
                <c:pt idx="126">
                  <c:v>7958.9671463031837</c:v>
                </c:pt>
                <c:pt idx="127">
                  <c:v>6699.963852355485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3003-419C-A35B-51E0E111B9A1}"/>
            </c:ext>
          </c:extLst>
        </c:ser>
        <c:ser>
          <c:idx val="62"/>
          <c:order val="62"/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output'!$BP$3:$BP$130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272395.76939259074</c:v>
                </c:pt>
                <c:pt idx="63">
                  <c:v>272294.19670307747</c:v>
                </c:pt>
                <c:pt idx="64">
                  <c:v>272167.72141162393</c:v>
                </c:pt>
                <c:pt idx="65">
                  <c:v>272011.12108578376</c:v>
                </c:pt>
                <c:pt idx="66">
                  <c:v>271818.30739415996</c:v>
                </c:pt>
                <c:pt idx="67">
                  <c:v>271582.23711470113</c:v>
                </c:pt>
                <c:pt idx="68">
                  <c:v>271294.82637348498</c:v>
                </c:pt>
                <c:pt idx="69">
                  <c:v>270946.87150967953</c:v>
                </c:pt>
                <c:pt idx="70">
                  <c:v>270527.98047563189</c:v>
                </c:pt>
                <c:pt idx="71">
                  <c:v>270026.51913824049</c:v>
                </c:pt>
                <c:pt idx="72">
                  <c:v>269429.57721424563</c:v>
                </c:pt>
                <c:pt idx="73">
                  <c:v>268722.95881077129</c:v>
                </c:pt>
                <c:pt idx="74">
                  <c:v>267891.20261573151</c:v>
                </c:pt>
                <c:pt idx="75">
                  <c:v>266917.63665451715</c:v>
                </c:pt>
                <c:pt idx="76">
                  <c:v>265784.47216774768</c:v>
                </c:pt>
                <c:pt idx="77">
                  <c:v>264472.94054466754</c:v>
                </c:pt>
                <c:pt idx="78">
                  <c:v>262963.47635242279</c:v>
                </c:pt>
                <c:pt idx="79">
                  <c:v>261235.94832964148</c:v>
                </c:pt>
                <c:pt idx="80">
                  <c:v>259269.9387745969</c:v>
                </c:pt>
                <c:pt idx="81">
                  <c:v>257045.07008109346</c:v>
                </c:pt>
                <c:pt idx="82">
                  <c:v>254541.37530348508</c:v>
                </c:pt>
                <c:pt idx="83">
                  <c:v>251739.70762731423</c:v>
                </c:pt>
                <c:pt idx="84">
                  <c:v>248622.18156111572</c:v>
                </c:pt>
                <c:pt idx="85">
                  <c:v>245172.63663849008</c:v>
                </c:pt>
                <c:pt idx="86">
                  <c:v>241377.11252787881</c:v>
                </c:pt>
                <c:pt idx="87">
                  <c:v>237224.32279587054</c:v>
                </c:pt>
                <c:pt idx="88">
                  <c:v>232706.11326305082</c:v>
                </c:pt>
                <c:pt idx="89">
                  <c:v>227817.89002731099</c:v>
                </c:pt>
                <c:pt idx="90">
                  <c:v>222559.0018928402</c:v>
                </c:pt>
                <c:pt idx="91">
                  <c:v>216933.06219889928</c:v>
                </c:pt>
                <c:pt idx="92">
                  <c:v>210948.19593095104</c:v>
                </c:pt>
                <c:pt idx="93">
                  <c:v>204617.19952815614</c:v>
                </c:pt>
                <c:pt idx="94">
                  <c:v>197957.60295331557</c:v>
                </c:pt>
                <c:pt idx="95">
                  <c:v>190991.62630787387</c:v>
                </c:pt>
                <c:pt idx="96">
                  <c:v>183746.0264664212</c:v>
                </c:pt>
                <c:pt idx="97">
                  <c:v>176251.83275315215</c:v>
                </c:pt>
                <c:pt idx="98">
                  <c:v>168543.97444297341</c:v>
                </c:pt>
                <c:pt idx="99">
                  <c:v>160660.80668053485</c:v>
                </c:pt>
                <c:pt idx="100">
                  <c:v>152643.54509996987</c:v>
                </c:pt>
                <c:pt idx="101">
                  <c:v>144535.62282501443</c:v>
                </c:pt>
                <c:pt idx="102">
                  <c:v>136381.9864713829</c:v>
                </c:pt>
                <c:pt idx="103">
                  <c:v>128228.35011775137</c:v>
                </c:pt>
                <c:pt idx="104">
                  <c:v>120120.42784279594</c:v>
                </c:pt>
                <c:pt idx="105">
                  <c:v>112103.16626223097</c:v>
                </c:pt>
                <c:pt idx="106">
                  <c:v>104219.99849979237</c:v>
                </c:pt>
                <c:pt idx="107">
                  <c:v>96512.140189613667</c:v>
                </c:pt>
                <c:pt idx="108">
                  <c:v>89017.946476344601</c:v>
                </c:pt>
                <c:pt idx="109">
                  <c:v>81772.346634891946</c:v>
                </c:pt>
                <c:pt idx="110">
                  <c:v>74806.369989450221</c:v>
                </c:pt>
                <c:pt idx="111">
                  <c:v>68146.773414609677</c:v>
                </c:pt>
                <c:pt idx="112">
                  <c:v>61815.777011814745</c:v>
                </c:pt>
                <c:pt idx="113">
                  <c:v>55830.910743866509</c:v>
                </c:pt>
                <c:pt idx="114">
                  <c:v>50204.971049925596</c:v>
                </c:pt>
                <c:pt idx="115">
                  <c:v>44946.082915454797</c:v>
                </c:pt>
                <c:pt idx="116">
                  <c:v>40057.859679714988</c:v>
                </c:pt>
                <c:pt idx="117">
                  <c:v>35539.650146895263</c:v>
                </c:pt>
                <c:pt idx="118">
                  <c:v>31386.860414887004</c:v>
                </c:pt>
                <c:pt idx="119">
                  <c:v>27591.336304275726</c:v>
                </c:pt>
                <c:pt idx="120">
                  <c:v>24141.791381650084</c:v>
                </c:pt>
                <c:pt idx="121">
                  <c:v>21024.265315451576</c:v>
                </c:pt>
                <c:pt idx="122">
                  <c:v>18222.597639280717</c:v>
                </c:pt>
                <c:pt idx="123">
                  <c:v>15718.902861672335</c:v>
                </c:pt>
                <c:pt idx="124">
                  <c:v>13494.034168168895</c:v>
                </c:pt>
                <c:pt idx="125">
                  <c:v>11528.024613124328</c:v>
                </c:pt>
                <c:pt idx="126">
                  <c:v>9800.4965903430257</c:v>
                </c:pt>
                <c:pt idx="127">
                  <c:v>8291.0323980982794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3003-419C-A35B-51E0E111B9A1}"/>
            </c:ext>
          </c:extLst>
        </c:ser>
        <c:ser>
          <c:idx val="63"/>
          <c:order val="63"/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output'!$BQ$3:$BQ$130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284778.97635722108</c:v>
                </c:pt>
                <c:pt idx="64">
                  <c:v>284672.78613771085</c:v>
                </c:pt>
                <c:pt idx="65">
                  <c:v>284540.56123526493</c:v>
                </c:pt>
                <c:pt idx="66">
                  <c:v>284376.84180383099</c:v>
                </c:pt>
                <c:pt idx="67">
                  <c:v>284175.26273433689</c:v>
                </c:pt>
                <c:pt idx="68">
                  <c:v>283928.46061739302</c:v>
                </c:pt>
                <c:pt idx="69">
                  <c:v>283627.98408334068</c:v>
                </c:pt>
                <c:pt idx="70">
                  <c:v>283264.21106970694</c:v>
                </c:pt>
                <c:pt idx="71">
                  <c:v>282826.27710271726</c:v>
                </c:pt>
                <c:pt idx="72">
                  <c:v>282302.01915750949</c:v>
                </c:pt>
                <c:pt idx="73">
                  <c:v>281677.94004483073</c:v>
                </c:pt>
                <c:pt idx="74">
                  <c:v>280939.19852154894</c:v>
                </c:pt>
                <c:pt idx="75">
                  <c:v>280069.63039892213</c:v>
                </c:pt>
                <c:pt idx="76">
                  <c:v>279051.80578854331</c:v>
                </c:pt>
                <c:pt idx="77">
                  <c:v>277867.12724780774</c:v>
                </c:pt>
                <c:pt idx="78">
                  <c:v>276495.9729383493</c:v>
                </c:pt>
                <c:pt idx="79">
                  <c:v>274917.88797589234</c:v>
                </c:pt>
                <c:pt idx="80">
                  <c:v>273111.82592488069</c:v>
                </c:pt>
                <c:pt idx="81">
                  <c:v>271056.44088772475</c:v>
                </c:pt>
                <c:pt idx="82">
                  <c:v>268730.42888512288</c:v>
                </c:pt>
                <c:pt idx="83">
                  <c:v>266112.9152670952</c:v>
                </c:pt>
                <c:pt idx="84">
                  <c:v>263183.88279830111</c:v>
                </c:pt>
                <c:pt idx="85">
                  <c:v>259924.63290657679</c:v>
                </c:pt>
                <c:pt idx="86">
                  <c:v>256318.27046506706</c:v>
                </c:pt>
                <c:pt idx="87">
                  <c:v>252350.20050065729</c:v>
                </c:pt>
                <c:pt idx="88">
                  <c:v>248008.62349472506</c:v>
                </c:pt>
                <c:pt idx="89">
                  <c:v>243285.01457600726</c:v>
                </c:pt>
                <c:pt idx="90">
                  <c:v>238174.57100199841</c:v>
                </c:pt>
                <c:pt idx="91">
                  <c:v>232676.61197329819</c:v>
                </c:pt>
                <c:pt idx="92">
                  <c:v>226794.91509283436</c:v>
                </c:pt>
                <c:pt idx="93">
                  <c:v>220537.97471075103</c:v>
                </c:pt>
                <c:pt idx="94">
                  <c:v>213919.16899680946</c:v>
                </c:pt>
                <c:pt idx="95">
                  <c:v>206956.82483205191</c:v>
                </c:pt>
                <c:pt idx="96">
                  <c:v>199674.17245150742</c:v>
                </c:pt>
                <c:pt idx="97">
                  <c:v>192099.18510664502</c:v>
                </c:pt>
                <c:pt idx="98">
                  <c:v>184264.30272559164</c:v>
                </c:pt>
                <c:pt idx="99">
                  <c:v>176206.04248031011</c:v>
                </c:pt>
                <c:pt idx="100">
                  <c:v>167964.50315374314</c:v>
                </c:pt>
                <c:pt idx="101">
                  <c:v>159582.77405716974</c:v>
                </c:pt>
                <c:pt idx="102">
                  <c:v>151106.26279932447</c:v>
                </c:pt>
                <c:pt idx="103">
                  <c:v>142581.95928479504</c:v>
                </c:pt>
                <c:pt idx="104">
                  <c:v>134057.65577026561</c:v>
                </c:pt>
                <c:pt idx="105">
                  <c:v>125581.14451242033</c:v>
                </c:pt>
                <c:pt idx="106">
                  <c:v>117199.41541584695</c:v>
                </c:pt>
                <c:pt idx="107">
                  <c:v>108957.87608927998</c:v>
                </c:pt>
                <c:pt idx="108">
                  <c:v>100899.61584399843</c:v>
                </c:pt>
                <c:pt idx="109">
                  <c:v>93064.733462945078</c:v>
                </c:pt>
                <c:pt idx="110">
                  <c:v>85489.746118082665</c:v>
                </c:pt>
                <c:pt idx="111">
                  <c:v>78207.093737538176</c:v>
                </c:pt>
                <c:pt idx="112">
                  <c:v>71244.749572780624</c:v>
                </c:pt>
                <c:pt idx="113">
                  <c:v>64625.943858839062</c:v>
                </c:pt>
                <c:pt idx="114">
                  <c:v>58369.003476755723</c:v>
                </c:pt>
                <c:pt idx="115">
                  <c:v>52487.306596291877</c:v>
                </c:pt>
                <c:pt idx="116">
                  <c:v>46989.347567591685</c:v>
                </c:pt>
                <c:pt idx="117">
                  <c:v>41878.903993582819</c:v>
                </c:pt>
                <c:pt idx="118">
                  <c:v>37155.295074865018</c:v>
                </c:pt>
                <c:pt idx="119">
                  <c:v>32813.718068932787</c:v>
                </c:pt>
                <c:pt idx="120">
                  <c:v>28845.64810452301</c:v>
                </c:pt>
                <c:pt idx="121">
                  <c:v>25239.285663013299</c:v>
                </c:pt>
                <c:pt idx="122">
                  <c:v>21980.035771288971</c:v>
                </c:pt>
                <c:pt idx="123">
                  <c:v>19051.003302494861</c:v>
                </c:pt>
                <c:pt idx="124">
                  <c:v>16433.489684467178</c:v>
                </c:pt>
                <c:pt idx="125">
                  <c:v>14107.477681865306</c:v>
                </c:pt>
                <c:pt idx="126">
                  <c:v>12052.092644709379</c:v>
                </c:pt>
                <c:pt idx="127">
                  <c:v>10246.030593697749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3003-419C-A35B-51E0E111B9A1}"/>
            </c:ext>
          </c:extLst>
        </c:ser>
        <c:ser>
          <c:idx val="64"/>
          <c:order val="64"/>
          <c:spPr>
            <a:solidFill>
              <a:schemeClr val="accent5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output'!$BR$3:$BR$130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293913.59179985052</c:v>
                </c:pt>
                <c:pt idx="65">
                  <c:v>293803.99540608056</c:v>
                </c:pt>
                <c:pt idx="66">
                  <c:v>293667.52923677134</c:v>
                </c:pt>
                <c:pt idx="67">
                  <c:v>293498.55831498594</c:v>
                </c:pt>
                <c:pt idx="68">
                  <c:v>293290.51336340792</c:v>
                </c:pt>
                <c:pt idx="69">
                  <c:v>293035.79478276451</c:v>
                </c:pt>
                <c:pt idx="70">
                  <c:v>292725.68011592864</c:v>
                </c:pt>
                <c:pt idx="71">
                  <c:v>292350.23866163095</c:v>
                </c:pt>
                <c:pt idx="72">
                  <c:v>291898.25745551963</c:v>
                </c:pt>
                <c:pt idx="73">
                  <c:v>291357.18332962511</c:v>
                </c:pt>
                <c:pt idx="74">
                  <c:v>290713.08615671936</c:v>
                </c:pt>
                <c:pt idx="75">
                  <c:v>289950.64864361065</c:v>
                </c:pt>
                <c:pt idx="76">
                  <c:v>289053.18811648485</c:v>
                </c:pt>
                <c:pt idx="77">
                  <c:v>288002.71560308035</c:v>
                </c:pt>
                <c:pt idx="78">
                  <c:v>286780.03712628497</c:v>
                </c:pt>
                <c:pt idx="79">
                  <c:v>285364.90145454468</c:v>
                </c:pt>
                <c:pt idx="80">
                  <c:v>283736.19758948393</c:v>
                </c:pt>
                <c:pt idx="81">
                  <c:v>281872.20400675409</c:v>
                </c:pt>
                <c:pt idx="82">
                  <c:v>279750.89011438168</c:v>
                </c:pt>
                <c:pt idx="83">
                  <c:v>277350.26858325879</c:v>
                </c:pt>
                <c:pt idx="84">
                  <c:v>274648.79518483451</c:v>
                </c:pt>
                <c:pt idx="85">
                  <c:v>271625.81060776452</c:v>
                </c:pt>
                <c:pt idx="86">
                  <c:v>268262.01650152978</c:v>
                </c:pt>
                <c:pt idx="87">
                  <c:v>264539.97580851667</c:v>
                </c:pt>
                <c:pt idx="88">
                  <c:v>260444.62540494674</c:v>
                </c:pt>
                <c:pt idx="89">
                  <c:v>255963.78728897384</c:v>
                </c:pt>
                <c:pt idx="90">
                  <c:v>251088.66314421722</c:v>
                </c:pt>
                <c:pt idx="91">
                  <c:v>245814.29617464397</c:v>
                </c:pt>
                <c:pt idx="92">
                  <c:v>240139.98374342464</c:v>
                </c:pt>
                <c:pt idx="93">
                  <c:v>234069.62462447534</c:v>
                </c:pt>
                <c:pt idx="94">
                  <c:v>227611.98563405761</c:v>
                </c:pt>
                <c:pt idx="95">
                  <c:v>220780.87406221981</c:v>
                </c:pt>
                <c:pt idx="96">
                  <c:v>213595.20464593623</c:v>
                </c:pt>
                <c:pt idx="97">
                  <c:v>206078.95275692531</c:v>
                </c:pt>
                <c:pt idx="98">
                  <c:v>198260.98892109012</c:v>
                </c:pt>
                <c:pt idx="99">
                  <c:v>190174.79361481793</c:v>
                </c:pt>
                <c:pt idx="100">
                  <c:v>181858.05534064936</c:v>
                </c:pt>
                <c:pt idx="101">
                  <c:v>173352.15909642473</c:v>
                </c:pt>
                <c:pt idx="102">
                  <c:v>164701.57633298004</c:v>
                </c:pt>
                <c:pt idx="103">
                  <c:v>155953.17116068231</c:v>
                </c:pt>
                <c:pt idx="104">
                  <c:v>147155.44073972348</c:v>
                </c:pt>
                <c:pt idx="105">
                  <c:v>138357.71031876464</c:v>
                </c:pt>
                <c:pt idx="106">
                  <c:v>129609.30514646691</c:v>
                </c:pt>
                <c:pt idx="107">
                  <c:v>120958.72238302222</c:v>
                </c:pt>
                <c:pt idx="108">
                  <c:v>112452.82613879759</c:v>
                </c:pt>
                <c:pt idx="109">
                  <c:v>104136.08786462904</c:v>
                </c:pt>
                <c:pt idx="110">
                  <c:v>96049.892558356849</c:v>
                </c:pt>
                <c:pt idx="111">
                  <c:v>88231.928722521639</c:v>
                </c:pt>
                <c:pt idx="112">
                  <c:v>80715.676833510704</c:v>
                </c:pt>
                <c:pt idx="113">
                  <c:v>73530.007417227142</c:v>
                </c:pt>
                <c:pt idx="114">
                  <c:v>66698.895845389328</c:v>
                </c:pt>
                <c:pt idx="115">
                  <c:v>60241.256854971602</c:v>
                </c:pt>
                <c:pt idx="116">
                  <c:v>54170.897736022293</c:v>
                </c:pt>
                <c:pt idx="117">
                  <c:v>48496.585304802975</c:v>
                </c:pt>
                <c:pt idx="118">
                  <c:v>43222.218335229722</c:v>
                </c:pt>
                <c:pt idx="119">
                  <c:v>38347.094190473115</c:v>
                </c:pt>
                <c:pt idx="120">
                  <c:v>33866.256074500212</c:v>
                </c:pt>
                <c:pt idx="121">
                  <c:v>29770.905670930264</c:v>
                </c:pt>
                <c:pt idx="122">
                  <c:v>26048.864977917146</c:v>
                </c:pt>
                <c:pt idx="123">
                  <c:v>22685.070871682448</c:v>
                </c:pt>
                <c:pt idx="124">
                  <c:v>19662.086294612451</c:v>
                </c:pt>
                <c:pt idx="125">
                  <c:v>16960.612896188137</c:v>
                </c:pt>
                <c:pt idx="126">
                  <c:v>14559.991365065256</c:v>
                </c:pt>
                <c:pt idx="127">
                  <c:v>12438.677472692843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3003-419C-A35B-51E0E111B9A1}"/>
            </c:ext>
          </c:extLst>
        </c:ser>
        <c:ser>
          <c:idx val="65"/>
          <c:order val="65"/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output'!$BS$3:$BS$130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308441.69273197569</c:v>
                </c:pt>
                <c:pt idx="66">
                  <c:v>308326.67900632689</c:v>
                </c:pt>
                <c:pt idx="67">
                  <c:v>308183.46733651392</c:v>
                </c:pt>
                <c:pt idx="68">
                  <c:v>308006.14420960844</c:v>
                </c:pt>
                <c:pt idx="69">
                  <c:v>307787.8156299871</c:v>
                </c:pt>
                <c:pt idx="70">
                  <c:v>307520.50635142392</c:v>
                </c:pt>
                <c:pt idx="71">
                  <c:v>307195.06276715774</c:v>
                </c:pt>
                <c:pt idx="72">
                  <c:v>306801.06330297451</c:v>
                </c:pt>
                <c:pt idx="73">
                  <c:v>306326.74073952204</c:v>
                </c:pt>
                <c:pt idx="74">
                  <c:v>305758.92140778445</c:v>
                </c:pt>
                <c:pt idx="75">
                  <c:v>305082.98661661561</c:v>
                </c:pt>
                <c:pt idx="76">
                  <c:v>304282.86194151803</c:v>
                </c:pt>
                <c:pt idx="77">
                  <c:v>303341.0400868305</c:v>
                </c:pt>
                <c:pt idx="78">
                  <c:v>302238.6428883248</c:v>
                </c:pt>
                <c:pt idx="79">
                  <c:v>300955.52761372895</c:v>
                </c:pt>
                <c:pt idx="80">
                  <c:v>299470.44201641431</c:v>
                </c:pt>
                <c:pt idx="81">
                  <c:v>297761.23158479691</c:v>
                </c:pt>
                <c:pt idx="82">
                  <c:v>295805.10110312031</c:v>
                </c:pt>
                <c:pt idx="83">
                  <c:v>293578.93101084104</c:v>
                </c:pt>
                <c:pt idx="84">
                  <c:v>291059.64714875753</c:v>
                </c:pt>
                <c:pt idx="85">
                  <c:v>288224.64036061341</c:v>
                </c:pt>
                <c:pt idx="86">
                  <c:v>285052.23014867236</c:v>
                </c:pt>
                <c:pt idx="87">
                  <c:v>281522.16424809495</c:v>
                </c:pt>
                <c:pt idx="88">
                  <c:v>277616.1436903521</c:v>
                </c:pt>
                <c:pt idx="89">
                  <c:v>273318.36078391236</c:v>
                </c:pt>
                <c:pt idx="90">
                  <c:v>268616.0355702836</c:v>
                </c:pt>
                <c:pt idx="91">
                  <c:v>263499.93483374047</c:v>
                </c:pt>
                <c:pt idx="92">
                  <c:v>257964.85676463012</c:v>
                </c:pt>
                <c:pt idx="93">
                  <c:v>252010.06399489928</c:v>
                </c:pt>
                <c:pt idx="94">
                  <c:v>245639.64801422306</c:v>
                </c:pt>
                <c:pt idx="95">
                  <c:v>238862.80898116183</c:v>
                </c:pt>
                <c:pt idx="96">
                  <c:v>231694.03667786031</c:v>
                </c:pt>
                <c:pt idx="97">
                  <c:v>224153.18079365816</c:v>
                </c:pt>
                <c:pt idx="98">
                  <c:v>216265.40179898962</c:v>
                </c:pt>
                <c:pt idx="99">
                  <c:v>208060.99728514702</c:v>
                </c:pt>
                <c:pt idx="100">
                  <c:v>199575.10266300791</c:v>
                </c:pt>
                <c:pt idx="101">
                  <c:v>190847.26937164983</c:v>
                </c:pt>
                <c:pt idx="102">
                  <c:v>181920.92806261027</c:v>
                </c:pt>
                <c:pt idx="103">
                  <c:v>172842.74840329078</c:v>
                </c:pt>
                <c:pt idx="104">
                  <c:v>163661.91098939456</c:v>
                </c:pt>
                <c:pt idx="105">
                  <c:v>154429.31018783641</c:v>
                </c:pt>
                <c:pt idx="106">
                  <c:v>145196.70938627826</c:v>
                </c:pt>
                <c:pt idx="107">
                  <c:v>136015.87197238204</c:v>
                </c:pt>
                <c:pt idx="108">
                  <c:v>126937.69231306255</c:v>
                </c:pt>
                <c:pt idx="109">
                  <c:v>118011.35100402299</c:v>
                </c:pt>
                <c:pt idx="110">
                  <c:v>109283.51771266492</c:v>
                </c:pt>
                <c:pt idx="111">
                  <c:v>100797.62309052578</c:v>
                </c:pt>
                <c:pt idx="112">
                  <c:v>92593.218576683197</c:v>
                </c:pt>
                <c:pt idx="113">
                  <c:v>84705.43958201466</c:v>
                </c:pt>
                <c:pt idx="114">
                  <c:v>77164.58369781253</c:v>
                </c:pt>
                <c:pt idx="115">
                  <c:v>69995.811394510994</c:v>
                </c:pt>
                <c:pt idx="116">
                  <c:v>63218.972361449756</c:v>
                </c:pt>
                <c:pt idx="117">
                  <c:v>56848.556380773553</c:v>
                </c:pt>
                <c:pt idx="118">
                  <c:v>50893.76361104269</c:v>
                </c:pt>
                <c:pt idx="119">
                  <c:v>45358.685541932369</c:v>
                </c:pt>
                <c:pt idx="120">
                  <c:v>40242.584805389241</c:v>
                </c:pt>
                <c:pt idx="121">
                  <c:v>35540.259591760441</c:v>
                </c:pt>
                <c:pt idx="122">
                  <c:v>31242.476685320737</c:v>
                </c:pt>
                <c:pt idx="123">
                  <c:v>27336.456127577865</c:v>
                </c:pt>
                <c:pt idx="124">
                  <c:v>23806.39022700048</c:v>
                </c:pt>
                <c:pt idx="125">
                  <c:v>20633.980015059406</c:v>
                </c:pt>
                <c:pt idx="126">
                  <c:v>17798.973226915281</c:v>
                </c:pt>
                <c:pt idx="127">
                  <c:v>15279.689364831753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3003-419C-A35B-51E0E111B9A1}"/>
            </c:ext>
          </c:extLst>
        </c:ser>
        <c:ser>
          <c:idx val="66"/>
          <c:order val="66"/>
          <c:spPr>
            <a:solidFill>
              <a:schemeClr val="accent1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output'!$BT$3:$BT$130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321670.13230083819</c:v>
                </c:pt>
                <c:pt idx="67">
                  <c:v>321550.1858694132</c:v>
                </c:pt>
                <c:pt idx="68">
                  <c:v>321400.83214110322</c:v>
                </c:pt>
                <c:pt idx="69">
                  <c:v>321215.90398438595</c:v>
                </c:pt>
                <c:pt idx="70">
                  <c:v>320988.2117341269</c:v>
                </c:pt>
                <c:pt idx="71">
                  <c:v>320709.43810194038</c:v>
                </c:pt>
                <c:pt idx="72">
                  <c:v>320370.0369014084</c:v>
                </c:pt>
                <c:pt idx="73">
                  <c:v>319959.13959810371</c:v>
                </c:pt>
                <c:pt idx="74">
                  <c:v>319464.47430046642</c:v>
                </c:pt>
                <c:pt idx="75">
                  <c:v>318872.3023474947</c:v>
                </c:pt>
                <c:pt idx="76">
                  <c:v>318167.37808198377</c:v>
                </c:pt>
                <c:pt idx="77">
                  <c:v>317332.93767992227</c:v>
                </c:pt>
                <c:pt idx="78">
                  <c:v>316350.72299319244</c:v>
                </c:pt>
                <c:pt idx="79">
                  <c:v>315201.0462113329</c:v>
                </c:pt>
                <c:pt idx="80">
                  <c:v>313862.90072107606</c:v>
                </c:pt>
                <c:pt idx="81">
                  <c:v>312314.12280997384</c:v>
                </c:pt>
                <c:pt idx="82">
                  <c:v>310531.60780430597</c:v>
                </c:pt>
                <c:pt idx="83">
                  <c:v>308491.58284767543</c:v>
                </c:pt>
                <c:pt idx="84">
                  <c:v>306169.93682840688</c:v>
                </c:pt>
                <c:pt idx="85">
                  <c:v>303542.60598333867</c:v>
                </c:pt>
                <c:pt idx="86">
                  <c:v>300586.01149528887</c:v>
                </c:pt>
                <c:pt idx="87">
                  <c:v>297277.54303387902</c:v>
                </c:pt>
                <c:pt idx="88">
                  <c:v>293596.07975564402</c:v>
                </c:pt>
                <c:pt idx="89">
                  <c:v>289522.53788635222</c:v>
                </c:pt>
                <c:pt idx="90">
                  <c:v>285040.431774595</c:v>
                </c:pt>
                <c:pt idx="91">
                  <c:v>280136.43335534132</c:v>
                </c:pt>
                <c:pt idx="92">
                  <c:v>274800.91341894184</c:v>
                </c:pt>
                <c:pt idx="93">
                  <c:v>269028.44706066215</c:v>
                </c:pt>
                <c:pt idx="94">
                  <c:v>262818.26528822619</c:v>
                </c:pt>
                <c:pt idx="95">
                  <c:v>256174.63506701565</c:v>
                </c:pt>
                <c:pt idx="96">
                  <c:v>249107.15113176004</c:v>
                </c:pt>
                <c:pt idx="97">
                  <c:v>241630.92470201664</c:v>
                </c:pt>
                <c:pt idx="98">
                  <c:v>233766.65678010287</c:v>
                </c:pt>
                <c:pt idx="99">
                  <c:v>225540.58691807682</c:v>
                </c:pt>
                <c:pt idx="100">
                  <c:v>216984.31210956504</c:v>
                </c:pt>
                <c:pt idx="101">
                  <c:v>208134.474652064</c:v>
                </c:pt>
                <c:pt idx="102">
                  <c:v>199032.32226577681</c:v>
                </c:pt>
                <c:pt idx="103">
                  <c:v>189723.14825493295</c:v>
                </c:pt>
                <c:pt idx="104">
                  <c:v>180255.62385445705</c:v>
                </c:pt>
                <c:pt idx="105">
                  <c:v>170681.0389162052</c:v>
                </c:pt>
                <c:pt idx="106">
                  <c:v>161052.47056342181</c:v>
                </c:pt>
                <c:pt idx="107">
                  <c:v>151423.90221063842</c:v>
                </c:pt>
                <c:pt idx="108">
                  <c:v>141849.31727238657</c:v>
                </c:pt>
                <c:pt idx="109">
                  <c:v>132381.79287191067</c:v>
                </c:pt>
                <c:pt idx="110">
                  <c:v>123072.6188610668</c:v>
                </c:pt>
                <c:pt idx="111">
                  <c:v>113970.46647477962</c:v>
                </c:pt>
                <c:pt idx="112">
                  <c:v>105120.62901727858</c:v>
                </c:pt>
                <c:pt idx="113">
                  <c:v>96564.354208766788</c:v>
                </c:pt>
                <c:pt idx="114">
                  <c:v>88338.284346740751</c:v>
                </c:pt>
                <c:pt idx="115">
                  <c:v>80474.016424827001</c:v>
                </c:pt>
                <c:pt idx="116">
                  <c:v>72997.7899950836</c:v>
                </c:pt>
                <c:pt idx="117">
                  <c:v>65930.30605982797</c:v>
                </c:pt>
                <c:pt idx="118">
                  <c:v>59286.675838617433</c:v>
                </c:pt>
                <c:pt idx="119">
                  <c:v>53076.494066181498</c:v>
                </c:pt>
                <c:pt idx="120">
                  <c:v>47304.027707901761</c:v>
                </c:pt>
                <c:pt idx="121">
                  <c:v>41968.507771502329</c:v>
                </c:pt>
                <c:pt idx="122">
                  <c:v>37064.509352248635</c:v>
                </c:pt>
                <c:pt idx="123">
                  <c:v>32582.403240491381</c:v>
                </c:pt>
                <c:pt idx="124">
                  <c:v>28508.861371199571</c:v>
                </c:pt>
                <c:pt idx="125">
                  <c:v>24827.398092964591</c:v>
                </c:pt>
                <c:pt idx="126">
                  <c:v>21518.929631554725</c:v>
                </c:pt>
                <c:pt idx="127">
                  <c:v>18562.335143504974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3003-419C-A35B-51E0E111B9A1}"/>
            </c:ext>
          </c:extLst>
        </c:ser>
        <c:ser>
          <c:idx val="67"/>
          <c:order val="67"/>
          <c:spPr>
            <a:solidFill>
              <a:schemeClr val="accent2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output'!$BU$3:$BU$130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324988.87010817626</c:v>
                </c:pt>
                <c:pt idx="68">
                  <c:v>324867.68616441533</c:v>
                </c:pt>
                <c:pt idx="69">
                  <c:v>324716.7915225575</c:v>
                </c:pt>
                <c:pt idx="70">
                  <c:v>324529.95542349893</c:v>
                </c:pt>
                <c:pt idx="71">
                  <c:v>324299.91402483138</c:v>
                </c:pt>
                <c:pt idx="72">
                  <c:v>324018.26422697096</c:v>
                </c:pt>
                <c:pt idx="73">
                  <c:v>323675.36135350465</c:v>
                </c:pt>
                <c:pt idx="74">
                  <c:v>323260.22473706992</c:v>
                </c:pt>
                <c:pt idx="75">
                  <c:v>322760.45587444352</c:v>
                </c:pt>
                <c:pt idx="76">
                  <c:v>322162.17435999424</c:v>
                </c:pt>
                <c:pt idx="77">
                  <c:v>321449.97724389407</c:v>
                </c:pt>
                <c:pt idx="78">
                  <c:v>320606.92774626473</c:v>
                </c:pt>
                <c:pt idx="79">
                  <c:v>319614.57934586849</c:v>
                </c:pt>
                <c:pt idx="80">
                  <c:v>318453.04110899952</c:v>
                </c:pt>
                <c:pt idx="81">
                  <c:v>317101.0896927822</c:v>
                </c:pt>
                <c:pt idx="82">
                  <c:v>315536.33271712722</c:v>
                </c:pt>
                <c:pt idx="83">
                  <c:v>313735.42713257921</c:v>
                </c:pt>
                <c:pt idx="84">
                  <c:v>311674.35481322627</c:v>
                </c:pt>
                <c:pt idx="85">
                  <c:v>309328.75588802801</c:v>
                </c:pt>
                <c:pt idx="86">
                  <c:v>306674.31832296203</c:v>
                </c:pt>
                <c:pt idx="87">
                  <c:v>303687.22003327467</c:v>
                </c:pt>
                <c:pt idx="88">
                  <c:v>300344.61741309561</c:v>
                </c:pt>
                <c:pt idx="89">
                  <c:v>296625.17171081516</c:v>
                </c:pt>
                <c:pt idx="90">
                  <c:v>292509.60226092488</c:v>
                </c:pt>
                <c:pt idx="91">
                  <c:v>287981.25332611409</c:v>
                </c:pt>
                <c:pt idx="92">
                  <c:v>283026.65933292668</c:v>
                </c:pt>
                <c:pt idx="93">
                  <c:v>277636.09172515012</c:v>
                </c:pt>
                <c:pt idx="94">
                  <c:v>271804.06962817692</c:v>
                </c:pt>
                <c:pt idx="95">
                  <c:v>265529.81611587747</c:v>
                </c:pt>
                <c:pt idx="96">
                  <c:v>258817.64217680483</c:v>
                </c:pt>
                <c:pt idx="97">
                  <c:v>251677.24153656661</c:v>
                </c:pt>
                <c:pt idx="98">
                  <c:v>244123.88132032231</c:v>
                </c:pt>
                <c:pt idx="99">
                  <c:v>236178.4761069454</c:v>
                </c:pt>
                <c:pt idx="100">
                  <c:v>227867.53616742213</c:v>
                </c:pt>
                <c:pt idx="101">
                  <c:v>219222.98448814877</c:v>
                </c:pt>
                <c:pt idx="102">
                  <c:v>210281.84141284315</c:v>
                </c:pt>
                <c:pt idx="103">
                  <c:v>201085.78022303586</c:v>
                </c:pt>
                <c:pt idx="104">
                  <c:v>191680.56152341753</c:v>
                </c:pt>
                <c:pt idx="105">
                  <c:v>182115.35870018907</c:v>
                </c:pt>
                <c:pt idx="106">
                  <c:v>172441.99077329956</c:v>
                </c:pt>
                <c:pt idx="107">
                  <c:v>162714.08247373792</c:v>
                </c:pt>
                <c:pt idx="108">
                  <c:v>152986.17417417627</c:v>
                </c:pt>
                <c:pt idx="109">
                  <c:v>143312.80624728676</c:v>
                </c:pt>
                <c:pt idx="110">
                  <c:v>133747.6034240583</c:v>
                </c:pt>
                <c:pt idx="111">
                  <c:v>124342.38472443997</c:v>
                </c:pt>
                <c:pt idx="112">
                  <c:v>115146.32353463268</c:v>
                </c:pt>
                <c:pt idx="113">
                  <c:v>106205.18045932706</c:v>
                </c:pt>
                <c:pt idx="114">
                  <c:v>97560.628780053696</c:v>
                </c:pt>
                <c:pt idx="115">
                  <c:v>89249.688840530449</c:v>
                </c:pt>
                <c:pt idx="116">
                  <c:v>81304.28362715352</c:v>
                </c:pt>
                <c:pt idx="117">
                  <c:v>73750.923410909207</c:v>
                </c:pt>
                <c:pt idx="118">
                  <c:v>66610.522770670999</c:v>
                </c:pt>
                <c:pt idx="119">
                  <c:v>59898.348831598334</c:v>
                </c:pt>
                <c:pt idx="120">
                  <c:v>53624.09531929894</c:v>
                </c:pt>
                <c:pt idx="121">
                  <c:v>47792.073222325707</c:v>
                </c:pt>
                <c:pt idx="122">
                  <c:v>42401.505614549147</c:v>
                </c:pt>
                <c:pt idx="123">
                  <c:v>37446.911621361709</c:v>
                </c:pt>
                <c:pt idx="124">
                  <c:v>32918.562686550933</c:v>
                </c:pt>
                <c:pt idx="125">
                  <c:v>28802.993236660659</c:v>
                </c:pt>
                <c:pt idx="126">
                  <c:v>25083.547534380232</c:v>
                </c:pt>
                <c:pt idx="127">
                  <c:v>21740.944914201165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3003-419C-A35B-51E0E111B9A1}"/>
            </c:ext>
          </c:extLst>
        </c:ser>
        <c:ser>
          <c:idx val="68"/>
          <c:order val="68"/>
          <c:spPr>
            <a:solidFill>
              <a:schemeClr val="accent3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output'!$BV$3:$BV$130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330089.07074424141</c:v>
                </c:pt>
                <c:pt idx="69">
                  <c:v>329965.98500480718</c:v>
                </c:pt>
                <c:pt idx="70">
                  <c:v>329812.72230355052</c:v>
                </c:pt>
                <c:pt idx="71">
                  <c:v>329622.95409918338</c:v>
                </c:pt>
                <c:pt idx="72">
                  <c:v>329389.30255445937</c:v>
                </c:pt>
                <c:pt idx="73">
                  <c:v>329103.23269606667</c:v>
                </c:pt>
                <c:pt idx="74">
                  <c:v>328754.94848922495</c:v>
                </c:pt>
                <c:pt idx="75">
                  <c:v>328333.29694188049</c:v>
                </c:pt>
                <c:pt idx="76">
                  <c:v>327825.68497536494</c:v>
                </c:pt>
                <c:pt idx="77">
                  <c:v>327218.0143524225</c:v>
                </c:pt>
                <c:pt idx="78">
                  <c:v>326494.64039760985</c:v>
                </c:pt>
                <c:pt idx="79">
                  <c:v>325638.36053432949</c:v>
                </c:pt>
                <c:pt idx="80">
                  <c:v>324630.43875155493</c:v>
                </c:pt>
                <c:pt idx="81">
                  <c:v>323450.67195795866</c:v>
                </c:pt>
                <c:pt idx="82">
                  <c:v>322077.5037429303</c:v>
                </c:pt>
                <c:pt idx="83">
                  <c:v>320488.19031240389</c:v>
                </c:pt>
                <c:pt idx="84">
                  <c:v>318659.02228365355</c:v>
                </c:pt>
                <c:pt idx="85">
                  <c:v>316565.60460320982</c:v>
                </c:pt>
                <c:pt idx="86">
                  <c:v>314183.19510931039</c:v>
                </c:pt>
                <c:pt idx="87">
                  <c:v>311487.10022793926</c:v>
                </c:pt>
                <c:pt idx="88">
                  <c:v>308453.12402334984</c:v>
                </c:pt>
                <c:pt idx="89">
                  <c:v>305058.06439440034</c:v>
                </c:pt>
                <c:pt idx="90">
                  <c:v>301280.24771058362</c:v>
                </c:pt>
                <c:pt idx="91">
                  <c:v>297100.09072599065</c:v>
                </c:pt>
                <c:pt idx="92">
                  <c:v>292500.67631712242</c:v>
                </c:pt>
                <c:pt idx="93">
                  <c:v>287468.32758905098</c:v>
                </c:pt>
                <c:pt idx="94">
                  <c:v>281993.16331083223</c:v>
                </c:pt>
                <c:pt idx="95">
                  <c:v>276069.61659395852</c:v>
                </c:pt>
                <c:pt idx="96">
                  <c:v>269696.89831963938</c:v>
                </c:pt>
                <c:pt idx="97">
                  <c:v>262879.38713076478</c:v>
                </c:pt>
                <c:pt idx="98">
                  <c:v>255626.92888106141</c:v>
                </c:pt>
                <c:pt idx="99">
                  <c:v>247955.03028974446</c:v>
                </c:pt>
                <c:pt idx="100">
                  <c:v>239884.934157846</c:v>
                </c:pt>
                <c:pt idx="101">
                  <c:v>231443.56679429513</c:v>
                </c:pt>
                <c:pt idx="102">
                  <c:v>222663.35216767699</c:v>
                </c:pt>
                <c:pt idx="103">
                  <c:v>213581.89159908413</c:v>
                </c:pt>
                <c:pt idx="104">
                  <c:v>204241.51236812692</c:v>
                </c:pt>
                <c:pt idx="105">
                  <c:v>194688.6932218282</c:v>
                </c:pt>
                <c:pt idx="106">
                  <c:v>184973.37924707969</c:v>
                </c:pt>
                <c:pt idx="107">
                  <c:v>175148.20268367536</c:v>
                </c:pt>
                <c:pt idx="108">
                  <c:v>165267.62982030731</c:v>
                </c:pt>
                <c:pt idx="109">
                  <c:v>155387.05695693925</c:v>
                </c:pt>
                <c:pt idx="110">
                  <c:v>145561.88039353493</c:v>
                </c:pt>
                <c:pt idx="111">
                  <c:v>135846.56641878642</c:v>
                </c:pt>
                <c:pt idx="112">
                  <c:v>126293.74727248772</c:v>
                </c:pt>
                <c:pt idx="113">
                  <c:v>116953.36804153047</c:v>
                </c:pt>
                <c:pt idx="114">
                  <c:v>107871.90747293764</c:v>
                </c:pt>
                <c:pt idx="115">
                  <c:v>99091.692846319478</c:v>
                </c:pt>
                <c:pt idx="116">
                  <c:v>90650.325482768618</c:v>
                </c:pt>
                <c:pt idx="117">
                  <c:v>82580.229350870155</c:v>
                </c:pt>
                <c:pt idx="118">
                  <c:v>74908.33075955321</c:v>
                </c:pt>
                <c:pt idx="119">
                  <c:v>67655.872509849854</c:v>
                </c:pt>
                <c:pt idx="120">
                  <c:v>60838.361320975229</c:v>
                </c:pt>
                <c:pt idx="121">
                  <c:v>54465.6430466561</c:v>
                </c:pt>
                <c:pt idx="122">
                  <c:v>48542.096329782413</c:v>
                </c:pt>
                <c:pt idx="123">
                  <c:v>43066.932051563621</c:v>
                </c:pt>
                <c:pt idx="124">
                  <c:v>38034.583323492225</c:v>
                </c:pt>
                <c:pt idx="125">
                  <c:v>33435.168914623959</c:v>
                </c:pt>
                <c:pt idx="126">
                  <c:v>29255.011930030989</c:v>
                </c:pt>
                <c:pt idx="127">
                  <c:v>25477.195246214284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3003-419C-A35B-51E0E111B9A1}"/>
            </c:ext>
          </c:extLst>
        </c:ser>
        <c:ser>
          <c:idx val="69"/>
          <c:order val="69"/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output'!$BW$3:$BW$130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336175.52876205329</c:v>
                </c:pt>
                <c:pt idx="70">
                  <c:v>336050.17346493888</c:v>
                </c:pt>
                <c:pt idx="71">
                  <c:v>335894.08477797231</c:v>
                </c:pt>
                <c:pt idx="72">
                  <c:v>335700.8174689351</c:v>
                </c:pt>
                <c:pt idx="73">
                  <c:v>335462.85766185465</c:v>
                </c:pt>
                <c:pt idx="74">
                  <c:v>335171.51300845179</c:v>
                </c:pt>
                <c:pt idx="75">
                  <c:v>334816.80684647401</c:v>
                </c:pt>
                <c:pt idx="76">
                  <c:v>334387.38053568383</c:v>
                </c:pt>
                <c:pt idx="77">
                  <c:v>333870.40879570908</c:v>
                </c:pt>
                <c:pt idx="78">
                  <c:v>333251.53343421879</c:v>
                </c:pt>
                <c:pt idx="79">
                  <c:v>332514.82130617544</c:v>
                </c:pt>
                <c:pt idx="80">
                  <c:v>331642.7526395045</c:v>
                </c:pt>
                <c:pt idx="81">
                  <c:v>330616.24595295754</c:v>
                </c:pt>
                <c:pt idx="82">
                  <c:v>329414.72563373309</c:v>
                </c:pt>
                <c:pt idx="83">
                  <c:v>328016.23779611522</c:v>
                </c:pt>
                <c:pt idx="84">
                  <c:v>326397.61927696457</c:v>
                </c:pt>
                <c:pt idx="85">
                  <c:v>324534.72352015163</c:v>
                </c:pt>
                <c:pt idx="86">
                  <c:v>322402.70565583318</c:v>
                </c:pt>
                <c:pt idx="87">
                  <c:v>319976.36730560061</c:v>
                </c:pt>
                <c:pt idx="88">
                  <c:v>317230.55957469315</c:v>
                </c:pt>
                <c:pt idx="89">
                  <c:v>314140.64038248931</c:v>
                </c:pt>
                <c:pt idx="90">
                  <c:v>310682.97980812541</c:v>
                </c:pt>
                <c:pt idx="91">
                  <c:v>306835.50458459032</c:v>
                </c:pt>
                <c:pt idx="92">
                  <c:v>302578.27037372859</c:v>
                </c:pt>
                <c:pt idx="93">
                  <c:v>297894.0481199869</c:v>
                </c:pt>
                <c:pt idx="94">
                  <c:v>292768.90874242404</c:v>
                </c:pt>
                <c:pt idx="95">
                  <c:v>287192.78881170554</c:v>
                </c:pt>
                <c:pt idx="96">
                  <c:v>281160.01879238349</c:v>
                </c:pt>
                <c:pt idx="97">
                  <c:v>274669.7950152359</c:v>
                </c:pt>
                <c:pt idx="98">
                  <c:v>267726.57686022791</c:v>
                </c:pt>
                <c:pt idx="99">
                  <c:v>260340.39172716171</c:v>
                </c:pt>
                <c:pt idx="100">
                  <c:v>252527.03226109457</c:v>
                </c:pt>
                <c:pt idx="101">
                  <c:v>244308.13295556858</c:v>
                </c:pt>
                <c:pt idx="102">
                  <c:v>235711.11660928908</c:v>
                </c:pt>
                <c:pt idx="103">
                  <c:v>226769.00505105851</c:v>
                </c:pt>
                <c:pt idx="104">
                  <c:v>217520.09292653707</c:v>
                </c:pt>
                <c:pt idx="105">
                  <c:v>208007.48798107347</c:v>
                </c:pt>
                <c:pt idx="106">
                  <c:v>198278.52597565312</c:v>
                </c:pt>
                <c:pt idx="107">
                  <c:v>188384.07292640014</c:v>
                </c:pt>
                <c:pt idx="108">
                  <c:v>178377.7315503108</c:v>
                </c:pt>
                <c:pt idx="109">
                  <c:v>168314.97243100512</c:v>
                </c:pt>
                <c:pt idx="110">
                  <c:v>158252.21331169945</c:v>
                </c:pt>
                <c:pt idx="111">
                  <c:v>148245.87193561011</c:v>
                </c:pt>
                <c:pt idx="112">
                  <c:v>138351.41888635713</c:v>
                </c:pt>
                <c:pt idx="113">
                  <c:v>128622.45688093678</c:v>
                </c:pt>
                <c:pt idx="114">
                  <c:v>119109.85193547318</c:v>
                </c:pt>
                <c:pt idx="115">
                  <c:v>109860.93981095175</c:v>
                </c:pt>
                <c:pt idx="116">
                  <c:v>100918.82825272116</c:v>
                </c:pt>
                <c:pt idx="117">
                  <c:v>92321.811906441668</c:v>
                </c:pt>
                <c:pt idx="118">
                  <c:v>84102.912600915675</c:v>
                </c:pt>
                <c:pt idx="119">
                  <c:v>76289.553134848524</c:v>
                </c:pt>
                <c:pt idx="120">
                  <c:v>68903.368001782364</c:v>
                </c:pt>
                <c:pt idx="121">
                  <c:v>61960.149846774359</c:v>
                </c:pt>
                <c:pt idx="122">
                  <c:v>55469.926069626752</c:v>
                </c:pt>
                <c:pt idx="123">
                  <c:v>49437.156050304693</c:v>
                </c:pt>
                <c:pt idx="124">
                  <c:v>43861.036119586206</c:v>
                </c:pt>
                <c:pt idx="125">
                  <c:v>38735.896742023338</c:v>
                </c:pt>
                <c:pt idx="126">
                  <c:v>34051.674488281635</c:v>
                </c:pt>
                <c:pt idx="127">
                  <c:v>29794.440277419933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3003-419C-A35B-51E0E111B9A1}"/>
            </c:ext>
          </c:extLst>
        </c:ser>
        <c:ser>
          <c:idx val="70"/>
          <c:order val="70"/>
          <c:spPr>
            <a:solidFill>
              <a:schemeClr val="accent5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output'!$BX$3:$BX$130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342886.182842448</c:v>
                </c:pt>
                <c:pt idx="71">
                  <c:v>342758.32523340394</c:v>
                </c:pt>
                <c:pt idx="72">
                  <c:v>342599.12074206001</c:v>
                </c:pt>
                <c:pt idx="73">
                  <c:v>342401.99547804083</c:v>
                </c:pt>
                <c:pt idx="74">
                  <c:v>342159.28557521058</c:v>
                </c:pt>
                <c:pt idx="75">
                  <c:v>341862.1251707495</c:v>
                </c:pt>
                <c:pt idx="76">
                  <c:v>341500.33845070138</c:v>
                </c:pt>
                <c:pt idx="77">
                  <c:v>341062.34003641707</c:v>
                </c:pt>
                <c:pt idx="78">
                  <c:v>340535.0486323993</c:v>
                </c:pt>
                <c:pt idx="79">
                  <c:v>339903.81943157647</c:v>
                </c:pt>
                <c:pt idx="80">
                  <c:v>339152.40123534808</c:v>
                </c:pt>
                <c:pt idx="81">
                  <c:v>338262.92454621365</c:v>
                </c:pt>
                <c:pt idx="82">
                  <c:v>337215.92698304041</c:v>
                </c:pt>
                <c:pt idx="83">
                  <c:v>335990.4222076523</c:v>
                </c:pt>
                <c:pt idx="84">
                  <c:v>334564.01809621032</c:v>
                </c:pt>
                <c:pt idx="85">
                  <c:v>332913.08910815039</c:v>
                </c:pt>
                <c:pt idx="86">
                  <c:v>331013.00667966669</c:v>
                </c:pt>
                <c:pt idx="87">
                  <c:v>328838.42999367154</c:v>
                </c:pt>
                <c:pt idx="88">
                  <c:v>326363.65766785963</c:v>
                </c:pt>
                <c:pt idx="89">
                  <c:v>323563.0387913544</c:v>
                </c:pt>
                <c:pt idx="90">
                  <c:v>320411.43938431877</c:v>
                </c:pt>
                <c:pt idx="91">
                  <c:v>316884.75783116015</c:v>
                </c:pt>
                <c:pt idx="92">
                  <c:v>312960.48024368408</c:v>
                </c:pt>
                <c:pt idx="93">
                  <c:v>308618.26415971131</c:v>
                </c:pt>
                <c:pt idx="94">
                  <c:v>303840.53660147492</c:v>
                </c:pt>
                <c:pt idx="95">
                  <c:v>298613.09043911041</c:v>
                </c:pt>
                <c:pt idx="96">
                  <c:v>292925.66135955637</c:v>
                </c:pt>
                <c:pt idx="97">
                  <c:v>286772.46665347822</c:v>
                </c:pt>
                <c:pt idx="98">
                  <c:v>280152.68660900451</c:v>
                </c:pt>
                <c:pt idx="99">
                  <c:v>273070.86962315789</c:v>
                </c:pt>
                <c:pt idx="100">
                  <c:v>265537.24326025473</c:v>
                </c:pt>
                <c:pt idx="101">
                  <c:v>257567.91541428908</c:v>
                </c:pt>
                <c:pt idx="102">
                  <c:v>249184.95244129721</c:v>
                </c:pt>
                <c:pt idx="103">
                  <c:v>240416.32454721758</c:v>
                </c:pt>
                <c:pt idx="104">
                  <c:v>231295.7127345617</c:v>
                </c:pt>
                <c:pt idx="105">
                  <c:v>221862.17607738558</c:v>
                </c:pt>
                <c:pt idx="106">
                  <c:v>212159.68282735822</c:v>
                </c:pt>
                <c:pt idx="107">
                  <c:v>202236.51365040429</c:v>
                </c:pt>
                <c:pt idx="108">
                  <c:v>192144.54993768112</c:v>
                </c:pt>
                <c:pt idx="109">
                  <c:v>181938.46441057476</c:v>
                </c:pt>
                <c:pt idx="110">
                  <c:v>171674.83494299397</c:v>
                </c:pt>
                <c:pt idx="111">
                  <c:v>161411.20547541318</c:v>
                </c:pt>
                <c:pt idx="112">
                  <c:v>151205.11994830682</c:v>
                </c:pt>
                <c:pt idx="113">
                  <c:v>141113.15623558365</c:v>
                </c:pt>
                <c:pt idx="114">
                  <c:v>131189.98705862972</c:v>
                </c:pt>
                <c:pt idx="115">
                  <c:v>121487.49380860235</c:v>
                </c:pt>
                <c:pt idx="116">
                  <c:v>112053.95715142624</c:v>
                </c:pt>
                <c:pt idx="117">
                  <c:v>102933.34533877035</c:v>
                </c:pt>
                <c:pt idx="118">
                  <c:v>94164.71744469073</c:v>
                </c:pt>
                <c:pt idx="119">
                  <c:v>85781.754471698878</c:v>
                </c:pt>
                <c:pt idx="120">
                  <c:v>77812.426625733176</c:v>
                </c:pt>
                <c:pt idx="121">
                  <c:v>70278.800262830075</c:v>
                </c:pt>
                <c:pt idx="122">
                  <c:v>63196.983276983447</c:v>
                </c:pt>
                <c:pt idx="123">
                  <c:v>56577.203232509739</c:v>
                </c:pt>
                <c:pt idx="124">
                  <c:v>50424.008526431557</c:v>
                </c:pt>
                <c:pt idx="125">
                  <c:v>44736.579446877513</c:v>
                </c:pt>
                <c:pt idx="126">
                  <c:v>39509.133284513016</c:v>
                </c:pt>
                <c:pt idx="127">
                  <c:v>34731.405726276651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3003-419C-A35B-51E0E111B9A1}"/>
            </c:ext>
          </c:extLst>
        </c:ser>
        <c:ser>
          <c:idx val="71"/>
          <c:order val="71"/>
          <c:spPr>
            <a:solidFill>
              <a:schemeClr val="accent6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output'!$BY$3:$BY$130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350616.85350356152</c:v>
                </c:pt>
                <c:pt idx="72">
                  <c:v>350486.11323223333</c:v>
                </c:pt>
                <c:pt idx="73">
                  <c:v>350323.31933556503</c:v>
                </c:pt>
                <c:pt idx="74">
                  <c:v>350121.74970903905</c:v>
                </c:pt>
                <c:pt idx="75">
                  <c:v>349873.56769791496</c:v>
                </c:pt>
                <c:pt idx="76">
                  <c:v>349569.70755069557</c:v>
                </c:pt>
                <c:pt idx="77">
                  <c:v>349199.76403074653</c:v>
                </c:pt>
                <c:pt idx="78">
                  <c:v>348751.89055686415</c:v>
                </c:pt>
                <c:pt idx="79">
                  <c:v>348212.71090423543</c:v>
                </c:pt>
                <c:pt idx="80">
                  <c:v>347567.25008572888</c:v>
                </c:pt>
                <c:pt idx="81">
                  <c:v>346798.89050517388</c:v>
                </c:pt>
                <c:pt idx="82">
                  <c:v>345889.35978152737</c:v>
                </c:pt>
                <c:pt idx="83">
                  <c:v>344818.75673715107</c:v>
                </c:pt>
                <c:pt idx="84">
                  <c:v>343565.6218784111</c:v>
                </c:pt>
                <c:pt idx="85">
                  <c:v>342107.05823133601</c:v>
                </c:pt>
                <c:pt idx="86">
                  <c:v>340418.90759676415</c:v>
                </c:pt>
                <c:pt idx="87">
                  <c:v>338475.98613825074</c:v>
                </c:pt>
                <c:pt idx="88">
                  <c:v>336252.38170769199</c:v>
                </c:pt>
                <c:pt idx="89">
                  <c:v>333721.81346250686</c:v>
                </c:pt>
                <c:pt idx="90">
                  <c:v>330858.0521694654</c:v>
                </c:pt>
                <c:pt idx="91">
                  <c:v>327635.39718104241</c:v>
                </c:pt>
                <c:pt idx="92">
                  <c:v>324029.20348951739</c:v>
                </c:pt>
                <c:pt idx="93">
                  <c:v>320016.44961127901</c:v>
                </c:pt>
                <c:pt idx="94">
                  <c:v>315576.33444544085</c:v>
                </c:pt>
                <c:pt idx="95">
                  <c:v>310690.88881599187</c:v>
                </c:pt>
                <c:pt idx="96">
                  <c:v>305345.58528082527</c:v>
                </c:pt>
                <c:pt idx="97">
                  <c:v>299529.92810891126</c:v>
                </c:pt>
                <c:pt idx="98">
                  <c:v>293238.00421464571</c:v>
                </c:pt>
                <c:pt idx="99">
                  <c:v>286468.97540503193</c:v>
                </c:pt>
                <c:pt idx="100">
                  <c:v>279227.49262470502</c:v>
                </c:pt>
                <c:pt idx="101">
                  <c:v>271524.014027417</c:v>
                </c:pt>
                <c:pt idx="102">
                  <c:v>263375.01067380363</c:v>
                </c:pt>
                <c:pt idx="103">
                  <c:v>254803.04642531188</c:v>
                </c:pt>
                <c:pt idx="104">
                  <c:v>245836.72210078107</c:v>
                </c:pt>
                <c:pt idx="105">
                  <c:v>236510.47807055665</c:v>
                </c:pt>
                <c:pt idx="106">
                  <c:v>226864.25402988313</c:v>
                </c:pt>
                <c:pt idx="107">
                  <c:v>216943.00953334637</c:v>
                </c:pt>
                <c:pt idx="108">
                  <c:v>206796.11377696128</c:v>
                </c:pt>
                <c:pt idx="109">
                  <c:v>196476.61786349377</c:v>
                </c:pt>
                <c:pt idx="110">
                  <c:v>186040.42715893418</c:v>
                </c:pt>
                <c:pt idx="111">
                  <c:v>175545.39513513542</c:v>
                </c:pt>
                <c:pt idx="112">
                  <c:v>165050.36311133666</c:v>
                </c:pt>
                <c:pt idx="113">
                  <c:v>154614.17240677707</c:v>
                </c:pt>
                <c:pt idx="114">
                  <c:v>144294.67649330955</c:v>
                </c:pt>
                <c:pt idx="115">
                  <c:v>134147.78073692447</c:v>
                </c:pt>
                <c:pt idx="116">
                  <c:v>124226.53624038771</c:v>
                </c:pt>
                <c:pt idx="117">
                  <c:v>114580.31219971419</c:v>
                </c:pt>
                <c:pt idx="118">
                  <c:v>105254.06816948976</c:v>
                </c:pt>
                <c:pt idx="119">
                  <c:v>96287.743844958968</c:v>
                </c:pt>
                <c:pt idx="120">
                  <c:v>87715.779596467226</c:v>
                </c:pt>
                <c:pt idx="121">
                  <c:v>79566.776242853826</c:v>
                </c:pt>
                <c:pt idx="122">
                  <c:v>71863.29764556585</c:v>
                </c:pt>
                <c:pt idx="123">
                  <c:v>64621.814865238914</c:v>
                </c:pt>
                <c:pt idx="124">
                  <c:v>57852.786055625103</c:v>
                </c:pt>
                <c:pt idx="125">
                  <c:v>51560.862161359553</c:v>
                </c:pt>
                <c:pt idx="126">
                  <c:v>45745.204989445563</c:v>
                </c:pt>
                <c:pt idx="127">
                  <c:v>40399.901454278988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3003-419C-A35B-51E0E111B9A1}"/>
            </c:ext>
          </c:extLst>
        </c:ser>
        <c:ser>
          <c:idx val="72"/>
          <c:order val="72"/>
          <c:spPr>
            <a:solidFill>
              <a:schemeClr val="accent1">
                <a:lumMod val="8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output'!$BZ$3:$BZ$130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362411.74097935256</c:v>
                </c:pt>
                <c:pt idx="73">
                  <c:v>362276.60255438893</c:v>
                </c:pt>
                <c:pt idx="74">
                  <c:v>362108.33220764768</c:v>
                </c:pt>
                <c:pt idx="75">
                  <c:v>361899.9817003978</c:v>
                </c:pt>
                <c:pt idx="76">
                  <c:v>361643.45074978186</c:v>
                </c:pt>
                <c:pt idx="77">
                  <c:v>361329.36862889229</c:v>
                </c:pt>
                <c:pt idx="78">
                  <c:v>360946.98006488272</c:v>
                </c:pt>
                <c:pt idx="79">
                  <c:v>360484.03995294508</c:v>
                </c:pt>
                <c:pt idx="80">
                  <c:v>359926.72208685498</c:v>
                </c:pt>
                <c:pt idx="81">
                  <c:v>359259.547715083</c:v>
                </c:pt>
                <c:pt idx="82">
                  <c:v>358465.34021905262</c:v>
                </c:pt>
                <c:pt idx="83">
                  <c:v>357525.21252770768</c:v>
                </c:pt>
                <c:pt idx="84">
                  <c:v>356418.59398004488</c:v>
                </c:pt>
                <c:pt idx="85">
                  <c:v>355123.30317670858</c:v>
                </c:pt>
                <c:pt idx="86">
                  <c:v>353615.67288060731</c:v>
                </c:pt>
                <c:pt idx="87">
                  <c:v>351870.73220135277</c:v>
                </c:pt>
                <c:pt idx="88">
                  <c:v>349862.45010843605</c:v>
                </c:pt>
                <c:pt idx="89">
                  <c:v>347564.0427590016</c:v>
                </c:pt>
                <c:pt idx="90">
                  <c:v>344948.34521269042</c:v>
                </c:pt>
                <c:pt idx="91">
                  <c:v>341988.24587465363</c:v>
                </c:pt>
                <c:pt idx="92">
                  <c:v>338657.17951757583</c:v>
                </c:pt>
                <c:pt idx="93">
                  <c:v>334929.67206608062</c:v>
                </c:pt>
                <c:pt idx="94">
                  <c:v>330781.9275848837</c:v>
                </c:pt>
                <c:pt idx="95">
                  <c:v>326192.44521596533</c:v>
                </c:pt>
                <c:pt idx="96">
                  <c:v>321142.65129323653</c:v>
                </c:pt>
                <c:pt idx="97">
                  <c:v>315617.52966578136</c:v>
                </c:pt>
                <c:pt idx="98">
                  <c:v>309606.23152209132</c:v>
                </c:pt>
                <c:pt idx="99">
                  <c:v>303102.64485806006</c:v>
                </c:pt>
                <c:pt idx="100">
                  <c:v>296105.90328355209</c:v>
                </c:pt>
                <c:pt idx="101">
                  <c:v>288620.81420279108</c:v>
                </c:pt>
                <c:pt idx="102">
                  <c:v>280658.18758589355</c:v>
                </c:pt>
                <c:pt idx="103">
                  <c:v>272235.04858638847</c:v>
                </c:pt>
                <c:pt idx="104">
                  <c:v>263374.72012280795</c:v>
                </c:pt>
                <c:pt idx="105">
                  <c:v>254106.76515667359</c:v>
                </c:pt>
                <c:pt idx="106">
                  <c:v>244466.78264579983</c:v>
                </c:pt>
                <c:pt idx="107">
                  <c:v>234496.05587233097</c:v>
                </c:pt>
                <c:pt idx="108">
                  <c:v>224241.05684777553</c:v>
                </c:pt>
                <c:pt idx="109">
                  <c:v>213752.81556712597</c:v>
                </c:pt>
                <c:pt idx="110">
                  <c:v>203086.16779290227</c:v>
                </c:pt>
                <c:pt idx="111">
                  <c:v>192298.89956937532</c:v>
                </c:pt>
                <c:pt idx="112">
                  <c:v>181450.81058171822</c:v>
                </c:pt>
                <c:pt idx="113">
                  <c:v>170602.72159406112</c:v>
                </c:pt>
                <c:pt idx="114">
                  <c:v>159815.45337053417</c:v>
                </c:pt>
                <c:pt idx="115">
                  <c:v>149148.80559631047</c:v>
                </c:pt>
                <c:pt idx="116">
                  <c:v>138660.56431566091</c:v>
                </c:pt>
                <c:pt idx="117">
                  <c:v>128405.56529110549</c:v>
                </c:pt>
                <c:pt idx="118">
                  <c:v>118434.83851763661</c:v>
                </c:pt>
                <c:pt idx="119">
                  <c:v>108794.85600676284</c:v>
                </c:pt>
                <c:pt idx="120">
                  <c:v>99526.901040628523</c:v>
                </c:pt>
                <c:pt idx="121">
                  <c:v>90666.572577047962</c:v>
                </c:pt>
                <c:pt idx="122">
                  <c:v>82243.433577542863</c:v>
                </c:pt>
                <c:pt idx="123">
                  <c:v>74280.80696064535</c:v>
                </c:pt>
                <c:pt idx="124">
                  <c:v>66795.717879884352</c:v>
                </c:pt>
                <c:pt idx="125">
                  <c:v>59798.976305376396</c:v>
                </c:pt>
                <c:pt idx="126">
                  <c:v>53295.389641345137</c:v>
                </c:pt>
                <c:pt idx="127">
                  <c:v>47284.091497655078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3003-419C-A35B-51E0E111B9A1}"/>
            </c:ext>
          </c:extLst>
        </c:ser>
        <c:ser>
          <c:idx val="73"/>
          <c:order val="73"/>
          <c:spPr>
            <a:solidFill>
              <a:schemeClr val="accent2">
                <a:lumMod val="8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output'!$CA$3:$CA$130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380124.18291959143</c:v>
                </c:pt>
                <c:pt idx="74">
                  <c:v>379982.43976515741</c:v>
                </c:pt>
                <c:pt idx="75">
                  <c:v>379805.94540575345</c:v>
                </c:pt>
                <c:pt idx="76">
                  <c:v>379587.41201576113</c:v>
                </c:pt>
                <c:pt idx="77">
                  <c:v>379318.34342065174</c:v>
                </c:pt>
                <c:pt idx="78">
                  <c:v>378988.91091040755</c:v>
                </c:pt>
                <c:pt idx="79">
                  <c:v>378587.8335610393</c:v>
                </c:pt>
                <c:pt idx="80">
                  <c:v>378102.26780283439</c:v>
                </c:pt>
                <c:pt idx="81">
                  <c:v>377517.71169021644</c:v>
                </c:pt>
                <c:pt idx="82">
                  <c:v>376817.92996612168</c:v>
                </c:pt>
                <c:pt idx="83">
                  <c:v>375984.90652521071</c:v>
                </c:pt>
                <c:pt idx="84">
                  <c:v>374998.83121333789</c:v>
                </c:pt>
                <c:pt idx="85">
                  <c:v>373838.12800295831</c:v>
                </c:pt>
                <c:pt idx="86">
                  <c:v>372479.53140525724</c:v>
                </c:pt>
                <c:pt idx="87">
                  <c:v>370898.21747513552</c:v>
                </c:pt>
                <c:pt idx="88">
                  <c:v>369067.99489969591</c:v>
                </c:pt>
                <c:pt idx="89">
                  <c:v>366961.56041283556</c:v>
                </c:pt>
                <c:pt idx="90">
                  <c:v>364550.82114329864</c:v>
                </c:pt>
                <c:pt idx="91">
                  <c:v>361807.28449663974</c:v>
                </c:pt>
                <c:pt idx="92">
                  <c:v>358702.5138311215</c:v>
                </c:pt>
                <c:pt idx="93">
                  <c:v>355208.6455756026</c:v>
                </c:pt>
                <c:pt idx="94">
                  <c:v>351298.96063963074</c:v>
                </c:pt>
                <c:pt idx="95">
                  <c:v>346948.50008994323</c:v>
                </c:pt>
                <c:pt idx="96">
                  <c:v>342134.71223970811</c:v>
                </c:pt>
                <c:pt idx="97">
                  <c:v>336838.1156570412</c:v>
                </c:pt>
                <c:pt idx="98">
                  <c:v>331042.96029454586</c:v>
                </c:pt>
                <c:pt idx="99">
                  <c:v>324737.86711798009</c:v>
                </c:pt>
                <c:pt idx="100">
                  <c:v>317916.42540632078</c:v>
                </c:pt>
                <c:pt idx="101">
                  <c:v>310577.72642564704</c:v>
                </c:pt>
                <c:pt idx="102">
                  <c:v>302726.81253633479</c:v>
                </c:pt>
                <c:pt idx="103">
                  <c:v>294375.02203290735</c:v>
                </c:pt>
                <c:pt idx="104">
                  <c:v>285540.21215298289</c:v>
                </c:pt>
                <c:pt idx="105">
                  <c:v>276246.84569494188</c:v>
                </c:pt>
                <c:pt idx="106">
                  <c:v>266525.93047481909</c:v>
                </c:pt>
                <c:pt idx="107">
                  <c:v>256414.80530706738</c:v>
                </c:pt>
                <c:pt idx="108">
                  <c:v>245956.77114504701</c:v>
                </c:pt>
                <c:pt idx="109">
                  <c:v>235200.57126444648</c:v>
                </c:pt>
                <c:pt idx="110">
                  <c:v>224199.72969044905</c:v>
                </c:pt>
                <c:pt idx="111">
                  <c:v>213011.762218118</c:v>
                </c:pt>
                <c:pt idx="112">
                  <c:v>201697.27911577208</c:v>
                </c:pt>
                <c:pt idx="113">
                  <c:v>190319.00270693161</c:v>
                </c:pt>
                <c:pt idx="114">
                  <c:v>178940.72629809115</c:v>
                </c:pt>
                <c:pt idx="115">
                  <c:v>167626.24319574522</c:v>
                </c:pt>
                <c:pt idx="116">
                  <c:v>156438.27572341418</c:v>
                </c:pt>
                <c:pt idx="117">
                  <c:v>145437.43414941675</c:v>
                </c:pt>
                <c:pt idx="118">
                  <c:v>134681.23426881622</c:v>
                </c:pt>
                <c:pt idx="119">
                  <c:v>124223.20010679585</c:v>
                </c:pt>
                <c:pt idx="120">
                  <c:v>114112.07493904413</c:v>
                </c:pt>
                <c:pt idx="121">
                  <c:v>104391.15971892136</c:v>
                </c:pt>
                <c:pt idx="122">
                  <c:v>95097.793260880368</c:v>
                </c:pt>
                <c:pt idx="123">
                  <c:v>86262.983380955877</c:v>
                </c:pt>
                <c:pt idx="124">
                  <c:v>77911.192877528447</c:v>
                </c:pt>
                <c:pt idx="125">
                  <c:v>70060.278988216203</c:v>
                </c:pt>
                <c:pt idx="126">
                  <c:v>62721.580007542449</c:v>
                </c:pt>
                <c:pt idx="127">
                  <c:v>55900.138295883116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3003-419C-A35B-51E0E111B9A1}"/>
            </c:ext>
          </c:extLst>
        </c:ser>
        <c:ser>
          <c:idx val="74"/>
          <c:order val="74"/>
          <c:spPr>
            <a:solidFill>
              <a:schemeClr val="accent3">
                <a:lumMod val="8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output'!$CB$3:$CB$130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396985.70782418468</c:v>
                </c:pt>
                <c:pt idx="75">
                  <c:v>396837.67723570694</c:v>
                </c:pt>
                <c:pt idx="76">
                  <c:v>396653.35395046679</c:v>
                </c:pt>
                <c:pt idx="77">
                  <c:v>396425.12686992961</c:v>
                </c:pt>
                <c:pt idx="78">
                  <c:v>396144.12294678442</c:v>
                </c:pt>
                <c:pt idx="79">
                  <c:v>395800.07748970482</c:v>
                </c:pt>
                <c:pt idx="80">
                  <c:v>395381.20917617559</c:v>
                </c:pt>
                <c:pt idx="81">
                  <c:v>394874.10472221626</c:v>
                </c:pt>
                <c:pt idx="82">
                  <c:v>394263.61890584906</c:v>
                </c:pt>
                <c:pt idx="83">
                  <c:v>393532.79630748532</c:v>
                </c:pt>
                <c:pt idx="84">
                  <c:v>392662.82166450366</c:v>
                </c:pt>
                <c:pt idx="85">
                  <c:v>391633.00608517072</c:v>
                </c:pt>
                <c:pt idx="86">
                  <c:v>390420.8164738515</c:v>
                </c:pt>
                <c:pt idx="87">
                  <c:v>389001.95533262286</c:v>
                </c:pt>
                <c:pt idx="88">
                  <c:v>387350.49757737026</c:v>
                </c:pt>
                <c:pt idx="89">
                  <c:v>385439.09010256518</c:v>
                </c:pt>
                <c:pt idx="90">
                  <c:v>383239.2185255221</c:v>
                </c:pt>
                <c:pt idx="91">
                  <c:v>380721.54383314634</c:v>
                </c:pt>
                <c:pt idx="92">
                  <c:v>377856.30955825711</c:v>
                </c:pt>
                <c:pt idx="93">
                  <c:v>374613.81766832853</c:v>
                </c:pt>
                <c:pt idx="94">
                  <c:v>370964.96862166043</c:v>
                </c:pt>
                <c:pt idx="95">
                  <c:v>366881.85812404531</c:v>
                </c:pt>
                <c:pt idx="96">
                  <c:v>362338.42011540855</c:v>
                </c:pt>
                <c:pt idx="97">
                  <c:v>357311.1025625937</c:v>
                </c:pt>
                <c:pt idx="98">
                  <c:v>351779.55987757078</c:v>
                </c:pt>
                <c:pt idx="99">
                  <c:v>345727.34337331861</c:v>
                </c:pt>
                <c:pt idx="100">
                  <c:v>339142.56926510076</c:v>
                </c:pt>
                <c:pt idx="101">
                  <c:v>332018.54246552894</c:v>
                </c:pt>
                <c:pt idx="102">
                  <c:v>324354.31393111957</c:v>
                </c:pt>
                <c:pt idx="103">
                  <c:v>316155.14969095698</c:v>
                </c:pt>
                <c:pt idx="104">
                  <c:v>307432.89098292892</c:v>
                </c:pt>
                <c:pt idx="105">
                  <c:v>298206.18715489114</c:v>
                </c:pt>
                <c:pt idx="106">
                  <c:v>288500.58612451592</c:v>
                </c:pt>
                <c:pt idx="107">
                  <c:v>278348.4711506163</c:v>
                </c:pt>
                <c:pt idx="108">
                  <c:v>267788.83732045843</c:v>
                </c:pt>
                <c:pt idx="109">
                  <c:v>256866.90632840319</c:v>
                </c:pt>
                <c:pt idx="110">
                  <c:v>245633.5836013357</c:v>
                </c:pt>
                <c:pt idx="111">
                  <c:v>234144.76737982503</c:v>
                </c:pt>
                <c:pt idx="112">
                  <c:v>222460.52474100085</c:v>
                </c:pt>
                <c:pt idx="113">
                  <c:v>210644.15449970073</c:v>
                </c:pt>
                <c:pt idx="114">
                  <c:v>198761.16121237745</c:v>
                </c:pt>
                <c:pt idx="115">
                  <c:v>186878.16792505418</c:v>
                </c:pt>
                <c:pt idx="116">
                  <c:v>175061.79768375406</c:v>
                </c:pt>
                <c:pt idx="117">
                  <c:v>163377.55504492988</c:v>
                </c:pt>
                <c:pt idx="118">
                  <c:v>151888.7388234192</c:v>
                </c:pt>
                <c:pt idx="119">
                  <c:v>140655.41609635172</c:v>
                </c:pt>
                <c:pt idx="120">
                  <c:v>129733.48510429647</c:v>
                </c:pt>
                <c:pt idx="121">
                  <c:v>119173.85127413859</c:v>
                </c:pt>
                <c:pt idx="122">
                  <c:v>109021.736300239</c:v>
                </c:pt>
                <c:pt idx="123">
                  <c:v>99316.135269863749</c:v>
                </c:pt>
                <c:pt idx="124">
                  <c:v>90089.431441825975</c:v>
                </c:pt>
                <c:pt idx="125">
                  <c:v>81367.172733797954</c:v>
                </c:pt>
                <c:pt idx="126">
                  <c:v>73168.008493635338</c:v>
                </c:pt>
                <c:pt idx="127">
                  <c:v>65503.779959225947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3003-419C-A35B-51E0E111B9A1}"/>
            </c:ext>
          </c:extLst>
        </c:ser>
        <c:ser>
          <c:idx val="75"/>
          <c:order val="75"/>
          <c:spPr>
            <a:solidFill>
              <a:schemeClr val="accent4">
                <a:lumMod val="8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output'!$CC$3:$CC$130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416452.218532592</c:v>
                </c:pt>
                <c:pt idx="76">
                  <c:v>416296.92914618022</c:v>
                </c:pt>
                <c:pt idx="77">
                  <c:v>416103.56742168346</c:v>
                </c:pt>
                <c:pt idx="78">
                  <c:v>415864.14904428174</c:v>
                </c:pt>
                <c:pt idx="79">
                  <c:v>415569.36586971465</c:v>
                </c:pt>
                <c:pt idx="80">
                  <c:v>415208.44986933231</c:v>
                </c:pt>
                <c:pt idx="81">
                  <c:v>414769.04201407649</c:v>
                </c:pt>
                <c:pt idx="82">
                  <c:v>414237.07128889195</c:v>
                </c:pt>
                <c:pt idx="83">
                  <c:v>413596.64981376572</c:v>
                </c:pt>
                <c:pt idx="84">
                  <c:v>412829.9907465906</c:v>
                </c:pt>
                <c:pt idx="85">
                  <c:v>411917.35620334081</c:v>
                </c:pt>
                <c:pt idx="86">
                  <c:v>410837.04279598122</c:v>
                </c:pt>
                <c:pt idx="87">
                  <c:v>409565.41250056605</c:v>
                </c:pt>
                <c:pt idx="88">
                  <c:v>408076.97637198877</c:v>
                </c:pt>
                <c:pt idx="89">
                  <c:v>406344.53806896455</c:v>
                </c:pt>
                <c:pt idx="90">
                  <c:v>404339.40320462605</c:v>
                </c:pt>
                <c:pt idx="91">
                  <c:v>402031.65917079773</c:v>
                </c:pt>
                <c:pt idx="92">
                  <c:v>399390.52829248511</c:v>
                </c:pt>
                <c:pt idx="93">
                  <c:v>396384.79497041373</c:v>
                </c:pt>
                <c:pt idx="94">
                  <c:v>392983.30490535393</c:v>
                </c:pt>
                <c:pt idx="95">
                  <c:v>389155.53163637657</c:v>
                </c:pt>
                <c:pt idx="96">
                  <c:v>384872.20255995903</c:v>
                </c:pt>
                <c:pt idx="97">
                  <c:v>380105.97344598785</c:v>
                </c:pt>
                <c:pt idx="98">
                  <c:v>374832.13736858231</c:v>
                </c:pt>
                <c:pt idx="99">
                  <c:v>369029.35107758123</c:v>
                </c:pt>
                <c:pt idx="100">
                  <c:v>362680.3593114806</c:v>
                </c:pt>
                <c:pt idx="101">
                  <c:v>355772.69555468415</c:v>
                </c:pt>
                <c:pt idx="102">
                  <c:v>348299.33642085548</c:v>
                </c:pt>
                <c:pt idx="103">
                  <c:v>340259.28632940695</c:v>
                </c:pt>
                <c:pt idx="104">
                  <c:v>331658.06953335786</c:v>
                </c:pt>
                <c:pt idx="105">
                  <c:v>322508.10791513714</c:v>
                </c:pt>
                <c:pt idx="106">
                  <c:v>312828.96530824195</c:v>
                </c:pt>
                <c:pt idx="107">
                  <c:v>302647.44239285769</c:v>
                </c:pt>
                <c:pt idx="108">
                  <c:v>291997.51036671316</c:v>
                </c:pt>
                <c:pt idx="109">
                  <c:v>280920.07647227019</c:v>
                </c:pt>
                <c:pt idx="110">
                  <c:v>269462.57988572889</c:v>
                </c:pt>
                <c:pt idx="111">
                  <c:v>257678.4222221697</c:v>
                </c:pt>
                <c:pt idx="112">
                  <c:v>245626.24273695683</c:v>
                </c:pt>
                <c:pt idx="113">
                  <c:v>233369.05394423977</c:v>
                </c:pt>
                <c:pt idx="114">
                  <c:v>220973.25856671124</c:v>
                </c:pt>
                <c:pt idx="115">
                  <c:v>208507.57322897777</c:v>
                </c:pt>
                <c:pt idx="116">
                  <c:v>196041.88789124429</c:v>
                </c:pt>
                <c:pt idx="117">
                  <c:v>183646.09251371576</c:v>
                </c:pt>
                <c:pt idx="118">
                  <c:v>171388.9037209987</c:v>
                </c:pt>
                <c:pt idx="119">
                  <c:v>159336.72423578583</c:v>
                </c:pt>
                <c:pt idx="120">
                  <c:v>147552.56657222664</c:v>
                </c:pt>
                <c:pt idx="121">
                  <c:v>136095.06998568535</c:v>
                </c:pt>
                <c:pt idx="122">
                  <c:v>125017.63609124236</c:v>
                </c:pt>
                <c:pt idx="123">
                  <c:v>114367.70406509785</c:v>
                </c:pt>
                <c:pt idx="124">
                  <c:v>104186.18114971355</c:v>
                </c:pt>
                <c:pt idx="125">
                  <c:v>94507.038542818409</c:v>
                </c:pt>
                <c:pt idx="126">
                  <c:v>85357.07692459767</c:v>
                </c:pt>
                <c:pt idx="127">
                  <c:v>76755.860128548578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3003-419C-A35B-51E0E111B9A1}"/>
            </c:ext>
          </c:extLst>
        </c:ser>
        <c:ser>
          <c:idx val="76"/>
          <c:order val="76"/>
          <c:spPr>
            <a:solidFill>
              <a:schemeClr val="accent5">
                <a:lumMod val="8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output'!$CD$3:$CD$130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433971.48548305215</c:v>
                </c:pt>
                <c:pt idx="77">
                  <c:v>433809.66339950479</c:v>
                </c:pt>
                <c:pt idx="78">
                  <c:v>433608.16735486581</c:v>
                </c:pt>
                <c:pt idx="79">
                  <c:v>433358.67715102184</c:v>
                </c:pt>
                <c:pt idx="80">
                  <c:v>433051.49306970503</c:v>
                </c:pt>
                <c:pt idx="81">
                  <c:v>432675.39409399917</c:v>
                </c:pt>
                <c:pt idx="82">
                  <c:v>432217.50127654657</c:v>
                </c:pt>
                <c:pt idx="83">
                  <c:v>431663.1516643503</c:v>
                </c:pt>
                <c:pt idx="84">
                  <c:v>430995.78900777694</c:v>
                </c:pt>
                <c:pt idx="85">
                  <c:v>430196.87820976664</c:v>
                </c:pt>
                <c:pt idx="86">
                  <c:v>429245.85105512012</c:v>
                </c:pt>
                <c:pt idx="87">
                  <c:v>428120.0911400186</c:v>
                </c:pt>
                <c:pt idx="88">
                  <c:v>426794.9660386779</c:v>
                </c:pt>
                <c:pt idx="89">
                  <c:v>425243.9145398016</c:v>
                </c:pt>
                <c:pt idx="90">
                  <c:v>423438.59620935709</c:v>
                </c:pt>
                <c:pt idx="91">
                  <c:v>421349.10954810947</c:v>
                </c:pt>
                <c:pt idx="92">
                  <c:v>418944.28358751308</c:v>
                </c:pt>
                <c:pt idx="93">
                  <c:v>416192.04590066598</c:v>
                </c:pt>
                <c:pt idx="94">
                  <c:v>413059.86771383486</c:v>
                </c:pt>
                <c:pt idx="95">
                  <c:v>409515.28413209476</c:v>
                </c:pt>
                <c:pt idx="96">
                  <c:v>405526.48451065534</c:v>
                </c:pt>
                <c:pt idx="97">
                  <c:v>401062.96480927046</c:v>
                </c:pt>
                <c:pt idx="98">
                  <c:v>396096.23048370756</c:v>
                </c:pt>
                <c:pt idx="99">
                  <c:v>390600.53523979645</c:v>
                </c:pt>
                <c:pt idx="100">
                  <c:v>384553.63796183333</c:v>
                </c:pt>
                <c:pt idx="101">
                  <c:v>377937.55749583693</c:v>
                </c:pt>
                <c:pt idx="102">
                  <c:v>370739.30288617924</c:v>
                </c:pt>
                <c:pt idx="103">
                  <c:v>362951.55528746609</c:v>
                </c:pt>
                <c:pt idx="104">
                  <c:v>354573.27723713318</c:v>
                </c:pt>
                <c:pt idx="105">
                  <c:v>345610.22538187914</c:v>
                </c:pt>
                <c:pt idx="106">
                  <c:v>336075.34416654136</c:v>
                </c:pt>
                <c:pt idx="107">
                  <c:v>325989.02043385158</c:v>
                </c:pt>
                <c:pt idx="108">
                  <c:v>315379.18231211451</c:v>
                </c:pt>
                <c:pt idx="109">
                  <c:v>304281.23009573616</c:v>
                </c:pt>
                <c:pt idx="110">
                  <c:v>292737.79190863593</c:v>
                </c:pt>
                <c:pt idx="111">
                  <c:v>280798.30259315472</c:v>
                </c:pt>
                <c:pt idx="112">
                  <c:v>268518.41025774856</c:v>
                </c:pt>
                <c:pt idx="113">
                  <c:v>255959.22098764297</c:v>
                </c:pt>
                <c:pt idx="114">
                  <c:v>243186.39810062709</c:v>
                </c:pt>
                <c:pt idx="115">
                  <c:v>230269.13774195997</c:v>
                </c:pt>
                <c:pt idx="116">
                  <c:v>217279.04729979052</c:v>
                </c:pt>
                <c:pt idx="117">
                  <c:v>204288.95685762106</c:v>
                </c:pt>
                <c:pt idx="118">
                  <c:v>191371.69649895394</c:v>
                </c:pt>
                <c:pt idx="119">
                  <c:v>178598.87361193806</c:v>
                </c:pt>
                <c:pt idx="120">
                  <c:v>166039.68434183247</c:v>
                </c:pt>
                <c:pt idx="121">
                  <c:v>153759.79200642629</c:v>
                </c:pt>
                <c:pt idx="122">
                  <c:v>141820.30269094507</c:v>
                </c:pt>
                <c:pt idx="123">
                  <c:v>130276.86450384484</c:v>
                </c:pt>
                <c:pt idx="124">
                  <c:v>119178.9122874665</c:v>
                </c:pt>
                <c:pt idx="125">
                  <c:v>108569.07416572946</c:v>
                </c:pt>
                <c:pt idx="126">
                  <c:v>98482.750433039706</c:v>
                </c:pt>
                <c:pt idx="127">
                  <c:v>88947.869217701882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3003-419C-A35B-51E0E111B9A1}"/>
            </c:ext>
          </c:extLst>
        </c:ser>
        <c:ser>
          <c:idx val="77"/>
          <c:order val="77"/>
          <c:spPr>
            <a:solidFill>
              <a:schemeClr val="accent6">
                <a:lumMod val="8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output'!$CE$3:$CE$130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453030.03870614915</c:v>
                </c:pt>
                <c:pt idx="78">
                  <c:v>452861.10994648334</c:v>
                </c:pt>
                <c:pt idx="79">
                  <c:v>452650.76488014718</c:v>
                </c:pt>
                <c:pt idx="80">
                  <c:v>452390.31791419408</c:v>
                </c:pt>
                <c:pt idx="81">
                  <c:v>452069.64335168462</c:v>
                </c:pt>
                <c:pt idx="82">
                  <c:v>451677.02738676307</c:v>
                </c:pt>
                <c:pt idx="83">
                  <c:v>451199.02547246002</c:v>
                </c:pt>
                <c:pt idx="84">
                  <c:v>450620.33070870041</c:v>
                </c:pt>
                <c:pt idx="85">
                  <c:v>449923.65975161683</c:v>
                </c:pt>
                <c:pt idx="86">
                  <c:v>449089.66350565956</c:v>
                </c:pt>
                <c:pt idx="87">
                  <c:v>448096.87046949833</c:v>
                </c:pt>
                <c:pt idx="88">
                  <c:v>446921.67100369796</c:v>
                </c:pt>
                <c:pt idx="89">
                  <c:v>445538.35091002256</c:v>
                </c:pt>
                <c:pt idx="90">
                  <c:v>443919.18249901739</c:v>
                </c:pt>
                <c:pt idx="91">
                  <c:v>442034.58072107378</c:v>
                </c:pt>
                <c:pt idx="92">
                  <c:v>439853.33090470085</c:v>
                </c:pt>
                <c:pt idx="93">
                  <c:v>437342.89315831789</c:v>
                </c:pt>
                <c:pt idx="94">
                  <c:v>434469.78654299962</c:v>
                </c:pt>
                <c:pt idx="95">
                  <c:v>431200.05373178684</c:v>
                </c:pt>
                <c:pt idx="96">
                  <c:v>427499.80408186925</c:v>
                </c:pt>
                <c:pt idx="97">
                  <c:v>423335.82993301394</c:v>
                </c:pt>
                <c:pt idx="98">
                  <c:v>418676.28761116473</c:v>
                </c:pt>
                <c:pt idx="99">
                  <c:v>413491.43118851667</c:v>
                </c:pt>
                <c:pt idx="100">
                  <c:v>407754.38368113269</c:v>
                </c:pt>
                <c:pt idx="101">
                  <c:v>401441.92721907166</c:v>
                </c:pt>
                <c:pt idx="102">
                  <c:v>394535.29097716027</c:v>
                </c:pt>
                <c:pt idx="103">
                  <c:v>387020.91348113632</c:v>
                </c:pt>
                <c:pt idx="104">
                  <c:v>378891.15446678159</c:v>
                </c:pt>
                <c:pt idx="105">
                  <c:v>370144.93090970087</c:v>
                </c:pt>
                <c:pt idx="106">
                  <c:v>360788.2522689575</c:v>
                </c:pt>
                <c:pt idx="107">
                  <c:v>350834.63146542723</c:v>
                </c:pt>
                <c:pt idx="108">
                  <c:v>340305.35066271044</c:v>
                </c:pt>
                <c:pt idx="109">
                  <c:v>329229.56449762103</c:v>
                </c:pt>
                <c:pt idx="110">
                  <c:v>317644.2279252226</c:v>
                </c:pt>
                <c:pt idx="111">
                  <c:v>305593.84115180798</c:v>
                </c:pt>
                <c:pt idx="112">
                  <c:v>293130.01003003871</c:v>
                </c:pt>
                <c:pt idx="113">
                  <c:v>280310.82654422952</c:v>
                </c:pt>
                <c:pt idx="114">
                  <c:v>267200.08035126113</c:v>
                </c:pt>
                <c:pt idx="115">
                  <c:v>253866.31847874846</c:v>
                </c:pt>
                <c:pt idx="116">
                  <c:v>240381.77593155639</c:v>
                </c:pt>
                <c:pt idx="117">
                  <c:v>226821.20485103494</c:v>
                </c:pt>
                <c:pt idx="118">
                  <c:v>213260.63377051349</c:v>
                </c:pt>
                <c:pt idx="119">
                  <c:v>199776.09122332142</c:v>
                </c:pt>
                <c:pt idx="120">
                  <c:v>186442.32935080878</c:v>
                </c:pt>
                <c:pt idx="121">
                  <c:v>173331.58315784033</c:v>
                </c:pt>
                <c:pt idx="122">
                  <c:v>160512.3996720312</c:v>
                </c:pt>
                <c:pt idx="123">
                  <c:v>148048.5685502619</c:v>
                </c:pt>
                <c:pt idx="124">
                  <c:v>135998.18177684731</c:v>
                </c:pt>
                <c:pt idx="125">
                  <c:v>124412.84520444888</c:v>
                </c:pt>
                <c:pt idx="126">
                  <c:v>113337.05903935943</c:v>
                </c:pt>
                <c:pt idx="127">
                  <c:v>102807.77823664264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3003-419C-A35B-51E0E111B9A1}"/>
            </c:ext>
          </c:extLst>
        </c:ser>
        <c:ser>
          <c:idx val="78"/>
          <c:order val="78"/>
          <c:spPr>
            <a:solidFill>
              <a:schemeClr val="accent1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output'!$CF$3:$CF$130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473347.0428014496</c:v>
                </c:pt>
                <c:pt idx="79">
                  <c:v>473170.5381063961</c:v>
                </c:pt>
                <c:pt idx="80">
                  <c:v>472950.75971067988</c:v>
                </c:pt>
                <c:pt idx="81">
                  <c:v>472678.63249922032</c:v>
                </c:pt>
                <c:pt idx="82">
                  <c:v>472343.57666870847</c:v>
                </c:pt>
                <c:pt idx="83">
                  <c:v>471933.35308511782</c:v>
                </c:pt>
                <c:pt idx="84">
                  <c:v>471433.91425489151</c:v>
                </c:pt>
                <c:pt idx="85">
                  <c:v>470829.26681055728</c:v>
                </c:pt>
                <c:pt idx="86">
                  <c:v>470101.35230342438</c:v>
                </c:pt>
                <c:pt idx="87">
                  <c:v>469229.95389050938</c:v>
                </c:pt>
                <c:pt idx="88">
                  <c:v>468192.63713967556</c:v>
                </c:pt>
                <c:pt idx="89">
                  <c:v>466964.73359176255</c:v>
                </c:pt>
                <c:pt idx="90">
                  <c:v>465519.3758458189</c:v>
                </c:pt>
                <c:pt idx="91">
                  <c:v>463827.59271078499</c:v>
                </c:pt>
                <c:pt idx="92">
                  <c:v>461858.47233855602</c:v>
                </c:pt>
                <c:pt idx="93">
                  <c:v>459579.40017561486</c:v>
                </c:pt>
                <c:pt idx="94">
                  <c:v>456956.37701630895</c:v>
                </c:pt>
                <c:pt idx="95">
                  <c:v>453954.42040456133</c:v>
                </c:pt>
                <c:pt idx="96">
                  <c:v>450538.05013172311</c:v>
                </c:pt>
                <c:pt idx="97">
                  <c:v>446671.85566387314</c:v>
                </c:pt>
                <c:pt idx="98">
                  <c:v>442321.14007933583</c:v>
                </c:pt>
                <c:pt idx="99">
                  <c:v>437452.63161319832</c:v>
                </c:pt>
                <c:pt idx="100">
                  <c:v>432035.25032426685</c:v>
                </c:pt>
                <c:pt idx="101">
                  <c:v>426040.91387852607</c:v>
                </c:pt>
                <c:pt idx="102">
                  <c:v>419445.36315596662</c:v>
                </c:pt>
                <c:pt idx="103">
                  <c:v>412228.98551762948</c:v>
                </c:pt>
                <c:pt idx="104">
                  <c:v>404377.61129883549</c:v>
                </c:pt>
                <c:pt idx="105">
                  <c:v>395883.25759301137</c:v>
                </c:pt>
                <c:pt idx="106">
                  <c:v>386744.79280544812</c:v>
                </c:pt>
                <c:pt idx="107">
                  <c:v>376968.49590096815</c:v>
                </c:pt>
                <c:pt idx="108">
                  <c:v>366568.48581339407</c:v>
                </c:pt>
                <c:pt idx="109">
                  <c:v>355566.99914591754</c:v>
                </c:pt>
                <c:pt idx="110">
                  <c:v>343994.49803115841</c:v>
                </c:pt>
                <c:pt idx="111">
                  <c:v>331889.59474027238</c:v>
                </c:pt>
                <c:pt idx="112">
                  <c:v>319298.78517695924</c:v>
                </c:pt>
                <c:pt idx="113">
                  <c:v>306275.98955767602</c:v>
                </c:pt>
                <c:pt idx="114">
                  <c:v>292881.9051135917</c:v>
                </c:pt>
                <c:pt idx="115">
                  <c:v>279183.18227153452</c:v>
                </c:pt>
                <c:pt idx="116">
                  <c:v>265251.44218251487</c:v>
                </c:pt>
                <c:pt idx="117">
                  <c:v>251162.15936923141</c:v>
                </c:pt>
                <c:pt idx="118">
                  <c:v>236993.43837669876</c:v>
                </c:pt>
                <c:pt idx="119">
                  <c:v>222824.71738416611</c:v>
                </c:pt>
                <c:pt idx="120">
                  <c:v>208735.43457088264</c:v>
                </c:pt>
                <c:pt idx="121">
                  <c:v>194803.694481863</c:v>
                </c:pt>
                <c:pt idx="122">
                  <c:v>181104.97163980582</c:v>
                </c:pt>
                <c:pt idx="123">
                  <c:v>167710.88719572153</c:v>
                </c:pt>
                <c:pt idx="124">
                  <c:v>154688.09157643828</c:v>
                </c:pt>
                <c:pt idx="125">
                  <c:v>142097.28201312514</c:v>
                </c:pt>
                <c:pt idx="126">
                  <c:v>129992.37872223913</c:v>
                </c:pt>
                <c:pt idx="127">
                  <c:v>118419.87760747997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3003-419C-A35B-51E0E111B9A1}"/>
            </c:ext>
          </c:extLst>
        </c:ser>
        <c:ser>
          <c:idx val="79"/>
          <c:order val="79"/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output'!$CG$3:$CG$130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494931.16043031786</c:v>
                </c:pt>
                <c:pt idx="80">
                  <c:v>494746.60731041833</c:v>
                </c:pt>
                <c:pt idx="81">
                  <c:v>494516.80725550395</c:v>
                </c:pt>
                <c:pt idx="82">
                  <c:v>494232.27133497671</c:v>
                </c:pt>
                <c:pt idx="83">
                  <c:v>493881.93731784046</c:v>
                </c:pt>
                <c:pt idx="84">
                  <c:v>493453.00797868002</c:v>
                </c:pt>
                <c:pt idx="85">
                  <c:v>492930.79527329386</c:v>
                </c:pt>
                <c:pt idx="86">
                  <c:v>492298.57655380125</c:v>
                </c:pt>
                <c:pt idx="87">
                  <c:v>491537.46992561332</c:v>
                </c:pt>
                <c:pt idx="88">
                  <c:v>490626.33667938306</c:v>
                </c:pt>
                <c:pt idx="89">
                  <c:v>489541.71939692268</c:v>
                </c:pt>
                <c:pt idx="90">
                  <c:v>488257.82476378343</c:v>
                </c:pt>
                <c:pt idx="91">
                  <c:v>486746.56025433791</c:v>
                </c:pt>
                <c:pt idx="92">
                  <c:v>484977.63362227695</c:v>
                </c:pt>
                <c:pt idx="93">
                  <c:v>482918.72347236593</c:v>
                </c:pt>
                <c:pt idx="94">
                  <c:v>480535.72806241672</c:v>
                </c:pt>
                <c:pt idx="95">
                  <c:v>477793.09785945283</c:v>
                </c:pt>
                <c:pt idx="96">
                  <c:v>474654.25524490856</c:v>
                </c:pt>
                <c:pt idx="97">
                  <c:v>471082.10215066239</c:v>
                </c:pt>
                <c:pt idx="98">
                  <c:v>467039.61336041358</c:v>
                </c:pt>
                <c:pt idx="99">
                  <c:v>462490.50981006032</c:v>
                </c:pt>
                <c:pt idx="100">
                  <c:v>457400.00257788354</c:v>
                </c:pt>
                <c:pt idx="101">
                  <c:v>451735.59451069508</c:v>
                </c:pt>
                <c:pt idx="102">
                  <c:v>445467.92275015835</c:v>
                </c:pt>
                <c:pt idx="103">
                  <c:v>438571.62198640208</c:v>
                </c:pt>
                <c:pt idx="104">
                  <c:v>431026.18526515964</c:v>
                </c:pt>
                <c:pt idx="105">
                  <c:v>422816.79680023505</c:v>
                </c:pt>
                <c:pt idx="106">
                  <c:v>413935.10967307456</c:v>
                </c:pt>
                <c:pt idx="107">
                  <c:v>404379.94068946381</c:v>
                </c:pt>
                <c:pt idx="108">
                  <c:v>394157.85512828879</c:v>
                </c:pt>
                <c:pt idx="109">
                  <c:v>383283.6157316161</c:v>
                </c:pt>
                <c:pt idx="110">
                  <c:v>371780.47306790081</c:v>
                </c:pt>
                <c:pt idx="111">
                  <c:v>359680.27831034869</c:v>
                </c:pt>
                <c:pt idx="112">
                  <c:v>347023.40440828016</c:v>
                </c:pt>
                <c:pt idx="113">
                  <c:v>333858.46742875071</c:v>
                </c:pt>
                <c:pt idx="114">
                  <c:v>320241.84629227448</c:v>
                </c:pt>
                <c:pt idx="115">
                  <c:v>306237.00595868233</c:v>
                </c:pt>
                <c:pt idx="116">
                  <c:v>291913.63604280318</c:v>
                </c:pt>
                <c:pt idx="117">
                  <c:v>277346.62354334118</c:v>
                </c:pt>
                <c:pt idx="118">
                  <c:v>262614.88454030635</c:v>
                </c:pt>
                <c:pt idx="119">
                  <c:v>247800.08506222221</c:v>
                </c:pt>
                <c:pt idx="120">
                  <c:v>232985.28558413807</c:v>
                </c:pt>
                <c:pt idx="121">
                  <c:v>218253.54658110323</c:v>
                </c:pt>
                <c:pt idx="122">
                  <c:v>203686.53408164126</c:v>
                </c:pt>
                <c:pt idx="123">
                  <c:v>189363.16416576208</c:v>
                </c:pt>
                <c:pt idx="124">
                  <c:v>175358.32383216993</c:v>
                </c:pt>
                <c:pt idx="125">
                  <c:v>161741.70269569373</c:v>
                </c:pt>
                <c:pt idx="126">
                  <c:v>148576.76571616426</c:v>
                </c:pt>
                <c:pt idx="127">
                  <c:v>135919.89181409572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3003-419C-A35B-51E0E111B9A1}"/>
            </c:ext>
          </c:extLst>
        </c:ser>
        <c:ser>
          <c:idx val="80"/>
          <c:order val="80"/>
          <c:spPr>
            <a:solidFill>
              <a:schemeClr val="accent3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output'!$CH$3:$CH$130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514042.01943372493</c:v>
                </c:pt>
                <c:pt idx="81">
                  <c:v>513850.34013359057</c:v>
                </c:pt>
                <c:pt idx="82">
                  <c:v>513611.66677103349</c:v>
                </c:pt>
                <c:pt idx="83">
                  <c:v>513316.14401780441</c:v>
                </c:pt>
                <c:pt idx="84">
                  <c:v>512952.28249514644</c:v>
                </c:pt>
                <c:pt idx="85">
                  <c:v>512506.79083625652</c:v>
                </c:pt>
                <c:pt idx="86">
                  <c:v>511964.41384504578</c:v>
                </c:pt>
                <c:pt idx="87">
                  <c:v>511307.78315925662</c:v>
                </c:pt>
                <c:pt idx="88">
                  <c:v>510517.28779457201</c:v>
                </c:pt>
                <c:pt idx="89">
                  <c:v>509570.97280915425</c:v>
                </c:pt>
                <c:pt idx="90">
                  <c:v>508444.47501963563</c:v>
                </c:pt>
                <c:pt idx="91">
                  <c:v>507111.00515003758</c:v>
                </c:pt>
                <c:pt idx="92">
                  <c:v>505541.38593338034</c:v>
                </c:pt>
                <c:pt idx="93">
                  <c:v>503704.15544382273</c:v>
                </c:pt>
                <c:pt idx="94">
                  <c:v>501565.74425473402</c:v>
                </c:pt>
                <c:pt idx="95">
                  <c:v>499090.73384769773</c:v>
                </c:pt>
                <c:pt idx="96">
                  <c:v>496242.20200972311</c:v>
                </c:pt>
                <c:pt idx="97">
                  <c:v>492982.15874459082</c:v>
                </c:pt>
                <c:pt idx="98">
                  <c:v>489272.07351032062</c:v>
                </c:pt>
                <c:pt idx="99">
                  <c:v>485073.4914297926</c:v>
                </c:pt>
                <c:pt idx="100">
                  <c:v>480348.73258938425</c:v>
                </c:pt>
                <c:pt idx="101">
                  <c:v>475061.66475697083</c:v>
                </c:pt>
                <c:pt idx="102">
                  <c:v>469178.53596139734</c:v>
                </c:pt>
                <c:pt idx="103">
                  <c:v>462668.84955140686</c:v>
                </c:pt>
                <c:pt idx="104">
                  <c:v>455506.26078221039</c:v>
                </c:pt>
                <c:pt idx="105">
                  <c:v>447669.47086111392</c:v>
                </c:pt>
                <c:pt idx="106">
                  <c:v>439143.09191751154</c:v>
                </c:pt>
                <c:pt idx="107">
                  <c:v>429918.45473189856</c:v>
                </c:pt>
                <c:pt idx="108">
                  <c:v>419994.33042318618</c:v>
                </c:pt>
                <c:pt idx="109">
                  <c:v>409377.53777646308</c:v>
                </c:pt>
                <c:pt idx="110">
                  <c:v>398083.40957000433</c:v>
                </c:pt>
                <c:pt idx="111">
                  <c:v>386136.09415032191</c:v>
                </c:pt>
                <c:pt idx="112">
                  <c:v>373568.67256525648</c:v>
                </c:pt>
                <c:pt idx="113">
                  <c:v>360423.07669151813</c:v>
                </c:pt>
                <c:pt idx="114">
                  <c:v>346749.79981642467</c:v>
                </c:pt>
                <c:pt idx="115">
                  <c:v>332607.39782910096</c:v>
                </c:pt>
                <c:pt idx="116">
                  <c:v>318061.78627240006</c:v>
                </c:pt>
                <c:pt idx="117">
                  <c:v>303185.34569780948</c:v>
                </c:pt>
                <c:pt idx="118">
                  <c:v>288055.85472813755</c:v>
                </c:pt>
                <c:pt idx="119">
                  <c:v>272755.27664308326</c:v>
                </c:pt>
                <c:pt idx="120">
                  <c:v>257368.43085507746</c:v>
                </c:pt>
                <c:pt idx="121">
                  <c:v>241981.58506707166</c:v>
                </c:pt>
                <c:pt idx="122">
                  <c:v>226681.0069820174</c:v>
                </c:pt>
                <c:pt idx="123">
                  <c:v>211551.51601234544</c:v>
                </c:pt>
                <c:pt idx="124">
                  <c:v>196675.07543775483</c:v>
                </c:pt>
                <c:pt idx="125">
                  <c:v>182129.46388105399</c:v>
                </c:pt>
                <c:pt idx="126">
                  <c:v>167987.06189373025</c:v>
                </c:pt>
                <c:pt idx="127">
                  <c:v>154313.78501863679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3003-419C-A35B-51E0E111B9A1}"/>
            </c:ext>
          </c:extLst>
        </c:ser>
        <c:ser>
          <c:idx val="81"/>
          <c:order val="81"/>
          <c:spPr>
            <a:solidFill>
              <a:schemeClr val="accent4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output'!$CI$3:$CI$130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533916.06291676138</c:v>
                </c:pt>
                <c:pt idx="82">
                  <c:v>533716.97285524639</c:v>
                </c:pt>
                <c:pt idx="83">
                  <c:v>533469.07183306932</c:v>
                </c:pt>
                <c:pt idx="84">
                  <c:v>533162.12349238654</c:v>
                </c:pt>
                <c:pt idx="85">
                  <c:v>532784.19424870634</c:v>
                </c:pt>
                <c:pt idx="86">
                  <c:v>532321.4788604998</c:v>
                </c:pt>
                <c:pt idx="87">
                  <c:v>531758.13233080774</c:v>
                </c:pt>
                <c:pt idx="88">
                  <c:v>531076.11479665153</c:v>
                </c:pt>
                <c:pt idx="89">
                  <c:v>530255.05706808041</c:v>
                </c:pt>
                <c:pt idx="90">
                  <c:v>529272.15537484922</c:v>
                </c:pt>
                <c:pt idx="91">
                  <c:v>528102.10459704162</c:v>
                </c:pt>
                <c:pt idx="92">
                  <c:v>526717.07972382556</c:v>
                </c:pt>
                <c:pt idx="93">
                  <c:v>525086.77542815858</c:v>
                </c:pt>
                <c:pt idx="94">
                  <c:v>523178.51339398517</c:v>
                </c:pt>
                <c:pt idx="95">
                  <c:v>520957.42632364581</c:v>
                </c:pt>
                <c:pt idx="96">
                  <c:v>518386.72633756575</c:v>
                </c:pt>
                <c:pt idx="97">
                  <c:v>515428.06372531492</c:v>
                </c:pt>
                <c:pt idx="98">
                  <c:v>512041.97971028596</c:v>
                </c:pt>
                <c:pt idx="99">
                  <c:v>508188.4540713717</c:v>
                </c:pt>
                <c:pt idx="100">
                  <c:v>503827.54517770209</c:v>
                </c:pt>
                <c:pt idx="101">
                  <c:v>498920.11632377119</c:v>
                </c:pt>
                <c:pt idx="102">
                  <c:v>493428.63832248695</c:v>
                </c:pt>
                <c:pt idx="103">
                  <c:v>487318.05427407566</c:v>
                </c:pt>
                <c:pt idx="104">
                  <c:v>480556.68845679553</c:v>
                </c:pt>
                <c:pt idx="105">
                  <c:v>473117.17757759924</c:v>
                </c:pt>
                <c:pt idx="106">
                  <c:v>464977.39938361634</c:v>
                </c:pt>
                <c:pt idx="107">
                  <c:v>456121.37107386941</c:v>
                </c:pt>
                <c:pt idx="108">
                  <c:v>446540.08825694391</c:v>
                </c:pt>
                <c:pt idx="109">
                  <c:v>436232.27454038954</c:v>
                </c:pt>
                <c:pt idx="110">
                  <c:v>425205.01233916625</c:v>
                </c:pt>
                <c:pt idx="111">
                  <c:v>413474.22723192454</c:v>
                </c:pt>
                <c:pt idx="112">
                  <c:v>401065.00119563943</c:v>
                </c:pt>
                <c:pt idx="113">
                  <c:v>388011.6942673361</c:v>
                </c:pt>
                <c:pt idx="114">
                  <c:v>374357.85950625368</c:v>
                </c:pt>
                <c:pt idx="115">
                  <c:v>360155.9423860095</c:v>
                </c:pt>
                <c:pt idx="116">
                  <c:v>345466.76270070637</c:v>
                </c:pt>
                <c:pt idx="117">
                  <c:v>330358.78443926864</c:v>
                </c:pt>
                <c:pt idx="118">
                  <c:v>314907.18655131693</c:v>
                </c:pt>
                <c:pt idx="119">
                  <c:v>299192.75475961121</c:v>
                </c:pt>
                <c:pt idx="120">
                  <c:v>283300.62123223545</c:v>
                </c:pt>
                <c:pt idx="121">
                  <c:v>267318.88469464757</c:v>
                </c:pt>
                <c:pt idx="122">
                  <c:v>251337.14815705971</c:v>
                </c:pt>
                <c:pt idx="123">
                  <c:v>235445.01462968392</c:v>
                </c:pt>
                <c:pt idx="124">
                  <c:v>219730.5828379782</c:v>
                </c:pt>
                <c:pt idx="125">
                  <c:v>204278.98495002647</c:v>
                </c:pt>
                <c:pt idx="126">
                  <c:v>189171.00668858876</c:v>
                </c:pt>
                <c:pt idx="127">
                  <c:v>174481.82700328564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3003-419C-A35B-51E0E111B9A1}"/>
            </c:ext>
          </c:extLst>
        </c:ser>
        <c:ser>
          <c:idx val="82"/>
          <c:order val="82"/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output'!$CJ$3:$CJ$130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555378.7768633404</c:v>
                </c:pt>
                <c:pt idx="83">
                  <c:v>555171.68364676659</c:v>
                </c:pt>
                <c:pt idx="84">
                  <c:v>554913.81733398372</c:v>
                </c:pt>
                <c:pt idx="85">
                  <c:v>554594.53007920936</c:v>
                </c:pt>
                <c:pt idx="86">
                  <c:v>554201.40858376434</c:v>
                </c:pt>
                <c:pt idx="87">
                  <c:v>553720.09265381435</c:v>
                </c:pt>
                <c:pt idx="88">
                  <c:v>553134.10034464614</c:v>
                </c:pt>
                <c:pt idx="89">
                  <c:v>552424.66661483888</c:v>
                </c:pt>
                <c:pt idx="90">
                  <c:v>551570.60346016078</c:v>
                </c:pt>
                <c:pt idx="91">
                  <c:v>550548.19042920321</c:v>
                </c:pt>
                <c:pt idx="92">
                  <c:v>549331.10516996449</c:v>
                </c:pt>
                <c:pt idx="93">
                  <c:v>547890.4041432715</c:v>
                </c:pt>
                <c:pt idx="94">
                  <c:v>546194.563788336</c:v>
                </c:pt>
                <c:pt idx="95">
                  <c:v>544209.59216436138</c:v>
                </c:pt>
                <c:pt idx="96">
                  <c:v>541899.22035480523</c:v>
                </c:pt>
                <c:pt idx="97">
                  <c:v>539225.18165637727</c:v>
                </c:pt>
                <c:pt idx="98">
                  <c:v>536147.58475141332</c:v>
                </c:pt>
                <c:pt idx="99">
                  <c:v>532625.38467309042</c:v>
                </c:pt>
                <c:pt idx="100">
                  <c:v>528616.95244076522</c:v>
                </c:pt>
                <c:pt idx="101">
                  <c:v>524080.74082325434</c:v>
                </c:pt>
                <c:pt idx="102">
                  <c:v>518976.03987166495</c:v>
                </c:pt>
                <c:pt idx="103">
                  <c:v>513263.81177561561</c:v>
                </c:pt>
                <c:pt idx="104">
                  <c:v>506907.59039469721</c:v>
                </c:pt>
                <c:pt idx="105">
                  <c:v>499874.42668538197</c:v>
                </c:pt>
                <c:pt idx="106">
                  <c:v>492135.85738672107</c:v>
                </c:pt>
                <c:pt idx="107">
                  <c:v>483668.87096077064</c:v>
                </c:pt>
                <c:pt idx="108">
                  <c:v>474456.84211926121</c:v>
                </c:pt>
                <c:pt idx="109">
                  <c:v>464490.40450624743</c:v>
                </c:pt>
                <c:pt idx="110">
                  <c:v>453768.23042000423</c:v>
                </c:pt>
                <c:pt idx="111">
                  <c:v>442297.6869791309</c:v>
                </c:pt>
                <c:pt idx="112">
                  <c:v>430095.33994930889</c:v>
                </c:pt>
                <c:pt idx="113">
                  <c:v>417187.27956954995</c:v>
                </c:pt>
                <c:pt idx="114">
                  <c:v>403609.24710456101</c:v>
                </c:pt>
                <c:pt idx="115">
                  <c:v>389406.54638850049</c:v>
                </c:pt>
                <c:pt idx="116">
                  <c:v>374633.73113310814</c:v>
                </c:pt>
                <c:pt idx="117">
                  <c:v>359354.06600712874</c:v>
                </c:pt>
                <c:pt idx="118">
                  <c:v>343638.76716056955</c:v>
                </c:pt>
                <c:pt idx="119">
                  <c:v>327566.03563660209</c:v>
                </c:pt>
                <c:pt idx="120">
                  <c:v>311219.90463634307</c:v>
                </c:pt>
                <c:pt idx="121">
                  <c:v>294688.92852754064</c:v>
                </c:pt>
                <c:pt idx="122">
                  <c:v>278064.74748696858</c:v>
                </c:pt>
                <c:pt idx="123">
                  <c:v>261440.56644639652</c:v>
                </c:pt>
                <c:pt idx="124">
                  <c:v>244909.59033759407</c:v>
                </c:pt>
                <c:pt idx="125">
                  <c:v>228563.45933733508</c:v>
                </c:pt>
                <c:pt idx="126">
                  <c:v>212490.72781336764</c:v>
                </c:pt>
                <c:pt idx="127">
                  <c:v>196775.42896680842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3003-419C-A35B-51E0E111B9A1}"/>
            </c:ext>
          </c:extLst>
        </c:ser>
        <c:ser>
          <c:idx val="83"/>
          <c:order val="83"/>
          <c:spPr>
            <a:solidFill>
              <a:schemeClr val="accent6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output'!$CK$3:$CK$130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577427.60646894015</c:v>
                </c:pt>
                <c:pt idx="84">
                  <c:v>577212.29154272424</c:v>
                </c:pt>
                <c:pt idx="85">
                  <c:v>576944.18780167017</c:v>
                </c:pt>
                <c:pt idx="86">
                  <c:v>576612.22467491613</c:v>
                </c:pt>
                <c:pt idx="87">
                  <c:v>576203.49604929518</c:v>
                </c:pt>
                <c:pt idx="88">
                  <c:v>575703.07162372372</c:v>
                </c:pt>
                <c:pt idx="89">
                  <c:v>575093.8151116129</c:v>
                </c:pt>
                <c:pt idx="90">
                  <c:v>574356.21648952551</c:v>
                </c:pt>
                <c:pt idx="91">
                  <c:v>573468.24657831586</c:v>
                </c:pt>
                <c:pt idx="92">
                  <c:v>572405.24321217579</c:v>
                </c:pt>
                <c:pt idx="93">
                  <c:v>571139.83902788197</c:v>
                </c:pt>
                <c:pt idx="94">
                  <c:v>569641.94141253014</c:v>
                </c:pt>
                <c:pt idx="95">
                  <c:v>567878.77530338499</c:v>
                </c:pt>
                <c:pt idx="96">
                  <c:v>565814.99926171883</c:v>
                </c:pt>
                <c:pt idx="97">
                  <c:v>563412.9044759227</c:v>
                </c:pt>
                <c:pt idx="98">
                  <c:v>560632.7050344547</c:v>
                </c:pt>
                <c:pt idx="99">
                  <c:v>557432.9259133545</c:v>
                </c:pt>
                <c:pt idx="100">
                  <c:v>553770.8926390236</c:v>
                </c:pt>
                <c:pt idx="101">
                  <c:v>549603.32353838789</c:v>
                </c:pt>
                <c:pt idx="102">
                  <c:v>544887.02193332952</c:v>
                </c:pt>
                <c:pt idx="103">
                  <c:v>539579.66166856873</c:v>
                </c:pt>
                <c:pt idx="104">
                  <c:v>533640.65511211543</c:v>
                </c:pt>
                <c:pt idx="105">
                  <c:v>527032.08839860279</c:v>
                </c:pt>
                <c:pt idx="106">
                  <c:v>519719.70439014182</c:v>
                </c:pt>
                <c:pt idx="107">
                  <c:v>511673.90981935052</c:v>
                </c:pt>
                <c:pt idx="108">
                  <c:v>502870.77957812313</c:v>
                </c:pt>
                <c:pt idx="109">
                  <c:v>493293.02834549989</c:v>
                </c:pt>
                <c:pt idx="110">
                  <c:v>482930.91791627719</c:v>
                </c:pt>
                <c:pt idx="111">
                  <c:v>471783.06787827297</c:v>
                </c:pt>
                <c:pt idx="112">
                  <c:v>459857.13782857056</c:v>
                </c:pt>
                <c:pt idx="113">
                  <c:v>447170.35120246356</c:v>
                </c:pt>
                <c:pt idx="114">
                  <c:v>433749.8340351776</c:v>
                </c:pt>
                <c:pt idx="115">
                  <c:v>419632.74653843051</c:v>
                </c:pt>
                <c:pt idx="116">
                  <c:v>404866.19113242958</c:v>
                </c:pt>
                <c:pt idx="117">
                  <c:v>389506.88733996934</c:v>
                </c:pt>
                <c:pt idx="118">
                  <c:v>373620.6114704248</c:v>
                </c:pt>
                <c:pt idx="119">
                  <c:v>357281.40699242282</c:v>
                </c:pt>
                <c:pt idx="120">
                  <c:v>340570.57957168738</c:v>
                </c:pt>
                <c:pt idx="121">
                  <c:v>323575.49857162638</c:v>
                </c:pt>
                <c:pt idx="122">
                  <c:v>306388.23401497258</c:v>
                </c:pt>
                <c:pt idx="123">
                  <c:v>289104.06424172624</c:v>
                </c:pt>
                <c:pt idx="124">
                  <c:v>271819.89446847991</c:v>
                </c:pt>
                <c:pt idx="125">
                  <c:v>254632.62991182611</c:v>
                </c:pt>
                <c:pt idx="126">
                  <c:v>237637.54891176507</c:v>
                </c:pt>
                <c:pt idx="127">
                  <c:v>220926.72149102969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3003-419C-A35B-51E0E111B9A1}"/>
            </c:ext>
          </c:extLst>
        </c:ser>
        <c:ser>
          <c:idx val="84"/>
          <c:order val="84"/>
          <c:spPr>
            <a:solidFill>
              <a:schemeClr val="accent1">
                <a:lumMod val="5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output'!$CL$3:$CL$130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604954.07490989927</c:v>
                </c:pt>
                <c:pt idx="85">
                  <c:v>604728.49573678046</c:v>
                </c:pt>
                <c:pt idx="86">
                  <c:v>604447.61126081797</c:v>
                </c:pt>
                <c:pt idx="87">
                  <c:v>604099.82316755771</c:v>
                </c:pt>
                <c:pt idx="88">
                  <c:v>603671.61009836663</c:v>
                </c:pt>
                <c:pt idx="89">
                  <c:v>603147.33001192403</c:v>
                </c:pt>
                <c:pt idx="90">
                  <c:v>602509.02972018567</c:v>
                </c:pt>
                <c:pt idx="91">
                  <c:v>601736.26914019149</c:v>
                </c:pt>
                <c:pt idx="92">
                  <c:v>600805.96894296224</c:v>
                </c:pt>
                <c:pt idx="93">
                  <c:v>599692.29129612818</c:v>
                </c:pt>
                <c:pt idx="94">
                  <c:v>598366.56421082676</c:v>
                </c:pt>
                <c:pt idx="95">
                  <c:v>596797.26053352898</c:v>
                </c:pt>
                <c:pt idx="96">
                  <c:v>594950.04278619448</c:v>
                </c:pt>
                <c:pt idx="97">
                  <c:v>592787.88477344881</c:v>
                </c:pt>
                <c:pt idx="98">
                  <c:v>590271.28007234435</c:v>
                </c:pt>
                <c:pt idx="99">
                  <c:v>587358.54614286823</c:v>
                </c:pt>
                <c:pt idx="100">
                  <c:v>584006.23081115342</c:v>
                </c:pt>
                <c:pt idx="101">
                  <c:v>580169.62527490384</c:v>
                </c:pt>
                <c:pt idx="102">
                  <c:v>575803.38458662841</c:v>
                </c:pt>
                <c:pt idx="103">
                  <c:v>570862.2528455751</c:v>
                </c:pt>
                <c:pt idx="104">
                  <c:v>565301.88617239858</c:v>
                </c:pt>
                <c:pt idx="105">
                  <c:v>559079.76208793768</c:v>
                </c:pt>
                <c:pt idx="106">
                  <c:v>552156.15934039839</c:v>
                </c:pt>
                <c:pt idx="107">
                  <c:v>544495.18772479484</c:v>
                </c:pt>
                <c:pt idx="108">
                  <c:v>536065.84323734872</c:v>
                </c:pt>
                <c:pt idx="109">
                  <c:v>526843.06023956439</c:v>
                </c:pt>
                <c:pt idx="110">
                  <c:v>516808.72940443066</c:v>
                </c:pt>
                <c:pt idx="111">
                  <c:v>505952.64829816337</c:v>
                </c:pt>
                <c:pt idx="112">
                  <c:v>494273.37070314959</c:v>
                </c:pt>
                <c:pt idx="113">
                  <c:v>481778.92135602445</c:v>
                </c:pt>
                <c:pt idx="114">
                  <c:v>468487.34474799008</c:v>
                </c:pt>
                <c:pt idx="115">
                  <c:v>454427.06003559876</c:v>
                </c:pt>
                <c:pt idx="116">
                  <c:v>439636.99888968078</c:v>
                </c:pt>
                <c:pt idx="117">
                  <c:v>424166.50914314733</c:v>
                </c:pt>
                <c:pt idx="118">
                  <c:v>408075.01418701262</c:v>
                </c:pt>
                <c:pt idx="119">
                  <c:v>391431.42594364256</c:v>
                </c:pt>
                <c:pt idx="120">
                  <c:v>374313.31759721547</c:v>
                </c:pt>
                <c:pt idx="121">
                  <c:v>356805.87072416098</c:v>
                </c:pt>
                <c:pt idx="122">
                  <c:v>339000.6196602534</c:v>
                </c:pt>
                <c:pt idx="123">
                  <c:v>320994.02348504699</c:v>
                </c:pt>
                <c:pt idx="124">
                  <c:v>302885.90253859496</c:v>
                </c:pt>
                <c:pt idx="125">
                  <c:v>284777.78159214294</c:v>
                </c:pt>
                <c:pt idx="126">
                  <c:v>266771.18541693653</c:v>
                </c:pt>
                <c:pt idx="127">
                  <c:v>248965.93435302892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3003-419C-A35B-51E0E111B9A1}"/>
            </c:ext>
          </c:extLst>
        </c:ser>
        <c:ser>
          <c:idx val="85"/>
          <c:order val="85"/>
          <c:spPr>
            <a:solidFill>
              <a:schemeClr val="accent2">
                <a:lumMod val="5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output'!$CM$3:$CM$130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635270.98939351505</c:v>
                </c:pt>
                <c:pt idx="86">
                  <c:v>635034.10545399436</c:v>
                </c:pt>
                <c:pt idx="87">
                  <c:v>634739.14461919619</c:v>
                </c:pt>
                <c:pt idx="88">
                  <c:v>634373.92733202013</c:v>
                </c:pt>
                <c:pt idx="89">
                  <c:v>633924.2546189687</c:v>
                </c:pt>
                <c:pt idx="90">
                  <c:v>633373.70054710249</c:v>
                </c:pt>
                <c:pt idx="91">
                  <c:v>632703.41221501189</c:v>
                </c:pt>
                <c:pt idx="92">
                  <c:v>631891.9251971083</c:v>
                </c:pt>
                <c:pt idx="93">
                  <c:v>630915.00355753617</c:v>
                </c:pt>
                <c:pt idx="94">
                  <c:v>629745.51461628871</c:v>
                </c:pt>
                <c:pt idx="95">
                  <c:v>628353.34950479551</c:v>
                </c:pt>
                <c:pt idx="96">
                  <c:v>626705.40110493673</c:v>
                </c:pt>
                <c:pt idx="97">
                  <c:v>624765.61113633576</c:v>
                </c:pt>
                <c:pt idx="98">
                  <c:v>622495.09785780858</c:v>
                </c:pt>
                <c:pt idx="99">
                  <c:v>619852.37500546465</c:v>
                </c:pt>
                <c:pt idx="100">
                  <c:v>616793.67114353273</c:v>
                </c:pt>
                <c:pt idx="101">
                  <c:v>613273.35651823715</c:v>
                </c:pt>
                <c:pt idx="102">
                  <c:v>609244.48177218484</c:v>
                </c:pt>
                <c:pt idx="103">
                  <c:v>604659.42952274904</c:v>
                </c:pt>
                <c:pt idx="104">
                  <c:v>599470.67589656659</c:v>
                </c:pt>
                <c:pt idx="105">
                  <c:v>593631.65474709228</c:v>
                </c:pt>
                <c:pt idx="106">
                  <c:v>587097.71260635473</c:v>
                </c:pt>
                <c:pt idx="107">
                  <c:v>579827.13761559688</c:v>
                </c:pt>
                <c:pt idx="108">
                  <c:v>571782.24095350737</c:v>
                </c:pt>
                <c:pt idx="109">
                  <c:v>562930.46486905636</c:v>
                </c:pt>
                <c:pt idx="110">
                  <c:v>553245.48757414881</c:v>
                </c:pt>
                <c:pt idx="111">
                  <c:v>542708.29220359656</c:v>
                </c:pt>
                <c:pt idx="112">
                  <c:v>531308.16503470065</c:v>
                </c:pt>
                <c:pt idx="113">
                  <c:v>519043.58737351047</c:v>
                </c:pt>
                <c:pt idx="114">
                  <c:v>505922.98611157574</c:v>
                </c:pt>
                <c:pt idx="115">
                  <c:v>491965.31002906768</c:v>
                </c:pt>
                <c:pt idx="116">
                  <c:v>477200.4024917052</c:v>
                </c:pt>
                <c:pt idx="117">
                  <c:v>461669.14620790002</c:v>
                </c:pt>
                <c:pt idx="118">
                  <c:v>445423.36204792676</c:v>
                </c:pt>
                <c:pt idx="119">
                  <c:v>428525.45137077832</c:v>
                </c:pt>
                <c:pt idx="120">
                  <c:v>411047.77957891754</c:v>
                </c:pt>
                <c:pt idx="121">
                  <c:v>393071.80739061581</c:v>
                </c:pt>
                <c:pt idx="122">
                  <c:v>374686.98520645883</c:v>
                </c:pt>
                <c:pt idx="123">
                  <c:v>355989.4345511414</c:v>
                </c:pt>
                <c:pt idx="124">
                  <c:v>337080.44849375088</c:v>
                </c:pt>
                <c:pt idx="125">
                  <c:v>318064.84981144872</c:v>
                </c:pt>
                <c:pt idx="126">
                  <c:v>299049.25112914655</c:v>
                </c:pt>
                <c:pt idx="127">
                  <c:v>280140.26507175603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3003-419C-A35B-51E0E111B9A1}"/>
            </c:ext>
          </c:extLst>
        </c:ser>
        <c:ser>
          <c:idx val="86"/>
          <c:order val="86"/>
          <c:spPr>
            <a:solidFill>
              <a:schemeClr val="accent3">
                <a:lumMod val="5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output'!$CN$3:$CN$130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664804.35874834599</c:v>
                </c:pt>
                <c:pt idx="87">
                  <c:v>664556.46221577935</c:v>
                </c:pt>
                <c:pt idx="88">
                  <c:v>664247.78882771695</c:v>
                </c:pt>
                <c:pt idx="89">
                  <c:v>663865.59280671377</c:v>
                </c:pt>
                <c:pt idx="90">
                  <c:v>663395.01507746452</c:v>
                </c:pt>
                <c:pt idx="91">
                  <c:v>662818.86607520527</c:v>
                </c:pt>
                <c:pt idx="92">
                  <c:v>662117.41643838584</c:v>
                </c:pt>
                <c:pt idx="93">
                  <c:v>661268.20387307554</c:v>
                </c:pt>
                <c:pt idx="94">
                  <c:v>660245.865729218</c:v>
                </c:pt>
                <c:pt idx="95">
                  <c:v>659022.00794469751</c:v>
                </c:pt>
                <c:pt idx="96">
                  <c:v>657565.12190760393</c:v>
                </c:pt>
                <c:pt idx="97">
                  <c:v>655840.56136964459</c:v>
                </c:pt>
                <c:pt idx="98">
                  <c:v>653810.59172249702</c:v>
                </c:pt>
                <c:pt idx="99">
                  <c:v>651434.5236360227</c:v>
                </c:pt>
                <c:pt idx="100">
                  <c:v>648668.9421746697</c:v>
                </c:pt>
                <c:pt idx="101">
                  <c:v>645468.04099472752</c:v>
                </c:pt>
                <c:pt idx="102">
                  <c:v>641784.06904238579</c:v>
                </c:pt>
                <c:pt idx="103">
                  <c:v>637567.8943126318</c:v>
                </c:pt>
                <c:pt idx="104">
                  <c:v>632769.68571912462</c:v>
                </c:pt>
                <c:pt idx="105">
                  <c:v>627339.71003197634</c:v>
                </c:pt>
                <c:pt idx="106">
                  <c:v>621229.23627226602</c:v>
                </c:pt>
                <c:pt idx="107">
                  <c:v>614391.53505893215</c:v>
                </c:pt>
                <c:pt idx="108">
                  <c:v>606782.95537378557</c:v>
                </c:pt>
                <c:pt idx="109">
                  <c:v>598364.05626469338</c:v>
                </c:pt>
                <c:pt idx="110">
                  <c:v>589100.76639020152</c:v>
                </c:pt>
                <c:pt idx="111">
                  <c:v>578965.54027798725</c:v>
                </c:pt>
                <c:pt idx="112">
                  <c:v>567938.47698014381</c:v>
                </c:pt>
                <c:pt idx="113">
                  <c:v>556008.36469939421</c:v>
                </c:pt>
                <c:pt idx="114">
                  <c:v>543173.61413861241</c:v>
                </c:pt>
                <c:pt idx="115">
                  <c:v>529443.04395050951</c:v>
                </c:pt>
                <c:pt idx="116">
                  <c:v>514836.48383274378</c:v>
                </c:pt>
                <c:pt idx="117">
                  <c:v>499385.16455130471</c:v>
                </c:pt>
                <c:pt idx="118">
                  <c:v>483131.86942733143</c:v>
                </c:pt>
                <c:pt idx="119">
                  <c:v>466130.82845244615</c:v>
                </c:pt>
                <c:pt idx="120">
                  <c:v>448447.34398759867</c:v>
                </c:pt>
                <c:pt idx="121">
                  <c:v>430157.14565964608</c:v>
                </c:pt>
                <c:pt idx="122">
                  <c:v>411345.48124706047</c:v>
                </c:pt>
                <c:pt idx="123">
                  <c:v>392105.95964619319</c:v>
                </c:pt>
                <c:pt idx="124">
                  <c:v>372539.17101408524</c:v>
                </c:pt>
                <c:pt idx="125">
                  <c:v>352751.11747418396</c:v>
                </c:pt>
                <c:pt idx="126">
                  <c:v>332851.49495203386</c:v>
                </c:pt>
                <c:pt idx="127">
                  <c:v>312951.87242988375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3003-419C-A35B-51E0E111B9A1}"/>
            </c:ext>
          </c:extLst>
        </c:ser>
        <c:ser>
          <c:idx val="87"/>
          <c:order val="87"/>
          <c:spPr>
            <a:solidFill>
              <a:schemeClr val="accent4">
                <a:lumMod val="5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output'!$CO$3:$CO$130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696363.60716202587</c:v>
                </c:pt>
                <c:pt idx="88">
                  <c:v>696103.94261357735</c:v>
                </c:pt>
                <c:pt idx="89">
                  <c:v>695780.61604220711</c:v>
                </c:pt>
                <c:pt idx="90">
                  <c:v>695380.27660952078</c:v>
                </c:pt>
                <c:pt idx="91">
                  <c:v>694887.35985788109</c:v>
                </c:pt>
                <c:pt idx="92">
                  <c:v>694283.86020840309</c:v>
                </c:pt>
                <c:pt idx="93">
                  <c:v>693549.11171749712</c:v>
                </c:pt>
                <c:pt idx="94">
                  <c:v>692659.58577284159</c:v>
                </c:pt>
                <c:pt idx="95">
                  <c:v>691588.71572178428</c:v>
                </c:pt>
                <c:pt idx="96">
                  <c:v>690306.7595939897</c:v>
                </c:pt>
                <c:pt idx="97">
                  <c:v>688780.7130170319</c:v>
                </c:pt>
                <c:pt idx="98">
                  <c:v>686974.28503385244</c:v>
                </c:pt>
                <c:pt idx="99">
                  <c:v>684847.94971833425</c:v>
                </c:pt>
                <c:pt idx="100">
                  <c:v>682359.08615751914</c:v>
                </c:pt>
                <c:pt idx="101">
                  <c:v>679462.21844450629</c:v>
                </c:pt>
                <c:pt idx="102">
                  <c:v>676109.36574054649</c:v>
                </c:pt>
                <c:pt idx="103">
                  <c:v>672250.5101785186</c:v>
                </c:pt>
                <c:pt idx="104">
                  <c:v>667834.187384299</c:v>
                </c:pt>
                <c:pt idx="105">
                  <c:v>662808.20071600867</c:v>
                </c:pt>
                <c:pt idx="106">
                  <c:v>657120.45603361249</c:v>
                </c:pt>
                <c:pt idx="107">
                  <c:v>650719.90902638168</c:v>
                </c:pt>
                <c:pt idx="108">
                  <c:v>643557.61200026399</c:v>
                </c:pt>
                <c:pt idx="109">
                  <c:v>635587.84175852872</c:v>
                </c:pt>
                <c:pt idx="110">
                  <c:v>626769.28502857836</c:v>
                </c:pt>
                <c:pt idx="111">
                  <c:v>617066.25305187248</c:v>
                </c:pt>
                <c:pt idx="112">
                  <c:v>606449.89273168414</c:v>
                </c:pt>
                <c:pt idx="113">
                  <c:v>594899.35839260789</c:v>
                </c:pt>
                <c:pt idx="114">
                  <c:v>582402.9059967302</c:v>
                </c:pt>
                <c:pt idx="115">
                  <c:v>568958.87080063403</c:v>
                </c:pt>
                <c:pt idx="116">
                  <c:v>554576.49009154784</c:v>
                </c:pt>
                <c:pt idx="117">
                  <c:v>539276.53491227282</c:v>
                </c:pt>
                <c:pt idx="118">
                  <c:v>523091.7185995566</c:v>
                </c:pt>
                <c:pt idx="119">
                  <c:v>506066.85546221456</c:v>
                </c:pt>
                <c:pt idx="120">
                  <c:v>488258.74986996164</c:v>
                </c:pt>
                <c:pt idx="121">
                  <c:v>469735.80418362597</c:v>
                </c:pt>
                <c:pt idx="122">
                  <c:v>450577.34302771284</c:v>
                </c:pt>
                <c:pt idx="123">
                  <c:v>430872.66101910948</c:v>
                </c:pt>
                <c:pt idx="124">
                  <c:v>410719.81080724258</c:v>
                </c:pt>
                <c:pt idx="125">
                  <c:v>390224.15771302237</c:v>
                </c:pt>
                <c:pt idx="126">
                  <c:v>369496.73593783349</c:v>
                </c:pt>
                <c:pt idx="127">
                  <c:v>348652.44883541891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3003-419C-A35B-51E0E111B9A1}"/>
            </c:ext>
          </c:extLst>
        </c:ser>
        <c:ser>
          <c:idx val="88"/>
          <c:order val="88"/>
          <c:spPr>
            <a:solidFill>
              <a:schemeClr val="accent5">
                <a:lumMod val="5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output'!$CP$3:$CP$130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731524.38907632453</c:v>
                </c:pt>
                <c:pt idx="89">
                  <c:v>731251.61354897788</c:v>
                </c:pt>
                <c:pt idx="90">
                  <c:v>730911.96157670196</c:v>
                </c:pt>
                <c:pt idx="91">
                  <c:v>730491.40821074904</c:v>
                </c:pt>
                <c:pt idx="92">
                  <c:v>729973.60311309586</c:v>
                </c:pt>
                <c:pt idx="93">
                  <c:v>729339.63156740961</c:v>
                </c:pt>
                <c:pt idx="94">
                  <c:v>728567.7841655541</c:v>
                </c:pt>
                <c:pt idx="95">
                  <c:v>727633.34428882995</c:v>
                </c:pt>
                <c:pt idx="96">
                  <c:v>726508.40388151549</c:v>
                </c:pt>
                <c:pt idx="97">
                  <c:v>725161.71924210782</c:v>
                </c:pt>
                <c:pt idx="98">
                  <c:v>723558.61954185122</c:v>
                </c:pt>
                <c:pt idx="99">
                  <c:v>721660.98142117006</c:v>
                </c:pt>
                <c:pt idx="100">
                  <c:v>719427.28321141563</c:v>
                </c:pt>
                <c:pt idx="101">
                  <c:v>716812.75198506459</c:v>
                </c:pt>
                <c:pt idx="102">
                  <c:v>713769.61566633452</c:v>
                </c:pt>
                <c:pt idx="103">
                  <c:v>710247.47076860955</c:v>
                </c:pt>
                <c:pt idx="104">
                  <c:v>706193.77392329252</c:v>
                </c:pt>
                <c:pt idx="105">
                  <c:v>701554.46221777203</c:v>
                </c:pt>
                <c:pt idx="106">
                  <c:v>696274.70349802694</c:v>
                </c:pt>
                <c:pt idx="107">
                  <c:v>690299.77328740223</c:v>
                </c:pt>
                <c:pt idx="108">
                  <c:v>683576.04994651629</c:v>
                </c:pt>
                <c:pt idx="109">
                  <c:v>676052.11431500525</c:v>
                </c:pt>
                <c:pt idx="110">
                  <c:v>667679.93454110238</c:v>
                </c:pt>
                <c:pt idx="111">
                  <c:v>658416.11136300385</c:v>
                </c:pt>
                <c:pt idx="112">
                  <c:v>648223.15402585175</c:v>
                </c:pt>
                <c:pt idx="113">
                  <c:v>637070.75258274621</c:v>
                </c:pt>
                <c:pt idx="114">
                  <c:v>624937.00881871895</c:v>
                </c:pt>
                <c:pt idx="115">
                  <c:v>611809.58571605117</c:v>
                </c:pt>
                <c:pt idx="116">
                  <c:v>597686.73447512393</c:v>
                </c:pt>
                <c:pt idx="117">
                  <c:v>582578.15879214811</c:v>
                </c:pt>
                <c:pt idx="118">
                  <c:v>566505.67848113994</c:v>
                </c:pt>
                <c:pt idx="119">
                  <c:v>549503.65864020726</c:v>
                </c:pt>
                <c:pt idx="120">
                  <c:v>531619.17634164507</c:v>
                </c:pt>
                <c:pt idx="121">
                  <c:v>512911.90412064228</c:v>
                </c:pt>
                <c:pt idx="122">
                  <c:v>493453.69810911256</c:v>
                </c:pt>
                <c:pt idx="123">
                  <c:v>473327.88818943803</c:v>
                </c:pt>
                <c:pt idx="124">
                  <c:v>452628.27764110424</c:v>
                </c:pt>
                <c:pt idx="125">
                  <c:v>431457.86998659791</c:v>
                </c:pt>
                <c:pt idx="126">
                  <c:v>409927.35065119952</c:v>
                </c:pt>
                <c:pt idx="127">
                  <c:v>388153.36017370125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3003-419C-A35B-51E0E111B9A1}"/>
            </c:ext>
          </c:extLst>
        </c:ser>
        <c:ser>
          <c:idx val="89"/>
          <c:order val="89"/>
          <c:spPr>
            <a:solidFill>
              <a:schemeClr val="accent6">
                <a:lumMod val="5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output'!$CQ$3:$CQ$130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771129.83651105093</c:v>
                </c:pt>
                <c:pt idx="90">
                  <c:v>770842.29264929041</c:v>
                </c:pt>
                <c:pt idx="91">
                  <c:v>770484.25158632256</c:v>
                </c:pt>
                <c:pt idx="92">
                  <c:v>770040.92904892797</c:v>
                </c:pt>
                <c:pt idx="93">
                  <c:v>769495.08947575651</c:v>
                </c:pt>
                <c:pt idx="94">
                  <c:v>768826.79408919392</c:v>
                </c:pt>
                <c:pt idx="95">
                  <c:v>768013.1581124689</c:v>
                </c:pt>
                <c:pt idx="96">
                  <c:v>767028.12674491934</c:v>
                </c:pt>
                <c:pt idx="97">
                  <c:v>765842.28096133249</c:v>
                </c:pt>
                <c:pt idx="98">
                  <c:v>764422.68549558229</c:v>
                </c:pt>
                <c:pt idx="99">
                  <c:v>762732.79240626143</c:v>
                </c:pt>
                <c:pt idx="100">
                  <c:v>760732.41429773974</c:v>
                </c:pt>
                <c:pt idx="101">
                  <c:v>758377.78147753002</c:v>
                </c:pt>
                <c:pt idx="102">
                  <c:v>755621.69696792832</c:v>
                </c:pt>
                <c:pt idx="103">
                  <c:v>752413.80226614513</c:v>
                </c:pt>
                <c:pt idx="104">
                  <c:v>748700.96499139559</c:v>
                </c:pt>
                <c:pt idx="105">
                  <c:v>744427.79702560615</c:v>
                </c:pt>
                <c:pt idx="106">
                  <c:v>739537.30843708618</c:v>
                </c:pt>
                <c:pt idx="107">
                  <c:v>733971.69840525161</c:v>
                </c:pt>
                <c:pt idx="108">
                  <c:v>727673.27961664274</c:v>
                </c:pt>
                <c:pt idx="109">
                  <c:v>720585.52730376401</c:v>
                </c:pt>
                <c:pt idx="110">
                  <c:v>712654.23842251056</c:v>
                </c:pt>
                <c:pt idx="111">
                  <c:v>703828.78062958212</c:v>
                </c:pt>
                <c:pt idx="112">
                  <c:v>694063.40498460259</c:v>
                </c:pt>
                <c:pt idx="113">
                  <c:v>683318.59094649949</c:v>
                </c:pt>
                <c:pt idx="114">
                  <c:v>671562.3875581387</c:v>
                </c:pt>
                <c:pt idx="115">
                  <c:v>658771.71101373015</c:v>
                </c:pt>
                <c:pt idx="116">
                  <c:v>644933.55635732342</c:v>
                </c:pt>
                <c:pt idx="117">
                  <c:v>630046.08010757423</c:v>
                </c:pt>
                <c:pt idx="118">
                  <c:v>614119.51132831734</c:v>
                </c:pt>
                <c:pt idx="119">
                  <c:v>597176.85117968672</c:v>
                </c:pt>
                <c:pt idx="120">
                  <c:v>579254.32531988493</c:v>
                </c:pt>
                <c:pt idx="121">
                  <c:v>560401.55962004419</c:v>
                </c:pt>
                <c:pt idx="122">
                  <c:v>540681.45734489721</c:v>
                </c:pt>
                <c:pt idx="123">
                  <c:v>520169.76498776959</c:v>
                </c:pt>
                <c:pt idx="124">
                  <c:v>498954.32399255235</c:v>
                </c:pt>
                <c:pt idx="125">
                  <c:v>477134.01624022448</c:v>
                </c:pt>
                <c:pt idx="126">
                  <c:v>454817.42196493986</c:v>
                </c:pt>
                <c:pt idx="127">
                  <c:v>432121.21920939308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3003-419C-A35B-51E0E111B9A1}"/>
            </c:ext>
          </c:extLst>
        </c:ser>
        <c:ser>
          <c:idx val="90"/>
          <c:order val="90"/>
          <c:spPr>
            <a:solidFill>
              <a:schemeClr val="accent1">
                <a:lumMod val="70000"/>
                <a:lumOff val="3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output'!$CR$3:$CR$130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811821.73537393764</c:v>
                </c:pt>
                <c:pt idx="91">
                  <c:v>811519.01805475482</c:v>
                </c:pt>
                <c:pt idx="92">
                  <c:v>811142.08345397632</c:v>
                </c:pt>
                <c:pt idx="93">
                  <c:v>810675.36714422167</c:v>
                </c:pt>
                <c:pt idx="94">
                  <c:v>810100.72405748453</c:v>
                </c:pt>
                <c:pt idx="95">
                  <c:v>809397.16326295445</c:v>
                </c:pt>
                <c:pt idx="96">
                  <c:v>808540.59237266681</c:v>
                </c:pt>
                <c:pt idx="97">
                  <c:v>807503.58169516549</c:v>
                </c:pt>
                <c:pt idx="98">
                  <c:v>806255.15978702996</c:v>
                </c:pt>
                <c:pt idx="99">
                  <c:v>804760.65341473278</c:v>
                </c:pt>
                <c:pt idx="100">
                  <c:v>802981.58603150724</c:v>
                </c:pt>
                <c:pt idx="101">
                  <c:v>800875.64958530292</c:v>
                </c:pt>
                <c:pt idx="102">
                  <c:v>798396.7646923</c:v>
                </c:pt>
                <c:pt idx="103">
                  <c:v>795495.2438283877</c:v>
                </c:pt>
                <c:pt idx="104">
                  <c:v>792118.07111324382</c:v>
                </c:pt>
                <c:pt idx="105">
                  <c:v>788209.31041324849</c:v>
                </c:pt>
                <c:pt idx="106">
                  <c:v>783710.65082405787</c:v>
                </c:pt>
                <c:pt idx="107">
                  <c:v>778562.09510129935</c:v>
                </c:pt>
                <c:pt idx="108">
                  <c:v>772702.79232175543</c:v>
                </c:pt>
                <c:pt idx="109">
                  <c:v>766072.01105901145</c:v>
                </c:pt>
                <c:pt idx="110">
                  <c:v>758610.24377922935</c:v>
                </c:pt>
                <c:pt idx="111">
                  <c:v>750260.42718743044</c:v>
                </c:pt>
                <c:pt idx="112">
                  <c:v>740969.25711243879</c:v>
                </c:pt>
                <c:pt idx="113">
                  <c:v>730688.5704792327</c:v>
                </c:pt>
                <c:pt idx="114">
                  <c:v>719376.76127969567</c:v>
                </c:pt>
                <c:pt idx="115">
                  <c:v>707000.19253048324</c:v>
                </c:pt>
                <c:pt idx="116">
                  <c:v>693534.56231201137</c:v>
                </c:pt>
                <c:pt idx="117">
                  <c:v>678966.1794073045</c:v>
                </c:pt>
                <c:pt idx="118">
                  <c:v>663293.10305599601</c:v>
                </c:pt>
                <c:pt idx="119">
                  <c:v>646526.10210136045</c:v>
                </c:pt>
                <c:pt idx="120">
                  <c:v>628689.39145618107</c:v>
                </c:pt>
                <c:pt idx="121">
                  <c:v>609821.10837739496</c:v>
                </c:pt>
                <c:pt idx="122">
                  <c:v>589973.4974532862</c:v>
                </c:pt>
                <c:pt idx="123">
                  <c:v>569212.78130307922</c:v>
                </c:pt>
                <c:pt idx="124">
                  <c:v>547618.70350139507</c:v>
                </c:pt>
                <c:pt idx="125">
                  <c:v>525283.74081419548</c:v>
                </c:pt>
                <c:pt idx="126">
                  <c:v>502311.99303948163</c:v>
                </c:pt>
                <c:pt idx="127">
                  <c:v>478817.77010269597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3003-419C-A35B-51E0E111B9A1}"/>
            </c:ext>
          </c:extLst>
        </c:ser>
        <c:ser>
          <c:idx val="91"/>
          <c:order val="91"/>
          <c:spPr>
            <a:solidFill>
              <a:schemeClr val="accent2">
                <a:lumMod val="70000"/>
                <a:lumOff val="3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output'!$CS$3:$CS$130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852452.76435242919</c:v>
                </c:pt>
                <c:pt idx="92">
                  <c:v>852134.89627337863</c:v>
                </c:pt>
                <c:pt idx="93">
                  <c:v>851739.09639710933</c:v>
                </c:pt>
                <c:pt idx="94">
                  <c:v>851249.02130909089</c:v>
                </c:pt>
                <c:pt idx="95">
                  <c:v>850645.61779516621</c:v>
                </c:pt>
                <c:pt idx="96">
                  <c:v>849906.84434521548</c:v>
                </c:pt>
                <c:pt idx="97">
                  <c:v>849007.40276651317</c:v>
                </c:pt>
                <c:pt idx="98">
                  <c:v>847918.49053347006</c:v>
                </c:pt>
                <c:pt idx="99">
                  <c:v>846607.58610667731</c:v>
                </c:pt>
                <c:pt idx="100">
                  <c:v>845038.28088498325</c:v>
                </c:pt>
                <c:pt idx="101">
                  <c:v>843170.17260120925</c:v>
                </c:pt>
                <c:pt idx="102">
                  <c:v>840958.83571911592</c:v>
                </c:pt>
                <c:pt idx="103">
                  <c:v>838355.88461855392</c:v>
                </c:pt>
                <c:pt idx="104">
                  <c:v>835309.14495454496</c:v>
                </c:pt>
                <c:pt idx="105">
                  <c:v>831762.94744433183</c:v>
                </c:pt>
                <c:pt idx="106">
                  <c:v>827658.55639551568</c:v>
                </c:pt>
                <c:pt idx="107">
                  <c:v>822934.74248959741</c:v>
                </c:pt>
                <c:pt idx="108">
                  <c:v>817528.50566807843</c:v>
                </c:pt>
                <c:pt idx="109">
                  <c:v>811375.94946767145</c:v>
                </c:pt>
                <c:pt idx="110">
                  <c:v>804413.30290261144</c:v>
                </c:pt>
                <c:pt idx="111">
                  <c:v>796578.08013455523</c:v>
                </c:pt>
                <c:pt idx="112">
                  <c:v>787810.36189622036</c:v>
                </c:pt>
                <c:pt idx="113">
                  <c:v>778054.17618526868</c:v>
                </c:pt>
                <c:pt idx="114">
                  <c:v>767258.94940326968</c:v>
                </c:pt>
                <c:pt idx="115">
                  <c:v>755380.99319465586</c:v>
                </c:pt>
                <c:pt idx="116">
                  <c:v>742384.98707195162</c:v>
                </c:pt>
                <c:pt idx="117">
                  <c:v>728245.41282392212</c:v>
                </c:pt>
                <c:pt idx="118">
                  <c:v>712947.89399912523</c:v>
                </c:pt>
                <c:pt idx="119">
                  <c:v>696490.3927036894</c:v>
                </c:pt>
                <c:pt idx="120">
                  <c:v>678884.21675288759</c:v>
                </c:pt>
                <c:pt idx="121">
                  <c:v>660154.79299653298</c:v>
                </c:pt>
                <c:pt idx="122">
                  <c:v>640342.16743079014</c:v>
                </c:pt>
                <c:pt idx="123">
                  <c:v>619501.19944382843</c:v>
                </c:pt>
                <c:pt idx="124">
                  <c:v>597701.42604403361</c:v>
                </c:pt>
                <c:pt idx="125">
                  <c:v>575026.58190819854</c:v>
                </c:pt>
                <c:pt idx="126">
                  <c:v>551573.77219050634</c:v>
                </c:pt>
                <c:pt idx="127">
                  <c:v>527452.30680064263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3003-419C-A35B-51E0E111B9A1}"/>
            </c:ext>
          </c:extLst>
        </c:ser>
        <c:ser>
          <c:idx val="92"/>
          <c:order val="92"/>
          <c:spPr>
            <a:solidFill>
              <a:schemeClr val="accent3">
                <a:lumMod val="70000"/>
                <a:lumOff val="3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output'!$CT$3:$CT$130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896652.12149545434</c:v>
                </c:pt>
                <c:pt idx="93">
                  <c:v>896317.77207533969</c:v>
                </c:pt>
                <c:pt idx="94">
                  <c:v>895901.45012345538</c:v>
                </c:pt>
                <c:pt idx="95">
                  <c:v>895385.96482533717</c:v>
                </c:pt>
                <c:pt idx="96">
                  <c:v>894751.27506479737</c:v>
                </c:pt>
                <c:pt idx="97">
                  <c:v>893974.19648765645</c:v>
                </c:pt>
                <c:pt idx="98">
                  <c:v>893028.11919935385</c:v>
                </c:pt>
                <c:pt idx="99">
                  <c:v>891882.74727411615</c:v>
                </c:pt>
                <c:pt idx="100">
                  <c:v>890503.87294287456</c:v>
                </c:pt>
                <c:pt idx="101">
                  <c:v>888853.19983211893</c:v>
                </c:pt>
                <c:pt idx="102">
                  <c:v>886888.23083222168</c:v>
                </c:pt>
                <c:pt idx="103">
                  <c:v>884562.23695949803</c:v>
                </c:pt>
                <c:pt idx="104">
                  <c:v>881824.32381748268</c:v>
                </c:pt>
                <c:pt idx="105">
                  <c:v>878619.61184091563</c:v>
                </c:pt>
                <c:pt idx="106">
                  <c:v>874889.5453155404</c:v>
                </c:pt>
                <c:pt idx="107">
                  <c:v>870572.34312526579</c:v>
                </c:pt>
                <c:pt idx="108">
                  <c:v>865603.60123431892</c:v>
                </c:pt>
                <c:pt idx="109">
                  <c:v>859917.05305472063</c:v>
                </c:pt>
                <c:pt idx="110">
                  <c:v>853445.48911544983</c:v>
                </c:pt>
                <c:pt idx="111">
                  <c:v>846121.83192897018</c:v>
                </c:pt>
                <c:pt idx="112">
                  <c:v>837880.35578958085</c:v>
                </c:pt>
                <c:pt idx="113">
                  <c:v>828658.03463839134</c:v>
                </c:pt>
                <c:pt idx="114">
                  <c:v>818395.99434566742</c:v>
                </c:pt>
                <c:pt idx="115">
                  <c:v>807041.03909080697</c:v>
                </c:pt>
                <c:pt idx="116">
                  <c:v>794547.21529333899</c:v>
                </c:pt>
                <c:pt idx="117">
                  <c:v>780877.37111171708</c:v>
                </c:pt>
                <c:pt idx="118">
                  <c:v>766004.66522499349</c:v>
                </c:pt>
                <c:pt idx="119">
                  <c:v>749913.9757680936</c:v>
                </c:pt>
                <c:pt idx="120">
                  <c:v>732603.15918311046</c:v>
                </c:pt>
                <c:pt idx="121">
                  <c:v>714084.10959131154</c:v>
                </c:pt>
                <c:pt idx="122">
                  <c:v>694383.57221516711</c:v>
                </c:pt>
                <c:pt idx="123">
                  <c:v>673543.66942077153</c:v>
                </c:pt>
                <c:pt idx="124">
                  <c:v>651622.10503506172</c:v>
                </c:pt>
                <c:pt idx="125">
                  <c:v>628692.02153431193</c:v>
                </c:pt>
                <c:pt idx="126">
                  <c:v>604841.49520700262</c:v>
                </c:pt>
                <c:pt idx="127">
                  <c:v>580172.6660732585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3003-419C-A35B-51E0E111B9A1}"/>
            </c:ext>
          </c:extLst>
        </c:ser>
        <c:ser>
          <c:idx val="93"/>
          <c:order val="93"/>
          <c:spPr>
            <a:solidFill>
              <a:schemeClr val="accent4">
                <a:lumMod val="70000"/>
                <a:lumOff val="3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output'!$CU$3:$CU$130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939106.64753839851</c:v>
                </c:pt>
                <c:pt idx="94">
                  <c:v>938756.46740108216</c:v>
                </c:pt>
                <c:pt idx="95">
                  <c:v>938320.43351106159</c:v>
                </c:pt>
                <c:pt idx="96">
                  <c:v>937780.54110623058</c:v>
                </c:pt>
                <c:pt idx="97">
                  <c:v>937115.80016717664</c:v>
                </c:pt>
                <c:pt idx="98">
                  <c:v>936301.92861101998</c:v>
                </c:pt>
                <c:pt idx="99">
                  <c:v>935311.05662261904</c:v>
                </c:pt>
                <c:pt idx="100">
                  <c:v>934111.45383006602</c:v>
                </c:pt>
                <c:pt idx="101">
                  <c:v>932667.29280089308</c:v>
                </c:pt>
                <c:pt idx="102">
                  <c:v>930938.46391167108</c:v>
                </c:pt>
                <c:pt idx="103">
                  <c:v>928880.45790714317</c:v>
                </c:pt>
                <c:pt idx="104">
                  <c:v>926444.33328797063</c:v>
                </c:pt>
                <c:pt idx="105">
                  <c:v>923576.7859188068</c:v>
                </c:pt>
                <c:pt idx="106">
                  <c:v>920220.33780644345</c:v>
                </c:pt>
                <c:pt idx="107">
                  <c:v>916313.6607510231</c:v>
                </c:pt>
                <c:pt idx="108">
                  <c:v>911792.04843509803</c:v>
                </c:pt>
                <c:pt idx="109">
                  <c:v>906588.04743200168</c:v>
                </c:pt>
                <c:pt idx="110">
                  <c:v>900632.25357506925</c:v>
                </c:pt>
                <c:pt idx="111">
                  <c:v>893854.27517113381</c:v>
                </c:pt>
                <c:pt idx="112">
                  <c:v>886183.85875964467</c:v>
                </c:pt>
                <c:pt idx="113">
                  <c:v>877552.16666581307</c:v>
                </c:pt>
                <c:pt idx="114">
                  <c:v>867893.1886840607</c:v>
                </c:pt>
                <c:pt idx="115">
                  <c:v>857145.26312277303</c:v>
                </c:pt>
                <c:pt idx="116">
                  <c:v>845252.67545504333</c:v>
                </c:pt>
                <c:pt idx="117">
                  <c:v>832167.29629840108</c:v>
                </c:pt>
                <c:pt idx="118">
                  <c:v>817850.21475247818</c:v>
                </c:pt>
                <c:pt idx="119">
                  <c:v>802273.31861821027</c:v>
                </c:pt>
                <c:pt idx="120">
                  <c:v>785420.77004313027</c:v>
                </c:pt>
                <c:pt idx="121">
                  <c:v>767290.32397653046</c:v>
                </c:pt>
                <c:pt idx="122">
                  <c:v>747894.4377004283</c:v>
                </c:pt>
                <c:pt idx="123">
                  <c:v>727261.12276535644</c:v>
                </c:pt>
                <c:pt idx="124">
                  <c:v>705434.49593974859</c:v>
                </c:pt>
                <c:pt idx="125">
                  <c:v>682474.99320113217</c:v>
                </c:pt>
                <c:pt idx="126">
                  <c:v>658459.22016281029</c:v>
                </c:pt>
                <c:pt idx="127">
                  <c:v>633479.42333379074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3003-419C-A35B-51E0E111B9A1}"/>
            </c:ext>
          </c:extLst>
        </c:ser>
        <c:ser>
          <c:idx val="94"/>
          <c:order val="94"/>
          <c:spPr>
            <a:solidFill>
              <a:schemeClr val="accent5">
                <a:lumMod val="70000"/>
                <a:lumOff val="3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output'!$CV$3:$CV$130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982938.30089166667</c:v>
                </c:pt>
                <c:pt idx="95">
                  <c:v>982571.77652504446</c:v>
                </c:pt>
                <c:pt idx="96">
                  <c:v>982115.3912868913</c:v>
                </c:pt>
                <c:pt idx="97">
                  <c:v>981550.30006486666</c:v>
                </c:pt>
                <c:pt idx="98">
                  <c:v>980854.53315609286</c:v>
                </c:pt>
                <c:pt idx="99">
                  <c:v>980002.67514119146</c:v>
                </c:pt>
                <c:pt idx="100">
                  <c:v>978965.5554155109</c:v>
                </c:pt>
                <c:pt idx="101">
                  <c:v>977709.96263087052</c:v>
                </c:pt>
                <c:pt idx="102">
                  <c:v>976198.39715324331</c:v>
                </c:pt>
                <c:pt idx="103">
                  <c:v>974388.87729161885</c:v>
                </c:pt>
                <c:pt idx="104">
                  <c:v>972234.81637572823</c:v>
                </c:pt>
                <c:pt idx="105">
                  <c:v>969684.98862165317</c:v>
                </c:pt>
                <c:pt idx="106">
                  <c:v>966683.60198877135</c:v>
                </c:pt>
                <c:pt idx="107">
                  <c:v>963170.49576889165</c:v>
                </c:pt>
                <c:pt idx="108">
                  <c:v>959081.47934349102</c:v>
                </c:pt>
                <c:pt idx="109">
                  <c:v>954348.8263069524</c:v>
                </c:pt>
                <c:pt idx="110">
                  <c:v>948901.93492647924</c:v>
                </c:pt>
                <c:pt idx="111">
                  <c:v>942668.16168087476</c:v>
                </c:pt>
                <c:pt idx="112">
                  <c:v>935573.82943084952</c:v>
                </c:pt>
                <c:pt idx="113">
                  <c:v>927545.4057215685</c:v>
                </c:pt>
                <c:pt idx="114">
                  <c:v>918510.839964026</c:v>
                </c:pt>
                <c:pt idx="115">
                  <c:v>908401.04100709187</c:v>
                </c:pt>
                <c:pt idx="116">
                  <c:v>897151.4691751661</c:v>
                </c:pt>
                <c:pt idx="117">
                  <c:v>884703.80953399045</c:v>
                </c:pt>
                <c:pt idx="118">
                  <c:v>871007.68632107589</c:v>
                </c:pt>
                <c:pt idx="119">
                  <c:v>856022.37251740415</c:v>
                </c:pt>
                <c:pt idx="120">
                  <c:v>839718.44382142811</c:v>
                </c:pt>
                <c:pt idx="121">
                  <c:v>822079.32316830114</c:v>
                </c:pt>
                <c:pt idx="122">
                  <c:v>803102.6607223216</c:v>
                </c:pt>
                <c:pt idx="123">
                  <c:v>782801.4951938981</c:v>
                </c:pt>
                <c:pt idx="124">
                  <c:v>761205.14553839969</c:v>
                </c:pt>
                <c:pt idx="125">
                  <c:v>738359.78762042988</c:v>
                </c:pt>
                <c:pt idx="126">
                  <c:v>714328.67819279653</c:v>
                </c:pt>
                <c:pt idx="127">
                  <c:v>689191.99834204209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3003-419C-A35B-51E0E111B9A1}"/>
            </c:ext>
          </c:extLst>
        </c:ser>
        <c:ser>
          <c:idx val="95"/>
          <c:order val="95"/>
          <c:spPr>
            <a:solidFill>
              <a:schemeClr val="accent6">
                <a:lumMod val="70000"/>
                <a:lumOff val="3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output'!$CW$3:$CW$130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1030156.4728921626</c:v>
                </c:pt>
                <c:pt idx="96">
                  <c:v>1029772.3415093422</c:v>
                </c:pt>
                <c:pt idx="97">
                  <c:v>1029294.0325383832</c:v>
                </c:pt>
                <c:pt idx="98">
                  <c:v>1028701.7955896192</c:v>
                </c:pt>
                <c:pt idx="99">
                  <c:v>1027972.6055844609</c:v>
                </c:pt>
                <c:pt idx="100">
                  <c:v>1027079.8262032529</c:v>
                </c:pt>
                <c:pt idx="101">
                  <c:v>1025992.8855503097</c:v>
                </c:pt>
                <c:pt idx="102">
                  <c:v>1024676.9768780761</c:v>
                </c:pt>
                <c:pt idx="103">
                  <c:v>1023092.799153426</c:v>
                </c:pt>
                <c:pt idx="104">
                  <c:v>1021196.3539781913</c:v>
                </c:pt>
                <c:pt idx="105">
                  <c:v>1018938.8167619735</c:v>
                </c:pt>
                <c:pt idx="106">
                  <c:v>1016266.5009480128</c:v>
                </c:pt>
                <c:pt idx="107">
                  <c:v>1013120.9343700185</c:v>
                </c:pt>
                <c:pt idx="108">
                  <c:v>1009439.0663330484</c:v>
                </c:pt>
                <c:pt idx="109">
                  <c:v>1005153.6226438895</c:v>
                </c:pt>
                <c:pt idx="110">
                  <c:v>1000193.623470879</c:v>
                </c:pt>
                <c:pt idx="111">
                  <c:v>994485.07553084567</c:v>
                </c:pt>
                <c:pt idx="112">
                  <c:v>987951.84566923999</c:v>
                </c:pt>
                <c:pt idx="113">
                  <c:v>980516.71746070287</c:v>
                </c:pt>
                <c:pt idx="114">
                  <c:v>972102.6261146497</c:v>
                </c:pt>
                <c:pt idx="115">
                  <c:v>962634.0598918671</c:v>
                </c:pt>
                <c:pt idx="116">
                  <c:v>952038.60865583678</c:v>
                </c:pt>
                <c:pt idx="117">
                  <c:v>940248.63238834264</c:v>
                </c:pt>
                <c:pt idx="118">
                  <c:v>927203.01483525394</c:v>
                </c:pt>
                <c:pt idx="119">
                  <c:v>912848.96029438032</c:v>
                </c:pt>
                <c:pt idx="120">
                  <c:v>897143.78531120089</c:v>
                </c:pt>
                <c:pt idx="121">
                  <c:v>880056.65210609941</c:v>
                </c:pt>
                <c:pt idx="122">
                  <c:v>861570.18728886638</c:v>
                </c:pt>
                <c:pt idx="123">
                  <c:v>841681.9281429142</c:v>
                </c:pt>
                <c:pt idx="124">
                  <c:v>820405.53972932883</c:v>
                </c:pt>
                <c:pt idx="125">
                  <c:v>797771.74942095217</c:v>
                </c:pt>
                <c:pt idx="126">
                  <c:v>773828.95126832568</c:v>
                </c:pt>
                <c:pt idx="127">
                  <c:v>748643.44073811301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3003-419C-A35B-51E0E111B9A1}"/>
            </c:ext>
          </c:extLst>
        </c:ser>
        <c:ser>
          <c:idx val="96"/>
          <c:order val="96"/>
          <c:spPr>
            <a:solidFill>
              <a:schemeClr val="accent1">
                <a:lumMod val="7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output'!$CX$3:$CX$130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1072391.1768703165</c:v>
                </c:pt>
                <c:pt idx="97">
                  <c:v>1071991.2967389624</c:v>
                </c:pt>
                <c:pt idx="98">
                  <c:v>1071493.3778948139</c:v>
                </c:pt>
                <c:pt idx="99">
                  <c:v>1070876.8602150404</c:v>
                </c:pt>
                <c:pt idx="100">
                  <c:v>1070117.7746310821</c:v>
                </c:pt>
                <c:pt idx="101">
                  <c:v>1069188.392778429</c:v>
                </c:pt>
                <c:pt idx="102">
                  <c:v>1068056.8893644616</c:v>
                </c:pt>
                <c:pt idx="103">
                  <c:v>1066687.0306228001</c:v>
                </c:pt>
                <c:pt idx="104">
                  <c:v>1065037.9042432515</c:v>
                </c:pt>
                <c:pt idx="105">
                  <c:v>1063063.7079664178</c:v>
                </c:pt>
                <c:pt idx="106">
                  <c:v>1060713.6154748069</c:v>
                </c:pt>
                <c:pt idx="107">
                  <c:v>1057931.7391520217</c:v>
                </c:pt>
                <c:pt idx="108">
                  <c:v>1054657.2095700945</c:v>
                </c:pt>
                <c:pt idx="109">
                  <c:v>1050824.391060337</c:v>
                </c:pt>
                <c:pt idx="110">
                  <c:v>1046363.251299378</c:v>
                </c:pt>
                <c:pt idx="111">
                  <c:v>1041199.9004003759</c:v>
                </c:pt>
                <c:pt idx="112">
                  <c:v>1035257.3114784755</c:v>
                </c:pt>
                <c:pt idx="113">
                  <c:v>1028456.2300462715</c:v>
                </c:pt>
                <c:pt idx="114">
                  <c:v>1020716.2739332457</c:v>
                </c:pt>
                <c:pt idx="115">
                  <c:v>1011957.218820428</c:v>
                </c:pt>
                <c:pt idx="116">
                  <c:v>1002100.4571127458</c:v>
                </c:pt>
                <c:pt idx="117">
                  <c:v>991070.60997837945</c:v>
                </c:pt>
                <c:pt idx="118">
                  <c:v>978797.26427073707</c:v>
                </c:pt>
                <c:pt idx="119">
                  <c:v>965216.79807080142</c:v>
                </c:pt>
                <c:pt idx="120">
                  <c:v>950274.25114030275</c:v>
                </c:pt>
                <c:pt idx="121">
                  <c:v>933925.19007399515</c:v>
                </c:pt>
                <c:pt idx="122">
                  <c:v>916137.5127945292</c:v>
                </c:pt>
                <c:pt idx="123">
                  <c:v>896893.13363155955</c:v>
                </c:pt>
                <c:pt idx="124">
                  <c:v>876189.48890120978</c:v>
                </c:pt>
                <c:pt idx="125">
                  <c:v>854040.80390936858</c:v>
                </c:pt>
                <c:pt idx="126">
                  <c:v>830479.0658001164</c:v>
                </c:pt>
                <c:pt idx="127">
                  <c:v>805554.65269966959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0-3003-419C-A35B-51E0E111B9A1}"/>
            </c:ext>
          </c:extLst>
        </c:ser>
        <c:ser>
          <c:idx val="97"/>
          <c:order val="97"/>
          <c:spPr>
            <a:solidFill>
              <a:schemeClr val="accent2">
                <a:lumMod val="7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output'!$CY$3:$CY$130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1105305.2964906909</c:v>
                </c:pt>
                <c:pt idx="98">
                  <c:v>1104893.1431303499</c:v>
                </c:pt>
                <c:pt idx="99">
                  <c:v>1104379.9420265644</c:v>
                </c:pt>
                <c:pt idx="100">
                  <c:v>1103744.5020196608</c:v>
                </c:pt>
                <c:pt idx="101">
                  <c:v>1102962.118375954</c:v>
                </c:pt>
                <c:pt idx="102">
                  <c:v>1102004.2116844817</c:v>
                </c:pt>
                <c:pt idx="103">
                  <c:v>1100837.9798621486</c:v>
                </c:pt>
                <c:pt idx="104">
                  <c:v>1099426.0770460314</c:v>
                </c:pt>
                <c:pt idx="105">
                  <c:v>1097726.3352342634</c:v>
                </c:pt>
                <c:pt idx="106">
                  <c:v>1095691.5463921314</c:v>
                </c:pt>
                <c:pt idx="107">
                  <c:v>1093269.3242270802</c:v>
                </c:pt>
                <c:pt idx="108">
                  <c:v>1090402.0658048969</c:v>
                </c:pt>
                <c:pt idx="109">
                  <c:v>1087027.0334766915</c:v>
                </c:pt>
                <c:pt idx="110">
                  <c:v>1083076.577066106</c:v>
                </c:pt>
                <c:pt idx="111">
                  <c:v>1078478.514798787</c:v>
                </c:pt>
                <c:pt idx="112">
                  <c:v>1073156.6889395306</c:v>
                </c:pt>
                <c:pt idx="113">
                  <c:v>1067031.7084735287</c:v>
                </c:pt>
                <c:pt idx="114">
                  <c:v>1060021.8864132445</c:v>
                </c:pt>
                <c:pt idx="115">
                  <c:v>1052044.3734768739</c:v>
                </c:pt>
                <c:pt idx="116">
                  <c:v>1043016.4830789821</c:v>
                </c:pt>
                <c:pt idx="117">
                  <c:v>1032857.1949789596</c:v>
                </c:pt>
                <c:pt idx="118">
                  <c:v>1021488.8167975228</c:v>
                </c:pt>
                <c:pt idx="119">
                  <c:v>1008838.7742487682</c:v>
                </c:pt>
                <c:pt idx="120">
                  <c:v>994841.49271255801</c:v>
                </c:pt>
                <c:pt idx="121">
                  <c:v>979440.32509614609</c:v>
                </c:pt>
                <c:pt idx="122">
                  <c:v>962589.47423221299</c:v>
                </c:pt>
                <c:pt idx="123">
                  <c:v>944255.85275778116</c:v>
                </c:pt>
                <c:pt idx="124">
                  <c:v>924420.81991222687</c:v>
                </c:pt>
                <c:pt idx="125">
                  <c:v>903081.73332639551</c:v>
                </c:pt>
                <c:pt idx="126">
                  <c:v>880253.25491310621</c:v>
                </c:pt>
                <c:pt idx="127">
                  <c:v>855968.35357450414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3003-419C-A35B-51E0E111B9A1}"/>
            </c:ext>
          </c:extLst>
        </c:ser>
        <c:ser>
          <c:idx val="98"/>
          <c:order val="98"/>
          <c:spPr>
            <a:solidFill>
              <a:schemeClr val="accent3">
                <a:lumMod val="7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output'!$CZ$3:$CZ$130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1153247.6526143469</c:v>
                </c:pt>
                <c:pt idx="99">
                  <c:v>1152817.6221993661</c:v>
                </c:pt>
                <c:pt idx="100">
                  <c:v>1152282.1611189398</c:v>
                </c:pt>
                <c:pt idx="101">
                  <c:v>1151619.15905185</c:v>
                </c:pt>
                <c:pt idx="102">
                  <c:v>1150802.8397024237</c:v>
                </c:pt>
                <c:pt idx="103">
                  <c:v>1149803.3840344998</c:v>
                </c:pt>
                <c:pt idx="104">
                  <c:v>1148586.5671823777</c:v>
                </c:pt>
                <c:pt idx="105">
                  <c:v>1147113.4234151519</c:v>
                </c:pt>
                <c:pt idx="106">
                  <c:v>1145339.9557038366</c:v>
                </c:pt>
                <c:pt idx="107">
                  <c:v>1143216.9083763652</c:v>
                </c:pt>
                <c:pt idx="108">
                  <c:v>1140689.6228971183</c:v>
                </c:pt>
                <c:pt idx="109">
                  <c:v>1137697.997818219</c:v>
                </c:pt>
                <c:pt idx="110">
                  <c:v>1134176.5742600781</c:v>
                </c:pt>
                <c:pt idx="111">
                  <c:v>1130054.767735919</c:v>
                </c:pt>
                <c:pt idx="112">
                  <c:v>1125257.2656039775</c:v>
                </c:pt>
                <c:pt idx="113">
                  <c:v>1119704.6068052764</c:v>
                </c:pt>
                <c:pt idx="114">
                  <c:v>1113313.9567584957</c:v>
                </c:pt>
                <c:pt idx="115">
                  <c:v>1106000.0853223109</c:v>
                </c:pt>
                <c:pt idx="116">
                  <c:v>1097676.5496468914</c:v>
                </c:pt>
                <c:pt idx="117">
                  <c:v>1088257.0766356937</c:v>
                </c:pt>
                <c:pt idx="118">
                  <c:v>1077657.1318143106</c:v>
                </c:pt>
                <c:pt idx="119">
                  <c:v>1065795.652914861</c:v>
                </c:pt>
                <c:pt idx="120">
                  <c:v>1052596.9177589351</c:v>
                </c:pt>
                <c:pt idx="121">
                  <c:v>1037992.5074427373</c:v>
                </c:pt>
                <c:pt idx="122">
                  <c:v>1021923.3178192561</c:v>
                </c:pt>
                <c:pt idx="123">
                  <c:v>1004341.5652798581</c:v>
                </c:pt>
                <c:pt idx="124">
                  <c:v>985212.72730501299</c:v>
                </c:pt>
                <c:pt idx="125">
                  <c:v>964517.35459550878</c:v>
                </c:pt>
                <c:pt idx="126">
                  <c:v>942252.69017005281</c:v>
                </c:pt>
                <c:pt idx="127">
                  <c:v>918434.0318984692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3003-419C-A35B-51E0E111B9A1}"/>
            </c:ext>
          </c:extLst>
        </c:ser>
        <c:ser>
          <c:idx val="99"/>
          <c:order val="99"/>
          <c:spPr>
            <a:solidFill>
              <a:schemeClr val="accent4">
                <a:lumMod val="7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output'!$DA$3:$DA$130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1183351.7710722983</c:v>
                </c:pt>
                <c:pt idx="100">
                  <c:v>1182910.5152396685</c:v>
                </c:pt>
                <c:pt idx="101">
                  <c:v>1182361.0766031137</c:v>
                </c:pt>
                <c:pt idx="102">
                  <c:v>1181680.7676785416</c:v>
                </c:pt>
                <c:pt idx="103">
                  <c:v>1180843.1393116296</c:v>
                </c:pt>
                <c:pt idx="104">
                  <c:v>1179817.594076775</c:v>
                </c:pt>
                <c:pt idx="105">
                  <c:v>1178569.0137100471</c:v>
                </c:pt>
                <c:pt idx="106">
                  <c:v>1177057.4153278272</c:v>
                </c:pt>
                <c:pt idx="107">
                  <c:v>1175237.6534125379</c:v>
                </c:pt>
                <c:pt idx="108">
                  <c:v>1173059.1865330792</c:v>
                </c:pt>
                <c:pt idx="109">
                  <c:v>1170465.9293596591</c:v>
                </c:pt>
                <c:pt idx="110">
                  <c:v>1167396.2115696645</c:v>
                </c:pt>
                <c:pt idx="111">
                  <c:v>1163782.8655595726</c:v>
                </c:pt>
                <c:pt idx="112">
                  <c:v>1159553.4643209716</c:v>
                </c:pt>
                <c:pt idx="113">
                  <c:v>1154630.729267762</c:v>
                </c:pt>
                <c:pt idx="114">
                  <c:v>1148933.125107279</c:v>
                </c:pt>
                <c:pt idx="115">
                  <c:v>1142375.6549628412</c:v>
                </c:pt>
                <c:pt idx="116">
                  <c:v>1134870.863864603</c:v>
                </c:pt>
                <c:pt idx="117">
                  <c:v>1126330.05247794</c:v>
                </c:pt>
                <c:pt idx="118">
                  <c:v>1116664.6956527168</c:v>
                </c:pt>
                <c:pt idx="119">
                  <c:v>1105788.052245538</c:v>
                </c:pt>
                <c:pt idx="120">
                  <c:v>1093616.9439572352</c:v>
                </c:pt>
                <c:pt idx="121">
                  <c:v>1080073.6719746108</c:v>
                </c:pt>
                <c:pt idx="122">
                  <c:v>1065088.0314021271</c:v>
                </c:pt>
                <c:pt idx="123">
                  <c:v>1048599.3752513549</c:v>
                </c:pt>
                <c:pt idx="124">
                  <c:v>1030558.6725810422</c:v>
                </c:pt>
                <c:pt idx="125">
                  <c:v>1010930.4997035401</c:v>
                </c:pt>
                <c:pt idx="126">
                  <c:v>989694.89961948525</c:v>
                </c:pt>
                <c:pt idx="127">
                  <c:v>966849.04337996326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3-3003-419C-A35B-51E0E111B9A1}"/>
            </c:ext>
          </c:extLst>
        </c:ser>
        <c:ser>
          <c:idx val="100"/>
          <c:order val="100"/>
          <c:spPr>
            <a:solidFill>
              <a:schemeClr val="accent5">
                <a:lumMod val="7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output'!$DB$3:$DB$130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1219501.7069951999</c:v>
                </c:pt>
                <c:pt idx="101">
                  <c:v>1219046.9713415524</c:v>
                </c:pt>
                <c:pt idx="102">
                  <c:v>1218480.7480328563</c:v>
                </c:pt>
                <c:pt idx="103">
                  <c:v>1217779.6565103855</c:v>
                </c:pt>
                <c:pt idx="104">
                  <c:v>1216916.4396308002</c:v>
                </c:pt>
                <c:pt idx="105">
                  <c:v>1215859.5652549136</c:v>
                </c:pt>
                <c:pt idx="106">
                  <c:v>1214572.8422991813</c:v>
                </c:pt>
                <c:pt idx="107">
                  <c:v>1213015.0664522429</c:v>
                </c:pt>
                <c:pt idx="108">
                  <c:v>1211139.7130566847</c:v>
                </c:pt>
                <c:pt idx="109">
                  <c:v>1208894.6967030733</c:v>
                </c:pt>
                <c:pt idx="110">
                  <c:v>1206222.2187240208</c:v>
                </c:pt>
                <c:pt idx="111">
                  <c:v>1203058.7248446823</c:v>
                </c:pt>
                <c:pt idx="112">
                  <c:v>1199334.9955741556</c:v>
                </c:pt>
                <c:pt idx="113">
                  <c:v>1194976.3913483233</c:v>
                </c:pt>
                <c:pt idx="114">
                  <c:v>1189903.2728156711</c:v>
                </c:pt>
                <c:pt idx="115">
                  <c:v>1184031.6138809859</c:v>
                </c:pt>
                <c:pt idx="116">
                  <c:v>1177273.8211179215</c:v>
                </c:pt>
                <c:pt idx="117">
                  <c:v>1169539.767915254</c:v>
                </c:pt>
                <c:pt idx="118">
                  <c:v>1160738.0452831734</c:v>
                </c:pt>
                <c:pt idx="119">
                  <c:v>1150777.4237374798</c:v>
                </c:pt>
                <c:pt idx="120">
                  <c:v>1139568.5122999169</c:v>
                </c:pt>
                <c:pt idx="121">
                  <c:v>1127025.5916769486</c:v>
                </c:pt>
                <c:pt idx="122">
                  <c:v>1113068.5894525428</c:v>
                </c:pt>
                <c:pt idx="123">
                  <c:v>1097625.1560582612</c:v>
                </c:pt>
                <c:pt idx="124">
                  <c:v>1080632.7918150381</c:v>
                </c:pt>
                <c:pt idx="125">
                  <c:v>1062040.9679468882</c:v>
                </c:pt>
                <c:pt idx="126">
                  <c:v>1041813.1786162308</c:v>
                </c:pt>
                <c:pt idx="127">
                  <c:v>1019928.8571620063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4-3003-419C-A35B-51E0E111B9A1}"/>
            </c:ext>
          </c:extLst>
        </c:ser>
        <c:ser>
          <c:idx val="101"/>
          <c:order val="101"/>
          <c:spPr>
            <a:solidFill>
              <a:schemeClr val="accent6">
                <a:lumMod val="7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output'!$DC$3:$DC$130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1257740.485637835</c:v>
                </c:pt>
                <c:pt idx="102">
                  <c:v>1257271.4912620382</c:v>
                </c:pt>
                <c:pt idx="103">
                  <c:v>1256687.5134166821</c:v>
                </c:pt>
                <c:pt idx="104">
                  <c:v>1255964.4384206482</c:v>
                </c:pt>
                <c:pt idx="105">
                  <c:v>1255074.1544537521</c:v>
                </c:pt>
                <c:pt idx="106">
                  <c:v>1253984.1406529015</c:v>
                </c:pt>
                <c:pt idx="107">
                  <c:v>1252657.0711244694</c:v>
                </c:pt>
                <c:pt idx="108">
                  <c:v>1251050.4495519004</c:v>
                </c:pt>
                <c:pt idx="109">
                  <c:v>1249116.2924474517</c:v>
                </c:pt>
                <c:pt idx="110">
                  <c:v>1246800.8812080421</c:v>
                </c:pt>
                <c:pt idx="111">
                  <c:v>1244044.6048273293</c:v>
                </c:pt>
                <c:pt idx="112">
                  <c:v>1240781.9162182945</c:v>
                </c:pt>
                <c:pt idx="113">
                  <c:v>1236941.4254389615</c:v>
                </c:pt>
                <c:pt idx="114">
                  <c:v>1232446.1525219528</c:v>
                </c:pt>
                <c:pt idx="115">
                  <c:v>1227213.9609388199</c:v>
                </c:pt>
                <c:pt idx="116">
                  <c:v>1221158.1898663815</c:v>
                </c:pt>
                <c:pt idx="117">
                  <c:v>1214188.4992928447</c:v>
                </c:pt>
                <c:pt idx="118">
                  <c:v>1206211.9365908212</c:v>
                </c:pt>
                <c:pt idx="119">
                  <c:v>1197134.2265439867</c:v>
                </c:pt>
                <c:pt idx="120">
                  <c:v>1186861.279070216</c:v>
                </c:pt>
                <c:pt idx="121">
                  <c:v>1175300.9002416462</c:v>
                </c:pt>
                <c:pt idx="122">
                  <c:v>1162364.6829447311</c:v>
                </c:pt>
                <c:pt idx="123">
                  <c:v>1147970.0440073034</c:v>
                </c:pt>
                <c:pt idx="124">
                  <c:v>1132042.3652629261</c:v>
                </c:pt>
                <c:pt idx="125">
                  <c:v>1114517.1872883367</c:v>
                </c:pt>
                <c:pt idx="126">
                  <c:v>1095342.3969238063</c:v>
                </c:pt>
                <c:pt idx="127">
                  <c:v>1074480.343652223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5-3003-419C-A35B-51E0E111B9A1}"/>
            </c:ext>
          </c:extLst>
        </c:ser>
        <c:ser>
          <c:idx val="102"/>
          <c:order val="102"/>
          <c:spPr>
            <a:solidFill>
              <a:schemeClr val="accent1">
                <a:lumMod val="50000"/>
                <a:lumOff val="5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output'!$DD$3:$DD$130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1291219.2730557334</c:v>
                </c:pt>
                <c:pt idx="103">
                  <c:v>1290737.7948939833</c:v>
                </c:pt>
                <c:pt idx="104">
                  <c:v>1290138.2726097191</c:v>
                </c:pt>
                <c:pt idx="105">
                  <c:v>1289395.9506590422</c:v>
                </c:pt>
                <c:pt idx="106">
                  <c:v>1288481.9689357253</c:v>
                </c:pt>
                <c:pt idx="107">
                  <c:v>1287362.9409298475</c:v>
                </c:pt>
                <c:pt idx="108">
                  <c:v>1286000.5471996914</c:v>
                </c:pt>
                <c:pt idx="109">
                  <c:v>1284351.160253261</c:v>
                </c:pt>
                <c:pt idx="110">
                  <c:v>1282365.5193687545</c:v>
                </c:pt>
                <c:pt idx="111">
                  <c:v>1279988.4760505857</c:v>
                </c:pt>
                <c:pt idx="112">
                  <c:v>1277158.8325547415</c:v>
                </c:pt>
                <c:pt idx="113">
                  <c:v>1273809.2970487515</c:v>
                </c:pt>
                <c:pt idx="114">
                  <c:v>1269866.5793189071</c:v>
                </c:pt>
                <c:pt idx="115">
                  <c:v>1265251.650329686</c:v>
                </c:pt>
                <c:pt idx="116">
                  <c:v>1259880.1872261227</c:v>
                </c:pt>
                <c:pt idx="117">
                  <c:v>1253663.2224299388</c:v>
                </c:pt>
                <c:pt idx="118">
                  <c:v>1246508.011240866</c:v>
                </c:pt>
                <c:pt idx="119">
                  <c:v>1238319.126799918</c:v>
                </c:pt>
                <c:pt idx="120">
                  <c:v>1228999.7844542351</c:v>
                </c:pt>
                <c:pt idx="121">
                  <c:v>1218453.3896130966</c:v>
                </c:pt>
                <c:pt idx="122">
                  <c:v>1206585.2943122564</c:v>
                </c:pt>
                <c:pt idx="123">
                  <c:v>1193304.7381999651</c:v>
                </c:pt>
                <c:pt idx="124">
                  <c:v>1178526.9398886869</c:v>
                </c:pt>
                <c:pt idx="125">
                  <c:v>1162175.295010729</c:v>
                </c:pt>
                <c:pt idx="126">
                  <c:v>1144183.6283490281</c:v>
                </c:pt>
                <c:pt idx="127">
                  <c:v>1124498.4395853628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3003-419C-A35B-51E0E111B9A1}"/>
            </c:ext>
          </c:extLst>
        </c:ser>
        <c:ser>
          <c:idx val="103"/>
          <c:order val="103"/>
          <c:spPr>
            <a:solidFill>
              <a:schemeClr val="accent2">
                <a:lumMod val="50000"/>
                <a:lumOff val="5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output'!$DE$3:$DE$130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1316102.882755887</c:v>
                </c:pt>
                <c:pt idx="104">
                  <c:v>1315612.1258334289</c:v>
                </c:pt>
                <c:pt idx="105">
                  <c:v>1315001.0499123505</c:v>
                </c:pt>
                <c:pt idx="106">
                  <c:v>1314244.4223746383</c:v>
                </c:pt>
                <c:pt idx="107">
                  <c:v>1313312.8269392659</c:v>
                </c:pt>
                <c:pt idx="108">
                  <c:v>1312172.2336913547</c:v>
                </c:pt>
                <c:pt idx="109">
                  <c:v>1310783.5847197019</c:v>
                </c:pt>
                <c:pt idx="110">
                  <c:v>1309102.4117692395</c:v>
                </c:pt>
                <c:pt idx="111">
                  <c:v>1307078.5047948395</c:v>
                </c:pt>
                <c:pt idx="112">
                  <c:v>1304655.6525119164</c:v>
                </c:pt>
                <c:pt idx="113">
                  <c:v>1301771.47780994</c:v>
                </c:pt>
                <c:pt idx="114">
                  <c:v>1298357.3920482753</c:v>
                </c:pt>
                <c:pt idx="115">
                  <c:v>1294338.6926078144</c:v>
                </c:pt>
                <c:pt idx="116">
                  <c:v>1289634.8274524766</c:v>
                </c:pt>
                <c:pt idx="117">
                  <c:v>1284159.8487073977</c:v>
                </c:pt>
                <c:pt idx="118">
                  <c:v>1277823.0742640563</c:v>
                </c:pt>
                <c:pt idx="119">
                  <c:v>1270529.9721014933</c:v>
                </c:pt>
                <c:pt idx="120">
                  <c:v>1262183.276351064</c:v>
                </c:pt>
                <c:pt idx="121">
                  <c:v>1252684.337183655</c:v>
                </c:pt>
                <c:pt idx="122">
                  <c:v>1241934.6984950562</c:v>
                </c:pt>
                <c:pt idx="123">
                  <c:v>1229837.8883217596</c:v>
                </c:pt>
                <c:pt idx="124">
                  <c:v>1216301.3972325088</c:v>
                </c:pt>
                <c:pt idx="125">
                  <c:v>1201238.8099833028</c:v>
                </c:pt>
                <c:pt idx="126">
                  <c:v>1184572.0459326457</c:v>
                </c:pt>
                <c:pt idx="127">
                  <c:v>1166233.6545740578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7-3003-419C-A35B-51E0E111B9A1}"/>
            </c:ext>
          </c:extLst>
        </c:ser>
        <c:ser>
          <c:idx val="104"/>
          <c:order val="104"/>
          <c:spPr>
            <a:solidFill>
              <a:schemeClr val="accent3">
                <a:lumMod val="50000"/>
                <a:lumOff val="5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output'!$DF$3:$DF$130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1341946.690145425</c:v>
                </c:pt>
                <c:pt idx="105">
                  <c:v>1341446.2964175581</c:v>
                </c:pt>
                <c:pt idx="106">
                  <c:v>1340823.2210330551</c:v>
                </c:pt>
                <c:pt idx="107">
                  <c:v>1340051.7358906628</c:v>
                </c:pt>
                <c:pt idx="108">
                  <c:v>1339101.8470731298</c:v>
                </c:pt>
                <c:pt idx="109">
                  <c:v>1337938.8564331948</c:v>
                </c:pt>
                <c:pt idx="110">
                  <c:v>1336522.9390944371</c:v>
                </c:pt>
                <c:pt idx="111">
                  <c:v>1334808.7535957235</c:v>
                </c:pt>
                <c:pt idx="112">
                  <c:v>1332745.1039365334</c:v>
                </c:pt>
                <c:pt idx="113">
                  <c:v>1330274.6750328511</c:v>
                </c:pt>
                <c:pt idx="114">
                  <c:v>1327333.8648987573</c:v>
                </c:pt>
                <c:pt idx="115">
                  <c:v>1323852.7380447951</c:v>
                </c:pt>
                <c:pt idx="116">
                  <c:v>1319755.1249451847</c:v>
                </c:pt>
                <c:pt idx="117">
                  <c:v>1314958.8917944159</c:v>
                </c:pt>
                <c:pt idx="118">
                  <c:v>1309376.4029921801</c:v>
                </c:pt>
                <c:pt idx="119">
                  <c:v>1302915.1957401801</c:v>
                </c:pt>
                <c:pt idx="120">
                  <c:v>1295478.8817284289</c:v>
                </c:pt>
                <c:pt idx="121">
                  <c:v>1286968.2851157347</c:v>
                </c:pt>
                <c:pt idx="122">
                  <c:v>1277282.8189241362</c:v>
                </c:pt>
                <c:pt idx="123">
                  <c:v>1266322.0937046779</c:v>
                </c:pt>
                <c:pt idx="124">
                  <c:v>1253987.7431109152</c:v>
                </c:pt>
                <c:pt idx="125">
                  <c:v>1240185.4411393811</c:v>
                </c:pt>
                <c:pt idx="126">
                  <c:v>1224827.0756430815</c:v>
                </c:pt>
                <c:pt idx="127">
                  <c:v>1207833.0327409182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3003-419C-A35B-51E0E111B9A1}"/>
            </c:ext>
          </c:extLst>
        </c:ser>
        <c:ser>
          <c:idx val="105"/>
          <c:order val="105"/>
          <c:spPr>
            <a:solidFill>
              <a:schemeClr val="accent4">
                <a:lumMod val="50000"/>
                <a:lumOff val="5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output'!$DG$3:$DG$130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1366537.5355760809</c:v>
                </c:pt>
                <c:pt idx="106">
                  <c:v>1366027.9722553331</c:v>
                </c:pt>
                <c:pt idx="107">
                  <c:v>1365393.4791665468</c:v>
                </c:pt>
                <c:pt idx="108">
                  <c:v>1364607.8567472957</c:v>
                </c:pt>
                <c:pt idx="109">
                  <c:v>1363640.561449118</c:v>
                </c:pt>
                <c:pt idx="110">
                  <c:v>1362456.2592896763</c:v>
                </c:pt>
                <c:pt idx="111">
                  <c:v>1361014.3956114135</c:v>
                </c:pt>
                <c:pt idx="112">
                  <c:v>1359268.7980819929</c:v>
                </c:pt>
                <c:pt idx="113">
                  <c:v>1357167.3325466842</c:v>
                </c:pt>
                <c:pt idx="114">
                  <c:v>1354651.6336365521</c:v>
                </c:pt>
                <c:pt idx="115">
                  <c:v>1351656.9338748157</c:v>
                </c:pt>
                <c:pt idx="116">
                  <c:v>1348112.0162212495</c:v>
                </c:pt>
                <c:pt idx="117">
                  <c:v>1343939.3153621124</c:v>
                </c:pt>
                <c:pt idx="118">
                  <c:v>1339055.1924099633</c:v>
                </c:pt>
                <c:pt idx="119">
                  <c:v>1333370.4058635158</c:v>
                </c:pt>
                <c:pt idx="120">
                  <c:v>1326790.7985662711</c:v>
                </c:pt>
                <c:pt idx="121">
                  <c:v>1319218.2159159968</c:v>
                </c:pt>
                <c:pt idx="122">
                  <c:v>1310551.6646984271</c:v>
                </c:pt>
                <c:pt idx="123">
                  <c:v>1300688.7147037906</c:v>
                </c:pt>
                <c:pt idx="124">
                  <c:v>1289527.1368709917</c:v>
                </c:pt>
                <c:pt idx="125">
                  <c:v>1276966.7623143054</c:v>
                </c:pt>
                <c:pt idx="126">
                  <c:v>1262911.5365292833</c:v>
                </c:pt>
                <c:pt idx="127">
                  <c:v>1247271.7327353519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9-3003-419C-A35B-51E0E111B9A1}"/>
            </c:ext>
          </c:extLst>
        </c:ser>
        <c:ser>
          <c:idx val="106"/>
          <c:order val="106"/>
          <c:spPr>
            <a:solidFill>
              <a:schemeClr val="accent5">
                <a:lumMod val="50000"/>
                <a:lumOff val="5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output'!$DH$3:$DH$130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1389710.3804533051</c:v>
                </c:pt>
                <c:pt idx="107">
                  <c:v>1389192.1762928588</c:v>
                </c:pt>
                <c:pt idx="108">
                  <c:v>1388546.9238875231</c:v>
                </c:pt>
                <c:pt idx="109">
                  <c:v>1387747.9793999207</c:v>
                </c:pt>
                <c:pt idx="110">
                  <c:v>1386764.2813441812</c:v>
                </c:pt>
                <c:pt idx="111">
                  <c:v>1385559.8965675305</c:v>
                </c:pt>
                <c:pt idx="112">
                  <c:v>1384093.5827131984</c:v>
                </c:pt>
                <c:pt idx="113">
                  <c:v>1382318.3844887989</c:v>
                </c:pt>
                <c:pt idx="114">
                  <c:v>1380181.2836828912</c:v>
                </c:pt>
                <c:pt idx="115">
                  <c:v>1377622.9252049942</c:v>
                </c:pt>
                <c:pt idx="116">
                  <c:v>1374577.4432940476</c:v>
                </c:pt>
                <c:pt idx="117">
                  <c:v>1370972.4132580915</c:v>
                </c:pt>
                <c:pt idx="118">
                  <c:v>1366728.9544818022</c:v>
                </c:pt>
                <c:pt idx="119">
                  <c:v>1361762.0097844871</c:v>
                </c:pt>
                <c:pt idx="120">
                  <c:v>1355980.824366167</c:v>
                </c:pt>
                <c:pt idx="121">
                  <c:v>1349289.6444152023</c:v>
                </c:pt>
                <c:pt idx="122">
                  <c:v>1341588.6508881636</c:v>
                </c:pt>
                <c:pt idx="123">
                  <c:v>1332775.1379942717</c:v>
                </c:pt>
                <c:pt idx="124">
                  <c:v>1322744.9385796178</c:v>
                </c:pt>
                <c:pt idx="125">
                  <c:v>1311394.0900499143</c:v>
                </c:pt>
                <c:pt idx="126">
                  <c:v>1298620.724921345</c:v>
                </c:pt>
                <c:pt idx="127">
                  <c:v>1284327.1598603416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3003-419C-A35B-51E0E111B9A1}"/>
            </c:ext>
          </c:extLst>
        </c:ser>
        <c:ser>
          <c:idx val="107"/>
          <c:order val="107"/>
          <c:spPr>
            <a:solidFill>
              <a:schemeClr val="accent6">
                <a:lumMod val="50000"/>
                <a:lumOff val="5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output'!$DI$3:$DI$130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1413078.9160731682</c:v>
                </c:pt>
                <c:pt idx="108">
                  <c:v>1412551.9981025986</c:v>
                </c:pt>
                <c:pt idx="109">
                  <c:v>1411895.8955201108</c:v>
                </c:pt>
                <c:pt idx="110">
                  <c:v>1411083.5164615507</c:v>
                </c:pt>
                <c:pt idx="111">
                  <c:v>1410083.2771297456</c:v>
                </c:pt>
                <c:pt idx="112">
                  <c:v>1408858.6401415917</c:v>
                </c:pt>
                <c:pt idx="113">
                  <c:v>1407367.669633602</c:v>
                </c:pt>
                <c:pt idx="114">
                  <c:v>1405562.6207413783</c:v>
                </c:pt>
                <c:pt idx="115">
                  <c:v>1403389.5837310578</c:v>
                </c:pt>
                <c:pt idx="116">
                  <c:v>1400788.2054325852</c:v>
                </c:pt>
                <c:pt idx="117">
                  <c:v>1397691.5125257962</c:v>
                </c:pt>
                <c:pt idx="118">
                  <c:v>1394025.8624685819</c:v>
                </c:pt>
                <c:pt idx="119">
                  <c:v>1389711.0482365373</c:v>
                </c:pt>
                <c:pt idx="120">
                  <c:v>1384660.5823784727</c:v>
                </c:pt>
                <c:pt idx="121">
                  <c:v>1378782.1840161656</c:v>
                </c:pt>
                <c:pt idx="122">
                  <c:v>1371978.4891993538</c:v>
                </c:pt>
                <c:pt idx="123">
                  <c:v>1364148.0003874872</c:v>
                </c:pt>
                <c:pt idx="124">
                  <c:v>1355186.2847508558</c:v>
                </c:pt>
                <c:pt idx="125">
                  <c:v>1344987.4235232135</c:v>
                </c:pt>
                <c:pt idx="126">
                  <c:v>1333445.7059376889</c:v>
                </c:pt>
                <c:pt idx="127">
                  <c:v>1320457.551568001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3003-419C-A35B-51E0E111B9A1}"/>
            </c:ext>
          </c:extLst>
        </c:ser>
        <c:ser>
          <c:idx val="108"/>
          <c:order val="108"/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output'!$DJ$3:$DJ$130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1434895.1869491274</c:v>
                </c:pt>
                <c:pt idx="109">
                  <c:v>1434360.1339869131</c:v>
                </c:pt>
                <c:pt idx="110">
                  <c:v>1433693.9019548248</c:v>
                </c:pt>
                <c:pt idx="111">
                  <c:v>1432868.980722297</c:v>
                </c:pt>
                <c:pt idx="112">
                  <c:v>1431853.2988756008</c:v>
                </c:pt>
                <c:pt idx="113">
                  <c:v>1430609.7549375559</c:v>
                </c:pt>
                <c:pt idx="114">
                  <c:v>1429095.7656044317</c:v>
                </c:pt>
                <c:pt idx="115">
                  <c:v>1427262.8488874678</c:v>
                </c:pt>
                <c:pt idx="116">
                  <c:v>1425056.2627501304</c:v>
                </c:pt>
                <c:pt idx="117">
                  <c:v>1422414.7222406412</c:v>
                </c:pt>
                <c:pt idx="118">
                  <c:v>1419270.220049809</c:v>
                </c:pt>
                <c:pt idx="119">
                  <c:v>1415547.9766815805</c:v>
                </c:pt>
                <c:pt idx="120">
                  <c:v>1411166.5468097476</c:v>
                </c:pt>
                <c:pt idx="121">
                  <c:v>1406038.1077189383</c:v>
                </c:pt>
                <c:pt idx="122">
                  <c:v>1400068.9538230726</c:v>
                </c:pt>
                <c:pt idx="123">
                  <c:v>1393160.2179873958</c:v>
                </c:pt>
                <c:pt idx="124">
                  <c:v>1385208.8356691103</c:v>
                </c:pt>
                <c:pt idx="125">
                  <c:v>1376108.7617188573</c:v>
                </c:pt>
                <c:pt idx="126">
                  <c:v>1365752.4421096358</c:v>
                </c:pt>
                <c:pt idx="127">
                  <c:v>1354032.5340250842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3003-419C-A35B-51E0E111B9A1}"/>
            </c:ext>
          </c:extLst>
        </c:ser>
        <c:ser>
          <c:idx val="109"/>
          <c:order val="109"/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output'!$DK$3:$DK$130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1458722.1701726189</c:v>
                </c:pt>
                <c:pt idx="110">
                  <c:v>1458178.2324513851</c:v>
                </c:pt>
                <c:pt idx="111">
                  <c:v>1457500.9373816648</c:v>
                </c:pt>
                <c:pt idx="112">
                  <c:v>1456662.318016655</c:v>
                </c:pt>
                <c:pt idx="113">
                  <c:v>1455629.7703845401</c:v>
                </c:pt>
                <c:pt idx="114">
                  <c:v>1454365.5769239245</c:v>
                </c:pt>
                <c:pt idx="115">
                  <c:v>1452826.4472190372</c:v>
                </c:pt>
                <c:pt idx="116">
                  <c:v>1450963.094219157</c:v>
                </c:pt>
                <c:pt idx="117">
                  <c:v>1448719.8668753023</c:v>
                </c:pt>
                <c:pt idx="118">
                  <c:v>1446034.462575638</c:v>
                </c:pt>
                <c:pt idx="119">
                  <c:v>1442837.7447236003</c:v>
                </c:pt>
                <c:pt idx="120">
                  <c:v>1439053.6920810116</c:v>
                </c:pt>
                <c:pt idx="121">
                  <c:v>1434599.5068908802</c:v>
                </c:pt>
                <c:pt idx="122">
                  <c:v>1429385.9081080665</c:v>
                </c:pt>
                <c:pt idx="123">
                  <c:v>1423317.6341294039</c:v>
                </c:pt>
                <c:pt idx="124">
                  <c:v>1416294.1760935627</c:v>
                </c:pt>
                <c:pt idx="125">
                  <c:v>1408210.7580316043</c:v>
                </c:pt>
                <c:pt idx="126">
                  <c:v>1398959.5738739178</c:v>
                </c:pt>
                <c:pt idx="127">
                  <c:v>1388431.2836177596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3003-419C-A35B-51E0E111B9A1}"/>
            </c:ext>
          </c:extLst>
        </c:ser>
        <c:ser>
          <c:idx val="110"/>
          <c:order val="110"/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output'!$DL$3:$DL$130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1480593.1778299951</c:v>
                </c:pt>
                <c:pt idx="111">
                  <c:v>1480041.0847065132</c:v>
                </c:pt>
                <c:pt idx="112">
                  <c:v>1479353.6347725156</c:v>
                </c:pt>
                <c:pt idx="113">
                  <c:v>1478502.4417653631</c:v>
                </c:pt>
                <c:pt idx="114">
                  <c:v>1477454.4128732588</c:v>
                </c:pt>
                <c:pt idx="115">
                  <c:v>1476171.2650254248</c:v>
                </c:pt>
                <c:pt idx="116">
                  <c:v>1474609.0587414263</c:v>
                </c:pt>
                <c:pt idx="117">
                  <c:v>1472717.7679967431</c:v>
                </c:pt>
                <c:pt idx="118">
                  <c:v>1470440.9073514838</c:v>
                </c:pt>
                <c:pt idx="119">
                  <c:v>1467715.2400742616</c:v>
                </c:pt>
                <c:pt idx="120">
                  <c:v>1464470.5929852177</c:v>
                </c:pt>
                <c:pt idx="121">
                  <c:v>1460629.8050396258</c:v>
                </c:pt>
                <c:pt idx="122">
                  <c:v>1456108.8370718055</c:v>
                </c:pt>
                <c:pt idx="123">
                  <c:v>1450817.069422272</c:v>
                </c:pt>
                <c:pt idx="124">
                  <c:v>1444657.8122054243</c:v>
                </c:pt>
                <c:pt idx="125">
                  <c:v>1437529.0496039682</c:v>
                </c:pt>
                <c:pt idx="126">
                  <c:v>1429324.4347151252</c:v>
                </c:pt>
                <c:pt idx="127">
                  <c:v>1419934.5451043446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3003-419C-A35B-51E0E111B9A1}"/>
            </c:ext>
          </c:extLst>
        </c:ser>
        <c:ser>
          <c:idx val="111"/>
          <c:order val="111"/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output'!$DM$3:$DM$130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1503127.9376657326</c:v>
                </c:pt>
                <c:pt idx="112">
                  <c:v>1502567.4416358136</c:v>
                </c:pt>
                <c:pt idx="113">
                  <c:v>1501869.5286526855</c:v>
                </c:pt>
                <c:pt idx="114">
                  <c:v>1501005.3804122675</c:v>
                </c:pt>
                <c:pt idx="115">
                  <c:v>1499941.4004272241</c:v>
                </c:pt>
                <c:pt idx="116">
                  <c:v>1498638.7229550357</c:v>
                </c:pt>
                <c:pt idx="117">
                  <c:v>1497052.739752468</c:v>
                </c:pt>
                <c:pt idx="118">
                  <c:v>1495132.6633944581</c:v>
                </c:pt>
                <c:pt idx="119">
                  <c:v>1492821.1487276969</c:v>
                </c:pt>
                <c:pt idx="120">
                  <c:v>1490053.9965521214</c:v>
                </c:pt>
                <c:pt idx="121">
                  <c:v>1486759.9656458357</c:v>
                </c:pt>
                <c:pt idx="122">
                  <c:v>1482860.720566151</c:v>
                </c:pt>
                <c:pt idx="123">
                  <c:v>1478270.9430638105</c:v>
                </c:pt>
                <c:pt idx="124">
                  <c:v>1472898.6342400541</c:v>
                </c:pt>
                <c:pt idx="125">
                  <c:v>1466645.6325806233</c:v>
                </c:pt>
                <c:pt idx="126">
                  <c:v>1459408.369578412</c:v>
                </c:pt>
                <c:pt idx="127">
                  <c:v>1451078.8797213247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F-3003-419C-A35B-51E0E111B9A1}"/>
            </c:ext>
          </c:extLst>
        </c:ser>
        <c:ser>
          <c:idx val="112"/>
          <c:order val="112"/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output'!$DN$3:$DN$130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1522231.9284657543</c:v>
                </c:pt>
                <c:pt idx="113">
                  <c:v>1521664.3088166604</c:v>
                </c:pt>
                <c:pt idx="114">
                  <c:v>1520957.5257148454</c:v>
                </c:pt>
                <c:pt idx="115">
                  <c:v>1520082.3945902556</c:v>
                </c:pt>
                <c:pt idx="116">
                  <c:v>1519004.8919613066</c:v>
                </c:pt>
                <c:pt idx="117">
                  <c:v>1517685.658121679</c:v>
                </c:pt>
                <c:pt idx="118">
                  <c:v>1516079.5178800784</c:v>
                </c:pt>
                <c:pt idx="119">
                  <c:v>1514135.038329127</c:v>
                </c:pt>
                <c:pt idx="120">
                  <c:v>1511794.1454878128</c:v>
                </c:pt>
                <c:pt idx="121">
                  <c:v>1508991.8242169265</c:v>
                </c:pt>
                <c:pt idx="122">
                  <c:v>1505655.9278549124</c:v>
                </c:pt>
                <c:pt idx="123">
                  <c:v>1501707.1253554877</c:v>
                </c:pt>
                <c:pt idx="124">
                  <c:v>1497059.0141178865</c:v>
                </c:pt>
                <c:pt idx="125">
                  <c:v>1491618.4259841845</c:v>
                </c:pt>
                <c:pt idx="126">
                  <c:v>1485285.9518572539</c:v>
                </c:pt>
                <c:pt idx="127">
                  <c:v>1477956.7069269929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3003-419C-A35B-51E0E111B9A1}"/>
            </c:ext>
          </c:extLst>
        </c:ser>
        <c:ser>
          <c:idx val="113"/>
          <c:order val="113"/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output'!$DO$3:$DO$130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1538166.8013351976</c:v>
                </c:pt>
                <c:pt idx="114">
                  <c:v>1537593.2397880412</c:v>
                </c:pt>
                <c:pt idx="115">
                  <c:v>1536879.0580115148</c:v>
                </c:pt>
                <c:pt idx="116">
                  <c:v>1535994.7659286286</c:v>
                </c:pt>
                <c:pt idx="117">
                  <c:v>1534905.9838966611</c:v>
                </c:pt>
                <c:pt idx="118">
                  <c:v>1533572.9401880335</c:v>
                </c:pt>
                <c:pt idx="119">
                  <c:v>1531949.9867131261</c:v>
                </c:pt>
                <c:pt idx="120">
                  <c:v>1529985.1521598506</c:v>
                </c:pt>
                <c:pt idx="121">
                  <c:v>1527619.7546230759</c:v>
                </c:pt>
                <c:pt idx="122">
                  <c:v>1524788.0983787498</c:v>
                </c:pt>
                <c:pt idx="123">
                  <c:v>1521417.2815269993</c:v>
                </c:pt>
                <c:pt idx="124">
                  <c:v>1517427.142576382</c:v>
                </c:pt>
                <c:pt idx="125">
                  <c:v>1512730.3744552475</c:v>
                </c:pt>
                <c:pt idx="126">
                  <c:v>1507232.8337122719</c:v>
                </c:pt>
                <c:pt idx="127">
                  <c:v>1500834.0706261657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1-3003-419C-A35B-51E0E111B9A1}"/>
            </c:ext>
          </c:extLst>
        </c:ser>
        <c:ser>
          <c:idx val="114"/>
          <c:order val="114"/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output'!$DP$3:$DP$130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1549107.7449009214</c:v>
                </c:pt>
                <c:pt idx="115">
                  <c:v>1548530.1036242365</c:v>
                </c:pt>
                <c:pt idx="116">
                  <c:v>1547810.8418898634</c:v>
                </c:pt>
                <c:pt idx="117">
                  <c:v>1546920.2598586006</c:v>
                </c:pt>
                <c:pt idx="118">
                  <c:v>1545823.7333461535</c:v>
                </c:pt>
                <c:pt idx="119">
                  <c:v>1544481.2077295992</c:v>
                </c:pt>
                <c:pt idx="120">
                  <c:v>1542846.7102255502</c:v>
                </c:pt>
                <c:pt idx="121">
                  <c:v>1540867.899851223</c:v>
                </c:pt>
                <c:pt idx="122">
                  <c:v>1538485.6772985023</c:v>
                </c:pt>
                <c:pt idx="123">
                  <c:v>1535633.879551226</c:v>
                </c:pt>
                <c:pt idx="124">
                  <c:v>1532239.0861600563</c:v>
                </c:pt>
                <c:pt idx="125">
                  <c:v>1528220.565446785</c:v>
                </c:pt>
                <c:pt idx="126">
                  <c:v>1523490.3893266544</c:v>
                </c:pt>
                <c:pt idx="127">
                  <c:v>1517953.7447082298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3003-419C-A35B-51E0E111B9A1}"/>
            </c:ext>
          </c:extLst>
        </c:ser>
        <c:ser>
          <c:idx val="115"/>
          <c:order val="115"/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output'!$DQ$3:$DQ$130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1560496.5160152584</c:v>
                </c:pt>
                <c:pt idx="116">
                  <c:v>1559914.6280202237</c:v>
                </c:pt>
                <c:pt idx="117">
                  <c:v>1559190.0783984899</c:v>
                </c:pt>
                <c:pt idx="118">
                  <c:v>1558292.9489627965</c:v>
                </c:pt>
                <c:pt idx="119">
                  <c:v>1557188.3609778585</c:v>
                </c:pt>
                <c:pt idx="120">
                  <c:v>1555835.9653461212</c:v>
                </c:pt>
                <c:pt idx="121">
                  <c:v>1554189.4513002781</c:v>
                </c:pt>
                <c:pt idx="122">
                  <c:v>1552196.0930557293</c:v>
                </c:pt>
                <c:pt idx="123">
                  <c:v>1549796.3568165102</c:v>
                </c:pt>
                <c:pt idx="124">
                  <c:v>1546923.5931474541</c:v>
                </c:pt>
                <c:pt idx="125">
                  <c:v>1543503.8418248303</c:v>
                </c:pt>
                <c:pt idx="126">
                  <c:v>1539455.7776451521</c:v>
                </c:pt>
                <c:pt idx="127">
                  <c:v>1534690.8260916537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3-3003-419C-A35B-51E0E111B9A1}"/>
            </c:ext>
          </c:extLst>
        </c:ser>
        <c:ser>
          <c:idx val="116"/>
          <c:order val="116"/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output'!$DR$3:$DR$130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1569653.260616503</c:v>
                </c:pt>
                <c:pt idx="117">
                  <c:v>1569067.958195545</c:v>
                </c:pt>
                <c:pt idx="118">
                  <c:v>1568339.1570322225</c:v>
                </c:pt>
                <c:pt idx="119">
                  <c:v>1567436.7633841247</c:v>
                </c:pt>
                <c:pt idx="120">
                  <c:v>1566325.6938531122</c:v>
                </c:pt>
                <c:pt idx="121">
                  <c:v>1564965.3625795629</c:v>
                </c:pt>
                <c:pt idx="122">
                  <c:v>1563309.1870519763</c:v>
                </c:pt>
                <c:pt idx="123">
                  <c:v>1561304.1320992601</c:v>
                </c:pt>
                <c:pt idx="124">
                  <c:v>1558890.3145906327</c:v>
                </c:pt>
                <c:pt idx="125">
                  <c:v>1556000.6940026747</c:v>
                </c:pt>
                <c:pt idx="126">
                  <c:v>1552560.8761248617</c:v>
                </c:pt>
                <c:pt idx="127">
                  <c:v>1548489.0585503874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3003-419C-A35B-51E0E111B9A1}"/>
            </c:ext>
          </c:extLst>
        </c:ser>
        <c:ser>
          <c:idx val="117"/>
          <c:order val="117"/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output'!$DS$3:$DS$130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1577196.6638962594</c:v>
                </c:pt>
                <c:pt idx="118">
                  <c:v>1576608.5486424852</c:v>
                </c:pt>
                <c:pt idx="119">
                  <c:v>1575876.245023414</c:v>
                </c:pt>
                <c:pt idx="120">
                  <c:v>1574969.5146728256</c:v>
                </c:pt>
                <c:pt idx="121">
                  <c:v>1573853.1055895982</c:v>
                </c:pt>
                <c:pt idx="122">
                  <c:v>1572486.2368675258</c:v>
                </c:pt>
                <c:pt idx="123">
                  <c:v>1570822.1021299532</c:v>
                </c:pt>
                <c:pt idx="124">
                  <c:v>1568807.4113305912</c:v>
                </c:pt>
                <c:pt idx="125">
                  <c:v>1566381.9935536955</c:v>
                </c:pt>
                <c:pt idx="126">
                  <c:v>1563478.4860940522</c:v>
                </c:pt>
                <c:pt idx="127">
                  <c:v>1560022.1372191634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5-3003-419C-A35B-51E0E111B9A1}"/>
            </c:ext>
          </c:extLst>
        </c:ser>
        <c:ser>
          <c:idx val="118"/>
          <c:order val="118"/>
          <c:spPr>
            <a:solidFill>
              <a:schemeClr val="accent5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output'!$DT$3:$DT$130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1582950.7572883887</c:v>
                </c:pt>
                <c:pt idx="119">
                  <c:v>1582360.4964111971</c:v>
                </c:pt>
                <c:pt idx="120">
                  <c:v>1581625.521125674</c:v>
                </c:pt>
                <c:pt idx="121">
                  <c:v>1580715.4827468363</c:v>
                </c:pt>
                <c:pt idx="122">
                  <c:v>1579595.000663535</c:v>
                </c:pt>
                <c:pt idx="123">
                  <c:v>1578223.1451884077</c:v>
                </c:pt>
                <c:pt idx="124">
                  <c:v>1576552.9391808938</c:v>
                </c:pt>
                <c:pt idx="125">
                  <c:v>1574530.8981763981</c:v>
                </c:pt>
                <c:pt idx="126">
                  <c:v>1572096.6317373649</c:v>
                </c:pt>
                <c:pt idx="127">
                  <c:v>1569182.5313989322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3003-419C-A35B-51E0E111B9A1}"/>
            </c:ext>
          </c:extLst>
        </c:ser>
        <c:ser>
          <c:idx val="119"/>
          <c:order val="119"/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output'!$DU$3:$DU$130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1587087.1880651063</c:v>
                </c:pt>
                <c:pt idx="120">
                  <c:v>1586495.3847689561</c:v>
                </c:pt>
                <c:pt idx="121">
                  <c:v>1585758.4889092287</c:v>
                </c:pt>
                <c:pt idx="122">
                  <c:v>1584846.0724963674</c:v>
                </c:pt>
                <c:pt idx="123">
                  <c:v>1583722.6624656536</c:v>
                </c:pt>
                <c:pt idx="124">
                  <c:v>1582347.2221757858</c:v>
                </c:pt>
                <c:pt idx="125">
                  <c:v>1580672.6517295795</c:v>
                </c:pt>
                <c:pt idx="126">
                  <c:v>1578645.3269014372</c:v>
                </c:pt>
                <c:pt idx="127">
                  <c:v>1576204.6994467054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7-3003-419C-A35B-51E0E111B9A1}"/>
            </c:ext>
          </c:extLst>
        </c:ser>
        <c:ser>
          <c:idx val="120"/>
          <c:order val="120"/>
          <c:spPr>
            <a:solidFill>
              <a:schemeClr val="accent1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output'!$DV$3:$DV$130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1582975.34605749</c:v>
                </c:pt>
                <c:pt idx="121">
                  <c:v>1582385.0760114798</c:v>
                </c:pt>
                <c:pt idx="122">
                  <c:v>1581650.0893092165</c:v>
                </c:pt>
                <c:pt idx="123">
                  <c:v>1580740.0367942955</c:v>
                </c:pt>
                <c:pt idx="124">
                  <c:v>1579619.5373059832</c:v>
                </c:pt>
                <c:pt idx="125">
                  <c:v>1578247.6605211361</c:v>
                </c:pt>
                <c:pt idx="126">
                  <c:v>1576577.4285694733</c:v>
                </c:pt>
                <c:pt idx="127">
                  <c:v>1574555.3561555992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3003-419C-A35B-51E0E111B9A1}"/>
            </c:ext>
          </c:extLst>
        </c:ser>
        <c:ser>
          <c:idx val="121"/>
          <c:order val="121"/>
          <c:spPr>
            <a:solidFill>
              <a:schemeClr val="accent2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output'!$DW$3:$DW$130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1579498.709786305</c:v>
                </c:pt>
                <c:pt idx="122">
                  <c:v>1578909.7361308273</c:v>
                </c:pt>
                <c:pt idx="123">
                  <c:v>1578176.3636554906</c:v>
                </c:pt>
                <c:pt idx="124">
                  <c:v>1577268.3098587366</c:v>
                </c:pt>
                <c:pt idx="125">
                  <c:v>1576150.271286302</c:v>
                </c:pt>
                <c:pt idx="126">
                  <c:v>1574781.4075089546</c:v>
                </c:pt>
                <c:pt idx="127">
                  <c:v>1573114.8438323531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9-3003-419C-A35B-51E0E111B9A1}"/>
            </c:ext>
          </c:extLst>
        </c:ser>
        <c:ser>
          <c:idx val="122"/>
          <c:order val="122"/>
          <c:spPr>
            <a:solidFill>
              <a:schemeClr val="accent3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output'!$DX$3:$DX$130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1574537.552986986</c:v>
                </c:pt>
                <c:pt idx="123">
                  <c:v>1573950.4292796201</c:v>
                </c:pt>
                <c:pt idx="124">
                  <c:v>1573219.3603046406</c:v>
                </c:pt>
                <c:pt idx="125">
                  <c:v>1572314.1586768944</c:v>
                </c:pt>
                <c:pt idx="126">
                  <c:v>1571199.6318291805</c:v>
                </c:pt>
                <c:pt idx="127">
                  <c:v>1569835.0676107972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A-3003-419C-A35B-51E0E111B9A1}"/>
            </c:ext>
          </c:extLst>
        </c:ser>
        <c:ser>
          <c:idx val="123"/>
          <c:order val="123"/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output'!$DY$3:$DY$130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1565481.4158036707</c:v>
                </c:pt>
                <c:pt idx="124">
                  <c:v>1564897.6690070855</c:v>
                </c:pt>
                <c:pt idx="125">
                  <c:v>1564170.8048609558</c:v>
                </c:pt>
                <c:pt idx="126">
                  <c:v>1563270.8096064106</c:v>
                </c:pt>
                <c:pt idx="127">
                  <c:v>1562162.6930904211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B-3003-419C-A35B-51E0E111B9A1}"/>
            </c:ext>
          </c:extLst>
        </c:ser>
        <c:ser>
          <c:idx val="124"/>
          <c:order val="124"/>
          <c:spPr>
            <a:solidFill>
              <a:schemeClr val="accent5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output'!$DZ$3:$DZ$130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1555143.1134640004</c:v>
                </c:pt>
                <c:pt idx="125">
                  <c:v>1554563.2216802004</c:v>
                </c:pt>
                <c:pt idx="126">
                  <c:v>1553841.157681314</c:v>
                </c:pt>
                <c:pt idx="127">
                  <c:v>1552947.1059167085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C-3003-419C-A35B-51E0E111B9A1}"/>
            </c:ext>
          </c:extLst>
        </c:ser>
        <c:ser>
          <c:idx val="125"/>
          <c:order val="125"/>
          <c:spPr>
            <a:solidFill>
              <a:schemeClr val="accent6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output'!$EA$3:$EA$130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1544154.6140235113</c:v>
                </c:pt>
                <c:pt idx="126">
                  <c:v>1543578.8197021808</c:v>
                </c:pt>
                <c:pt idx="127">
                  <c:v>1542861.8577416723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D-3003-419C-A35B-51E0E111B9A1}"/>
            </c:ext>
          </c:extLst>
        </c:ser>
        <c:ser>
          <c:idx val="126"/>
          <c:order val="126"/>
          <c:spPr>
            <a:solidFill>
              <a:schemeClr val="accent1">
                <a:lumMod val="8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output'!$EB$3:$EB$130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1532729.050670793</c:v>
                </c:pt>
                <c:pt idx="127">
                  <c:v>1532157.5167871392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E-3003-419C-A35B-51E0E111B9A1}"/>
            </c:ext>
          </c:extLst>
        </c:ser>
        <c:ser>
          <c:idx val="127"/>
          <c:order val="127"/>
          <c:spPr>
            <a:solidFill>
              <a:schemeClr val="accent2">
                <a:lumMod val="80000"/>
              </a:schemeClr>
            </a:solidFill>
            <a:ln w="25400">
              <a:noFill/>
            </a:ln>
            <a:effectLst/>
          </c:spP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output'!$EC$3:$EC$130</c:f>
              <c:numCache>
                <c:formatCode>0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1519778.7420150032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F-3003-419C-A35B-51E0E111B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921776"/>
        <c:axId val="747922104"/>
      </c:areaChart>
      <c:catAx>
        <c:axId val="747921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922104"/>
        <c:crosses val="autoZero"/>
        <c:auto val="1"/>
        <c:lblAlgn val="ctr"/>
        <c:lblOffset val="100"/>
        <c:noMultiLvlLbl val="0"/>
      </c:catAx>
      <c:valAx>
        <c:axId val="747922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921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'model output'!$C$2</c:f>
              <c:strCache>
                <c:ptCount val="1"/>
                <c:pt idx="0">
                  <c:v>stock &lt;-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output'!$C$3:$C$130</c:f>
              <c:numCache>
                <c:formatCode>0</c:formatCode>
                <c:ptCount val="128"/>
                <c:pt idx="0">
                  <c:v>3246.1582570339033</c:v>
                </c:pt>
                <c:pt idx="1">
                  <c:v>9762.801514632165</c:v>
                </c:pt>
                <c:pt idx="2">
                  <c:v>19563.500926531451</c:v>
                </c:pt>
                <c:pt idx="3">
                  <c:v>32672.851235541373</c:v>
                </c:pt>
                <c:pt idx="4">
                  <c:v>49112.580282893701</c:v>
                </c:pt>
                <c:pt idx="5">
                  <c:v>68904.78676136295</c:v>
                </c:pt>
                <c:pt idx="6">
                  <c:v>92077.752678720601</c:v>
                </c:pt>
                <c:pt idx="7">
                  <c:v>118654.48963960921</c:v>
                </c:pt>
                <c:pt idx="8">
                  <c:v>148645.21152556248</c:v>
                </c:pt>
                <c:pt idx="9">
                  <c:v>182052.16809219524</c:v>
                </c:pt>
                <c:pt idx="10">
                  <c:v>218889.97215991665</c:v>
                </c:pt>
                <c:pt idx="11">
                  <c:v>259181.10687510466</c:v>
                </c:pt>
                <c:pt idx="12">
                  <c:v>302943.59240222245</c:v>
                </c:pt>
                <c:pt idx="13">
                  <c:v>350184.73162481125</c:v>
                </c:pt>
                <c:pt idx="14">
                  <c:v>400899.58778767852</c:v>
                </c:pt>
                <c:pt idx="15">
                  <c:v>455087.29924932495</c:v>
                </c:pt>
                <c:pt idx="16">
                  <c:v>512735.76647318702</c:v>
                </c:pt>
                <c:pt idx="17">
                  <c:v>573839.36265245662</c:v>
                </c:pt>
                <c:pt idx="18">
                  <c:v>638388.25847179804</c:v>
                </c:pt>
                <c:pt idx="19">
                  <c:v>706363.674121649</c:v>
                </c:pt>
                <c:pt idx="20">
                  <c:v>777746.78363082116</c:v>
                </c:pt>
                <c:pt idx="21">
                  <c:v>852514.07552616997</c:v>
                </c:pt>
                <c:pt idx="22">
                  <c:v>930627.26718336542</c:v>
                </c:pt>
                <c:pt idx="23">
                  <c:v>1012383.3249469413</c:v>
                </c:pt>
                <c:pt idx="24">
                  <c:v>1098482.7590385447</c:v>
                </c:pt>
                <c:pt idx="25">
                  <c:v>1188804.217782879</c:v>
                </c:pt>
                <c:pt idx="26">
                  <c:v>1282358.70405631</c:v>
                </c:pt>
                <c:pt idx="27">
                  <c:v>1379370.4680576099</c:v>
                </c:pt>
                <c:pt idx="28">
                  <c:v>1479417.3518200668</c:v>
                </c:pt>
                <c:pt idx="29">
                  <c:v>1584695.5706150511</c:v>
                </c:pt>
                <c:pt idx="30">
                  <c:v>1693310.0282080052</c:v>
                </c:pt>
                <c:pt idx="31">
                  <c:v>1804628.496140789</c:v>
                </c:pt>
                <c:pt idx="32">
                  <c:v>1918717.9437952652</c:v>
                </c:pt>
                <c:pt idx="33">
                  <c:v>2035659.1845311809</c:v>
                </c:pt>
                <c:pt idx="34">
                  <c:v>2154048.4340511439</c:v>
                </c:pt>
                <c:pt idx="35">
                  <c:v>2273632.5194310574</c:v>
                </c:pt>
                <c:pt idx="36">
                  <c:v>2393724.165474155</c:v>
                </c:pt>
                <c:pt idx="37">
                  <c:v>2514973.269880984</c:v>
                </c:pt>
                <c:pt idx="38">
                  <c:v>2638064.533516129</c:v>
                </c:pt>
                <c:pt idx="39">
                  <c:v>2762861.3390469998</c:v>
                </c:pt>
                <c:pt idx="40">
                  <c:v>2890734.6660926528</c:v>
                </c:pt>
                <c:pt idx="41">
                  <c:v>3021723.8766846335</c:v>
                </c:pt>
                <c:pt idx="42">
                  <c:v>3154741.579444618</c:v>
                </c:pt>
                <c:pt idx="43">
                  <c:v>3290084.4243664239</c:v>
                </c:pt>
                <c:pt idx="44">
                  <c:v>3427588.8206435489</c:v>
                </c:pt>
                <c:pt idx="45">
                  <c:v>3568242.8525549853</c:v>
                </c:pt>
                <c:pt idx="46">
                  <c:v>3711445.0499097854</c:v>
                </c:pt>
                <c:pt idx="47">
                  <c:v>3856382.8370923284</c:v>
                </c:pt>
                <c:pt idx="48">
                  <c:v>4003705.4961089939</c:v>
                </c:pt>
                <c:pt idx="49">
                  <c:v>4153490.4162034555</c:v>
                </c:pt>
                <c:pt idx="50">
                  <c:v>4306127.9032501373</c:v>
                </c:pt>
                <c:pt idx="51">
                  <c:v>4461314.9968373841</c:v>
                </c:pt>
                <c:pt idx="52">
                  <c:v>4617991.8392292708</c:v>
                </c:pt>
                <c:pt idx="53">
                  <c:v>4776067.0921440702</c:v>
                </c:pt>
                <c:pt idx="54">
                  <c:v>4935396.8654555529</c:v>
                </c:pt>
                <c:pt idx="55">
                  <c:v>5096408.88819014</c:v>
                </c:pt>
                <c:pt idx="56">
                  <c:v>5259452.0966279432</c:v>
                </c:pt>
                <c:pt idx="57">
                  <c:v>5424542.3674995108</c:v>
                </c:pt>
                <c:pt idx="58">
                  <c:v>5592416.5292015364</c:v>
                </c:pt>
                <c:pt idx="59">
                  <c:v>5763921.7077121716</c:v>
                </c:pt>
                <c:pt idx="60">
                  <c:v>5940279.6900981981</c:v>
                </c:pt>
                <c:pt idx="61">
                  <c:v>6124163.5459201923</c:v>
                </c:pt>
                <c:pt idx="62">
                  <c:v>6315390.3651112849</c:v>
                </c:pt>
                <c:pt idx="63">
                  <c:v>6515388.2702492988</c:v>
                </c:pt>
                <c:pt idx="64">
                  <c:v>6720864.5163914459</c:v>
                </c:pt>
                <c:pt idx="65">
                  <c:v>6937170.7365975594</c:v>
                </c:pt>
                <c:pt idx="66">
                  <c:v>7162964.2383668628</c:v>
                </c:pt>
                <c:pt idx="67">
                  <c:v>7388292.5914598936</c:v>
                </c:pt>
                <c:pt idx="68">
                  <c:v>7614897.5227113739</c:v>
                </c:pt>
                <c:pt idx="69">
                  <c:v>7843724.4514071885</c:v>
                </c:pt>
                <c:pt idx="70">
                  <c:v>8075355.2976421658</c:v>
                </c:pt>
                <c:pt idx="71">
                  <c:v>8310765.92310917</c:v>
                </c:pt>
                <c:pt idx="72">
                  <c:v>8553973.821397135</c:v>
                </c:pt>
                <c:pt idx="73">
                  <c:v>8810845.5547735766</c:v>
                </c:pt>
                <c:pt idx="74">
                  <c:v>9080473.420424711</c:v>
                </c:pt>
                <c:pt idx="75">
                  <c:v>9365401.3014921155</c:v>
                </c:pt>
                <c:pt idx="76">
                  <c:v>9663614.7316521555</c:v>
                </c:pt>
                <c:pt idx="77">
                  <c:v>9976580.5520673059</c:v>
                </c:pt>
                <c:pt idx="78">
                  <c:v>10305477.831628218</c:v>
                </c:pt>
                <c:pt idx="79">
                  <c:v>10651486.788548678</c:v>
                </c:pt>
                <c:pt idx="80">
                  <c:v>11012039.090006521</c:v>
                </c:pt>
                <c:pt idx="81">
                  <c:v>11387795.39526693</c:v>
                </c:pt>
                <c:pt idx="82">
                  <c:v>11780232.860763062</c:v>
                </c:pt>
                <c:pt idx="83">
                  <c:v>12189816.227697311</c:v>
                </c:pt>
                <c:pt idx="84">
                  <c:v>12621891.644473497</c:v>
                </c:pt>
                <c:pt idx="85">
                  <c:v>13079105.582573811</c:v>
                </c:pt>
                <c:pt idx="86">
                  <c:v>13560518.058464246</c:v>
                </c:pt>
                <c:pt idx="87">
                  <c:v>14067986.561228598</c:v>
                </c:pt>
                <c:pt idx="88">
                  <c:v>14604930.693193933</c:v>
                </c:pt>
                <c:pt idx="89">
                  <c:v>15175598.273022128</c:v>
                </c:pt>
                <c:pt idx="90">
                  <c:v>15780862.705171512</c:v>
                </c:pt>
                <c:pt idx="91">
                  <c:v>16420434.003652204</c:v>
                </c:pt>
                <c:pt idx="92">
                  <c:v>17097634.825143322</c:v>
                </c:pt>
                <c:pt idx="93">
                  <c:v>17810455.901663009</c:v>
                </c:pt>
                <c:pt idx="94">
                  <c:v>18559991.923901364</c:v>
                </c:pt>
                <c:pt idx="95">
                  <c:v>19349326.987097971</c:v>
                </c:pt>
                <c:pt idx="96">
                  <c:v>20173153.358086802</c:v>
                </c:pt>
                <c:pt idx="97">
                  <c:v>21021806.131791838</c:v>
                </c:pt>
                <c:pt idx="98">
                  <c:v>21909950.136520635</c:v>
                </c:pt>
                <c:pt idx="99">
                  <c:v>22819355.388083667</c:v>
                </c:pt>
                <c:pt idx="100">
                  <c:v>23755657.669434231</c:v>
                </c:pt>
                <c:pt idx="101">
                  <c:v>24720509.165812843</c:v>
                </c:pt>
                <c:pt idx="102">
                  <c:v>25708686.844228134</c:v>
                </c:pt>
                <c:pt idx="103">
                  <c:v>26711107.773007244</c:v>
                </c:pt>
                <c:pt idx="104">
                  <c:v>27728220.934770998</c:v>
                </c:pt>
                <c:pt idx="105">
                  <c:v>28758235.527153082</c:v>
                </c:pt>
                <c:pt idx="106">
                  <c:v>29799169.776370157</c:v>
                </c:pt>
                <c:pt idx="107">
                  <c:v>30850630.012103405</c:v>
                </c:pt>
                <c:pt idx="108">
                  <c:v>31910449.000707008</c:v>
                </c:pt>
                <c:pt idx="109">
                  <c:v>32979998.282125175</c:v>
                </c:pt>
                <c:pt idx="110">
                  <c:v>34056658.406451307</c:v>
                </c:pt>
                <c:pt idx="111">
                  <c:v>35140408.106533878</c:v>
                </c:pt>
                <c:pt idx="112">
                  <c:v>36227111.040600814</c:v>
                </c:pt>
                <c:pt idx="113">
                  <c:v>37312875.630685665</c:v>
                </c:pt>
                <c:pt idx="114">
                  <c:v>38391971.387918755</c:v>
                </c:pt>
                <c:pt idx="115">
                  <c:v>39464099.469071507</c:v>
                </c:pt>
                <c:pt idx="116">
                  <c:v>40526272.953320332</c:v>
                </c:pt>
                <c:pt idx="117">
                  <c:v>41576120.269322224</c:v>
                </c:pt>
                <c:pt idx="118">
                  <c:v>42611094.798763551</c:v>
                </c:pt>
                <c:pt idx="119">
                  <c:v>43628827.35958185</c:v>
                </c:pt>
                <c:pt idx="120">
                  <c:v>44620329.024253614</c:v>
                </c:pt>
                <c:pt idx="121">
                  <c:v>45585513.083325446</c:v>
                </c:pt>
                <c:pt idx="122">
                  <c:v>46522194.757350408</c:v>
                </c:pt>
                <c:pt idx="123">
                  <c:v>47425606.956680201</c:v>
                </c:pt>
                <c:pt idx="124">
                  <c:v>48293830.495302796</c:v>
                </c:pt>
                <c:pt idx="125">
                  <c:v>49125618.430314802</c:v>
                </c:pt>
                <c:pt idx="126">
                  <c:v>49919982.976301879</c:v>
                </c:pt>
                <c:pt idx="127">
                  <c:v>50674900.422595978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FC-42D2-B07A-82703394A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7362944"/>
        <c:axId val="747353432"/>
      </c:lineChart>
      <c:catAx>
        <c:axId val="74736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353432"/>
        <c:crosses val="autoZero"/>
        <c:auto val="1"/>
        <c:lblAlgn val="ctr"/>
        <c:lblOffset val="100"/>
        <c:noMultiLvlLbl val="0"/>
      </c:catAx>
      <c:valAx>
        <c:axId val="747353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36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flows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687776766166069"/>
          <c:y val="9.2659472789487898E-2"/>
          <c:w val="0.74446502497643763"/>
          <c:h val="0.40547506717314319"/>
        </c:manualLayout>
      </c:layout>
      <c:lineChart>
        <c:grouping val="standard"/>
        <c:varyColors val="0"/>
        <c:ser>
          <c:idx val="2"/>
          <c:order val="0"/>
          <c:tx>
            <c:v>inflows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'model output'!$F$1:$EC$1</c:f>
              <c:numCache>
                <c:formatCode>General</c:formatCode>
                <c:ptCount val="128"/>
                <c:pt idx="0">
                  <c:v>3250.546162900926</c:v>
                </c:pt>
                <c:pt idx="1">
                  <c:v>6526.6640369404358</c:v>
                </c:pt>
                <c:pt idx="2">
                  <c:v>9817.8901961806278</c:v>
                </c:pt>
                <c:pt idx="3">
                  <c:v>13135.630589270371</c:v>
                </c:pt>
                <c:pt idx="4">
                  <c:v>16477.460675834631</c:v>
                </c:pt>
                <c:pt idx="5">
                  <c:v>19844.284474243581</c:v>
                </c:pt>
                <c:pt idx="6">
                  <c:v>23242.926836047798</c:v>
                </c:pt>
                <c:pt idx="7">
                  <c:v>26668.860275157796</c:v>
                </c:pt>
                <c:pt idx="8">
                  <c:v>30110.14805696805</c:v>
                </c:pt>
                <c:pt idx="9">
                  <c:v>33559.834518262403</c:v>
                </c:pt>
                <c:pt idx="10">
                  <c:v>37031.476693948942</c:v>
                </c:pt>
                <c:pt idx="11">
                  <c:v>40534.314183831208</c:v>
                </c:pt>
                <c:pt idx="12">
                  <c:v>44065.433662495023</c:v>
                </c:pt>
                <c:pt idx="13">
                  <c:v>47615.868135125631</c:v>
                </c:pt>
                <c:pt idx="14">
                  <c:v>51175.347620879125</c:v>
                </c:pt>
                <c:pt idx="15">
                  <c:v>54750.172364717015</c:v>
                </c:pt>
                <c:pt idx="16">
                  <c:v>58331.55860291468</c:v>
                </c:pt>
                <c:pt idx="17">
                  <c:v>61928.709928016164</c:v>
                </c:pt>
                <c:pt idx="18">
                  <c:v>65540.403890407848</c:v>
                </c:pt>
                <c:pt idx="19">
                  <c:v>69160.925075631778</c:v>
                </c:pt>
                <c:pt idx="20">
                  <c:v>72793.730638864989</c:v>
                </c:pt>
                <c:pt idx="21">
                  <c:v>76437.882790353033</c:v>
                </c:pt>
                <c:pt idx="22">
                  <c:v>80082.579883504644</c:v>
                </c:pt>
                <c:pt idx="23">
                  <c:v>84067.725629348221</c:v>
                </c:pt>
                <c:pt idx="24">
                  <c:v>88801.927415177692</c:v>
                </c:pt>
                <c:pt idx="25">
                  <c:v>93467.072046386689</c:v>
                </c:pt>
                <c:pt idx="26">
                  <c:v>97199.091605726528</c:v>
                </c:pt>
                <c:pt idx="27">
                  <c:v>101217.39516120101</c:v>
                </c:pt>
                <c:pt idx="28">
                  <c:v>104879.64637308358</c:v>
                </c:pt>
                <c:pt idx="29">
                  <c:v>110812.4782529643</c:v>
                </c:pt>
                <c:pt idx="30">
                  <c:v>114924.65565609437</c:v>
                </c:pt>
                <c:pt idx="31">
                  <c:v>118484.91876070596</c:v>
                </c:pt>
                <c:pt idx="32">
                  <c:v>122197.74458417001</c:v>
                </c:pt>
                <c:pt idx="33">
                  <c:v>126081.31826517344</c:v>
                </c:pt>
                <c:pt idx="34">
                  <c:v>128653.08932904841</c:v>
                </c:pt>
                <c:pt idx="35">
                  <c:v>131068.40097777806</c:v>
                </c:pt>
                <c:pt idx="36">
                  <c:v>132895.66491836752</c:v>
                </c:pt>
                <c:pt idx="37">
                  <c:v>135476.33106197993</c:v>
                </c:pt>
                <c:pt idx="38">
                  <c:v>138847.66428085254</c:v>
                </c:pt>
                <c:pt idx="39">
                  <c:v>142189.18477568755</c:v>
                </c:pt>
                <c:pt idx="40">
                  <c:v>147011.67698903236</c:v>
                </c:pt>
                <c:pt idx="41">
                  <c:v>151982.86257007325</c:v>
                </c:pt>
                <c:pt idx="42">
                  <c:v>155974.66100865367</c:v>
                </c:pt>
                <c:pt idx="43">
                  <c:v>160372.21816218839</c:v>
                </c:pt>
                <c:pt idx="44">
                  <c:v>164713.79065050435</c:v>
                </c:pt>
                <c:pt idx="45">
                  <c:v>170151.05531062491</c:v>
                </c:pt>
                <c:pt idx="46">
                  <c:v>175090.67210225883</c:v>
                </c:pt>
                <c:pt idx="47">
                  <c:v>179318.64578546511</c:v>
                </c:pt>
                <c:pt idx="48">
                  <c:v>184295.66767213211</c:v>
                </c:pt>
                <c:pt idx="49">
                  <c:v>189446.03593735155</c:v>
                </c:pt>
                <c:pt idx="50">
                  <c:v>195079.57296554314</c:v>
                </c:pt>
                <c:pt idx="51">
                  <c:v>200498.4219661961</c:v>
                </c:pt>
                <c:pt idx="52">
                  <c:v>204940.58636202328</c:v>
                </c:pt>
                <c:pt idx="53">
                  <c:v>209371.37675841388</c:v>
                </c:pt>
                <c:pt idx="54">
                  <c:v>213733.84174126809</c:v>
                </c:pt>
                <c:pt idx="55">
                  <c:v>218595.98215789621</c:v>
                </c:pt>
                <c:pt idx="56">
                  <c:v>223874.72794262215</c:v>
                </c:pt>
                <c:pt idx="57">
                  <c:v>229232.47867469641</c:v>
                </c:pt>
                <c:pt idx="58">
                  <c:v>235387.105447701</c:v>
                </c:pt>
                <c:pt idx="59">
                  <c:v>242445.45176849287</c:v>
                </c:pt>
                <c:pt idx="60">
                  <c:v>250779.41555639898</c:v>
                </c:pt>
                <c:pt idx="61">
                  <c:v>261839.46643901055</c:v>
                </c:pt>
                <c:pt idx="62">
                  <c:v>272763.9729427658</c:v>
                </c:pt>
                <c:pt idx="63">
                  <c:v>285163.91856959008</c:v>
                </c:pt>
                <c:pt idx="64">
                  <c:v>294310.88147944695</c:v>
                </c:pt>
                <c:pt idx="65">
                  <c:v>308858.62037567282</c:v>
                </c:pt>
                <c:pt idx="66">
                  <c:v>322104.94112684362</c:v>
                </c:pt>
                <c:pt idx="67">
                  <c:v>325428.16494747583</c:v>
                </c:pt>
                <c:pt idx="68">
                  <c:v>330535.25964061462</c:v>
                </c:pt>
                <c:pt idx="69">
                  <c:v>336629.94486201025</c:v>
                </c:pt>
                <c:pt idx="70">
                  <c:v>343349.66988598794</c:v>
                </c:pt>
                <c:pt idx="71">
                  <c:v>351090.79027027084</c:v>
                </c:pt>
                <c:pt idx="72">
                  <c:v>362901.62116343644</c:v>
                </c:pt>
                <c:pt idx="73">
                  <c:v>380638.00541386323</c:v>
                </c:pt>
                <c:pt idx="74">
                  <c:v>397522.32242475491</c:v>
                </c:pt>
                <c:pt idx="75">
                  <c:v>417015.14645795553</c:v>
                </c:pt>
                <c:pt idx="76">
                  <c:v>434558.09459958103</c:v>
                </c:pt>
                <c:pt idx="77">
                  <c:v>453642.40970206988</c:v>
                </c:pt>
                <c:pt idx="78">
                  <c:v>473986.87675339752</c:v>
                </c:pt>
                <c:pt idx="79">
                  <c:v>495600.17012444441</c:v>
                </c:pt>
                <c:pt idx="80">
                  <c:v>514736.86171015492</c:v>
                </c:pt>
                <c:pt idx="81">
                  <c:v>534637.76938929514</c:v>
                </c:pt>
                <c:pt idx="82">
                  <c:v>556129.49497393717</c:v>
                </c:pt>
                <c:pt idx="83">
                  <c:v>578208.12848345248</c:v>
                </c:pt>
                <c:pt idx="84">
                  <c:v>605771.80507718993</c:v>
                </c:pt>
                <c:pt idx="85">
                  <c:v>636129.69962289743</c:v>
                </c:pt>
                <c:pt idx="86">
                  <c:v>665702.98990406771</c:v>
                </c:pt>
                <c:pt idx="87">
                  <c:v>697304.89767083782</c:v>
                </c:pt>
                <c:pt idx="88">
                  <c:v>732513.20721288421</c:v>
                </c:pt>
                <c:pt idx="89">
                  <c:v>772172.19023072289</c:v>
                </c:pt>
                <c:pt idx="90">
                  <c:v>812919.09325780091</c:v>
                </c:pt>
                <c:pt idx="91">
                  <c:v>853605.04412127798</c:v>
                </c:pt>
                <c:pt idx="92">
                  <c:v>897864.14653953933</c:v>
                </c:pt>
                <c:pt idx="93">
                  <c:v>940376.05932987994</c:v>
                </c:pt>
                <c:pt idx="94">
                  <c:v>984266.9609248176</c:v>
                </c:pt>
                <c:pt idx="95">
                  <c:v>1031548.9588011784</c:v>
                </c:pt>
                <c:pt idx="96">
                  <c:v>1073840.7523882496</c:v>
                </c:pt>
                <c:pt idx="97">
                  <c:v>1106799.3627719062</c:v>
                </c:pt>
                <c:pt idx="98">
                  <c:v>1154806.5236675595</c:v>
                </c:pt>
                <c:pt idx="99">
                  <c:v>1184951.33454638</c:v>
                </c:pt>
                <c:pt idx="100">
                  <c:v>1221150.1351589758</c:v>
                </c:pt>
                <c:pt idx="101">
                  <c:v>1259440.602027467</c:v>
                </c:pt>
                <c:pt idx="102">
                  <c:v>1292964.6434829384</c:v>
                </c:pt>
                <c:pt idx="103">
                  <c:v>1317881.888923666</c:v>
                </c:pt>
                <c:pt idx="104">
                  <c:v>1343760.6299748099</c:v>
                </c:pt>
                <c:pt idx="105">
                  <c:v>1368384.7154099254</c:v>
                </c:pt>
                <c:pt idx="106">
                  <c:v>1391588.8835480448</c:v>
                </c:pt>
                <c:pt idx="107">
                  <c:v>1414989.0069484261</c:v>
                </c:pt>
                <c:pt idx="108">
                  <c:v>1436834.7673733823</c:v>
                </c:pt>
                <c:pt idx="109">
                  <c:v>1460693.9580714335</c:v>
                </c:pt>
                <c:pt idx="110">
                  <c:v>1482594.5292667579</c:v>
                </c:pt>
                <c:pt idx="111">
                  <c:v>1505159.749849343</c:v>
                </c:pt>
                <c:pt idx="112">
                  <c:v>1524289.5639477617</c:v>
                </c:pt>
                <c:pt idx="113">
                  <c:v>1540245.9763468944</c:v>
                </c:pt>
                <c:pt idx="114">
                  <c:v>1551201.7090346084</c:v>
                </c:pt>
                <c:pt idx="115">
                  <c:v>1562605.8746096075</c:v>
                </c:pt>
                <c:pt idx="116">
                  <c:v>1571774.9965905659</c:v>
                </c:pt>
                <c:pt idx="117">
                  <c:v>1579328.5964599177</c:v>
                </c:pt>
                <c:pt idx="118">
                  <c:v>1585090.467790815</c:v>
                </c:pt>
                <c:pt idx="119">
                  <c:v>1589232.4898749911</c:v>
                </c:pt>
                <c:pt idx="120">
                  <c:v>1585115.0897971143</c:v>
                </c:pt>
                <c:pt idx="121">
                  <c:v>1581633.7540776941</c:v>
                </c:pt>
                <c:pt idx="122">
                  <c:v>1576665.8911700146</c:v>
                </c:pt>
                <c:pt idx="123">
                  <c:v>1567597.5126003181</c:v>
                </c:pt>
                <c:pt idx="124">
                  <c:v>1557245.2357424945</c:v>
                </c:pt>
                <c:pt idx="125">
                  <c:v>1546241.882897659</c:v>
                </c:pt>
                <c:pt idx="126">
                  <c:v>1534800.875351374</c:v>
                </c:pt>
                <c:pt idx="127">
                  <c:v>1521833.06146915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77-44EF-9A2E-5E5E43F499C8}"/>
            </c:ext>
          </c:extLst>
        </c:ser>
        <c:ser>
          <c:idx val="1"/>
          <c:order val="1"/>
          <c:tx>
            <c:v>net additions to stock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'model output'!$B$3:$B$130</c:f>
              <c:numCache>
                <c:formatCode>0</c:formatCode>
                <c:ptCount val="128"/>
                <c:pt idx="0">
                  <c:v>3246.1582570339033</c:v>
                </c:pt>
                <c:pt idx="1">
                  <c:v>6516.6432575982617</c:v>
                </c:pt>
                <c:pt idx="2">
                  <c:v>9800.6994118992861</c:v>
                </c:pt>
                <c:pt idx="3">
                  <c:v>13109.350309009922</c:v>
                </c:pt>
                <c:pt idx="4">
                  <c:v>16439.729047352328</c:v>
                </c:pt>
                <c:pt idx="5">
                  <c:v>19792.206478469248</c:v>
                </c:pt>
                <c:pt idx="6">
                  <c:v>23172.965917357651</c:v>
                </c:pt>
                <c:pt idx="7">
                  <c:v>26576.736960888607</c:v>
                </c:pt>
                <c:pt idx="8">
                  <c:v>29990.721885953273</c:v>
                </c:pt>
                <c:pt idx="9">
                  <c:v>33406.956566632754</c:v>
                </c:pt>
                <c:pt idx="10">
                  <c:v>36837.804067721416</c:v>
                </c:pt>
                <c:pt idx="11">
                  <c:v>40291.134715188004</c:v>
                </c:pt>
                <c:pt idx="12">
                  <c:v>43762.485527117795</c:v>
                </c:pt>
                <c:pt idx="13">
                  <c:v>47241.139222588798</c:v>
                </c:pt>
                <c:pt idx="14">
                  <c:v>50714.856162867276</c:v>
                </c:pt>
                <c:pt idx="15">
                  <c:v>54187.711461646424</c:v>
                </c:pt>
                <c:pt idx="16">
                  <c:v>57648.46722386207</c:v>
                </c:pt>
                <c:pt idx="17">
                  <c:v>61103.596179269603</c:v>
                </c:pt>
                <c:pt idx="18">
                  <c:v>64548.895819341415</c:v>
                </c:pt>
                <c:pt idx="19">
                  <c:v>67975.415649850969</c:v>
                </c:pt>
                <c:pt idx="20">
                  <c:v>71383.109509172151</c:v>
                </c:pt>
                <c:pt idx="21">
                  <c:v>74767.291895348812</c:v>
                </c:pt>
                <c:pt idx="22">
                  <c:v>78113.19165719545</c:v>
                </c:pt>
                <c:pt idx="23">
                  <c:v>81756.057763575925</c:v>
                </c:pt>
                <c:pt idx="24">
                  <c:v>86099.434091603383</c:v>
                </c:pt>
                <c:pt idx="25">
                  <c:v>90321.45874433429</c:v>
                </c:pt>
                <c:pt idx="26">
                  <c:v>93554.486273430986</c:v>
                </c:pt>
                <c:pt idx="27">
                  <c:v>97011.76400129986</c:v>
                </c:pt>
                <c:pt idx="28">
                  <c:v>100046.88376245694</c:v>
                </c:pt>
                <c:pt idx="29">
                  <c:v>105278.21879498428</c:v>
                </c:pt>
                <c:pt idx="30">
                  <c:v>108614.45759295416</c:v>
                </c:pt>
                <c:pt idx="31">
                  <c:v>111318.46793278377</c:v>
                </c:pt>
                <c:pt idx="32">
                  <c:v>114089.44765447616</c:v>
                </c:pt>
                <c:pt idx="33">
                  <c:v>116941.24073591572</c:v>
                </c:pt>
                <c:pt idx="34">
                  <c:v>118389.24951996305</c:v>
                </c:pt>
                <c:pt idx="35">
                  <c:v>119584.08537991345</c:v>
                </c:pt>
                <c:pt idx="36">
                  <c:v>120091.6460430976</c:v>
                </c:pt>
                <c:pt idx="37">
                  <c:v>121249.10440682899</c:v>
                </c:pt>
                <c:pt idx="38">
                  <c:v>123091.26363514503</c:v>
                </c:pt>
                <c:pt idx="39">
                  <c:v>124796.8055308708</c:v>
                </c:pt>
                <c:pt idx="40">
                  <c:v>127873.32704565302</c:v>
                </c:pt>
                <c:pt idx="41">
                  <c:v>130989.21059198072</c:v>
                </c:pt>
                <c:pt idx="42">
                  <c:v>133017.70275998442</c:v>
                </c:pt>
                <c:pt idx="43">
                  <c:v>135342.8449218059</c:v>
                </c:pt>
                <c:pt idx="44">
                  <c:v>137504.39627712499</c:v>
                </c:pt>
                <c:pt idx="45">
                  <c:v>140654.03191143647</c:v>
                </c:pt>
                <c:pt idx="46">
                  <c:v>143202.19735480007</c:v>
                </c:pt>
                <c:pt idx="47">
                  <c:v>144937.78718254296</c:v>
                </c:pt>
                <c:pt idx="48">
                  <c:v>147322.65901666554</c:v>
                </c:pt>
                <c:pt idx="49">
                  <c:v>149784.92009446165</c:v>
                </c:pt>
                <c:pt idx="50">
                  <c:v>152637.48704668181</c:v>
                </c:pt>
                <c:pt idx="51">
                  <c:v>155187.09358724672</c:v>
                </c:pt>
                <c:pt idx="52">
                  <c:v>156676.84239188675</c:v>
                </c:pt>
                <c:pt idx="53">
                  <c:v>158075.25291479938</c:v>
                </c:pt>
                <c:pt idx="54">
                  <c:v>159329.77331148274</c:v>
                </c:pt>
                <c:pt idx="55">
                  <c:v>161012.02273458708</c:v>
                </c:pt>
                <c:pt idx="56">
                  <c:v>163043.2084378032</c:v>
                </c:pt>
                <c:pt idx="57">
                  <c:v>165090.27087156754</c:v>
                </c:pt>
                <c:pt idx="58">
                  <c:v>167874.16170202568</c:v>
                </c:pt>
                <c:pt idx="59">
                  <c:v>171505.17851063516</c:v>
                </c:pt>
                <c:pt idx="60">
                  <c:v>176357.98238602653</c:v>
                </c:pt>
                <c:pt idx="61">
                  <c:v>183883.85582199413</c:v>
                </c:pt>
                <c:pt idx="62">
                  <c:v>191226.81919109263</c:v>
                </c:pt>
                <c:pt idx="63">
                  <c:v>199997.90513801388</c:v>
                </c:pt>
                <c:pt idx="64">
                  <c:v>205476.24614214711</c:v>
                </c:pt>
                <c:pt idx="65">
                  <c:v>216306.22020611353</c:v>
                </c:pt>
                <c:pt idx="66">
                  <c:v>225793.50176930334</c:v>
                </c:pt>
                <c:pt idx="67">
                  <c:v>225328.35309303086</c:v>
                </c:pt>
                <c:pt idx="68">
                  <c:v>226604.93125148024</c:v>
                </c:pt>
                <c:pt idx="69">
                  <c:v>228826.92869581468</c:v>
                </c:pt>
                <c:pt idx="70">
                  <c:v>231630.84623497725</c:v>
                </c:pt>
                <c:pt idx="71">
                  <c:v>235410.62546700425</c:v>
                </c:pt>
                <c:pt idx="72">
                  <c:v>243207.89828796498</c:v>
                </c:pt>
                <c:pt idx="73">
                  <c:v>256871.73337644152</c:v>
                </c:pt>
                <c:pt idx="74">
                  <c:v>269627.8656511344</c:v>
                </c:pt>
                <c:pt idx="75">
                  <c:v>284927.88106740452</c:v>
                </c:pt>
                <c:pt idx="76">
                  <c:v>298213.43016004004</c:v>
                </c:pt>
                <c:pt idx="77">
                  <c:v>312965.82041515037</c:v>
                </c:pt>
                <c:pt idx="78">
                  <c:v>328897.2795609124</c:v>
                </c:pt>
                <c:pt idx="79">
                  <c:v>346008.95692045987</c:v>
                </c:pt>
                <c:pt idx="80">
                  <c:v>360552.30145784281</c:v>
                </c:pt>
                <c:pt idx="81">
                  <c:v>375756.30526040867</c:v>
                </c:pt>
                <c:pt idx="82">
                  <c:v>392437.46549613215</c:v>
                </c:pt>
                <c:pt idx="83">
                  <c:v>409583.36693424918</c:v>
                </c:pt>
                <c:pt idx="84">
                  <c:v>432075.41677618586</c:v>
                </c:pt>
                <c:pt idx="85">
                  <c:v>457213.93810031377</c:v>
                </c:pt>
                <c:pt idx="86">
                  <c:v>481412.47589043528</c:v>
                </c:pt>
                <c:pt idx="87">
                  <c:v>507468.50276435167</c:v>
                </c:pt>
                <c:pt idx="88">
                  <c:v>536944.13196533546</c:v>
                </c:pt>
                <c:pt idx="89">
                  <c:v>570667.57982819527</c:v>
                </c:pt>
                <c:pt idx="90">
                  <c:v>605264.43214938417</c:v>
                </c:pt>
                <c:pt idx="91">
                  <c:v>639571.29848069139</c:v>
                </c:pt>
                <c:pt idx="92">
                  <c:v>677200.82149111852</c:v>
                </c:pt>
                <c:pt idx="93">
                  <c:v>712821.07651968673</c:v>
                </c:pt>
                <c:pt idx="94">
                  <c:v>749536.02223835513</c:v>
                </c:pt>
                <c:pt idx="95">
                  <c:v>789335.06319660693</c:v>
                </c:pt>
                <c:pt idx="96">
                  <c:v>823826.37098883092</c:v>
                </c:pt>
                <c:pt idx="97">
                  <c:v>848652.77370503545</c:v>
                </c:pt>
                <c:pt idx="98">
                  <c:v>888144.00472879782</c:v>
                </c:pt>
                <c:pt idx="99">
                  <c:v>909405.25156303123</c:v>
                </c:pt>
                <c:pt idx="100">
                  <c:v>936302.28135056421</c:v>
                </c:pt>
                <c:pt idx="101">
                  <c:v>964851.49637861177</c:v>
                </c:pt>
                <c:pt idx="102">
                  <c:v>988177.67841529101</c:v>
                </c:pt>
                <c:pt idx="103">
                  <c:v>1002420.9287791103</c:v>
                </c:pt>
                <c:pt idx="104">
                  <c:v>1017113.1617637537</c:v>
                </c:pt>
                <c:pt idx="105">
                  <c:v>1030014.5923820846</c:v>
                </c:pt>
                <c:pt idx="106">
                  <c:v>1040934.2492170744</c:v>
                </c:pt>
                <c:pt idx="107">
                  <c:v>1051460.2357332483</c:v>
                </c:pt>
                <c:pt idx="108">
                  <c:v>1059818.9886036031</c:v>
                </c:pt>
                <c:pt idx="109">
                  <c:v>1069549.2814181671</c:v>
                </c:pt>
                <c:pt idx="110">
                  <c:v>1076660.1243261322</c:v>
                </c:pt>
                <c:pt idx="111">
                  <c:v>1083749.7000825703</c:v>
                </c:pt>
                <c:pt idx="112">
                  <c:v>1086702.9340669364</c:v>
                </c:pt>
                <c:pt idx="113">
                  <c:v>1085764.5900848508</c:v>
                </c:pt>
                <c:pt idx="114">
                  <c:v>1079095.7572330907</c:v>
                </c:pt>
                <c:pt idx="115">
                  <c:v>1072128.081152752</c:v>
                </c:pt>
                <c:pt idx="116">
                  <c:v>1062173.4842488244</c:v>
                </c:pt>
                <c:pt idx="117">
                  <c:v>1049847.3160018921</c:v>
                </c:pt>
                <c:pt idx="118">
                  <c:v>1034974.5294413269</c:v>
                </c:pt>
                <c:pt idx="119">
                  <c:v>1017732.5608182997</c:v>
                </c:pt>
                <c:pt idx="120">
                  <c:v>991501.66467176378</c:v>
                </c:pt>
                <c:pt idx="121">
                  <c:v>965184.05907183141</c:v>
                </c:pt>
                <c:pt idx="122">
                  <c:v>936681.67402496189</c:v>
                </c:pt>
                <c:pt idx="123">
                  <c:v>903412.19932979345</c:v>
                </c:pt>
                <c:pt idx="124">
                  <c:v>868223.53862259537</c:v>
                </c:pt>
                <c:pt idx="125">
                  <c:v>831787.93501200527</c:v>
                </c:pt>
                <c:pt idx="126">
                  <c:v>794364.54598707706</c:v>
                </c:pt>
                <c:pt idx="127">
                  <c:v>754917.44629409909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77-44EF-9A2E-5E5E43F499C8}"/>
            </c:ext>
          </c:extLst>
        </c:ser>
        <c:ser>
          <c:idx val="0"/>
          <c:order val="2"/>
          <c:tx>
            <c:v>outflows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'model output'!$E$3:$E$130</c:f>
              <c:numCache>
                <c:formatCode>General</c:formatCode>
                <c:ptCount val="128"/>
                <c:pt idx="0">
                  <c:v>1878</c:v>
                </c:pt>
                <c:pt idx="1">
                  <c:v>1879</c:v>
                </c:pt>
                <c:pt idx="2">
                  <c:v>1880</c:v>
                </c:pt>
                <c:pt idx="3">
                  <c:v>1881</c:v>
                </c:pt>
                <c:pt idx="4">
                  <c:v>1882</c:v>
                </c:pt>
                <c:pt idx="5">
                  <c:v>1883</c:v>
                </c:pt>
                <c:pt idx="6">
                  <c:v>1884</c:v>
                </c:pt>
                <c:pt idx="7">
                  <c:v>1885</c:v>
                </c:pt>
                <c:pt idx="8">
                  <c:v>1886</c:v>
                </c:pt>
                <c:pt idx="9">
                  <c:v>1887</c:v>
                </c:pt>
                <c:pt idx="10">
                  <c:v>1888</c:v>
                </c:pt>
                <c:pt idx="11">
                  <c:v>1889</c:v>
                </c:pt>
                <c:pt idx="12">
                  <c:v>1890</c:v>
                </c:pt>
                <c:pt idx="13">
                  <c:v>1891</c:v>
                </c:pt>
                <c:pt idx="14">
                  <c:v>1892</c:v>
                </c:pt>
                <c:pt idx="15">
                  <c:v>1893</c:v>
                </c:pt>
                <c:pt idx="16">
                  <c:v>1894</c:v>
                </c:pt>
                <c:pt idx="17">
                  <c:v>1895</c:v>
                </c:pt>
                <c:pt idx="18">
                  <c:v>1896</c:v>
                </c:pt>
                <c:pt idx="19">
                  <c:v>1897</c:v>
                </c:pt>
                <c:pt idx="20">
                  <c:v>1898</c:v>
                </c:pt>
                <c:pt idx="21">
                  <c:v>1899</c:v>
                </c:pt>
                <c:pt idx="22">
                  <c:v>1900</c:v>
                </c:pt>
                <c:pt idx="23">
                  <c:v>1901</c:v>
                </c:pt>
                <c:pt idx="24">
                  <c:v>1902</c:v>
                </c:pt>
                <c:pt idx="25">
                  <c:v>1903</c:v>
                </c:pt>
                <c:pt idx="26">
                  <c:v>1904</c:v>
                </c:pt>
                <c:pt idx="27">
                  <c:v>1905</c:v>
                </c:pt>
                <c:pt idx="28">
                  <c:v>1906</c:v>
                </c:pt>
                <c:pt idx="29">
                  <c:v>1907</c:v>
                </c:pt>
                <c:pt idx="30">
                  <c:v>1908</c:v>
                </c:pt>
                <c:pt idx="31">
                  <c:v>1909</c:v>
                </c:pt>
                <c:pt idx="32">
                  <c:v>1910</c:v>
                </c:pt>
                <c:pt idx="33">
                  <c:v>1911</c:v>
                </c:pt>
                <c:pt idx="34">
                  <c:v>1912</c:v>
                </c:pt>
                <c:pt idx="35">
                  <c:v>1913</c:v>
                </c:pt>
                <c:pt idx="36">
                  <c:v>1914</c:v>
                </c:pt>
                <c:pt idx="37">
                  <c:v>1915</c:v>
                </c:pt>
                <c:pt idx="38">
                  <c:v>1916</c:v>
                </c:pt>
                <c:pt idx="39">
                  <c:v>1917</c:v>
                </c:pt>
                <c:pt idx="40">
                  <c:v>1918</c:v>
                </c:pt>
                <c:pt idx="41">
                  <c:v>1919</c:v>
                </c:pt>
                <c:pt idx="42">
                  <c:v>1920</c:v>
                </c:pt>
                <c:pt idx="43">
                  <c:v>1921</c:v>
                </c:pt>
                <c:pt idx="44">
                  <c:v>1922</c:v>
                </c:pt>
                <c:pt idx="45">
                  <c:v>1923</c:v>
                </c:pt>
                <c:pt idx="46">
                  <c:v>1924</c:v>
                </c:pt>
                <c:pt idx="47">
                  <c:v>1925</c:v>
                </c:pt>
                <c:pt idx="48">
                  <c:v>1926</c:v>
                </c:pt>
                <c:pt idx="49">
                  <c:v>1927</c:v>
                </c:pt>
                <c:pt idx="50">
                  <c:v>1928</c:v>
                </c:pt>
                <c:pt idx="51">
                  <c:v>1929</c:v>
                </c:pt>
                <c:pt idx="52">
                  <c:v>1930</c:v>
                </c:pt>
                <c:pt idx="53">
                  <c:v>1931</c:v>
                </c:pt>
                <c:pt idx="54">
                  <c:v>1932</c:v>
                </c:pt>
                <c:pt idx="55">
                  <c:v>1933</c:v>
                </c:pt>
                <c:pt idx="56">
                  <c:v>1934</c:v>
                </c:pt>
                <c:pt idx="57">
                  <c:v>1935</c:v>
                </c:pt>
                <c:pt idx="58">
                  <c:v>1936</c:v>
                </c:pt>
                <c:pt idx="59">
                  <c:v>1937</c:v>
                </c:pt>
                <c:pt idx="60">
                  <c:v>1938</c:v>
                </c:pt>
                <c:pt idx="61">
                  <c:v>1939</c:v>
                </c:pt>
                <c:pt idx="62">
                  <c:v>1940</c:v>
                </c:pt>
                <c:pt idx="63">
                  <c:v>1941</c:v>
                </c:pt>
                <c:pt idx="64">
                  <c:v>1942</c:v>
                </c:pt>
                <c:pt idx="65">
                  <c:v>1943</c:v>
                </c:pt>
                <c:pt idx="66">
                  <c:v>1944</c:v>
                </c:pt>
                <c:pt idx="67">
                  <c:v>1945</c:v>
                </c:pt>
                <c:pt idx="68">
                  <c:v>1946</c:v>
                </c:pt>
                <c:pt idx="69">
                  <c:v>1947</c:v>
                </c:pt>
                <c:pt idx="70">
                  <c:v>1948</c:v>
                </c:pt>
                <c:pt idx="71">
                  <c:v>1949</c:v>
                </c:pt>
                <c:pt idx="72">
                  <c:v>1950</c:v>
                </c:pt>
                <c:pt idx="73">
                  <c:v>1951</c:v>
                </c:pt>
                <c:pt idx="74">
                  <c:v>1952</c:v>
                </c:pt>
                <c:pt idx="75">
                  <c:v>1953</c:v>
                </c:pt>
                <c:pt idx="76">
                  <c:v>1954</c:v>
                </c:pt>
                <c:pt idx="77">
                  <c:v>1955</c:v>
                </c:pt>
                <c:pt idx="78">
                  <c:v>1956</c:v>
                </c:pt>
                <c:pt idx="79">
                  <c:v>1957</c:v>
                </c:pt>
                <c:pt idx="80">
                  <c:v>1958</c:v>
                </c:pt>
                <c:pt idx="81">
                  <c:v>1959</c:v>
                </c:pt>
                <c:pt idx="82">
                  <c:v>1960</c:v>
                </c:pt>
                <c:pt idx="83">
                  <c:v>1961</c:v>
                </c:pt>
                <c:pt idx="84">
                  <c:v>1962</c:v>
                </c:pt>
                <c:pt idx="85">
                  <c:v>1963</c:v>
                </c:pt>
                <c:pt idx="86">
                  <c:v>1964</c:v>
                </c:pt>
                <c:pt idx="87">
                  <c:v>1965</c:v>
                </c:pt>
                <c:pt idx="88">
                  <c:v>1966</c:v>
                </c:pt>
                <c:pt idx="89">
                  <c:v>1967</c:v>
                </c:pt>
                <c:pt idx="90">
                  <c:v>1968</c:v>
                </c:pt>
                <c:pt idx="91">
                  <c:v>1969</c:v>
                </c:pt>
                <c:pt idx="92">
                  <c:v>1970</c:v>
                </c:pt>
                <c:pt idx="93">
                  <c:v>1971</c:v>
                </c:pt>
                <c:pt idx="94">
                  <c:v>1972</c:v>
                </c:pt>
                <c:pt idx="95">
                  <c:v>1973</c:v>
                </c:pt>
                <c:pt idx="96">
                  <c:v>1974</c:v>
                </c:pt>
                <c:pt idx="97">
                  <c:v>1975</c:v>
                </c:pt>
                <c:pt idx="98">
                  <c:v>1976</c:v>
                </c:pt>
                <c:pt idx="99">
                  <c:v>1977</c:v>
                </c:pt>
                <c:pt idx="100">
                  <c:v>1978</c:v>
                </c:pt>
                <c:pt idx="101">
                  <c:v>1979</c:v>
                </c:pt>
                <c:pt idx="102">
                  <c:v>1980</c:v>
                </c:pt>
                <c:pt idx="103">
                  <c:v>1981</c:v>
                </c:pt>
                <c:pt idx="104">
                  <c:v>1982</c:v>
                </c:pt>
                <c:pt idx="105">
                  <c:v>1983</c:v>
                </c:pt>
                <c:pt idx="106">
                  <c:v>1984</c:v>
                </c:pt>
                <c:pt idx="107">
                  <c:v>1985</c:v>
                </c:pt>
                <c:pt idx="108">
                  <c:v>1986</c:v>
                </c:pt>
                <c:pt idx="109">
                  <c:v>1987</c:v>
                </c:pt>
                <c:pt idx="110">
                  <c:v>1988</c:v>
                </c:pt>
                <c:pt idx="111">
                  <c:v>1989</c:v>
                </c:pt>
                <c:pt idx="112">
                  <c:v>1990</c:v>
                </c:pt>
                <c:pt idx="113">
                  <c:v>1991</c:v>
                </c:pt>
                <c:pt idx="114">
                  <c:v>1992</c:v>
                </c:pt>
                <c:pt idx="115">
                  <c:v>1993</c:v>
                </c:pt>
                <c:pt idx="116">
                  <c:v>1994</c:v>
                </c:pt>
                <c:pt idx="117">
                  <c:v>1995</c:v>
                </c:pt>
                <c:pt idx="118">
                  <c:v>1996</c:v>
                </c:pt>
                <c:pt idx="119">
                  <c:v>1997</c:v>
                </c:pt>
                <c:pt idx="120">
                  <c:v>1998</c:v>
                </c:pt>
                <c:pt idx="121">
                  <c:v>1999</c:v>
                </c:pt>
                <c:pt idx="122">
                  <c:v>2000</c:v>
                </c:pt>
                <c:pt idx="123">
                  <c:v>2001</c:v>
                </c:pt>
                <c:pt idx="124">
                  <c:v>2002</c:v>
                </c:pt>
                <c:pt idx="125">
                  <c:v>2003</c:v>
                </c:pt>
                <c:pt idx="126">
                  <c:v>2004</c:v>
                </c:pt>
                <c:pt idx="127">
                  <c:v>2005</c:v>
                </c:pt>
              </c:numCache>
            </c:numRef>
          </c:cat>
          <c:val>
            <c:numRef>
              <c:f>'model output'!$A$3:$A$130</c:f>
              <c:numCache>
                <c:formatCode>0</c:formatCode>
                <c:ptCount val="128"/>
                <c:pt idx="0">
                  <c:v>4.3879058670227096</c:v>
                </c:pt>
                <c:pt idx="1">
                  <c:v>10.020779342174137</c:v>
                </c:pt>
                <c:pt idx="2">
                  <c:v>17.190784281341621</c:v>
                </c:pt>
                <c:pt idx="3">
                  <c:v>26.280280260449217</c:v>
                </c:pt>
                <c:pt idx="4">
                  <c:v>37.731628482302767</c:v>
                </c:pt>
                <c:pt idx="5">
                  <c:v>52.077995774332521</c:v>
                </c:pt>
                <c:pt idx="6">
                  <c:v>69.960918690147082</c:v>
                </c:pt>
                <c:pt idx="7">
                  <c:v>92.123314269188995</c:v>
                </c:pt>
                <c:pt idx="8">
                  <c:v>119.42617101477663</c:v>
                </c:pt>
                <c:pt idx="9">
                  <c:v>152.87795162964903</c:v>
                </c:pt>
                <c:pt idx="10">
                  <c:v>193.67262622752605</c:v>
                </c:pt>
                <c:pt idx="11">
                  <c:v>243.17946864320402</c:v>
                </c:pt>
                <c:pt idx="12">
                  <c:v>302.94813537722803</c:v>
                </c:pt>
                <c:pt idx="13">
                  <c:v>374.72891253683338</c:v>
                </c:pt>
                <c:pt idx="14">
                  <c:v>460.49145801184932</c:v>
                </c:pt>
                <c:pt idx="15">
                  <c:v>562.46090307059058</c:v>
                </c:pt>
                <c:pt idx="16">
                  <c:v>683.09137905261014</c:v>
                </c:pt>
                <c:pt idx="17">
                  <c:v>825.1137487465603</c:v>
                </c:pt>
                <c:pt idx="18">
                  <c:v>991.50807106643333</c:v>
                </c:pt>
                <c:pt idx="19">
                  <c:v>1185.5094257808087</c:v>
                </c:pt>
                <c:pt idx="20">
                  <c:v>1410.6211296928377</c:v>
                </c:pt>
                <c:pt idx="21">
                  <c:v>1670.5908950042212</c:v>
                </c:pt>
                <c:pt idx="22">
                  <c:v>1969.3882263091946</c:v>
                </c:pt>
                <c:pt idx="23">
                  <c:v>2311.667865772295</c:v>
                </c:pt>
                <c:pt idx="24">
                  <c:v>2702.4933235743083</c:v>
                </c:pt>
                <c:pt idx="25">
                  <c:v>3145.6133020523994</c:v>
                </c:pt>
                <c:pt idx="26">
                  <c:v>3644.6053322955413</c:v>
                </c:pt>
                <c:pt idx="27">
                  <c:v>4205.6311599011533</c:v>
                </c:pt>
                <c:pt idx="28">
                  <c:v>4832.7626106266398</c:v>
                </c:pt>
                <c:pt idx="29">
                  <c:v>5534.2594579800207</c:v>
                </c:pt>
                <c:pt idx="30">
                  <c:v>6310.1980631402112</c:v>
                </c:pt>
                <c:pt idx="31">
                  <c:v>7166.4508279221918</c:v>
                </c:pt>
                <c:pt idx="32">
                  <c:v>8108.2969296938536</c:v>
                </c:pt>
                <c:pt idx="33">
                  <c:v>9140.0775292577164</c:v>
                </c:pt>
                <c:pt idx="34">
                  <c:v>10263.839809085359</c:v>
                </c:pt>
                <c:pt idx="35">
                  <c:v>11484.31559786461</c:v>
                </c:pt>
                <c:pt idx="36">
                  <c:v>12804.018875269918</c:v>
                </c:pt>
                <c:pt idx="37">
                  <c:v>14227.226655150938</c:v>
                </c:pt>
                <c:pt idx="38">
                  <c:v>15756.400645707501</c:v>
                </c:pt>
                <c:pt idx="39">
                  <c:v>17392.379244816751</c:v>
                </c:pt>
                <c:pt idx="40">
                  <c:v>19138.349943379348</c:v>
                </c:pt>
                <c:pt idx="41">
                  <c:v>20993.65197809253</c:v>
                </c:pt>
                <c:pt idx="42">
                  <c:v>22956.958248669252</c:v>
                </c:pt>
                <c:pt idx="43">
                  <c:v>25029.373240382498</c:v>
                </c:pt>
                <c:pt idx="44">
                  <c:v>27209.394373379357</c:v>
                </c:pt>
                <c:pt idx="45">
                  <c:v>29497.023399188445</c:v>
                </c:pt>
                <c:pt idx="46">
                  <c:v>31888.474747458764</c:v>
                </c:pt>
                <c:pt idx="47">
                  <c:v>34380.858602922148</c:v>
                </c:pt>
                <c:pt idx="48">
                  <c:v>36973.008655466576</c:v>
                </c:pt>
                <c:pt idx="49">
                  <c:v>39661.115842889907</c:v>
                </c:pt>
                <c:pt idx="50">
                  <c:v>42442.085918861325</c:v>
                </c:pt>
                <c:pt idx="51">
                  <c:v>45311.328378949373</c:v>
                </c:pt>
                <c:pt idx="52">
                  <c:v>48263.743970136537</c:v>
                </c:pt>
                <c:pt idx="53">
                  <c:v>51296.123843614507</c:v>
                </c:pt>
                <c:pt idx="54">
                  <c:v>54404.068429785344</c:v>
                </c:pt>
                <c:pt idx="55">
                  <c:v>57583.959423309134</c:v>
                </c:pt>
                <c:pt idx="56">
                  <c:v>60831.519504818949</c:v>
                </c:pt>
                <c:pt idx="57">
                  <c:v>64142.207803128869</c:v>
                </c:pt>
                <c:pt idx="58">
                  <c:v>67512.943745675322</c:v>
                </c:pt>
                <c:pt idx="59">
                  <c:v>70940.273257857712</c:v>
                </c:pt>
                <c:pt idx="60">
                  <c:v>74421.433170372446</c:v>
                </c:pt>
                <c:pt idx="61">
                  <c:v>77955.610617016413</c:v>
                </c:pt>
                <c:pt idx="62">
                  <c:v>81537.153751673177</c:v>
                </c:pt>
                <c:pt idx="63">
                  <c:v>85166.013431576197</c:v>
                </c:pt>
                <c:pt idx="64">
                  <c:v>88834.635337299842</c:v>
                </c:pt>
                <c:pt idx="65">
                  <c:v>92552.400169559289</c:v>
                </c:pt>
                <c:pt idx="66">
                  <c:v>96311.439357540279</c:v>
                </c:pt>
                <c:pt idx="67">
                  <c:v>100099.81185444497</c:v>
                </c:pt>
                <c:pt idx="68">
                  <c:v>103930.32838913437</c:v>
                </c:pt>
                <c:pt idx="69">
                  <c:v>107803.01616619556</c:v>
                </c:pt>
                <c:pt idx="70">
                  <c:v>111718.82365101069</c:v>
                </c:pt>
                <c:pt idx="71">
                  <c:v>115680.16480326658</c:v>
                </c:pt>
                <c:pt idx="72">
                  <c:v>119693.72287547146</c:v>
                </c:pt>
                <c:pt idx="73">
                  <c:v>123766.2720374217</c:v>
                </c:pt>
                <c:pt idx="74">
                  <c:v>127894.45677362051</c:v>
                </c:pt>
                <c:pt idx="75">
                  <c:v>132087.26539055101</c:v>
                </c:pt>
                <c:pt idx="76">
                  <c:v>136344.664439541</c:v>
                </c:pt>
                <c:pt idx="77">
                  <c:v>140676.58928691951</c:v>
                </c:pt>
                <c:pt idx="78">
                  <c:v>145089.59719248512</c:v>
                </c:pt>
                <c:pt idx="79">
                  <c:v>149591.21320398455</c:v>
                </c:pt>
                <c:pt idx="80">
                  <c:v>154184.56025231211</c:v>
                </c:pt>
                <c:pt idx="81">
                  <c:v>158881.46412888647</c:v>
                </c:pt>
                <c:pt idx="82">
                  <c:v>163692.02947780502</c:v>
                </c:pt>
                <c:pt idx="83">
                  <c:v>168624.76154920331</c:v>
                </c:pt>
                <c:pt idx="84">
                  <c:v>173696.38830100407</c:v>
                </c:pt>
                <c:pt idx="85">
                  <c:v>178915.76152258366</c:v>
                </c:pt>
                <c:pt idx="86">
                  <c:v>184290.51401363243</c:v>
                </c:pt>
                <c:pt idx="87">
                  <c:v>189836.39490648615</c:v>
                </c:pt>
                <c:pt idx="88">
                  <c:v>195569.07524754875</c:v>
                </c:pt>
                <c:pt idx="89">
                  <c:v>201504.61040252761</c:v>
                </c:pt>
                <c:pt idx="90">
                  <c:v>207654.66110841674</c:v>
                </c:pt>
                <c:pt idx="91">
                  <c:v>214033.7456405866</c:v>
                </c:pt>
                <c:pt idx="92">
                  <c:v>220663.32504842081</c:v>
                </c:pt>
                <c:pt idx="93">
                  <c:v>227554.98281019321</c:v>
                </c:pt>
                <c:pt idx="94">
                  <c:v>234730.93868646247</c:v>
                </c:pt>
                <c:pt idx="95">
                  <c:v>242213.89560457144</c:v>
                </c:pt>
                <c:pt idx="96">
                  <c:v>250014.38139941869</c:v>
                </c:pt>
                <c:pt idx="97">
                  <c:v>258146.58906687074</c:v>
                </c:pt>
                <c:pt idx="98">
                  <c:v>266662.51893876167</c:v>
                </c:pt>
                <c:pt idx="99">
                  <c:v>275546.08298334875</c:v>
                </c:pt>
                <c:pt idx="100">
                  <c:v>284847.85380841163</c:v>
                </c:pt>
                <c:pt idx="101">
                  <c:v>294589.10564885521</c:v>
                </c:pt>
                <c:pt idx="102">
                  <c:v>304786.9650676474</c:v>
                </c:pt>
                <c:pt idx="103">
                  <c:v>315460.96014455566</c:v>
                </c:pt>
                <c:pt idx="104">
                  <c:v>326647.4682110562</c:v>
                </c:pt>
                <c:pt idx="105">
                  <c:v>338370.12302784086</c:v>
                </c:pt>
                <c:pt idx="106">
                  <c:v>350654.63433097047</c:v>
                </c:pt>
                <c:pt idx="107">
                  <c:v>363528.77121517784</c:v>
                </c:pt>
                <c:pt idx="108">
                  <c:v>377015.77876977925</c:v>
                </c:pt>
                <c:pt idx="109">
                  <c:v>391144.67665326642</c:v>
                </c:pt>
                <c:pt idx="110">
                  <c:v>405934.40494062565</c:v>
                </c:pt>
                <c:pt idx="111">
                  <c:v>421410.04976677266</c:v>
                </c:pt>
                <c:pt idx="112">
                  <c:v>437586.62988082529</c:v>
                </c:pt>
                <c:pt idx="113">
                  <c:v>454481.38626204361</c:v>
                </c:pt>
                <c:pt idx="114">
                  <c:v>472105.95180151775</c:v>
                </c:pt>
                <c:pt idx="115">
                  <c:v>490477.79345685546</c:v>
                </c:pt>
                <c:pt idx="116">
                  <c:v>509601.51234174147</c:v>
                </c:pt>
                <c:pt idx="117">
                  <c:v>529481.28045802563</c:v>
                </c:pt>
                <c:pt idx="118">
                  <c:v>550115.93834948819</c:v>
                </c:pt>
                <c:pt idx="119">
                  <c:v>571499.92905669147</c:v>
                </c:pt>
                <c:pt idx="120">
                  <c:v>593613.42512535048</c:v>
                </c:pt>
                <c:pt idx="121">
                  <c:v>616449.69500586274</c:v>
                </c:pt>
                <c:pt idx="122">
                  <c:v>639984.21714505274</c:v>
                </c:pt>
                <c:pt idx="123">
                  <c:v>664185.31327052461</c:v>
                </c:pt>
                <c:pt idx="124">
                  <c:v>689021.69711989909</c:v>
                </c:pt>
                <c:pt idx="125">
                  <c:v>714453.9478856537</c:v>
                </c:pt>
                <c:pt idx="126">
                  <c:v>740436.32936429698</c:v>
                </c:pt>
                <c:pt idx="127">
                  <c:v>766915.61517505092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FC-42D2-B07A-82703394A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7362944"/>
        <c:axId val="747353432"/>
      </c:lineChart>
      <c:catAx>
        <c:axId val="74736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353432"/>
        <c:crosses val="autoZero"/>
        <c:auto val="1"/>
        <c:lblAlgn val="ctr"/>
        <c:lblOffset val="100"/>
        <c:noMultiLvlLbl val="0"/>
      </c:catAx>
      <c:valAx>
        <c:axId val="747353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36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999843477973101E-2"/>
          <c:y val="0.68095559309690246"/>
          <c:w val="0.89999986583826264"/>
          <c:h val="0.3190444069030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6350</xdr:colOff>
      <xdr:row>17</xdr:row>
      <xdr:rowOff>0</xdr:rowOff>
    </xdr:from>
    <xdr:ext cx="3254994" cy="49391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9CB32CB-6D35-4763-BCAA-AA760F06EAB5}"/>
                </a:ext>
              </a:extLst>
            </xdr:cNvPr>
            <xdr:cNvSpPr txBox="1"/>
          </xdr:nvSpPr>
          <xdr:spPr>
            <a:xfrm>
              <a:off x="615950" y="3130550"/>
              <a:ext cx="3254994" cy="4939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accent3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𝒔𝒕𝒐𝒄𝒌</m:t>
                    </m:r>
                    <m:d>
                      <m:d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b="1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𝒕</m:t>
                        </m:r>
                      </m:e>
                    </m:d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limLoc m:val="undOvr"/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𝜏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=</m:t>
                        </m:r>
                        <m:sSub>
                          <m:sSub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𝒕</m:t>
                        </m:r>
                      </m:sup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1" i="1">
                                <a:solidFill>
                                  <a:schemeClr val="accent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𝒊𝒏𝒇𝒍𝒐𝒘</m:t>
                            </m:r>
                            <m:d>
                              <m:dPr>
                                <m:ctrlP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𝜏</m:t>
                                </m:r>
                              </m:e>
                            </m:d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×</m:t>
                            </m:r>
                            <m:d>
                              <m:dPr>
                                <m:ctrlP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b="1" i="1">
                                    <a:solidFill>
                                      <a:schemeClr val="accent2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𝒔𝒖𝒓𝒗𝒊𝒗𝒂𝒍</m:t>
                                </m:r>
                                <m:d>
                                  <m:dPr>
                                    <m:ctrlP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n-US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𝒕</m:t>
                                    </m:r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− </m:t>
                                    </m:r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𝜏</m:t>
                                    </m:r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, </m:t>
                                    </m:r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𝑎</m:t>
                                    </m:r>
                                  </m:e>
                                </m:d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 </m:t>
                                </m:r>
                              </m:e>
                            </m:d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 </m:t>
                            </m:r>
                          </m:e>
                        </m:d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9CB32CB-6D35-4763-BCAA-AA760F06EAB5}"/>
                </a:ext>
              </a:extLst>
            </xdr:cNvPr>
            <xdr:cNvSpPr txBox="1"/>
          </xdr:nvSpPr>
          <xdr:spPr>
            <a:xfrm>
              <a:off x="615950" y="3130550"/>
              <a:ext cx="3254994" cy="4939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rPr>
                <a:t>𝒔𝒕𝒐𝒄𝒌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1" i="0">
                  <a:solidFill>
                    <a:schemeClr val="bg1">
                      <a:lumMod val="50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𝒕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=∑1_(𝜏=𝑡_0)^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𝒕▒[</a:t>
              </a:r>
              <a:r>
                <a:rPr lang="en-US" sz="1100" b="1" i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rPr>
                <a:t>𝒊𝒏𝒇𝒍𝒐𝒘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𝜏)×(</a:t>
              </a:r>
              <a:r>
                <a:rPr lang="en-US" sz="1100" b="1" i="0">
                  <a:solidFill>
                    <a:schemeClr val="accent2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𝒔𝒖𝒓𝒗𝒊𝒗𝒂𝒍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(𝒕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 𝜏,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  ] 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136525</xdr:colOff>
      <xdr:row>6</xdr:row>
      <xdr:rowOff>79375</xdr:rowOff>
    </xdr:from>
    <xdr:to>
      <xdr:col>7</xdr:col>
      <xdr:colOff>914400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0D4164-E6E6-498A-8943-4595B3BCA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136525</xdr:colOff>
      <xdr:row>14</xdr:row>
      <xdr:rowOff>117475</xdr:rowOff>
    </xdr:from>
    <xdr:to>
      <xdr:col>7</xdr:col>
      <xdr:colOff>914400</xdr:colOff>
      <xdr:row>22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235D57-8D2F-4349-A79D-6F4FA89D3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509512</xdr:colOff>
      <xdr:row>14</xdr:row>
      <xdr:rowOff>88900</xdr:rowOff>
    </xdr:from>
    <xdr:to>
      <xdr:col>17</xdr:col>
      <xdr:colOff>27214</xdr:colOff>
      <xdr:row>27</xdr:row>
      <xdr:rowOff>18142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305D90-C07D-4E48-AA9D-8F87C810B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104322</xdr:colOff>
      <xdr:row>10</xdr:row>
      <xdr:rowOff>143329</xdr:rowOff>
    </xdr:from>
    <xdr:to>
      <xdr:col>9</xdr:col>
      <xdr:colOff>417285</xdr:colOff>
      <xdr:row>19</xdr:row>
      <xdr:rowOff>18143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57682D-5D09-408A-A203-BC6A79DE8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95251</xdr:colOff>
      <xdr:row>19</xdr:row>
      <xdr:rowOff>107043</xdr:rowOff>
    </xdr:from>
    <xdr:to>
      <xdr:col>9</xdr:col>
      <xdr:colOff>408214</xdr:colOff>
      <xdr:row>30</xdr:row>
      <xdr:rowOff>18143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14882D-DBDB-4C67-822C-012489A9C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ARIMA 2016">
      <a:dk1>
        <a:srgbClr val="2F2B20"/>
      </a:dk1>
      <a:lt1>
        <a:srgbClr val="FFFFFF"/>
      </a:lt1>
      <a:dk2>
        <a:srgbClr val="675E47"/>
      </a:dk2>
      <a:lt2>
        <a:srgbClr val="DFDCB7"/>
      </a:lt2>
      <a:accent1>
        <a:srgbClr val="2A8596"/>
      </a:accent1>
      <a:accent2>
        <a:srgbClr val="722299"/>
      </a:accent2>
      <a:accent3>
        <a:srgbClr val="D19F37"/>
      </a:accent3>
      <a:accent4>
        <a:srgbClr val="DC322F"/>
      </a:accent4>
      <a:accent5>
        <a:srgbClr val="C0C7C7"/>
      </a:accent5>
      <a:accent6>
        <a:srgbClr val="B1A089"/>
      </a:accent6>
      <a:hlink>
        <a:srgbClr val="D25814"/>
      </a:hlink>
      <a:folHlink>
        <a:srgbClr val="849A0A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tomer.fishman@idc.ac.il" TargetMode="External"/><Relationship Id="rId1" Type="http://schemas.openxmlformats.org/officeDocument/2006/relationships/hyperlink" Target="https://github.com/TomerFishman/RAPID-MF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71664-1A98-4E95-BDD4-F68C4549F6AD}">
  <dimension ref="A1:D42"/>
  <sheetViews>
    <sheetView tabSelected="1" workbookViewId="0">
      <selection activeCell="A31" sqref="A31"/>
    </sheetView>
    <sheetView workbookViewId="1"/>
  </sheetViews>
  <sheetFormatPr defaultRowHeight="14.5"/>
  <sheetData>
    <row r="1" spans="1:4">
      <c r="A1" s="1" t="s">
        <v>16</v>
      </c>
    </row>
    <row r="2" spans="1:4">
      <c r="A2" t="s">
        <v>47</v>
      </c>
    </row>
    <row r="3" spans="1:4">
      <c r="A3" t="s">
        <v>45</v>
      </c>
    </row>
    <row r="4" spans="1:4">
      <c r="A4" s="30" t="s">
        <v>46</v>
      </c>
    </row>
    <row r="5" spans="1:4">
      <c r="A5" t="s">
        <v>58</v>
      </c>
    </row>
    <row r="6" spans="1:4">
      <c r="A6" s="30" t="s">
        <v>44</v>
      </c>
    </row>
    <row r="7" spans="1:4">
      <c r="A7" t="s">
        <v>59</v>
      </c>
    </row>
    <row r="8" spans="1:4">
      <c r="A8" t="s">
        <v>60</v>
      </c>
    </row>
    <row r="10" spans="1:4">
      <c r="A10" s="1" t="s">
        <v>48</v>
      </c>
    </row>
    <row r="11" spans="1:4">
      <c r="A11" t="s">
        <v>19</v>
      </c>
    </row>
    <row r="12" spans="1:4">
      <c r="B12" s="16" t="s">
        <v>15</v>
      </c>
      <c r="C12" s="22" t="s">
        <v>49</v>
      </c>
      <c r="D12" s="17" t="s">
        <v>0</v>
      </c>
    </row>
    <row r="13" spans="1:4">
      <c r="A13" t="s">
        <v>51</v>
      </c>
      <c r="B13" s="15"/>
    </row>
    <row r="14" spans="1:4">
      <c r="B14" s="18" t="s">
        <v>17</v>
      </c>
    </row>
    <row r="15" spans="1:4">
      <c r="A15" t="s">
        <v>52</v>
      </c>
    </row>
    <row r="16" spans="1:4">
      <c r="B16" s="21" t="s">
        <v>54</v>
      </c>
      <c r="C16" s="19" t="s">
        <v>50</v>
      </c>
      <c r="D16" s="20" t="s">
        <v>18</v>
      </c>
    </row>
    <row r="17" spans="1:2">
      <c r="A17" t="s">
        <v>53</v>
      </c>
    </row>
    <row r="18" spans="1:2" ht="36.5" customHeight="1"/>
    <row r="20" spans="1:2">
      <c r="A20" s="1" t="s">
        <v>43</v>
      </c>
    </row>
    <row r="21" spans="1:2">
      <c r="A21" s="1" t="s">
        <v>21</v>
      </c>
    </row>
    <row r="22" spans="1:2">
      <c r="A22" t="s">
        <v>20</v>
      </c>
    </row>
    <row r="23" spans="1:2">
      <c r="A23" t="s">
        <v>25</v>
      </c>
    </row>
    <row r="24" spans="1:2">
      <c r="A24" t="s">
        <v>24</v>
      </c>
    </row>
    <row r="25" spans="1:2">
      <c r="A25" t="s">
        <v>23</v>
      </c>
    </row>
    <row r="26" spans="1:2">
      <c r="B26" t="s">
        <v>33</v>
      </c>
    </row>
    <row r="27" spans="1:2">
      <c r="B27" t="s">
        <v>34</v>
      </c>
    </row>
    <row r="28" spans="1:2">
      <c r="B28" t="s">
        <v>36</v>
      </c>
    </row>
    <row r="29" spans="1:2">
      <c r="B29" t="s">
        <v>35</v>
      </c>
    </row>
    <row r="30" spans="1:2">
      <c r="A30" s="1" t="s">
        <v>62</v>
      </c>
    </row>
    <row r="31" spans="1:2">
      <c r="A31" t="s">
        <v>55</v>
      </c>
    </row>
    <row r="32" spans="1:2">
      <c r="A32" t="s">
        <v>37</v>
      </c>
    </row>
    <row r="33" spans="1:1">
      <c r="A33" t="s">
        <v>61</v>
      </c>
    </row>
    <row r="34" spans="1:1">
      <c r="A34" t="s">
        <v>56</v>
      </c>
    </row>
    <row r="35" spans="1:1">
      <c r="A35" t="s">
        <v>57</v>
      </c>
    </row>
    <row r="36" spans="1:1">
      <c r="A36" s="1" t="s">
        <v>22</v>
      </c>
    </row>
    <row r="37" spans="1:1">
      <c r="A37" t="s">
        <v>40</v>
      </c>
    </row>
    <row r="38" spans="1:1">
      <c r="A38" t="s">
        <v>57</v>
      </c>
    </row>
    <row r="39" spans="1:1">
      <c r="A39" s="1" t="s">
        <v>38</v>
      </c>
    </row>
    <row r="40" spans="1:1">
      <c r="A40" t="s">
        <v>39</v>
      </c>
    </row>
    <row r="41" spans="1:1">
      <c r="A41" t="s">
        <v>41</v>
      </c>
    </row>
    <row r="42" spans="1:1">
      <c r="A42" t="s">
        <v>42</v>
      </c>
    </row>
  </sheetData>
  <hyperlinks>
    <hyperlink ref="A6" r:id="rId1" xr:uid="{9D4D6686-F695-4B2A-9047-88D9DA2925C6}"/>
    <hyperlink ref="A4" r:id="rId2" xr:uid="{BA159801-4F04-4C86-8299-B3AD4B4E829A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140F5-455C-4DC1-909E-17741F22E2DC}">
  <dimension ref="B1:J130"/>
  <sheetViews>
    <sheetView workbookViewId="0">
      <selection activeCell="A5" sqref="A5"/>
    </sheetView>
    <sheetView workbookViewId="1">
      <selection activeCell="I8" sqref="I8"/>
    </sheetView>
  </sheetViews>
  <sheetFormatPr defaultRowHeight="14.5"/>
  <cols>
    <col min="3" max="3" width="8.7265625" style="4"/>
    <col min="7" max="7" width="30" customWidth="1"/>
    <col min="8" max="8" width="20.54296875" customWidth="1"/>
    <col min="9" max="9" width="19.54296875" customWidth="1"/>
  </cols>
  <sheetData>
    <row r="1" spans="2:10">
      <c r="C1"/>
    </row>
    <row r="2" spans="2:10" ht="15" thickBot="1">
      <c r="B2" s="23" t="s">
        <v>32</v>
      </c>
      <c r="C2" s="24" t="s">
        <v>14</v>
      </c>
      <c r="D2" s="1" t="s">
        <v>4</v>
      </c>
      <c r="E2" s="25" t="s">
        <v>31</v>
      </c>
      <c r="H2" s="1" t="s">
        <v>30</v>
      </c>
    </row>
    <row r="3" spans="2:10" ht="15" thickBot="1">
      <c r="B3" s="8">
        <v>1878</v>
      </c>
      <c r="C3" s="9">
        <v>3250.546162900926</v>
      </c>
      <c r="D3">
        <v>0</v>
      </c>
      <c r="E3" s="13">
        <f>1-_xlfn.NORM.DIST(D3,$H$3,$I$3,TRUE)</f>
        <v>0.9986501019683699</v>
      </c>
      <c r="H3" s="29">
        <v>40</v>
      </c>
      <c r="I3" s="29">
        <f>H3/3</f>
        <v>13.333333333333334</v>
      </c>
      <c r="J3" s="1" t="s">
        <v>29</v>
      </c>
    </row>
    <row r="4" spans="2:10">
      <c r="B4" s="8">
        <v>1879</v>
      </c>
      <c r="C4" s="9">
        <v>6526.6640369404358</v>
      </c>
      <c r="D4">
        <v>1</v>
      </c>
      <c r="E4" s="13">
        <f>1-_xlfn.NORM.DIST(D4,$H$3,$I$3,TRUE)</f>
        <v>0.99827771888413241</v>
      </c>
      <c r="G4" s="2" t="s">
        <v>2</v>
      </c>
      <c r="H4" s="3" t="s">
        <v>6</v>
      </c>
      <c r="I4" s="3" t="s">
        <v>7</v>
      </c>
      <c r="J4" s="28" t="s">
        <v>8</v>
      </c>
    </row>
    <row r="5" spans="2:10">
      <c r="B5" s="8">
        <v>1880</v>
      </c>
      <c r="C5" s="9">
        <v>9817.8901961806278</v>
      </c>
      <c r="D5">
        <v>2</v>
      </c>
      <c r="E5" s="13">
        <f>1-_xlfn.NORM.DIST(D5,$H$3,$I$3,TRUE)</f>
        <v>0.99781403854508677</v>
      </c>
      <c r="G5" s="2" t="s">
        <v>3</v>
      </c>
      <c r="H5" t="s">
        <v>9</v>
      </c>
      <c r="I5" t="s">
        <v>10</v>
      </c>
      <c r="J5" s="28" t="s">
        <v>11</v>
      </c>
    </row>
    <row r="6" spans="2:10">
      <c r="B6" s="8">
        <v>1881</v>
      </c>
      <c r="C6" s="9">
        <v>13135.630589270371</v>
      </c>
      <c r="D6">
        <v>3</v>
      </c>
      <c r="E6" s="13">
        <f>1-_xlfn.NORM.DIST(D6,$H$3,$I$3,TRUE)</f>
        <v>0.99723991460873751</v>
      </c>
      <c r="G6" s="2" t="s">
        <v>13</v>
      </c>
      <c r="H6" t="s">
        <v>5</v>
      </c>
      <c r="I6" t="s">
        <v>1</v>
      </c>
      <c r="J6" s="28" t="s">
        <v>12</v>
      </c>
    </row>
    <row r="7" spans="2:10">
      <c r="B7" s="8">
        <v>1882</v>
      </c>
      <c r="C7" s="9">
        <v>16477.460675834631</v>
      </c>
      <c r="D7">
        <v>4</v>
      </c>
      <c r="E7" s="13">
        <f>1-_xlfn.NORM.DIST(D7,$H$3,$I$3,TRUE)</f>
        <v>0.99653302619695938</v>
      </c>
    </row>
    <row r="8" spans="2:10">
      <c r="B8" s="8">
        <v>1883</v>
      </c>
      <c r="C8" s="9">
        <v>19844.284474243581</v>
      </c>
      <c r="D8">
        <v>5</v>
      </c>
      <c r="E8" s="13">
        <f>1-_xlfn.NORM.DIST(D8,$H$3,$I$3,TRUE)</f>
        <v>0.99566755163698739</v>
      </c>
    </row>
    <row r="9" spans="2:10">
      <c r="B9" s="8">
        <v>1884</v>
      </c>
      <c r="C9" s="9">
        <v>23242.926836047798</v>
      </c>
      <c r="D9">
        <v>6</v>
      </c>
      <c r="E9" s="13">
        <f>1-_xlfn.NORM.DIST(D9,$H$3,$I$3,TRUE)</f>
        <v>0.99461385404593328</v>
      </c>
    </row>
    <row r="10" spans="2:10">
      <c r="B10" s="8">
        <v>1885</v>
      </c>
      <c r="C10" s="9">
        <v>26668.860275157796</v>
      </c>
      <c r="D10">
        <v>7</v>
      </c>
      <c r="E10" s="13">
        <f>1-_xlfn.NORM.DIST(D10,$H$3,$I$3,TRUE)</f>
        <v>0.99333819120801725</v>
      </c>
    </row>
    <row r="11" spans="2:10">
      <c r="B11" s="8">
        <v>1886</v>
      </c>
      <c r="C11" s="9">
        <v>30110.14805696805</v>
      </c>
      <c r="D11">
        <v>8</v>
      </c>
      <c r="E11" s="13">
        <f>1-_xlfn.NORM.DIST(D11,$H$3,$I$3,TRUE)</f>
        <v>0.99180246407540384</v>
      </c>
    </row>
    <row r="12" spans="2:10">
      <c r="B12" s="8">
        <v>1887</v>
      </c>
      <c r="C12" s="9">
        <v>33559.834518262403</v>
      </c>
      <c r="D12">
        <v>9</v>
      </c>
      <c r="E12" s="13">
        <f>1-_xlfn.NORM.DIST(D12,$H$3,$I$3,TRUE)</f>
        <v>0.98996401989972593</v>
      </c>
    </row>
    <row r="13" spans="2:10">
      <c r="B13" s="8">
        <v>1888</v>
      </c>
      <c r="C13" s="9">
        <v>37031.476693948942</v>
      </c>
      <c r="D13">
        <v>10</v>
      </c>
      <c r="E13" s="13">
        <f>1-_xlfn.NORM.DIST(D13,$H$3,$I$3,TRUE)</f>
        <v>0.98777552734495533</v>
      </c>
    </row>
    <row r="14" spans="2:10">
      <c r="B14" s="8">
        <v>1889</v>
      </c>
      <c r="C14" s="9">
        <v>40534.314183831208</v>
      </c>
      <c r="D14">
        <v>11</v>
      </c>
      <c r="E14" s="13">
        <f>1-_xlfn.NORM.DIST(D14,$H$3,$I$3,TRUE)</f>
        <v>0.98518494180739014</v>
      </c>
    </row>
    <row r="15" spans="2:10">
      <c r="B15" s="8">
        <v>1890</v>
      </c>
      <c r="C15" s="9">
        <v>44065.433662495023</v>
      </c>
      <c r="D15">
        <v>12</v>
      </c>
      <c r="E15" s="13">
        <f>1-_xlfn.NORM.DIST(D15,$H$3,$I$3,TRUE)</f>
        <v>0.98213557943718344</v>
      </c>
    </row>
    <row r="16" spans="2:10">
      <c r="B16" s="8">
        <v>1891</v>
      </c>
      <c r="C16" s="9">
        <v>47615.868135125631</v>
      </c>
      <c r="D16">
        <v>13</v>
      </c>
      <c r="E16" s="13">
        <f>1-_xlfn.NORM.DIST(D16,$H$3,$I$3,TRUE)</f>
        <v>0.97856631788584703</v>
      </c>
    </row>
    <row r="17" spans="2:5">
      <c r="B17" s="8">
        <v>1892</v>
      </c>
      <c r="C17" s="9">
        <v>51175.347620879125</v>
      </c>
      <c r="D17">
        <v>14</v>
      </c>
      <c r="E17" s="13">
        <f>1-_xlfn.NORM.DIST(D17,$H$3,$I$3,TRUE)</f>
        <v>0.97441194047836144</v>
      </c>
    </row>
    <row r="18" spans="2:5">
      <c r="B18" s="8">
        <v>1893</v>
      </c>
      <c r="C18" s="9">
        <v>54750.172364717015</v>
      </c>
      <c r="D18">
        <v>15</v>
      </c>
      <c r="E18" s="13">
        <f>1-_xlfn.NORM.DIST(D18,$H$3,$I$3,TRUE)</f>
        <v>0.96960363823473861</v>
      </c>
    </row>
    <row r="19" spans="2:5">
      <c r="B19" s="8">
        <v>1894</v>
      </c>
      <c r="C19" s="9">
        <v>58331.55860291468</v>
      </c>
      <c r="D19">
        <v>16</v>
      </c>
      <c r="E19" s="13">
        <f>1-_xlfn.NORM.DIST(D19,$H$3,$I$3,TRUE)</f>
        <v>0.96406968088707423</v>
      </c>
    </row>
    <row r="20" spans="2:5">
      <c r="B20" s="8">
        <v>1895</v>
      </c>
      <c r="C20" s="9">
        <v>61928.709928016164</v>
      </c>
      <c r="D20">
        <v>17</v>
      </c>
      <c r="E20" s="13">
        <f>1-_xlfn.NORM.DIST(D20,$H$3,$I$3,TRUE)</f>
        <v>0.95773626374204757</v>
      </c>
    </row>
    <row r="21" spans="2:5">
      <c r="B21" s="8">
        <v>1896</v>
      </c>
      <c r="C21" s="9">
        <v>65540.403890407848</v>
      </c>
      <c r="D21">
        <v>18</v>
      </c>
      <c r="E21" s="13">
        <f>1-_xlfn.NORM.DIST(D21,$H$3,$I$3,TRUE)</f>
        <v>0.9505285319663519</v>
      </c>
    </row>
    <row r="22" spans="2:5">
      <c r="B22" s="8">
        <v>1897</v>
      </c>
      <c r="C22" s="9">
        <v>69160.925075631778</v>
      </c>
      <c r="D22">
        <v>19</v>
      </c>
      <c r="E22" s="13">
        <f>1-_xlfn.NORM.DIST(D22,$H$3,$I$3,TRUE)</f>
        <v>0.94237177772384684</v>
      </c>
    </row>
    <row r="23" spans="2:5">
      <c r="B23" s="8">
        <v>1898</v>
      </c>
      <c r="C23" s="9">
        <v>72793.730638864989</v>
      </c>
      <c r="D23">
        <v>20</v>
      </c>
      <c r="E23" s="13">
        <f>1-_xlfn.NORM.DIST(D23,$H$3,$I$3,TRUE)</f>
        <v>0.93319279873114191</v>
      </c>
    </row>
    <row r="24" spans="2:5">
      <c r="B24" s="8">
        <v>1899</v>
      </c>
      <c r="C24" s="9">
        <v>76437.882790353033</v>
      </c>
      <c r="D24">
        <v>21</v>
      </c>
      <c r="E24" s="13">
        <f>1-_xlfn.NORM.DIST(D24,$H$3,$I$3,TRUE)</f>
        <v>0.92292139944792817</v>
      </c>
    </row>
    <row r="25" spans="2:5">
      <c r="B25" s="8">
        <v>1900</v>
      </c>
      <c r="C25" s="9">
        <v>80082.579883504644</v>
      </c>
      <c r="D25">
        <v>22</v>
      </c>
      <c r="E25" s="13">
        <f>1-_xlfn.NORM.DIST(D25,$H$3,$I$3,TRUE)</f>
        <v>0.91149200856259793</v>
      </c>
    </row>
    <row r="26" spans="2:5">
      <c r="B26" s="8">
        <v>1901</v>
      </c>
      <c r="C26" s="9">
        <v>84067.725629348221</v>
      </c>
      <c r="D26">
        <v>23</v>
      </c>
      <c r="E26" s="13">
        <f>1-_xlfn.NORM.DIST(D26,$H$3,$I$3,TRUE)</f>
        <v>0.89884537900441408</v>
      </c>
    </row>
    <row r="27" spans="2:5">
      <c r="B27" s="8">
        <v>1902</v>
      </c>
      <c r="C27" s="9">
        <v>88801.927415177692</v>
      </c>
      <c r="D27">
        <v>24</v>
      </c>
      <c r="E27" s="13">
        <f>1-_xlfn.NORM.DIST(D27,$H$3,$I$3,TRUE)</f>
        <v>0.88493032977829178</v>
      </c>
    </row>
    <row r="28" spans="2:5">
      <c r="B28" s="8">
        <v>1903</v>
      </c>
      <c r="C28" s="9">
        <v>93467.072046386689</v>
      </c>
      <c r="D28">
        <v>25</v>
      </c>
      <c r="E28" s="13">
        <f>1-_xlfn.NORM.DIST(D28,$H$3,$I$3,TRUE)</f>
        <v>0.86970548286319116</v>
      </c>
    </row>
    <row r="29" spans="2:5">
      <c r="B29" s="8">
        <v>1904</v>
      </c>
      <c r="C29" s="9">
        <v>97199.091605726528</v>
      </c>
      <c r="D29">
        <v>26</v>
      </c>
      <c r="E29" s="13">
        <f>1-_xlfn.NORM.DIST(D29,$H$3,$I$3,TRUE)</f>
        <v>0.85314094362410409</v>
      </c>
    </row>
    <row r="30" spans="2:5">
      <c r="B30" s="8">
        <v>1905</v>
      </c>
      <c r="C30" s="9">
        <v>101217.39516120101</v>
      </c>
      <c r="D30">
        <v>27</v>
      </c>
      <c r="E30" s="13">
        <f>1-_xlfn.NORM.DIST(D30,$H$3,$I$3,TRUE)</f>
        <v>0.83521987001968967</v>
      </c>
    </row>
    <row r="31" spans="2:5">
      <c r="B31" s="8">
        <v>1906</v>
      </c>
      <c r="C31" s="9">
        <v>104879.64637308358</v>
      </c>
      <c r="D31">
        <v>28</v>
      </c>
      <c r="E31" s="13">
        <f>1-_xlfn.NORM.DIST(D31,$H$3,$I$3,TRUE)</f>
        <v>0.81593987465324047</v>
      </c>
    </row>
    <row r="32" spans="2:5">
      <c r="B32" s="8">
        <v>1907</v>
      </c>
      <c r="C32" s="9">
        <v>110812.4782529643</v>
      </c>
      <c r="D32">
        <v>29</v>
      </c>
      <c r="E32" s="13">
        <f>1-_xlfn.NORM.DIST(D32,$H$3,$I$3,TRUE)</f>
        <v>0.79531420465274738</v>
      </c>
    </row>
    <row r="33" spans="2:5">
      <c r="B33" s="8">
        <v>1908</v>
      </c>
      <c r="C33" s="9">
        <v>114924.65565609437</v>
      </c>
      <c r="D33">
        <v>30</v>
      </c>
      <c r="E33" s="13">
        <f>1-_xlfn.NORM.DIST(D33,$H$3,$I$3,TRUE)</f>
        <v>0.77337264762313174</v>
      </c>
    </row>
    <row r="34" spans="2:5">
      <c r="B34" s="8">
        <v>1909</v>
      </c>
      <c r="C34" s="9">
        <v>118484.91876070596</v>
      </c>
      <c r="D34">
        <v>31</v>
      </c>
      <c r="E34" s="13">
        <f>1-_xlfn.NORM.DIST(D34,$H$3,$I$3,TRUE)</f>
        <v>0.75016211752822304</v>
      </c>
    </row>
    <row r="35" spans="2:5">
      <c r="B35" s="8">
        <v>1910</v>
      </c>
      <c r="C35" s="9">
        <v>122197.74458417001</v>
      </c>
      <c r="D35">
        <v>32</v>
      </c>
      <c r="E35" s="13">
        <f>1-_xlfn.NORM.DIST(D35,$H$3,$I$3,TRUE)</f>
        <v>0.72574688224992645</v>
      </c>
    </row>
    <row r="36" spans="2:5">
      <c r="B36" s="8">
        <v>1911</v>
      </c>
      <c r="C36" s="9">
        <v>126081.31826517344</v>
      </c>
      <c r="D36">
        <v>33</v>
      </c>
      <c r="E36" s="13">
        <f>1-_xlfn.NORM.DIST(D36,$H$3,$I$3,TRUE)</f>
        <v>0.70020840453130417</v>
      </c>
    </row>
    <row r="37" spans="2:5">
      <c r="B37" s="8">
        <v>1912</v>
      </c>
      <c r="C37" s="9">
        <v>128653.08932904841</v>
      </c>
      <c r="D37">
        <v>34</v>
      </c>
      <c r="E37" s="13">
        <f>1-_xlfn.NORM.DIST(D37,$H$3,$I$3,TRUE)</f>
        <v>0.67364477971207992</v>
      </c>
    </row>
    <row r="38" spans="2:5">
      <c r="B38" s="8">
        <v>1913</v>
      </c>
      <c r="C38" s="9">
        <v>131068.40097777806</v>
      </c>
      <c r="D38">
        <v>35</v>
      </c>
      <c r="E38" s="13">
        <f>1-_xlfn.NORM.DIST(D38,$H$3,$I$3,TRUE)</f>
        <v>0.64616976667272386</v>
      </c>
    </row>
    <row r="39" spans="2:5">
      <c r="B39" s="8">
        <v>1914</v>
      </c>
      <c r="C39" s="9">
        <v>132895.66491836752</v>
      </c>
      <c r="D39">
        <v>36</v>
      </c>
      <c r="E39" s="13">
        <f>1-_xlfn.NORM.DIST(D39,$H$3,$I$3,TRUE)</f>
        <v>0.61791142218895267</v>
      </c>
    </row>
    <row r="40" spans="2:5">
      <c r="B40" s="8">
        <v>1915</v>
      </c>
      <c r="C40" s="9">
        <v>135476.33106197993</v>
      </c>
      <c r="D40">
        <v>37</v>
      </c>
      <c r="E40" s="13">
        <f>1-_xlfn.NORM.DIST(D40,$H$3,$I$3,TRUE)</f>
        <v>0.58901036286872965</v>
      </c>
    </row>
    <row r="41" spans="2:5">
      <c r="B41" s="8">
        <v>1916</v>
      </c>
      <c r="C41" s="9">
        <v>138847.66428085254</v>
      </c>
      <c r="D41">
        <v>38</v>
      </c>
      <c r="E41" s="13">
        <f>1-_xlfn.NORM.DIST(D41,$H$3,$I$3,TRUE)</f>
        <v>0.5596176923702425</v>
      </c>
    </row>
    <row r="42" spans="2:5">
      <c r="B42" s="8">
        <v>1917</v>
      </c>
      <c r="C42" s="9">
        <v>142189.18477568755</v>
      </c>
      <c r="D42">
        <v>39</v>
      </c>
      <c r="E42" s="13">
        <f>1-_xlfn.NORM.DIST(D42,$H$3,$I$3,TRUE)</f>
        <v>0.52989264405289482</v>
      </c>
    </row>
    <row r="43" spans="2:5">
      <c r="B43" s="8">
        <v>1918</v>
      </c>
      <c r="C43" s="9">
        <v>147011.67698903236</v>
      </c>
      <c r="D43">
        <v>40</v>
      </c>
      <c r="E43" s="13">
        <f>1-_xlfn.NORM.DIST(D43,$H$3,$I$3,TRUE)</f>
        <v>0.5</v>
      </c>
    </row>
    <row r="44" spans="2:5">
      <c r="B44" s="8">
        <v>1919</v>
      </c>
      <c r="C44" s="9">
        <v>151982.86257007325</v>
      </c>
      <c r="D44">
        <v>41</v>
      </c>
      <c r="E44" s="13">
        <f>1-_xlfn.NORM.DIST(D44,$H$3,$I$3,TRUE)</f>
        <v>0.47010735594710518</v>
      </c>
    </row>
    <row r="45" spans="2:5">
      <c r="B45" s="8">
        <v>1920</v>
      </c>
      <c r="C45" s="9">
        <v>155974.66100865367</v>
      </c>
      <c r="D45">
        <v>42</v>
      </c>
      <c r="E45" s="13">
        <f>1-_xlfn.NORM.DIST(D45,$H$3,$I$3,TRUE)</f>
        <v>0.4403823076297575</v>
      </c>
    </row>
    <row r="46" spans="2:5">
      <c r="B46" s="8">
        <v>1921</v>
      </c>
      <c r="C46" s="9">
        <v>160372.21816218839</v>
      </c>
      <c r="D46">
        <v>43</v>
      </c>
      <c r="E46" s="13">
        <f>1-_xlfn.NORM.DIST(D46,$H$3,$I$3,TRUE)</f>
        <v>0.41098963713127035</v>
      </c>
    </row>
    <row r="47" spans="2:5">
      <c r="B47" s="8">
        <v>1922</v>
      </c>
      <c r="C47" s="9">
        <v>164713.79065050435</v>
      </c>
      <c r="D47">
        <v>44</v>
      </c>
      <c r="E47" s="13">
        <f>1-_xlfn.NORM.DIST(D47,$H$3,$I$3,TRUE)</f>
        <v>0.38208857781104733</v>
      </c>
    </row>
    <row r="48" spans="2:5">
      <c r="B48" s="8">
        <v>1923</v>
      </c>
      <c r="C48" s="9">
        <v>170151.05531062491</v>
      </c>
      <c r="D48">
        <v>45</v>
      </c>
      <c r="E48" s="13">
        <f>1-_xlfn.NORM.DIST(D48,$H$3,$I$3,TRUE)</f>
        <v>0.35383023332727614</v>
      </c>
    </row>
    <row r="49" spans="2:5">
      <c r="B49" s="8">
        <v>1924</v>
      </c>
      <c r="C49" s="9">
        <v>175090.67210225883</v>
      </c>
      <c r="D49">
        <v>46</v>
      </c>
      <c r="E49" s="13">
        <f>1-_xlfn.NORM.DIST(D49,$H$3,$I$3,TRUE)</f>
        <v>0.32635522028792008</v>
      </c>
    </row>
    <row r="50" spans="2:5">
      <c r="B50" s="8">
        <v>1925</v>
      </c>
      <c r="C50" s="9">
        <v>179318.64578546511</v>
      </c>
      <c r="D50">
        <v>47</v>
      </c>
      <c r="E50" s="13">
        <f>1-_xlfn.NORM.DIST(D50,$H$3,$I$3,TRUE)</f>
        <v>0.29979159546869583</v>
      </c>
    </row>
    <row r="51" spans="2:5">
      <c r="B51" s="8">
        <v>1926</v>
      </c>
      <c r="C51" s="9">
        <v>184295.66767213211</v>
      </c>
      <c r="D51">
        <v>48</v>
      </c>
      <c r="E51" s="13">
        <f>1-_xlfn.NORM.DIST(D51,$H$3,$I$3,TRUE)</f>
        <v>0.27425311775007355</v>
      </c>
    </row>
    <row r="52" spans="2:5">
      <c r="B52" s="8">
        <v>1927</v>
      </c>
      <c r="C52" s="9">
        <v>189446.03593735155</v>
      </c>
      <c r="D52">
        <v>49</v>
      </c>
      <c r="E52" s="13">
        <f>1-_xlfn.NORM.DIST(D52,$H$3,$I$3,TRUE)</f>
        <v>0.24983788247177696</v>
      </c>
    </row>
    <row r="53" spans="2:5">
      <c r="B53" s="8">
        <v>1928</v>
      </c>
      <c r="C53" s="9">
        <v>195079.57296554314</v>
      </c>
      <c r="D53">
        <v>50</v>
      </c>
      <c r="E53" s="13">
        <f>1-_xlfn.NORM.DIST(D53,$H$3,$I$3,TRUE)</f>
        <v>0.22662735237686826</v>
      </c>
    </row>
    <row r="54" spans="2:5">
      <c r="B54" s="8">
        <v>1929</v>
      </c>
      <c r="C54" s="9">
        <v>200498.4219661961</v>
      </c>
      <c r="D54">
        <v>51</v>
      </c>
      <c r="E54" s="13">
        <f>1-_xlfn.NORM.DIST(D54,$H$3,$I$3,TRUE)</f>
        <v>0.20468579534725262</v>
      </c>
    </row>
    <row r="55" spans="2:5">
      <c r="B55" s="8">
        <v>1930</v>
      </c>
      <c r="C55" s="9">
        <v>204940.58636202328</v>
      </c>
      <c r="D55">
        <v>52</v>
      </c>
      <c r="E55" s="13">
        <f>1-_xlfn.NORM.DIST(D55,$H$3,$I$3,TRUE)</f>
        <v>0.18406012534675953</v>
      </c>
    </row>
    <row r="56" spans="2:5">
      <c r="B56" s="8">
        <v>1931</v>
      </c>
      <c r="C56" s="9">
        <v>209371.37675841388</v>
      </c>
      <c r="D56">
        <v>53</v>
      </c>
      <c r="E56" s="13">
        <f>1-_xlfn.NORM.DIST(D56,$H$3,$I$3,TRUE)</f>
        <v>0.16478012998031033</v>
      </c>
    </row>
    <row r="57" spans="2:5">
      <c r="B57" s="8">
        <v>1932</v>
      </c>
      <c r="C57" s="9">
        <v>213733.84174126809</v>
      </c>
      <c r="D57">
        <v>54</v>
      </c>
      <c r="E57" s="13">
        <f>1-_xlfn.NORM.DIST(D57,$H$3,$I$3,TRUE)</f>
        <v>0.14685905637589591</v>
      </c>
    </row>
    <row r="58" spans="2:5">
      <c r="B58" s="8">
        <v>1933</v>
      </c>
      <c r="C58" s="9">
        <v>218595.98215789621</v>
      </c>
      <c r="D58">
        <v>55</v>
      </c>
      <c r="E58" s="13">
        <f>1-_xlfn.NORM.DIST(D58,$H$3,$I$3,TRUE)</f>
        <v>0.13029451713680884</v>
      </c>
    </row>
    <row r="59" spans="2:5">
      <c r="B59" s="8">
        <v>1934</v>
      </c>
      <c r="C59" s="9">
        <v>223874.72794262215</v>
      </c>
      <c r="D59">
        <v>56</v>
      </c>
      <c r="E59" s="13">
        <f>1-_xlfn.NORM.DIST(D59,$H$3,$I$3,TRUE)</f>
        <v>0.11506967022170822</v>
      </c>
    </row>
    <row r="60" spans="2:5">
      <c r="B60" s="8">
        <v>1935</v>
      </c>
      <c r="C60" s="9">
        <v>229232.47867469641</v>
      </c>
      <c r="D60">
        <v>57</v>
      </c>
      <c r="E60" s="13">
        <f>1-_xlfn.NORM.DIST(D60,$H$3,$I$3,TRUE)</f>
        <v>0.10115462099558592</v>
      </c>
    </row>
    <row r="61" spans="2:5">
      <c r="B61" s="8">
        <v>1936</v>
      </c>
      <c r="C61" s="9">
        <v>235387.105447701</v>
      </c>
      <c r="D61">
        <v>58</v>
      </c>
      <c r="E61" s="13">
        <f>1-_xlfn.NORM.DIST(D61,$H$3,$I$3,TRUE)</f>
        <v>8.8507991437402067E-2</v>
      </c>
    </row>
    <row r="62" spans="2:5">
      <c r="B62" s="8">
        <v>1937</v>
      </c>
      <c r="C62" s="9">
        <v>242445.45176849287</v>
      </c>
      <c r="D62">
        <v>59</v>
      </c>
      <c r="E62" s="13">
        <f>1-_xlfn.NORM.DIST(D62,$H$3,$I$3,TRUE)</f>
        <v>7.707860055207183E-2</v>
      </c>
    </row>
    <row r="63" spans="2:5">
      <c r="B63" s="8">
        <v>1938</v>
      </c>
      <c r="C63" s="9">
        <v>250779.41555639898</v>
      </c>
      <c r="D63">
        <v>60</v>
      </c>
      <c r="E63" s="13">
        <f>1-_xlfn.NORM.DIST(D63,$H$3,$I$3,TRUE)</f>
        <v>6.6807201268858085E-2</v>
      </c>
    </row>
    <row r="64" spans="2:5">
      <c r="B64" s="8">
        <v>1939</v>
      </c>
      <c r="C64" s="9">
        <v>261839.46643901055</v>
      </c>
      <c r="D64">
        <v>61</v>
      </c>
      <c r="E64" s="13">
        <f>1-_xlfn.NORM.DIST(D64,$H$3,$I$3,TRUE)</f>
        <v>5.7628222276153163E-2</v>
      </c>
    </row>
    <row r="65" spans="2:5">
      <c r="B65" s="8">
        <v>1940</v>
      </c>
      <c r="C65" s="9">
        <v>272763.9729427658</v>
      </c>
      <c r="D65">
        <v>62</v>
      </c>
      <c r="E65" s="13">
        <f>1-_xlfn.NORM.DIST(D65,$H$3,$I$3,TRUE)</f>
        <v>4.9471468033648103E-2</v>
      </c>
    </row>
    <row r="66" spans="2:5">
      <c r="B66" s="8">
        <v>1941</v>
      </c>
      <c r="C66" s="9">
        <v>285163.91856959008</v>
      </c>
      <c r="D66">
        <v>63</v>
      </c>
      <c r="E66" s="13">
        <f>1-_xlfn.NORM.DIST(D66,$H$3,$I$3,TRUE)</f>
        <v>4.2263736257952433E-2</v>
      </c>
    </row>
    <row r="67" spans="2:5">
      <c r="B67" s="8">
        <v>1942</v>
      </c>
      <c r="C67" s="9">
        <v>294310.88147944695</v>
      </c>
      <c r="D67">
        <v>64</v>
      </c>
      <c r="E67" s="13">
        <f>1-_xlfn.NORM.DIST(D67,$H$3,$I$3,TRUE)</f>
        <v>3.5930319112925768E-2</v>
      </c>
    </row>
    <row r="68" spans="2:5">
      <c r="B68" s="8">
        <v>1943</v>
      </c>
      <c r="C68" s="9">
        <v>308858.62037567282</v>
      </c>
      <c r="D68">
        <v>65</v>
      </c>
      <c r="E68" s="13">
        <f>1-_xlfn.NORM.DIST(D68,$H$3,$I$3,TRUE)</f>
        <v>3.0396361765261393E-2</v>
      </c>
    </row>
    <row r="69" spans="2:5">
      <c r="B69" s="8">
        <v>1944</v>
      </c>
      <c r="C69" s="9">
        <v>322104.94112684362</v>
      </c>
      <c r="D69">
        <v>66</v>
      </c>
      <c r="E69" s="13">
        <f>1-_xlfn.NORM.DIST(D69,$H$3,$I$3,TRUE)</f>
        <v>2.5588059521638562E-2</v>
      </c>
    </row>
    <row r="70" spans="2:5">
      <c r="B70" s="8">
        <v>1945</v>
      </c>
      <c r="C70" s="9">
        <v>325428.16494747583</v>
      </c>
      <c r="D70">
        <v>67</v>
      </c>
      <c r="E70" s="13">
        <f>1-_xlfn.NORM.DIST(D70,$H$3,$I$3,TRUE)</f>
        <v>2.1433682114152974E-2</v>
      </c>
    </row>
    <row r="71" spans="2:5">
      <c r="B71" s="8">
        <v>1946</v>
      </c>
      <c r="C71" s="9">
        <v>330535.25964061462</v>
      </c>
      <c r="D71">
        <v>68</v>
      </c>
      <c r="E71" s="13">
        <f>1-_xlfn.NORM.DIST(D71,$H$3,$I$3,TRUE)</f>
        <v>1.7864420562816563E-2</v>
      </c>
    </row>
    <row r="72" spans="2:5">
      <c r="B72" s="8">
        <v>1947</v>
      </c>
      <c r="C72" s="9">
        <v>336629.94486201025</v>
      </c>
      <c r="D72">
        <v>69</v>
      </c>
      <c r="E72" s="13">
        <f>1-_xlfn.NORM.DIST(D72,$H$3,$I$3,TRUE)</f>
        <v>1.4815058192609865E-2</v>
      </c>
    </row>
    <row r="73" spans="2:5">
      <c r="B73" s="8">
        <v>1948</v>
      </c>
      <c r="C73" s="9">
        <v>343349.66988598794</v>
      </c>
      <c r="D73">
        <v>70</v>
      </c>
      <c r="E73" s="13">
        <f>1-_xlfn.NORM.DIST(D73,$H$3,$I$3,TRUE)</f>
        <v>1.2224472655044671E-2</v>
      </c>
    </row>
    <row r="74" spans="2:5">
      <c r="B74" s="8">
        <v>1949</v>
      </c>
      <c r="C74" s="9">
        <v>351090.79027027084</v>
      </c>
      <c r="D74">
        <v>71</v>
      </c>
      <c r="E74" s="13">
        <f>1-_xlfn.NORM.DIST(D74,$H$3,$I$3,TRUE)</f>
        <v>1.0035980100274067E-2</v>
      </c>
    </row>
    <row r="75" spans="2:5">
      <c r="B75" s="8">
        <v>1950</v>
      </c>
      <c r="C75" s="9">
        <v>362901.62116343644</v>
      </c>
      <c r="D75">
        <v>72</v>
      </c>
      <c r="E75" s="13">
        <f>1-_xlfn.NORM.DIST(D75,$H$3,$I$3,TRUE)</f>
        <v>8.1975359245961554E-3</v>
      </c>
    </row>
    <row r="76" spans="2:5">
      <c r="B76" s="8">
        <v>1951</v>
      </c>
      <c r="C76" s="9">
        <v>380638.00541386323</v>
      </c>
      <c r="D76">
        <v>73</v>
      </c>
      <c r="E76" s="13">
        <f>1-_xlfn.NORM.DIST(D76,$H$3,$I$3,TRUE)</f>
        <v>6.6618087919827484E-3</v>
      </c>
    </row>
    <row r="77" spans="2:5">
      <c r="B77" s="8">
        <v>1952</v>
      </c>
      <c r="C77" s="9">
        <v>397522.32242475491</v>
      </c>
      <c r="D77">
        <v>74</v>
      </c>
      <c r="E77" s="13">
        <f>1-_xlfn.NORM.DIST(D77,$H$3,$I$3,TRUE)</f>
        <v>5.3861459540667234E-3</v>
      </c>
    </row>
    <row r="78" spans="2:5">
      <c r="B78" s="8">
        <v>1953</v>
      </c>
      <c r="C78" s="9">
        <v>417015.14645795553</v>
      </c>
      <c r="D78">
        <v>75</v>
      </c>
      <c r="E78" s="13">
        <f>1-_xlfn.NORM.DIST(D78,$H$3,$I$3,TRUE)</f>
        <v>4.3324483630126087E-3</v>
      </c>
    </row>
    <row r="79" spans="2:5">
      <c r="B79" s="8">
        <v>1954</v>
      </c>
      <c r="C79" s="9">
        <v>434558.09459958103</v>
      </c>
      <c r="D79">
        <v>76</v>
      </c>
      <c r="E79" s="13">
        <f>1-_xlfn.NORM.DIST(D79,$H$3,$I$3,TRUE)</f>
        <v>3.4669738030406183E-3</v>
      </c>
    </row>
    <row r="80" spans="2:5">
      <c r="B80" s="8">
        <v>1955</v>
      </c>
      <c r="C80" s="9">
        <v>453642.40970206988</v>
      </c>
      <c r="D80">
        <v>77</v>
      </c>
      <c r="E80" s="13">
        <f>1-_xlfn.NORM.DIST(D80,$H$3,$I$3,TRUE)</f>
        <v>2.7600853912624901E-3</v>
      </c>
    </row>
    <row r="81" spans="2:5">
      <c r="B81" s="8">
        <v>1956</v>
      </c>
      <c r="C81" s="9">
        <v>473986.87675339752</v>
      </c>
      <c r="D81">
        <v>78</v>
      </c>
      <c r="E81" s="13">
        <f>1-_xlfn.NORM.DIST(D81,$H$3,$I$3,TRUE)</f>
        <v>2.1859614549132322E-3</v>
      </c>
    </row>
    <row r="82" spans="2:5">
      <c r="B82" s="8">
        <v>1957</v>
      </c>
      <c r="C82" s="9">
        <v>495600.17012444441</v>
      </c>
      <c r="D82">
        <v>79</v>
      </c>
      <c r="E82" s="13">
        <f>1-_xlfn.NORM.DIST(D82,$H$3,$I$3,TRUE)</f>
        <v>1.7222811158675855E-3</v>
      </c>
    </row>
    <row r="83" spans="2:5">
      <c r="B83" s="8">
        <v>1958</v>
      </c>
      <c r="C83" s="9">
        <v>514736.86171015492</v>
      </c>
      <c r="D83">
        <v>80</v>
      </c>
      <c r="E83" s="13">
        <f>1-_xlfn.NORM.DIST(D83,$H$3,$I$3,TRUE)</f>
        <v>1.3498980316301035E-3</v>
      </c>
    </row>
    <row r="84" spans="2:5">
      <c r="B84" s="8">
        <v>1959</v>
      </c>
      <c r="C84" s="9">
        <v>534637.76938929514</v>
      </c>
      <c r="D84">
        <v>81</v>
      </c>
      <c r="E84" s="13">
        <f>1-_xlfn.NORM.DIST(D84,$H$3,$I$3,TRUE)</f>
        <v>1.0525127683760349E-3</v>
      </c>
    </row>
    <row r="85" spans="2:5">
      <c r="B85" s="8">
        <v>1960</v>
      </c>
      <c r="C85" s="9">
        <v>556129.49497393717</v>
      </c>
      <c r="D85">
        <v>82</v>
      </c>
      <c r="E85" s="13">
        <f>1-_xlfn.NORM.DIST(D85,$H$3,$I$3,TRUE)</f>
        <v>8.1635231282861653E-4</v>
      </c>
    </row>
    <row r="86" spans="2:5">
      <c r="B86" s="8">
        <v>1961</v>
      </c>
      <c r="C86" s="9">
        <v>578208.12848345248</v>
      </c>
      <c r="D86">
        <v>83</v>
      </c>
      <c r="E86" s="13">
        <f>1-_xlfn.NORM.DIST(D86,$H$3,$I$3,TRUE)</f>
        <v>6.2986334399772748E-4</v>
      </c>
    </row>
    <row r="87" spans="2:5">
      <c r="B87" s="8">
        <v>1962</v>
      </c>
      <c r="C87" s="9">
        <v>605771.80507718993</v>
      </c>
      <c r="D87">
        <v>84</v>
      </c>
      <c r="E87" s="13">
        <f>1-_xlfn.NORM.DIST(D87,$H$3,$I$3,TRUE)</f>
        <v>4.8342414238378151E-4</v>
      </c>
    </row>
    <row r="88" spans="2:5">
      <c r="B88" s="8">
        <v>1963</v>
      </c>
      <c r="C88" s="9">
        <v>636129.69962289743</v>
      </c>
      <c r="D88">
        <v>85</v>
      </c>
      <c r="E88" s="13">
        <f>1-_xlfn.NORM.DIST(D88,$H$3,$I$3,TRUE)</f>
        <v>3.6907845427502917E-4</v>
      </c>
    </row>
    <row r="89" spans="2:5">
      <c r="B89" s="8">
        <v>1964</v>
      </c>
      <c r="C89" s="9">
        <v>665702.98990406771</v>
      </c>
      <c r="D89">
        <v>86</v>
      </c>
      <c r="E89" s="13">
        <f>1-_xlfn.NORM.DIST(D89,$H$3,$I$3,TRUE)</f>
        <v>2.8029327681622362E-4</v>
      </c>
    </row>
    <row r="90" spans="2:5">
      <c r="B90" s="8">
        <v>1965</v>
      </c>
      <c r="C90" s="9">
        <v>697304.89767083782</v>
      </c>
      <c r="D90">
        <v>87</v>
      </c>
      <c r="E90" s="13">
        <f>1-_xlfn.NORM.DIST(D90,$H$3,$I$3,TRUE)</f>
        <v>2.1174139572344153E-4</v>
      </c>
    </row>
    <row r="91" spans="2:5">
      <c r="B91" s="8">
        <v>1966</v>
      </c>
      <c r="C91" s="9">
        <v>732513.20721288421</v>
      </c>
      <c r="D91">
        <v>88</v>
      </c>
      <c r="E91" s="13">
        <f>1-_xlfn.NORM.DIST(D91,$H$3,$I$3,TRUE)</f>
        <v>1.5910859015755285E-4</v>
      </c>
    </row>
    <row r="92" spans="2:5">
      <c r="B92" s="8">
        <v>1967</v>
      </c>
      <c r="C92" s="9">
        <v>772172.19023072289</v>
      </c>
      <c r="D92">
        <v>89</v>
      </c>
      <c r="E92" s="13">
        <f>1-_xlfn.NORM.DIST(D92,$H$3,$I$3,TRUE)</f>
        <v>1.1892470732677296E-4</v>
      </c>
    </row>
    <row r="93" spans="2:5">
      <c r="B93" s="8">
        <v>1968</v>
      </c>
      <c r="C93" s="9">
        <v>812919.09325780091</v>
      </c>
      <c r="D93">
        <v>90</v>
      </c>
      <c r="E93" s="13">
        <f>1-_xlfn.NORM.DIST(D93,$H$3,$I$3,TRUE)</f>
        <v>8.841728520081471E-5</v>
      </c>
    </row>
    <row r="94" spans="2:5">
      <c r="B94" s="8">
        <v>1969</v>
      </c>
      <c r="C94" s="9">
        <v>853605.04412127798</v>
      </c>
      <c r="D94">
        <v>91</v>
      </c>
      <c r="E94" s="13">
        <f>1-_xlfn.NORM.DIST(D94,$H$3,$I$3,TRUE)</f>
        <v>6.5386043242687819E-5</v>
      </c>
    </row>
    <row r="95" spans="2:5">
      <c r="B95" s="8">
        <v>1970</v>
      </c>
      <c r="C95" s="9">
        <v>897864.14653953933</v>
      </c>
      <c r="D95">
        <v>92</v>
      </c>
      <c r="E95" s="13">
        <f>1-_xlfn.NORM.DIST(D95,$H$3,$I$3,TRUE)</f>
        <v>4.8096344017589665E-5</v>
      </c>
    </row>
    <row r="96" spans="2:5">
      <c r="B96" s="8">
        <v>1971</v>
      </c>
      <c r="C96" s="9">
        <v>940376.05932987994</v>
      </c>
      <c r="D96">
        <v>93</v>
      </c>
      <c r="E96" s="13">
        <f>1-_xlfn.NORM.DIST(D96,$H$3,$I$3,TRUE)</f>
        <v>3.5189628065923628E-5</v>
      </c>
    </row>
    <row r="97" spans="2:5">
      <c r="B97" s="8">
        <v>1972</v>
      </c>
      <c r="C97" s="9">
        <v>984266.9609248176</v>
      </c>
      <c r="D97">
        <v>94</v>
      </c>
      <c r="E97" s="13">
        <f>1-_xlfn.NORM.DIST(D97,$H$3,$I$3,TRUE)</f>
        <v>2.5608816474065321E-5</v>
      </c>
    </row>
    <row r="98" spans="2:5">
      <c r="B98" s="8">
        <v>1973</v>
      </c>
      <c r="C98" s="9">
        <v>1031548.9588011784</v>
      </c>
      <c r="D98">
        <v>95</v>
      </c>
      <c r="E98" s="13">
        <f>1-_xlfn.NORM.DIST(D98,$H$3,$I$3,TRUE)</f>
        <v>1.8536737846241991E-5</v>
      </c>
    </row>
    <row r="99" spans="2:5">
      <c r="B99" s="8">
        <v>1974</v>
      </c>
      <c r="C99" s="9">
        <v>1073840.7523882496</v>
      </c>
      <c r="D99">
        <v>96</v>
      </c>
      <c r="E99" s="13">
        <f>1-_xlfn.NORM.DIST(D99,$H$3,$I$3,TRUE)</f>
        <v>1.3345749015902797E-5</v>
      </c>
    </row>
    <row r="100" spans="2:5">
      <c r="B100" s="8">
        <v>1975</v>
      </c>
      <c r="C100" s="9">
        <v>1106799.3627719062</v>
      </c>
      <c r="D100">
        <v>97</v>
      </c>
      <c r="E100" s="13">
        <f>1-_xlfn.NORM.DIST(D100,$H$3,$I$3,TRUE)</f>
        <v>9.5568647372479276E-6</v>
      </c>
    </row>
    <row r="101" spans="2:5">
      <c r="B101" s="8">
        <v>1976</v>
      </c>
      <c r="C101" s="9">
        <v>1154806.5236675595</v>
      </c>
      <c r="D101">
        <v>98</v>
      </c>
      <c r="E101" s="13">
        <f>1-_xlfn.NORM.DIST(D101,$H$3,$I$3,TRUE)</f>
        <v>6.8068765993745117E-6</v>
      </c>
    </row>
    <row r="102" spans="2:5">
      <c r="B102" s="8">
        <v>1977</v>
      </c>
      <c r="C102" s="9">
        <v>1184951.33454638</v>
      </c>
      <c r="D102">
        <v>99</v>
      </c>
      <c r="E102" s="13">
        <f>1-_xlfn.NORM.DIST(D102,$H$3,$I$3,TRUE)</f>
        <v>4.8221141606408224E-6</v>
      </c>
    </row>
    <row r="103" spans="2:5">
      <c r="B103" s="8">
        <v>1978</v>
      </c>
      <c r="C103" s="9">
        <v>1221150.1351589758</v>
      </c>
      <c r="D103">
        <v>100</v>
      </c>
      <c r="E103" s="13">
        <f>1-_xlfn.NORM.DIST(D103,$H$3,$I$3,TRUE)</f>
        <v>3.3976731247387093E-6</v>
      </c>
    </row>
    <row r="104" spans="2:5">
      <c r="B104" s="8">
        <v>1979</v>
      </c>
      <c r="C104" s="9">
        <v>1259440.602027467</v>
      </c>
      <c r="D104">
        <v>101</v>
      </c>
      <c r="E104" s="13">
        <f>1-_xlfn.NORM.DIST(D104,$H$3,$I$3,TRUE)</f>
        <v>2.3810999327800175E-6</v>
      </c>
    </row>
    <row r="105" spans="2:5">
      <c r="B105" s="8">
        <v>1980</v>
      </c>
      <c r="C105" s="9">
        <v>1292964.6434829384</v>
      </c>
      <c r="D105">
        <v>102</v>
      </c>
      <c r="E105" s="13">
        <f>1-_xlfn.NORM.DIST(D105,$H$3,$I$3,TRUE)</f>
        <v>1.6596751443165303E-6</v>
      </c>
    </row>
    <row r="106" spans="2:5">
      <c r="B106" s="8">
        <v>1981</v>
      </c>
      <c r="C106" s="9">
        <v>1317881.888923666</v>
      </c>
      <c r="D106">
        <v>103</v>
      </c>
      <c r="E106" s="13">
        <f>1-_xlfn.NORM.DIST(D106,$H$3,$I$3,TRUE)</f>
        <v>1.1505767815167545E-6</v>
      </c>
    </row>
    <row r="107" spans="2:5">
      <c r="B107" s="8">
        <v>1982</v>
      </c>
      <c r="C107" s="9">
        <v>1343760.6299748099</v>
      </c>
      <c r="D107">
        <v>104</v>
      </c>
      <c r="E107" s="13">
        <f>1-_xlfn.NORM.DIST(D107,$H$3,$I$3,TRUE)</f>
        <v>7.9332815194899098E-7</v>
      </c>
    </row>
    <row r="108" spans="2:5">
      <c r="B108" s="8">
        <v>1983</v>
      </c>
      <c r="C108" s="9">
        <v>1368384.7154099254</v>
      </c>
      <c r="D108">
        <v>105</v>
      </c>
      <c r="E108" s="13">
        <f>1-_xlfn.NORM.DIST(D108,$H$3,$I$3,TRUE)</f>
        <v>5.4404227556315021E-7</v>
      </c>
    </row>
    <row r="109" spans="2:5">
      <c r="B109" s="8">
        <v>1984</v>
      </c>
      <c r="C109" s="9">
        <v>1391588.8835480448</v>
      </c>
      <c r="D109">
        <v>106</v>
      </c>
      <c r="E109" s="13">
        <f>1-_xlfn.NORM.DIST(D109,$H$3,$I$3,TRUE)</f>
        <v>3.7106740791159609E-7</v>
      </c>
    </row>
    <row r="110" spans="2:5">
      <c r="B110" s="8">
        <v>1985</v>
      </c>
      <c r="C110" s="9">
        <v>1414989.0069484261</v>
      </c>
      <c r="D110">
        <v>107</v>
      </c>
      <c r="E110" s="13">
        <f>1-_xlfn.NORM.DIST(D110,$H$3,$I$3,TRUE)</f>
        <v>2.5171626816256065E-7</v>
      </c>
    </row>
    <row r="111" spans="2:5">
      <c r="B111" s="8">
        <v>1986</v>
      </c>
      <c r="C111" s="9">
        <v>1436834.7673733823</v>
      </c>
      <c r="D111">
        <v>108</v>
      </c>
      <c r="E111" s="13">
        <f>1-_xlfn.NORM.DIST(D111,$H$3,$I$3,TRUE)</f>
        <v>1.698267406702314E-7</v>
      </c>
    </row>
    <row r="112" spans="2:5">
      <c r="B112" s="8">
        <v>1987</v>
      </c>
      <c r="C112" s="9">
        <v>1460693.9580714335</v>
      </c>
      <c r="D112">
        <v>109</v>
      </c>
      <c r="E112" s="13">
        <f>1-_xlfn.NORM.DIST(D112,$H$3,$I$3,TRUE)</f>
        <v>1.1395549048831555E-7</v>
      </c>
    </row>
    <row r="113" spans="2:5">
      <c r="B113" s="8">
        <v>1988</v>
      </c>
      <c r="C113" s="9">
        <v>1482594.5292667579</v>
      </c>
      <c r="D113">
        <v>110</v>
      </c>
      <c r="E113" s="13">
        <f>1-_xlfn.NORM.DIST(D113,$H$3,$I$3,TRUE)</f>
        <v>7.6049605168826417E-8</v>
      </c>
    </row>
    <row r="114" spans="2:5">
      <c r="B114" s="8">
        <v>1989</v>
      </c>
      <c r="C114" s="9">
        <v>1505159.749849343</v>
      </c>
      <c r="D114">
        <v>111</v>
      </c>
      <c r="E114" s="13">
        <f>1-_xlfn.NORM.DIST(D114,$H$3,$I$3,TRUE)</f>
        <v>5.0476519741771142E-8</v>
      </c>
    </row>
    <row r="115" spans="2:5">
      <c r="B115" s="8">
        <v>1990</v>
      </c>
      <c r="C115" s="9">
        <v>1524289.5639477617</v>
      </c>
      <c r="D115">
        <v>112</v>
      </c>
      <c r="E115" s="13">
        <f>1-_xlfn.NORM.DIST(D115,$H$3,$I$3,TRUE)</f>
        <v>3.3320448511453549E-8</v>
      </c>
    </row>
    <row r="116" spans="2:5">
      <c r="B116" s="8">
        <v>1991</v>
      </c>
      <c r="C116" s="9">
        <v>1540245.9763468944</v>
      </c>
      <c r="D116">
        <v>113</v>
      </c>
      <c r="E116" s="13">
        <f>1-_xlfn.NORM.DIST(D116,$H$3,$I$3,TRUE)</f>
        <v>2.1875580569208353E-8</v>
      </c>
    </row>
    <row r="117" spans="2:5">
      <c r="B117" s="8">
        <v>1992</v>
      </c>
      <c r="C117" s="9">
        <v>1551201.7090346084</v>
      </c>
      <c r="D117">
        <v>114</v>
      </c>
      <c r="E117" s="13">
        <f>1-_xlfn.NORM.DIST(D117,$H$3,$I$3,TRUE)</f>
        <v>1.4283479843335556E-8</v>
      </c>
    </row>
    <row r="118" spans="2:5">
      <c r="B118" s="8">
        <v>1993</v>
      </c>
      <c r="C118" s="9">
        <v>1562605.8746096075</v>
      </c>
      <c r="D118">
        <v>115</v>
      </c>
      <c r="E118" s="13">
        <f>1-_xlfn.NORM.DIST(D118,$H$3,$I$3,TRUE)</f>
        <v>9.2753987823712691E-9</v>
      </c>
    </row>
    <row r="119" spans="2:5">
      <c r="B119" s="8">
        <v>1994</v>
      </c>
      <c r="C119" s="9">
        <v>1571774.9965905659</v>
      </c>
      <c r="D119">
        <v>116</v>
      </c>
      <c r="E119" s="13">
        <f>1-_xlfn.NORM.DIST(D119,$H$3,$I$3,TRUE)</f>
        <v>5.9903714211273495E-9</v>
      </c>
    </row>
    <row r="120" spans="2:5">
      <c r="B120" s="8">
        <v>1995</v>
      </c>
      <c r="C120" s="9">
        <v>1579328.5964599177</v>
      </c>
      <c r="D120">
        <v>117</v>
      </c>
      <c r="E120" s="13">
        <f>1-_xlfn.NORM.DIST(D120,$H$3,$I$3,TRUE)</f>
        <v>3.8476543062770929E-9</v>
      </c>
    </row>
    <row r="121" spans="2:5">
      <c r="B121" s="8">
        <v>1996</v>
      </c>
      <c r="C121" s="9">
        <v>1585090.467790815</v>
      </c>
      <c r="D121">
        <v>118</v>
      </c>
      <c r="E121" s="13">
        <f>1-_xlfn.NORM.DIST(D121,$H$3,$I$3,TRUE)</f>
        <v>2.4578650226203536E-9</v>
      </c>
    </row>
    <row r="122" spans="2:5">
      <c r="B122" s="8">
        <v>1997</v>
      </c>
      <c r="C122" s="9">
        <v>1589232.4898749911</v>
      </c>
      <c r="D122">
        <v>119</v>
      </c>
      <c r="E122" s="13">
        <f>1-_xlfn.NORM.DIST(D122,$H$3,$I$3,TRUE)</f>
        <v>1.5614869397495568E-9</v>
      </c>
    </row>
    <row r="123" spans="2:5">
      <c r="B123" s="8">
        <v>1998</v>
      </c>
      <c r="C123" s="9">
        <v>1585115.0897971143</v>
      </c>
      <c r="D123">
        <v>120</v>
      </c>
      <c r="E123" s="13">
        <f>1-_xlfn.NORM.DIST(D123,$H$3,$I$3,TRUE)</f>
        <v>9.8658770042447941E-10</v>
      </c>
    </row>
    <row r="124" spans="2:5">
      <c r="B124" s="8">
        <v>1999</v>
      </c>
      <c r="C124" s="9">
        <v>1581633.7540776941</v>
      </c>
      <c r="D124">
        <v>121</v>
      </c>
      <c r="E124" s="13">
        <f>1-_xlfn.NORM.DIST(D124,$H$3,$I$3,TRUE)</f>
        <v>6.1993865596576825E-10</v>
      </c>
    </row>
    <row r="125" spans="2:5">
      <c r="B125" s="8">
        <v>2000</v>
      </c>
      <c r="C125" s="9">
        <v>1576665.8911700146</v>
      </c>
      <c r="D125">
        <v>122</v>
      </c>
      <c r="E125" s="13">
        <f>1-_xlfn.NORM.DIST(D125,$H$3,$I$3,TRUE)</f>
        <v>3.8741476693360255E-10</v>
      </c>
    </row>
    <row r="126" spans="2:5">
      <c r="B126" s="8">
        <v>2001</v>
      </c>
      <c r="C126" s="9">
        <v>1567597.5126003181</v>
      </c>
      <c r="D126">
        <v>123</v>
      </c>
      <c r="E126" s="13">
        <f>1-_xlfn.NORM.DIST(D126,$H$3,$I$3,TRUE)</f>
        <v>2.4077795313104389E-10</v>
      </c>
    </row>
    <row r="127" spans="2:5">
      <c r="B127" s="8">
        <v>2002</v>
      </c>
      <c r="C127" s="9">
        <v>1557245.2357424945</v>
      </c>
      <c r="D127">
        <v>124</v>
      </c>
      <c r="E127" s="13">
        <f>1-_xlfn.NORM.DIST(D127,$H$3,$I$3,TRUE)</f>
        <v>1.488228429380456E-10</v>
      </c>
    </row>
    <row r="128" spans="2:5">
      <c r="B128" s="8">
        <v>2003</v>
      </c>
      <c r="C128" s="9">
        <v>1546241.882897659</v>
      </c>
      <c r="D128">
        <v>125</v>
      </c>
      <c r="E128" s="13">
        <f>1-_xlfn.NORM.DIST(D128,$H$3,$I$3,TRUE)</f>
        <v>9.1481489050693199E-11</v>
      </c>
    </row>
    <row r="129" spans="2:5">
      <c r="B129" s="8">
        <v>2004</v>
      </c>
      <c r="C129" s="9">
        <v>1534800.875351374</v>
      </c>
      <c r="D129">
        <v>126</v>
      </c>
      <c r="E129" s="13">
        <f>1-_xlfn.NORM.DIST(D129,$H$3,$I$3,TRUE)</f>
        <v>5.5925042374838085E-11</v>
      </c>
    </row>
    <row r="130" spans="2:5">
      <c r="B130" s="8">
        <v>2005</v>
      </c>
      <c r="C130" s="9">
        <v>1521833.06146915</v>
      </c>
      <c r="D130">
        <v>127</v>
      </c>
      <c r="E130" s="13">
        <f>1-_xlfn.NORM.DIST(D130,$H$3,$I$3,TRUE)</f>
        <v>3.4000802173750344E-11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C268-4A8E-4605-9F44-B71D0C4C93CC}">
  <dimension ref="E2:EC130"/>
  <sheetViews>
    <sheetView zoomScale="70" zoomScaleNormal="70" workbookViewId="0">
      <selection activeCell="C1" sqref="C1"/>
    </sheetView>
    <sheetView workbookViewId="1">
      <selection activeCell="F3" sqref="F3"/>
    </sheetView>
  </sheetViews>
  <sheetFormatPr defaultColWidth="5.36328125" defaultRowHeight="14.5"/>
  <cols>
    <col min="6" max="6" width="5.36328125" customWidth="1"/>
  </cols>
  <sheetData>
    <row r="2" spans="5:133">
      <c r="F2" s="7">
        <f>E3</f>
        <v>1878</v>
      </c>
      <c r="G2" s="7">
        <f>F2+1</f>
        <v>1879</v>
      </c>
      <c r="H2" s="7">
        <f t="shared" ref="H2:BS2" si="0">G2+1</f>
        <v>1880</v>
      </c>
      <c r="I2" s="7">
        <f t="shared" si="0"/>
        <v>1881</v>
      </c>
      <c r="J2" s="7">
        <f t="shared" si="0"/>
        <v>1882</v>
      </c>
      <c r="K2" s="7">
        <f t="shared" si="0"/>
        <v>1883</v>
      </c>
      <c r="L2" s="7">
        <f t="shared" si="0"/>
        <v>1884</v>
      </c>
      <c r="M2" s="7">
        <f t="shared" si="0"/>
        <v>1885</v>
      </c>
      <c r="N2" s="7">
        <f t="shared" si="0"/>
        <v>1886</v>
      </c>
      <c r="O2" s="7">
        <f t="shared" si="0"/>
        <v>1887</v>
      </c>
      <c r="P2" s="7">
        <f t="shared" si="0"/>
        <v>1888</v>
      </c>
      <c r="Q2" s="7">
        <f t="shared" si="0"/>
        <v>1889</v>
      </c>
      <c r="R2" s="7">
        <f t="shared" si="0"/>
        <v>1890</v>
      </c>
      <c r="S2" s="7">
        <f t="shared" si="0"/>
        <v>1891</v>
      </c>
      <c r="T2" s="7">
        <f t="shared" si="0"/>
        <v>1892</v>
      </c>
      <c r="U2" s="7">
        <f t="shared" si="0"/>
        <v>1893</v>
      </c>
      <c r="V2" s="7">
        <f t="shared" si="0"/>
        <v>1894</v>
      </c>
      <c r="W2" s="7">
        <f t="shared" si="0"/>
        <v>1895</v>
      </c>
      <c r="X2" s="7">
        <f t="shared" si="0"/>
        <v>1896</v>
      </c>
      <c r="Y2" s="7">
        <f t="shared" si="0"/>
        <v>1897</v>
      </c>
      <c r="Z2" s="7">
        <f t="shared" si="0"/>
        <v>1898</v>
      </c>
      <c r="AA2" s="7">
        <f t="shared" si="0"/>
        <v>1899</v>
      </c>
      <c r="AB2" s="7">
        <f t="shared" si="0"/>
        <v>1900</v>
      </c>
      <c r="AC2" s="7">
        <f t="shared" si="0"/>
        <v>1901</v>
      </c>
      <c r="AD2" s="7">
        <f t="shared" si="0"/>
        <v>1902</v>
      </c>
      <c r="AE2" s="7">
        <f t="shared" si="0"/>
        <v>1903</v>
      </c>
      <c r="AF2" s="7">
        <f t="shared" si="0"/>
        <v>1904</v>
      </c>
      <c r="AG2" s="7">
        <f t="shared" si="0"/>
        <v>1905</v>
      </c>
      <c r="AH2" s="7">
        <f t="shared" si="0"/>
        <v>1906</v>
      </c>
      <c r="AI2" s="7">
        <f t="shared" si="0"/>
        <v>1907</v>
      </c>
      <c r="AJ2" s="7">
        <f t="shared" si="0"/>
        <v>1908</v>
      </c>
      <c r="AK2" s="7">
        <f t="shared" si="0"/>
        <v>1909</v>
      </c>
      <c r="AL2" s="7">
        <f t="shared" si="0"/>
        <v>1910</v>
      </c>
      <c r="AM2" s="7">
        <f t="shared" si="0"/>
        <v>1911</v>
      </c>
      <c r="AN2" s="7">
        <f t="shared" si="0"/>
        <v>1912</v>
      </c>
      <c r="AO2" s="7">
        <f t="shared" si="0"/>
        <v>1913</v>
      </c>
      <c r="AP2" s="7">
        <f t="shared" si="0"/>
        <v>1914</v>
      </c>
      <c r="AQ2" s="7">
        <f t="shared" si="0"/>
        <v>1915</v>
      </c>
      <c r="AR2" s="7">
        <f t="shared" si="0"/>
        <v>1916</v>
      </c>
      <c r="AS2" s="7">
        <f t="shared" si="0"/>
        <v>1917</v>
      </c>
      <c r="AT2" s="7">
        <f t="shared" si="0"/>
        <v>1918</v>
      </c>
      <c r="AU2" s="7">
        <f t="shared" si="0"/>
        <v>1919</v>
      </c>
      <c r="AV2" s="7">
        <f t="shared" si="0"/>
        <v>1920</v>
      </c>
      <c r="AW2" s="7">
        <f t="shared" si="0"/>
        <v>1921</v>
      </c>
      <c r="AX2" s="7">
        <f t="shared" si="0"/>
        <v>1922</v>
      </c>
      <c r="AY2" s="7">
        <f t="shared" si="0"/>
        <v>1923</v>
      </c>
      <c r="AZ2" s="7">
        <f t="shared" si="0"/>
        <v>1924</v>
      </c>
      <c r="BA2" s="7">
        <f t="shared" si="0"/>
        <v>1925</v>
      </c>
      <c r="BB2" s="7">
        <f t="shared" si="0"/>
        <v>1926</v>
      </c>
      <c r="BC2" s="7">
        <f t="shared" si="0"/>
        <v>1927</v>
      </c>
      <c r="BD2" s="7">
        <f t="shared" si="0"/>
        <v>1928</v>
      </c>
      <c r="BE2" s="7">
        <f t="shared" si="0"/>
        <v>1929</v>
      </c>
      <c r="BF2" s="7">
        <f t="shared" si="0"/>
        <v>1930</v>
      </c>
      <c r="BG2" s="7">
        <f t="shared" si="0"/>
        <v>1931</v>
      </c>
      <c r="BH2" s="7">
        <f t="shared" si="0"/>
        <v>1932</v>
      </c>
      <c r="BI2" s="7">
        <f t="shared" si="0"/>
        <v>1933</v>
      </c>
      <c r="BJ2" s="7">
        <f t="shared" si="0"/>
        <v>1934</v>
      </c>
      <c r="BK2" s="7">
        <f t="shared" si="0"/>
        <v>1935</v>
      </c>
      <c r="BL2" s="7">
        <f t="shared" si="0"/>
        <v>1936</v>
      </c>
      <c r="BM2" s="7">
        <f t="shared" si="0"/>
        <v>1937</v>
      </c>
      <c r="BN2" s="7">
        <f t="shared" si="0"/>
        <v>1938</v>
      </c>
      <c r="BO2" s="7">
        <f t="shared" si="0"/>
        <v>1939</v>
      </c>
      <c r="BP2" s="7">
        <f t="shared" si="0"/>
        <v>1940</v>
      </c>
      <c r="BQ2" s="7">
        <f t="shared" si="0"/>
        <v>1941</v>
      </c>
      <c r="BR2" s="7">
        <f t="shared" si="0"/>
        <v>1942</v>
      </c>
      <c r="BS2" s="7">
        <f t="shared" si="0"/>
        <v>1943</v>
      </c>
      <c r="BT2" s="7">
        <f t="shared" ref="BT2:EE2" si="1">BS2+1</f>
        <v>1944</v>
      </c>
      <c r="BU2" s="7">
        <f t="shared" si="1"/>
        <v>1945</v>
      </c>
      <c r="BV2" s="7">
        <f t="shared" si="1"/>
        <v>1946</v>
      </c>
      <c r="BW2" s="7">
        <f t="shared" si="1"/>
        <v>1947</v>
      </c>
      <c r="BX2" s="7">
        <f t="shared" si="1"/>
        <v>1948</v>
      </c>
      <c r="BY2" s="7">
        <f t="shared" si="1"/>
        <v>1949</v>
      </c>
      <c r="BZ2" s="7">
        <f t="shared" si="1"/>
        <v>1950</v>
      </c>
      <c r="CA2" s="7">
        <f t="shared" si="1"/>
        <v>1951</v>
      </c>
      <c r="CB2" s="7">
        <f t="shared" si="1"/>
        <v>1952</v>
      </c>
      <c r="CC2" s="7">
        <f t="shared" si="1"/>
        <v>1953</v>
      </c>
      <c r="CD2" s="7">
        <f t="shared" si="1"/>
        <v>1954</v>
      </c>
      <c r="CE2" s="7">
        <f t="shared" si="1"/>
        <v>1955</v>
      </c>
      <c r="CF2" s="7">
        <f t="shared" si="1"/>
        <v>1956</v>
      </c>
      <c r="CG2" s="7">
        <f t="shared" si="1"/>
        <v>1957</v>
      </c>
      <c r="CH2" s="7">
        <f t="shared" si="1"/>
        <v>1958</v>
      </c>
      <c r="CI2" s="7">
        <f t="shared" si="1"/>
        <v>1959</v>
      </c>
      <c r="CJ2" s="7">
        <f t="shared" si="1"/>
        <v>1960</v>
      </c>
      <c r="CK2" s="7">
        <f t="shared" si="1"/>
        <v>1961</v>
      </c>
      <c r="CL2" s="7">
        <f t="shared" si="1"/>
        <v>1962</v>
      </c>
      <c r="CM2" s="7">
        <f t="shared" si="1"/>
        <v>1963</v>
      </c>
      <c r="CN2" s="7">
        <f t="shared" si="1"/>
        <v>1964</v>
      </c>
      <c r="CO2" s="7">
        <f t="shared" si="1"/>
        <v>1965</v>
      </c>
      <c r="CP2" s="7">
        <f t="shared" si="1"/>
        <v>1966</v>
      </c>
      <c r="CQ2" s="7">
        <f t="shared" si="1"/>
        <v>1967</v>
      </c>
      <c r="CR2" s="7">
        <f t="shared" si="1"/>
        <v>1968</v>
      </c>
      <c r="CS2" s="7">
        <f t="shared" si="1"/>
        <v>1969</v>
      </c>
      <c r="CT2" s="7">
        <f t="shared" si="1"/>
        <v>1970</v>
      </c>
      <c r="CU2" s="7">
        <f t="shared" si="1"/>
        <v>1971</v>
      </c>
      <c r="CV2" s="7">
        <f t="shared" si="1"/>
        <v>1972</v>
      </c>
      <c r="CW2" s="7">
        <f t="shared" si="1"/>
        <v>1973</v>
      </c>
      <c r="CX2" s="7">
        <f t="shared" si="1"/>
        <v>1974</v>
      </c>
      <c r="CY2" s="7">
        <f t="shared" si="1"/>
        <v>1975</v>
      </c>
      <c r="CZ2" s="7">
        <f t="shared" si="1"/>
        <v>1976</v>
      </c>
      <c r="DA2" s="7">
        <f t="shared" si="1"/>
        <v>1977</v>
      </c>
      <c r="DB2" s="7">
        <f t="shared" si="1"/>
        <v>1978</v>
      </c>
      <c r="DC2" s="7">
        <f t="shared" si="1"/>
        <v>1979</v>
      </c>
      <c r="DD2" s="7">
        <f t="shared" si="1"/>
        <v>1980</v>
      </c>
      <c r="DE2" s="7">
        <f t="shared" si="1"/>
        <v>1981</v>
      </c>
      <c r="DF2" s="7">
        <f t="shared" si="1"/>
        <v>1982</v>
      </c>
      <c r="DG2" s="7">
        <f t="shared" si="1"/>
        <v>1983</v>
      </c>
      <c r="DH2" s="7">
        <f t="shared" si="1"/>
        <v>1984</v>
      </c>
      <c r="DI2" s="7">
        <f t="shared" si="1"/>
        <v>1985</v>
      </c>
      <c r="DJ2" s="7">
        <f t="shared" si="1"/>
        <v>1986</v>
      </c>
      <c r="DK2" s="7">
        <f t="shared" si="1"/>
        <v>1987</v>
      </c>
      <c r="DL2" s="7">
        <f t="shared" si="1"/>
        <v>1988</v>
      </c>
      <c r="DM2" s="7">
        <f t="shared" si="1"/>
        <v>1989</v>
      </c>
      <c r="DN2" s="7">
        <f t="shared" si="1"/>
        <v>1990</v>
      </c>
      <c r="DO2" s="7">
        <f t="shared" si="1"/>
        <v>1991</v>
      </c>
      <c r="DP2" s="7">
        <f t="shared" si="1"/>
        <v>1992</v>
      </c>
      <c r="DQ2" s="7">
        <f t="shared" si="1"/>
        <v>1993</v>
      </c>
      <c r="DR2" s="7">
        <f t="shared" si="1"/>
        <v>1994</v>
      </c>
      <c r="DS2" s="7">
        <f t="shared" si="1"/>
        <v>1995</v>
      </c>
      <c r="DT2" s="7">
        <f t="shared" si="1"/>
        <v>1996</v>
      </c>
      <c r="DU2" s="7">
        <f t="shared" si="1"/>
        <v>1997</v>
      </c>
      <c r="DV2" s="7">
        <f t="shared" si="1"/>
        <v>1998</v>
      </c>
      <c r="DW2" s="7">
        <f t="shared" si="1"/>
        <v>1999</v>
      </c>
      <c r="DX2" s="7">
        <f t="shared" si="1"/>
        <v>2000</v>
      </c>
      <c r="DY2" s="7">
        <f t="shared" si="1"/>
        <v>2001</v>
      </c>
      <c r="DZ2" s="7">
        <f t="shared" si="1"/>
        <v>2002</v>
      </c>
      <c r="EA2" s="7">
        <f t="shared" si="1"/>
        <v>2003</v>
      </c>
      <c r="EB2" s="7">
        <f t="shared" si="1"/>
        <v>2004</v>
      </c>
      <c r="EC2" s="7">
        <f t="shared" si="1"/>
        <v>2005</v>
      </c>
    </row>
    <row r="3" spans="5:133">
      <c r="E3" s="7">
        <f>'data input'!B3</f>
        <v>1878</v>
      </c>
      <c r="F3" s="5">
        <f>IF($E3&gt;=F$2,VLOOKUP($E3-F$2,'data input'!$D$3:$E$130,2,FALSE),0)</f>
        <v>0.9986501019683699</v>
      </c>
      <c r="G3" s="5">
        <f>IF($E3&gt;=G$2,VLOOKUP($E3-G$2,'data input'!$D$3:$E$130,2,FALSE),0)</f>
        <v>0</v>
      </c>
      <c r="H3" s="5">
        <f>IF($E3&gt;=H$2,VLOOKUP($E3-H$2,'data input'!$D$3:$E$130,2,FALSE),0)</f>
        <v>0</v>
      </c>
      <c r="I3" s="5">
        <f>IF($E3&gt;=I$2,VLOOKUP($E3-I$2,'data input'!$D$3:$E$130,2,FALSE),0)</f>
        <v>0</v>
      </c>
      <c r="J3" s="5">
        <f>IF($E3&gt;=J$2,VLOOKUP($E3-J$2,'data input'!$D$3:$E$130,2,FALSE),0)</f>
        <v>0</v>
      </c>
      <c r="K3" s="5">
        <f>IF($E3&gt;=K$2,VLOOKUP($E3-K$2,'data input'!$D$3:$E$130,2,FALSE),0)</f>
        <v>0</v>
      </c>
      <c r="L3" s="5">
        <f>IF($E3&gt;=L$2,VLOOKUP($E3-L$2,'data input'!$D$3:$E$130,2,FALSE),0)</f>
        <v>0</v>
      </c>
      <c r="M3" s="5">
        <f>IF($E3&gt;=M$2,VLOOKUP($E3-M$2,'data input'!$D$3:$E$130,2,FALSE),0)</f>
        <v>0</v>
      </c>
      <c r="N3" s="5">
        <f>IF($E3&gt;=N$2,VLOOKUP($E3-N$2,'data input'!$D$3:$E$130,2,FALSE),0)</f>
        <v>0</v>
      </c>
      <c r="O3" s="5">
        <f>IF($E3&gt;=O$2,VLOOKUP($E3-O$2,'data input'!$D$3:$E$130,2,FALSE),0)</f>
        <v>0</v>
      </c>
      <c r="P3" s="5">
        <f>IF($E3&gt;=P$2,VLOOKUP($E3-P$2,'data input'!$D$3:$E$130,2,FALSE),0)</f>
        <v>0</v>
      </c>
      <c r="Q3" s="5">
        <f>IF($E3&gt;=Q$2,VLOOKUP($E3-Q$2,'data input'!$D$3:$E$130,2,FALSE),0)</f>
        <v>0</v>
      </c>
      <c r="R3" s="5">
        <f>IF($E3&gt;=R$2,VLOOKUP($E3-R$2,'data input'!$D$3:$E$130,2,FALSE),0)</f>
        <v>0</v>
      </c>
      <c r="S3" s="5">
        <f>IF($E3&gt;=S$2,VLOOKUP($E3-S$2,'data input'!$D$3:$E$130,2,FALSE),0)</f>
        <v>0</v>
      </c>
      <c r="T3" s="5">
        <f>IF($E3&gt;=T$2,VLOOKUP($E3-T$2,'data input'!$D$3:$E$130,2,FALSE),0)</f>
        <v>0</v>
      </c>
      <c r="U3" s="5">
        <f>IF($E3&gt;=U$2,VLOOKUP($E3-U$2,'data input'!$D$3:$E$130,2,FALSE),0)</f>
        <v>0</v>
      </c>
      <c r="V3" s="5">
        <f>IF($E3&gt;=V$2,VLOOKUP($E3-V$2,'data input'!$D$3:$E$130,2,FALSE),0)</f>
        <v>0</v>
      </c>
      <c r="W3" s="5">
        <f>IF($E3&gt;=W$2,VLOOKUP($E3-W$2,'data input'!$D$3:$E$130,2,FALSE),0)</f>
        <v>0</v>
      </c>
      <c r="X3" s="5">
        <f>IF($E3&gt;=X$2,VLOOKUP($E3-X$2,'data input'!$D$3:$E$130,2,FALSE),0)</f>
        <v>0</v>
      </c>
      <c r="Y3" s="5">
        <f>IF($E3&gt;=Y$2,VLOOKUP($E3-Y$2,'data input'!$D$3:$E$130,2,FALSE),0)</f>
        <v>0</v>
      </c>
      <c r="Z3" s="5">
        <f>IF($E3&gt;=Z$2,VLOOKUP($E3-Z$2,'data input'!$D$3:$E$130,2,FALSE),0)</f>
        <v>0</v>
      </c>
      <c r="AA3" s="5">
        <f>IF($E3&gt;=AA$2,VLOOKUP($E3-AA$2,'data input'!$D$3:$E$130,2,FALSE),0)</f>
        <v>0</v>
      </c>
      <c r="AB3" s="5">
        <f>IF($E3&gt;=AB$2,VLOOKUP($E3-AB$2,'data input'!$D$3:$E$130,2,FALSE),0)</f>
        <v>0</v>
      </c>
      <c r="AC3" s="5">
        <f>IF($E3&gt;=AC$2,VLOOKUP($E3-AC$2,'data input'!$D$3:$E$130,2,FALSE),0)</f>
        <v>0</v>
      </c>
      <c r="AD3" s="5">
        <f>IF($E3&gt;=AD$2,VLOOKUP($E3-AD$2,'data input'!$D$3:$E$130,2,FALSE),0)</f>
        <v>0</v>
      </c>
      <c r="AE3" s="5">
        <f>IF($E3&gt;=AE$2,VLOOKUP($E3-AE$2,'data input'!$D$3:$E$130,2,FALSE),0)</f>
        <v>0</v>
      </c>
      <c r="AF3" s="5">
        <f>IF($E3&gt;=AF$2,VLOOKUP($E3-AF$2,'data input'!$D$3:$E$130,2,FALSE),0)</f>
        <v>0</v>
      </c>
      <c r="AG3" s="5">
        <f>IF($E3&gt;=AG$2,VLOOKUP($E3-AG$2,'data input'!$D$3:$E$130,2,FALSE),0)</f>
        <v>0</v>
      </c>
      <c r="AH3" s="5">
        <f>IF($E3&gt;=AH$2,VLOOKUP($E3-AH$2,'data input'!$D$3:$E$130,2,FALSE),0)</f>
        <v>0</v>
      </c>
      <c r="AI3" s="5">
        <f>IF($E3&gt;=AI$2,VLOOKUP($E3-AI$2,'data input'!$D$3:$E$130,2,FALSE),0)</f>
        <v>0</v>
      </c>
      <c r="AJ3" s="5">
        <f>IF($E3&gt;=AJ$2,VLOOKUP($E3-AJ$2,'data input'!$D$3:$E$130,2,FALSE),0)</f>
        <v>0</v>
      </c>
      <c r="AK3" s="5">
        <f>IF($E3&gt;=AK$2,VLOOKUP($E3-AK$2,'data input'!$D$3:$E$130,2,FALSE),0)</f>
        <v>0</v>
      </c>
      <c r="AL3" s="5">
        <f>IF($E3&gt;=AL$2,VLOOKUP($E3-AL$2,'data input'!$D$3:$E$130,2,FALSE),0)</f>
        <v>0</v>
      </c>
      <c r="AM3" s="5">
        <f>IF($E3&gt;=AM$2,VLOOKUP($E3-AM$2,'data input'!$D$3:$E$130,2,FALSE),0)</f>
        <v>0</v>
      </c>
      <c r="AN3" s="5">
        <f>IF($E3&gt;=AN$2,VLOOKUP($E3-AN$2,'data input'!$D$3:$E$130,2,FALSE),0)</f>
        <v>0</v>
      </c>
      <c r="AO3" s="5">
        <f>IF($E3&gt;=AO$2,VLOOKUP($E3-AO$2,'data input'!$D$3:$E$130,2,FALSE),0)</f>
        <v>0</v>
      </c>
      <c r="AP3" s="5">
        <f>IF($E3&gt;=AP$2,VLOOKUP($E3-AP$2,'data input'!$D$3:$E$130,2,FALSE),0)</f>
        <v>0</v>
      </c>
      <c r="AQ3" s="5">
        <f>IF($E3&gt;=AQ$2,VLOOKUP($E3-AQ$2,'data input'!$D$3:$E$130,2,FALSE),0)</f>
        <v>0</v>
      </c>
      <c r="AR3" s="5">
        <f>IF($E3&gt;=AR$2,VLOOKUP($E3-AR$2,'data input'!$D$3:$E$130,2,FALSE),0)</f>
        <v>0</v>
      </c>
      <c r="AS3" s="5">
        <f>IF($E3&gt;=AS$2,VLOOKUP($E3-AS$2,'data input'!$D$3:$E$130,2,FALSE),0)</f>
        <v>0</v>
      </c>
      <c r="AT3" s="5">
        <f>IF($E3&gt;=AT$2,VLOOKUP($E3-AT$2,'data input'!$D$3:$E$130,2,FALSE),0)</f>
        <v>0</v>
      </c>
      <c r="AU3" s="5">
        <f>IF($E3&gt;=AU$2,VLOOKUP($E3-AU$2,'data input'!$D$3:$E$130,2,FALSE),0)</f>
        <v>0</v>
      </c>
      <c r="AV3" s="5">
        <f>IF($E3&gt;=AV$2,VLOOKUP($E3-AV$2,'data input'!$D$3:$E$130,2,FALSE),0)</f>
        <v>0</v>
      </c>
      <c r="AW3" s="5">
        <f>IF($E3&gt;=AW$2,VLOOKUP($E3-AW$2,'data input'!$D$3:$E$130,2,FALSE),0)</f>
        <v>0</v>
      </c>
      <c r="AX3" s="5">
        <f>IF($E3&gt;=AX$2,VLOOKUP($E3-AX$2,'data input'!$D$3:$E$130,2,FALSE),0)</f>
        <v>0</v>
      </c>
      <c r="AY3" s="5">
        <f>IF($E3&gt;=AY$2,VLOOKUP($E3-AY$2,'data input'!$D$3:$E$130,2,FALSE),0)</f>
        <v>0</v>
      </c>
      <c r="AZ3" s="5">
        <f>IF($E3&gt;=AZ$2,VLOOKUP($E3-AZ$2,'data input'!$D$3:$E$130,2,FALSE),0)</f>
        <v>0</v>
      </c>
      <c r="BA3" s="5">
        <f>IF($E3&gt;=BA$2,VLOOKUP($E3-BA$2,'data input'!$D$3:$E$130,2,FALSE),0)</f>
        <v>0</v>
      </c>
      <c r="BB3" s="5">
        <f>IF($E3&gt;=BB$2,VLOOKUP($E3-BB$2,'data input'!$D$3:$E$130,2,FALSE),0)</f>
        <v>0</v>
      </c>
      <c r="BC3" s="5">
        <f>IF($E3&gt;=BC$2,VLOOKUP($E3-BC$2,'data input'!$D$3:$E$130,2,FALSE),0)</f>
        <v>0</v>
      </c>
      <c r="BD3" s="5">
        <f>IF($E3&gt;=BD$2,VLOOKUP($E3-BD$2,'data input'!$D$3:$E$130,2,FALSE),0)</f>
        <v>0</v>
      </c>
      <c r="BE3" s="5">
        <f>IF($E3&gt;=BE$2,VLOOKUP($E3-BE$2,'data input'!$D$3:$E$130,2,FALSE),0)</f>
        <v>0</v>
      </c>
      <c r="BF3" s="5">
        <f>IF($E3&gt;=BF$2,VLOOKUP($E3-BF$2,'data input'!$D$3:$E$130,2,FALSE),0)</f>
        <v>0</v>
      </c>
      <c r="BG3" s="5">
        <f>IF($E3&gt;=BG$2,VLOOKUP($E3-BG$2,'data input'!$D$3:$E$130,2,FALSE),0)</f>
        <v>0</v>
      </c>
      <c r="BH3" s="5">
        <f>IF($E3&gt;=BH$2,VLOOKUP($E3-BH$2,'data input'!$D$3:$E$130,2,FALSE),0)</f>
        <v>0</v>
      </c>
      <c r="BI3" s="5">
        <f>IF($E3&gt;=BI$2,VLOOKUP($E3-BI$2,'data input'!$D$3:$E$130,2,FALSE),0)</f>
        <v>0</v>
      </c>
      <c r="BJ3" s="5">
        <f>IF($E3&gt;=BJ$2,VLOOKUP($E3-BJ$2,'data input'!$D$3:$E$130,2,FALSE),0)</f>
        <v>0</v>
      </c>
      <c r="BK3" s="5">
        <f>IF($E3&gt;=BK$2,VLOOKUP($E3-BK$2,'data input'!$D$3:$E$130,2,FALSE),0)</f>
        <v>0</v>
      </c>
      <c r="BL3" s="5">
        <f>IF($E3&gt;=BL$2,VLOOKUP($E3-BL$2,'data input'!$D$3:$E$130,2,FALSE),0)</f>
        <v>0</v>
      </c>
      <c r="BM3" s="5">
        <f>IF($E3&gt;=BM$2,VLOOKUP($E3-BM$2,'data input'!$D$3:$E$130,2,FALSE),0)</f>
        <v>0</v>
      </c>
      <c r="BN3" s="5">
        <f>IF($E3&gt;=BN$2,VLOOKUP($E3-BN$2,'data input'!$D$3:$E$130,2,FALSE),0)</f>
        <v>0</v>
      </c>
      <c r="BO3" s="5">
        <f>IF($E3&gt;=BO$2,VLOOKUP($E3-BO$2,'data input'!$D$3:$E$130,2,FALSE),0)</f>
        <v>0</v>
      </c>
      <c r="BP3" s="5">
        <f>IF($E3&gt;=BP$2,VLOOKUP($E3-BP$2,'data input'!$D$3:$E$130,2,FALSE),0)</f>
        <v>0</v>
      </c>
      <c r="BQ3" s="5">
        <f>IF($E3&gt;=BQ$2,VLOOKUP($E3-BQ$2,'data input'!$D$3:$E$130,2,FALSE),0)</f>
        <v>0</v>
      </c>
      <c r="BR3" s="5">
        <f>IF($E3&gt;=BR$2,VLOOKUP($E3-BR$2,'data input'!$D$3:$E$130,2,FALSE),0)</f>
        <v>0</v>
      </c>
      <c r="BS3" s="5">
        <f>IF($E3&gt;=BS$2,VLOOKUP($E3-BS$2,'data input'!$D$3:$E$130,2,FALSE),0)</f>
        <v>0</v>
      </c>
      <c r="BT3" s="5">
        <f>IF($E3&gt;=BT$2,VLOOKUP($E3-BT$2,'data input'!$D$3:$E$130,2,FALSE),0)</f>
        <v>0</v>
      </c>
      <c r="BU3" s="5">
        <f>IF($E3&gt;=BU$2,VLOOKUP($E3-BU$2,'data input'!$D$3:$E$130,2,FALSE),0)</f>
        <v>0</v>
      </c>
      <c r="BV3" s="5">
        <f>IF($E3&gt;=BV$2,VLOOKUP($E3-BV$2,'data input'!$D$3:$E$130,2,FALSE),0)</f>
        <v>0</v>
      </c>
      <c r="BW3" s="5">
        <f>IF($E3&gt;=BW$2,VLOOKUP($E3-BW$2,'data input'!$D$3:$E$130,2,FALSE),0)</f>
        <v>0</v>
      </c>
      <c r="BX3" s="5">
        <f>IF($E3&gt;=BX$2,VLOOKUP($E3-BX$2,'data input'!$D$3:$E$130,2,FALSE),0)</f>
        <v>0</v>
      </c>
      <c r="BY3" s="5">
        <f>IF($E3&gt;=BY$2,VLOOKUP($E3-BY$2,'data input'!$D$3:$E$130,2,FALSE),0)</f>
        <v>0</v>
      </c>
      <c r="BZ3" s="5">
        <f>IF($E3&gt;=BZ$2,VLOOKUP($E3-BZ$2,'data input'!$D$3:$E$130,2,FALSE),0)</f>
        <v>0</v>
      </c>
      <c r="CA3" s="5">
        <f>IF($E3&gt;=CA$2,VLOOKUP($E3-CA$2,'data input'!$D$3:$E$130,2,FALSE),0)</f>
        <v>0</v>
      </c>
      <c r="CB3" s="5">
        <f>IF($E3&gt;=CB$2,VLOOKUP($E3-CB$2,'data input'!$D$3:$E$130,2,FALSE),0)</f>
        <v>0</v>
      </c>
      <c r="CC3" s="5">
        <f>IF($E3&gt;=CC$2,VLOOKUP($E3-CC$2,'data input'!$D$3:$E$130,2,FALSE),0)</f>
        <v>0</v>
      </c>
      <c r="CD3" s="5">
        <f>IF($E3&gt;=CD$2,VLOOKUP($E3-CD$2,'data input'!$D$3:$E$130,2,FALSE),0)</f>
        <v>0</v>
      </c>
      <c r="CE3" s="5">
        <f>IF($E3&gt;=CE$2,VLOOKUP($E3-CE$2,'data input'!$D$3:$E$130,2,FALSE),0)</f>
        <v>0</v>
      </c>
      <c r="CF3" s="5">
        <f>IF($E3&gt;=CF$2,VLOOKUP($E3-CF$2,'data input'!$D$3:$E$130,2,FALSE),0)</f>
        <v>0</v>
      </c>
      <c r="CG3" s="5">
        <f>IF($E3&gt;=CG$2,VLOOKUP($E3-CG$2,'data input'!$D$3:$E$130,2,FALSE),0)</f>
        <v>0</v>
      </c>
      <c r="CH3" s="5">
        <f>IF($E3&gt;=CH$2,VLOOKUP($E3-CH$2,'data input'!$D$3:$E$130,2,FALSE),0)</f>
        <v>0</v>
      </c>
      <c r="CI3" s="5">
        <f>IF($E3&gt;=CI$2,VLOOKUP($E3-CI$2,'data input'!$D$3:$E$130,2,FALSE),0)</f>
        <v>0</v>
      </c>
      <c r="CJ3" s="5">
        <f>IF($E3&gt;=CJ$2,VLOOKUP($E3-CJ$2,'data input'!$D$3:$E$130,2,FALSE),0)</f>
        <v>0</v>
      </c>
      <c r="CK3" s="5">
        <f>IF($E3&gt;=CK$2,VLOOKUP($E3-CK$2,'data input'!$D$3:$E$130,2,FALSE),0)</f>
        <v>0</v>
      </c>
      <c r="CL3" s="5">
        <f>IF($E3&gt;=CL$2,VLOOKUP($E3-CL$2,'data input'!$D$3:$E$130,2,FALSE),0)</f>
        <v>0</v>
      </c>
      <c r="CM3" s="5">
        <f>IF($E3&gt;=CM$2,VLOOKUP($E3-CM$2,'data input'!$D$3:$E$130,2,FALSE),0)</f>
        <v>0</v>
      </c>
      <c r="CN3" s="5">
        <f>IF($E3&gt;=CN$2,VLOOKUP($E3-CN$2,'data input'!$D$3:$E$130,2,FALSE),0)</f>
        <v>0</v>
      </c>
      <c r="CO3" s="5">
        <f>IF($E3&gt;=CO$2,VLOOKUP($E3-CO$2,'data input'!$D$3:$E$130,2,FALSE),0)</f>
        <v>0</v>
      </c>
      <c r="CP3" s="5">
        <f>IF($E3&gt;=CP$2,VLOOKUP($E3-CP$2,'data input'!$D$3:$E$130,2,FALSE),0)</f>
        <v>0</v>
      </c>
      <c r="CQ3" s="5">
        <f>IF($E3&gt;=CQ$2,VLOOKUP($E3-CQ$2,'data input'!$D$3:$E$130,2,FALSE),0)</f>
        <v>0</v>
      </c>
      <c r="CR3" s="5">
        <f>IF($E3&gt;=CR$2,VLOOKUP($E3-CR$2,'data input'!$D$3:$E$130,2,FALSE),0)</f>
        <v>0</v>
      </c>
      <c r="CS3" s="5">
        <f>IF($E3&gt;=CS$2,VLOOKUP($E3-CS$2,'data input'!$D$3:$E$130,2,FALSE),0)</f>
        <v>0</v>
      </c>
      <c r="CT3" s="5">
        <f>IF($E3&gt;=CT$2,VLOOKUP($E3-CT$2,'data input'!$D$3:$E$130,2,FALSE),0)</f>
        <v>0</v>
      </c>
      <c r="CU3" s="5">
        <f>IF($E3&gt;=CU$2,VLOOKUP($E3-CU$2,'data input'!$D$3:$E$130,2,FALSE),0)</f>
        <v>0</v>
      </c>
      <c r="CV3" s="5">
        <f>IF($E3&gt;=CV$2,VLOOKUP($E3-CV$2,'data input'!$D$3:$E$130,2,FALSE),0)</f>
        <v>0</v>
      </c>
      <c r="CW3" s="5">
        <f>IF($E3&gt;=CW$2,VLOOKUP($E3-CW$2,'data input'!$D$3:$E$130,2,FALSE),0)</f>
        <v>0</v>
      </c>
      <c r="CX3" s="5">
        <f>IF($E3&gt;=CX$2,VLOOKUP($E3-CX$2,'data input'!$D$3:$E$130,2,FALSE),0)</f>
        <v>0</v>
      </c>
      <c r="CY3" s="5">
        <f>IF($E3&gt;=CY$2,VLOOKUP($E3-CY$2,'data input'!$D$3:$E$130,2,FALSE),0)</f>
        <v>0</v>
      </c>
      <c r="CZ3" s="5">
        <f>IF($E3&gt;=CZ$2,VLOOKUP($E3-CZ$2,'data input'!$D$3:$E$130,2,FALSE),0)</f>
        <v>0</v>
      </c>
      <c r="DA3" s="5">
        <f>IF($E3&gt;=DA$2,VLOOKUP($E3-DA$2,'data input'!$D$3:$E$130,2,FALSE),0)</f>
        <v>0</v>
      </c>
      <c r="DB3" s="5">
        <f>IF($E3&gt;=DB$2,VLOOKUP($E3-DB$2,'data input'!$D$3:$E$130,2,FALSE),0)</f>
        <v>0</v>
      </c>
      <c r="DC3" s="5">
        <f>IF($E3&gt;=DC$2,VLOOKUP($E3-DC$2,'data input'!$D$3:$E$130,2,FALSE),0)</f>
        <v>0</v>
      </c>
      <c r="DD3" s="5">
        <f>IF($E3&gt;=DD$2,VLOOKUP($E3-DD$2,'data input'!$D$3:$E$130,2,FALSE),0)</f>
        <v>0</v>
      </c>
      <c r="DE3" s="5">
        <f>IF($E3&gt;=DE$2,VLOOKUP($E3-DE$2,'data input'!$D$3:$E$130,2,FALSE),0)</f>
        <v>0</v>
      </c>
      <c r="DF3" s="5">
        <f>IF($E3&gt;=DF$2,VLOOKUP($E3-DF$2,'data input'!$D$3:$E$130,2,FALSE),0)</f>
        <v>0</v>
      </c>
      <c r="DG3" s="5">
        <f>IF($E3&gt;=DG$2,VLOOKUP($E3-DG$2,'data input'!$D$3:$E$130,2,FALSE),0)</f>
        <v>0</v>
      </c>
      <c r="DH3" s="5">
        <f>IF($E3&gt;=DH$2,VLOOKUP($E3-DH$2,'data input'!$D$3:$E$130,2,FALSE),0)</f>
        <v>0</v>
      </c>
      <c r="DI3" s="5">
        <f>IF($E3&gt;=DI$2,VLOOKUP($E3-DI$2,'data input'!$D$3:$E$130,2,FALSE),0)</f>
        <v>0</v>
      </c>
      <c r="DJ3" s="5">
        <f>IF($E3&gt;=DJ$2,VLOOKUP($E3-DJ$2,'data input'!$D$3:$E$130,2,FALSE),0)</f>
        <v>0</v>
      </c>
      <c r="DK3" s="5">
        <f>IF($E3&gt;=DK$2,VLOOKUP($E3-DK$2,'data input'!$D$3:$E$130,2,FALSE),0)</f>
        <v>0</v>
      </c>
      <c r="DL3" s="5">
        <f>IF($E3&gt;=DL$2,VLOOKUP($E3-DL$2,'data input'!$D$3:$E$130,2,FALSE),0)</f>
        <v>0</v>
      </c>
      <c r="DM3" s="5">
        <f>IF($E3&gt;=DM$2,VLOOKUP($E3-DM$2,'data input'!$D$3:$E$130,2,FALSE),0)</f>
        <v>0</v>
      </c>
      <c r="DN3" s="5">
        <f>IF($E3&gt;=DN$2,VLOOKUP($E3-DN$2,'data input'!$D$3:$E$130,2,FALSE),0)</f>
        <v>0</v>
      </c>
      <c r="DO3" s="5">
        <f>IF($E3&gt;=DO$2,VLOOKUP($E3-DO$2,'data input'!$D$3:$E$130,2,FALSE),0)</f>
        <v>0</v>
      </c>
      <c r="DP3" s="5">
        <f>IF($E3&gt;=DP$2,VLOOKUP($E3-DP$2,'data input'!$D$3:$E$130,2,FALSE),0)</f>
        <v>0</v>
      </c>
      <c r="DQ3" s="5">
        <f>IF($E3&gt;=DQ$2,VLOOKUP($E3-DQ$2,'data input'!$D$3:$E$130,2,FALSE),0)</f>
        <v>0</v>
      </c>
      <c r="DR3" s="5">
        <f>IF($E3&gt;=DR$2,VLOOKUP($E3-DR$2,'data input'!$D$3:$E$130,2,FALSE),0)</f>
        <v>0</v>
      </c>
      <c r="DS3" s="5">
        <f>IF($E3&gt;=DS$2,VLOOKUP($E3-DS$2,'data input'!$D$3:$E$130,2,FALSE),0)</f>
        <v>0</v>
      </c>
      <c r="DT3" s="5">
        <f>IF($E3&gt;=DT$2,VLOOKUP($E3-DT$2,'data input'!$D$3:$E$130,2,FALSE),0)</f>
        <v>0</v>
      </c>
      <c r="DU3" s="5">
        <f>IF($E3&gt;=DU$2,VLOOKUP($E3-DU$2,'data input'!$D$3:$E$130,2,FALSE),0)</f>
        <v>0</v>
      </c>
      <c r="DV3" s="5">
        <f>IF($E3&gt;=DV$2,VLOOKUP($E3-DV$2,'data input'!$D$3:$E$130,2,FALSE),0)</f>
        <v>0</v>
      </c>
      <c r="DW3" s="5">
        <f>IF($E3&gt;=DW$2,VLOOKUP($E3-DW$2,'data input'!$D$3:$E$130,2,FALSE),0)</f>
        <v>0</v>
      </c>
      <c r="DX3" s="5">
        <f>IF($E3&gt;=DX$2,VLOOKUP($E3-DX$2,'data input'!$D$3:$E$130,2,FALSE),0)</f>
        <v>0</v>
      </c>
      <c r="DY3" s="5">
        <f>IF($E3&gt;=DY$2,VLOOKUP($E3-DY$2,'data input'!$D$3:$E$130,2,FALSE),0)</f>
        <v>0</v>
      </c>
      <c r="DZ3" s="5">
        <f>IF($E3&gt;=DZ$2,VLOOKUP($E3-DZ$2,'data input'!$D$3:$E$130,2,FALSE),0)</f>
        <v>0</v>
      </c>
      <c r="EA3" s="5">
        <f>IF($E3&gt;=EA$2,VLOOKUP($E3-EA$2,'data input'!$D$3:$E$130,2,FALSE),0)</f>
        <v>0</v>
      </c>
      <c r="EB3" s="5">
        <f>IF($E3&gt;=EB$2,VLOOKUP($E3-EB$2,'data input'!$D$3:$E$130,2,FALSE),0)</f>
        <v>0</v>
      </c>
      <c r="EC3" s="5">
        <f>IF($E3&gt;=EC$2,VLOOKUP($E3-EC$2,'data input'!$D$3:$E$130,2,FALSE),0)</f>
        <v>0</v>
      </c>
    </row>
    <row r="4" spans="5:133">
      <c r="E4" s="7">
        <f>'data input'!B4</f>
        <v>1879</v>
      </c>
      <c r="F4" s="5">
        <f>IF($E4&gt;=F$2,VLOOKUP($E4-F$2,'data input'!$D$3:$E$130,2,FALSE),0)</f>
        <v>0.99827771888413241</v>
      </c>
      <c r="G4" s="5">
        <f>IF($E4&gt;=G$2,VLOOKUP($E4-G$2,'data input'!$D$3:$E$130,2,FALSE),0)</f>
        <v>0.9986501019683699</v>
      </c>
      <c r="H4" s="5">
        <f>IF($E4&gt;=H$2,VLOOKUP($E4-H$2,'data input'!$D$3:$E$130,2,FALSE),0)</f>
        <v>0</v>
      </c>
      <c r="I4" s="5">
        <f>IF($E4&gt;=I$2,VLOOKUP($E4-I$2,'data input'!$D$3:$E$130,2,FALSE),0)</f>
        <v>0</v>
      </c>
      <c r="J4" s="5">
        <f>IF($E4&gt;=J$2,VLOOKUP($E4-J$2,'data input'!$D$3:$E$130,2,FALSE),0)</f>
        <v>0</v>
      </c>
      <c r="K4" s="5">
        <f>IF($E4&gt;=K$2,VLOOKUP($E4-K$2,'data input'!$D$3:$E$130,2,FALSE),0)</f>
        <v>0</v>
      </c>
      <c r="L4" s="5">
        <f>IF($E4&gt;=L$2,VLOOKUP($E4-L$2,'data input'!$D$3:$E$130,2,FALSE),0)</f>
        <v>0</v>
      </c>
      <c r="M4" s="5">
        <f>IF($E4&gt;=M$2,VLOOKUP($E4-M$2,'data input'!$D$3:$E$130,2,FALSE),0)</f>
        <v>0</v>
      </c>
      <c r="N4" s="5">
        <f>IF($E4&gt;=N$2,VLOOKUP($E4-N$2,'data input'!$D$3:$E$130,2,FALSE),0)</f>
        <v>0</v>
      </c>
      <c r="O4" s="5">
        <f>IF($E4&gt;=O$2,VLOOKUP($E4-O$2,'data input'!$D$3:$E$130,2,FALSE),0)</f>
        <v>0</v>
      </c>
      <c r="P4" s="5">
        <f>IF($E4&gt;=P$2,VLOOKUP($E4-P$2,'data input'!$D$3:$E$130,2,FALSE),0)</f>
        <v>0</v>
      </c>
      <c r="Q4" s="5">
        <f>IF($E4&gt;=Q$2,VLOOKUP($E4-Q$2,'data input'!$D$3:$E$130,2,FALSE),0)</f>
        <v>0</v>
      </c>
      <c r="R4" s="5">
        <f>IF($E4&gt;=R$2,VLOOKUP($E4-R$2,'data input'!$D$3:$E$130,2,FALSE),0)</f>
        <v>0</v>
      </c>
      <c r="S4" s="5">
        <f>IF($E4&gt;=S$2,VLOOKUP($E4-S$2,'data input'!$D$3:$E$130,2,FALSE),0)</f>
        <v>0</v>
      </c>
      <c r="T4" s="5">
        <f>IF($E4&gt;=T$2,VLOOKUP($E4-T$2,'data input'!$D$3:$E$130,2,FALSE),0)</f>
        <v>0</v>
      </c>
      <c r="U4" s="5">
        <f>IF($E4&gt;=U$2,VLOOKUP($E4-U$2,'data input'!$D$3:$E$130,2,FALSE),0)</f>
        <v>0</v>
      </c>
      <c r="V4" s="5">
        <f>IF($E4&gt;=V$2,VLOOKUP($E4-V$2,'data input'!$D$3:$E$130,2,FALSE),0)</f>
        <v>0</v>
      </c>
      <c r="W4" s="5">
        <f>IF($E4&gt;=W$2,VLOOKUP($E4-W$2,'data input'!$D$3:$E$130,2,FALSE),0)</f>
        <v>0</v>
      </c>
      <c r="X4" s="5">
        <f>IF($E4&gt;=X$2,VLOOKUP($E4-X$2,'data input'!$D$3:$E$130,2,FALSE),0)</f>
        <v>0</v>
      </c>
      <c r="Y4" s="5">
        <f>IF($E4&gt;=Y$2,VLOOKUP($E4-Y$2,'data input'!$D$3:$E$130,2,FALSE),0)</f>
        <v>0</v>
      </c>
      <c r="Z4" s="5">
        <f>IF($E4&gt;=Z$2,VLOOKUP($E4-Z$2,'data input'!$D$3:$E$130,2,FALSE),0)</f>
        <v>0</v>
      </c>
      <c r="AA4" s="5">
        <f>IF($E4&gt;=AA$2,VLOOKUP($E4-AA$2,'data input'!$D$3:$E$130,2,FALSE),0)</f>
        <v>0</v>
      </c>
      <c r="AB4" s="5">
        <f>IF($E4&gt;=AB$2,VLOOKUP($E4-AB$2,'data input'!$D$3:$E$130,2,FALSE),0)</f>
        <v>0</v>
      </c>
      <c r="AC4" s="5">
        <f>IF($E4&gt;=AC$2,VLOOKUP($E4-AC$2,'data input'!$D$3:$E$130,2,FALSE),0)</f>
        <v>0</v>
      </c>
      <c r="AD4" s="5">
        <f>IF($E4&gt;=AD$2,VLOOKUP($E4-AD$2,'data input'!$D$3:$E$130,2,FALSE),0)</f>
        <v>0</v>
      </c>
      <c r="AE4" s="5">
        <f>IF($E4&gt;=AE$2,VLOOKUP($E4-AE$2,'data input'!$D$3:$E$130,2,FALSE),0)</f>
        <v>0</v>
      </c>
      <c r="AF4" s="5">
        <f>IF($E4&gt;=AF$2,VLOOKUP($E4-AF$2,'data input'!$D$3:$E$130,2,FALSE),0)</f>
        <v>0</v>
      </c>
      <c r="AG4" s="5">
        <f>IF($E4&gt;=AG$2,VLOOKUP($E4-AG$2,'data input'!$D$3:$E$130,2,FALSE),0)</f>
        <v>0</v>
      </c>
      <c r="AH4" s="5">
        <f>IF($E4&gt;=AH$2,VLOOKUP($E4-AH$2,'data input'!$D$3:$E$130,2,FALSE),0)</f>
        <v>0</v>
      </c>
      <c r="AI4" s="5">
        <f>IF($E4&gt;=AI$2,VLOOKUP($E4-AI$2,'data input'!$D$3:$E$130,2,FALSE),0)</f>
        <v>0</v>
      </c>
      <c r="AJ4" s="5">
        <f>IF($E4&gt;=AJ$2,VLOOKUP($E4-AJ$2,'data input'!$D$3:$E$130,2,FALSE),0)</f>
        <v>0</v>
      </c>
      <c r="AK4" s="5">
        <f>IF($E4&gt;=AK$2,VLOOKUP($E4-AK$2,'data input'!$D$3:$E$130,2,FALSE),0)</f>
        <v>0</v>
      </c>
      <c r="AL4" s="5">
        <f>IF($E4&gt;=AL$2,VLOOKUP($E4-AL$2,'data input'!$D$3:$E$130,2,FALSE),0)</f>
        <v>0</v>
      </c>
      <c r="AM4" s="5">
        <f>IF($E4&gt;=AM$2,VLOOKUP($E4-AM$2,'data input'!$D$3:$E$130,2,FALSE),0)</f>
        <v>0</v>
      </c>
      <c r="AN4" s="5">
        <f>IF($E4&gt;=AN$2,VLOOKUP($E4-AN$2,'data input'!$D$3:$E$130,2,FALSE),0)</f>
        <v>0</v>
      </c>
      <c r="AO4" s="5">
        <f>IF($E4&gt;=AO$2,VLOOKUP($E4-AO$2,'data input'!$D$3:$E$130,2,FALSE),0)</f>
        <v>0</v>
      </c>
      <c r="AP4" s="5">
        <f>IF($E4&gt;=AP$2,VLOOKUP($E4-AP$2,'data input'!$D$3:$E$130,2,FALSE),0)</f>
        <v>0</v>
      </c>
      <c r="AQ4" s="5">
        <f>IF($E4&gt;=AQ$2,VLOOKUP($E4-AQ$2,'data input'!$D$3:$E$130,2,FALSE),0)</f>
        <v>0</v>
      </c>
      <c r="AR4" s="5">
        <f>IF($E4&gt;=AR$2,VLOOKUP($E4-AR$2,'data input'!$D$3:$E$130,2,FALSE),0)</f>
        <v>0</v>
      </c>
      <c r="AS4" s="5">
        <f>IF($E4&gt;=AS$2,VLOOKUP($E4-AS$2,'data input'!$D$3:$E$130,2,FALSE),0)</f>
        <v>0</v>
      </c>
      <c r="AT4" s="5">
        <f>IF($E4&gt;=AT$2,VLOOKUP($E4-AT$2,'data input'!$D$3:$E$130,2,FALSE),0)</f>
        <v>0</v>
      </c>
      <c r="AU4" s="5">
        <f>IF($E4&gt;=AU$2,VLOOKUP($E4-AU$2,'data input'!$D$3:$E$130,2,FALSE),0)</f>
        <v>0</v>
      </c>
      <c r="AV4" s="5">
        <f>IF($E4&gt;=AV$2,VLOOKUP($E4-AV$2,'data input'!$D$3:$E$130,2,FALSE),0)</f>
        <v>0</v>
      </c>
      <c r="AW4" s="5">
        <f>IF($E4&gt;=AW$2,VLOOKUP($E4-AW$2,'data input'!$D$3:$E$130,2,FALSE),0)</f>
        <v>0</v>
      </c>
      <c r="AX4" s="5">
        <f>IF($E4&gt;=AX$2,VLOOKUP($E4-AX$2,'data input'!$D$3:$E$130,2,FALSE),0)</f>
        <v>0</v>
      </c>
      <c r="AY4" s="5">
        <f>IF($E4&gt;=AY$2,VLOOKUP($E4-AY$2,'data input'!$D$3:$E$130,2,FALSE),0)</f>
        <v>0</v>
      </c>
      <c r="AZ4" s="5">
        <f>IF($E4&gt;=AZ$2,VLOOKUP($E4-AZ$2,'data input'!$D$3:$E$130,2,FALSE),0)</f>
        <v>0</v>
      </c>
      <c r="BA4" s="5">
        <f>IF($E4&gt;=BA$2,VLOOKUP($E4-BA$2,'data input'!$D$3:$E$130,2,FALSE),0)</f>
        <v>0</v>
      </c>
      <c r="BB4" s="5">
        <f>IF($E4&gt;=BB$2,VLOOKUP($E4-BB$2,'data input'!$D$3:$E$130,2,FALSE),0)</f>
        <v>0</v>
      </c>
      <c r="BC4" s="5">
        <f>IF($E4&gt;=BC$2,VLOOKUP($E4-BC$2,'data input'!$D$3:$E$130,2,FALSE),0)</f>
        <v>0</v>
      </c>
      <c r="BD4" s="5">
        <f>IF($E4&gt;=BD$2,VLOOKUP($E4-BD$2,'data input'!$D$3:$E$130,2,FALSE),0)</f>
        <v>0</v>
      </c>
      <c r="BE4" s="5">
        <f>IF($E4&gt;=BE$2,VLOOKUP($E4-BE$2,'data input'!$D$3:$E$130,2,FALSE),0)</f>
        <v>0</v>
      </c>
      <c r="BF4" s="5">
        <f>IF($E4&gt;=BF$2,VLOOKUP($E4-BF$2,'data input'!$D$3:$E$130,2,FALSE),0)</f>
        <v>0</v>
      </c>
      <c r="BG4" s="5">
        <f>IF($E4&gt;=BG$2,VLOOKUP($E4-BG$2,'data input'!$D$3:$E$130,2,FALSE),0)</f>
        <v>0</v>
      </c>
      <c r="BH4" s="5">
        <f>IF($E4&gt;=BH$2,VLOOKUP($E4-BH$2,'data input'!$D$3:$E$130,2,FALSE),0)</f>
        <v>0</v>
      </c>
      <c r="BI4" s="5">
        <f>IF($E4&gt;=BI$2,VLOOKUP($E4-BI$2,'data input'!$D$3:$E$130,2,FALSE),0)</f>
        <v>0</v>
      </c>
      <c r="BJ4" s="5">
        <f>IF($E4&gt;=BJ$2,VLOOKUP($E4-BJ$2,'data input'!$D$3:$E$130,2,FALSE),0)</f>
        <v>0</v>
      </c>
      <c r="BK4" s="5">
        <f>IF($E4&gt;=BK$2,VLOOKUP($E4-BK$2,'data input'!$D$3:$E$130,2,FALSE),0)</f>
        <v>0</v>
      </c>
      <c r="BL4" s="5">
        <f>IF($E4&gt;=BL$2,VLOOKUP($E4-BL$2,'data input'!$D$3:$E$130,2,FALSE),0)</f>
        <v>0</v>
      </c>
      <c r="BM4" s="5">
        <f>IF($E4&gt;=BM$2,VLOOKUP($E4-BM$2,'data input'!$D$3:$E$130,2,FALSE),0)</f>
        <v>0</v>
      </c>
      <c r="BN4" s="5">
        <f>IF($E4&gt;=BN$2,VLOOKUP($E4-BN$2,'data input'!$D$3:$E$130,2,FALSE),0)</f>
        <v>0</v>
      </c>
      <c r="BO4" s="5">
        <f>IF($E4&gt;=BO$2,VLOOKUP($E4-BO$2,'data input'!$D$3:$E$130,2,FALSE),0)</f>
        <v>0</v>
      </c>
      <c r="BP4" s="5">
        <f>IF($E4&gt;=BP$2,VLOOKUP($E4-BP$2,'data input'!$D$3:$E$130,2,FALSE),0)</f>
        <v>0</v>
      </c>
      <c r="BQ4" s="5">
        <f>IF($E4&gt;=BQ$2,VLOOKUP($E4-BQ$2,'data input'!$D$3:$E$130,2,FALSE),0)</f>
        <v>0</v>
      </c>
      <c r="BR4" s="5">
        <f>IF($E4&gt;=BR$2,VLOOKUP($E4-BR$2,'data input'!$D$3:$E$130,2,FALSE),0)</f>
        <v>0</v>
      </c>
      <c r="BS4" s="5">
        <f>IF($E4&gt;=BS$2,VLOOKUP($E4-BS$2,'data input'!$D$3:$E$130,2,FALSE),0)</f>
        <v>0</v>
      </c>
      <c r="BT4" s="5">
        <f>IF($E4&gt;=BT$2,VLOOKUP($E4-BT$2,'data input'!$D$3:$E$130,2,FALSE),0)</f>
        <v>0</v>
      </c>
      <c r="BU4" s="5">
        <f>IF($E4&gt;=BU$2,VLOOKUP($E4-BU$2,'data input'!$D$3:$E$130,2,FALSE),0)</f>
        <v>0</v>
      </c>
      <c r="BV4" s="5">
        <f>IF($E4&gt;=BV$2,VLOOKUP($E4-BV$2,'data input'!$D$3:$E$130,2,FALSE),0)</f>
        <v>0</v>
      </c>
      <c r="BW4" s="5">
        <f>IF($E4&gt;=BW$2,VLOOKUP($E4-BW$2,'data input'!$D$3:$E$130,2,FALSE),0)</f>
        <v>0</v>
      </c>
      <c r="BX4" s="5">
        <f>IF($E4&gt;=BX$2,VLOOKUP($E4-BX$2,'data input'!$D$3:$E$130,2,FALSE),0)</f>
        <v>0</v>
      </c>
      <c r="BY4" s="5">
        <f>IF($E4&gt;=BY$2,VLOOKUP($E4-BY$2,'data input'!$D$3:$E$130,2,FALSE),0)</f>
        <v>0</v>
      </c>
      <c r="BZ4" s="5">
        <f>IF($E4&gt;=BZ$2,VLOOKUP($E4-BZ$2,'data input'!$D$3:$E$130,2,FALSE),0)</f>
        <v>0</v>
      </c>
      <c r="CA4" s="5">
        <f>IF($E4&gt;=CA$2,VLOOKUP($E4-CA$2,'data input'!$D$3:$E$130,2,FALSE),0)</f>
        <v>0</v>
      </c>
      <c r="CB4" s="5">
        <f>IF($E4&gt;=CB$2,VLOOKUP($E4-CB$2,'data input'!$D$3:$E$130,2,FALSE),0)</f>
        <v>0</v>
      </c>
      <c r="CC4" s="5">
        <f>IF($E4&gt;=CC$2,VLOOKUP($E4-CC$2,'data input'!$D$3:$E$130,2,FALSE),0)</f>
        <v>0</v>
      </c>
      <c r="CD4" s="5">
        <f>IF($E4&gt;=CD$2,VLOOKUP($E4-CD$2,'data input'!$D$3:$E$130,2,FALSE),0)</f>
        <v>0</v>
      </c>
      <c r="CE4" s="5">
        <f>IF($E4&gt;=CE$2,VLOOKUP($E4-CE$2,'data input'!$D$3:$E$130,2,FALSE),0)</f>
        <v>0</v>
      </c>
      <c r="CF4" s="5">
        <f>IF($E4&gt;=CF$2,VLOOKUP($E4-CF$2,'data input'!$D$3:$E$130,2,FALSE),0)</f>
        <v>0</v>
      </c>
      <c r="CG4" s="5">
        <f>IF($E4&gt;=CG$2,VLOOKUP($E4-CG$2,'data input'!$D$3:$E$130,2,FALSE),0)</f>
        <v>0</v>
      </c>
      <c r="CH4" s="5">
        <f>IF($E4&gt;=CH$2,VLOOKUP($E4-CH$2,'data input'!$D$3:$E$130,2,FALSE),0)</f>
        <v>0</v>
      </c>
      <c r="CI4" s="5">
        <f>IF($E4&gt;=CI$2,VLOOKUP($E4-CI$2,'data input'!$D$3:$E$130,2,FALSE),0)</f>
        <v>0</v>
      </c>
      <c r="CJ4" s="5">
        <f>IF($E4&gt;=CJ$2,VLOOKUP($E4-CJ$2,'data input'!$D$3:$E$130,2,FALSE),0)</f>
        <v>0</v>
      </c>
      <c r="CK4" s="5">
        <f>IF($E4&gt;=CK$2,VLOOKUP($E4-CK$2,'data input'!$D$3:$E$130,2,FALSE),0)</f>
        <v>0</v>
      </c>
      <c r="CL4" s="5">
        <f>IF($E4&gt;=CL$2,VLOOKUP($E4-CL$2,'data input'!$D$3:$E$130,2,FALSE),0)</f>
        <v>0</v>
      </c>
      <c r="CM4" s="5">
        <f>IF($E4&gt;=CM$2,VLOOKUP($E4-CM$2,'data input'!$D$3:$E$130,2,FALSE),0)</f>
        <v>0</v>
      </c>
      <c r="CN4" s="5">
        <f>IF($E4&gt;=CN$2,VLOOKUP($E4-CN$2,'data input'!$D$3:$E$130,2,FALSE),0)</f>
        <v>0</v>
      </c>
      <c r="CO4" s="5">
        <f>IF($E4&gt;=CO$2,VLOOKUP($E4-CO$2,'data input'!$D$3:$E$130,2,FALSE),0)</f>
        <v>0</v>
      </c>
      <c r="CP4" s="5">
        <f>IF($E4&gt;=CP$2,VLOOKUP($E4-CP$2,'data input'!$D$3:$E$130,2,FALSE),0)</f>
        <v>0</v>
      </c>
      <c r="CQ4" s="5">
        <f>IF($E4&gt;=CQ$2,VLOOKUP($E4-CQ$2,'data input'!$D$3:$E$130,2,FALSE),0)</f>
        <v>0</v>
      </c>
      <c r="CR4" s="5">
        <f>IF($E4&gt;=CR$2,VLOOKUP($E4-CR$2,'data input'!$D$3:$E$130,2,FALSE),0)</f>
        <v>0</v>
      </c>
      <c r="CS4" s="5">
        <f>IF($E4&gt;=CS$2,VLOOKUP($E4-CS$2,'data input'!$D$3:$E$130,2,FALSE),0)</f>
        <v>0</v>
      </c>
      <c r="CT4" s="5">
        <f>IF($E4&gt;=CT$2,VLOOKUP($E4-CT$2,'data input'!$D$3:$E$130,2,FALSE),0)</f>
        <v>0</v>
      </c>
      <c r="CU4" s="5">
        <f>IF($E4&gt;=CU$2,VLOOKUP($E4-CU$2,'data input'!$D$3:$E$130,2,FALSE),0)</f>
        <v>0</v>
      </c>
      <c r="CV4" s="5">
        <f>IF($E4&gt;=CV$2,VLOOKUP($E4-CV$2,'data input'!$D$3:$E$130,2,FALSE),0)</f>
        <v>0</v>
      </c>
      <c r="CW4" s="5">
        <f>IF($E4&gt;=CW$2,VLOOKUP($E4-CW$2,'data input'!$D$3:$E$130,2,FALSE),0)</f>
        <v>0</v>
      </c>
      <c r="CX4" s="5">
        <f>IF($E4&gt;=CX$2,VLOOKUP($E4-CX$2,'data input'!$D$3:$E$130,2,FALSE),0)</f>
        <v>0</v>
      </c>
      <c r="CY4" s="5">
        <f>IF($E4&gt;=CY$2,VLOOKUP($E4-CY$2,'data input'!$D$3:$E$130,2,FALSE),0)</f>
        <v>0</v>
      </c>
      <c r="CZ4" s="5">
        <f>IF($E4&gt;=CZ$2,VLOOKUP($E4-CZ$2,'data input'!$D$3:$E$130,2,FALSE),0)</f>
        <v>0</v>
      </c>
      <c r="DA4" s="5">
        <f>IF($E4&gt;=DA$2,VLOOKUP($E4-DA$2,'data input'!$D$3:$E$130,2,FALSE),0)</f>
        <v>0</v>
      </c>
      <c r="DB4" s="5">
        <f>IF($E4&gt;=DB$2,VLOOKUP($E4-DB$2,'data input'!$D$3:$E$130,2,FALSE),0)</f>
        <v>0</v>
      </c>
      <c r="DC4" s="5">
        <f>IF($E4&gt;=DC$2,VLOOKUP($E4-DC$2,'data input'!$D$3:$E$130,2,FALSE),0)</f>
        <v>0</v>
      </c>
      <c r="DD4" s="5">
        <f>IF($E4&gt;=DD$2,VLOOKUP($E4-DD$2,'data input'!$D$3:$E$130,2,FALSE),0)</f>
        <v>0</v>
      </c>
      <c r="DE4" s="5">
        <f>IF($E4&gt;=DE$2,VLOOKUP($E4-DE$2,'data input'!$D$3:$E$130,2,FALSE),0)</f>
        <v>0</v>
      </c>
      <c r="DF4" s="5">
        <f>IF($E4&gt;=DF$2,VLOOKUP($E4-DF$2,'data input'!$D$3:$E$130,2,FALSE),0)</f>
        <v>0</v>
      </c>
      <c r="DG4" s="5">
        <f>IF($E4&gt;=DG$2,VLOOKUP($E4-DG$2,'data input'!$D$3:$E$130,2,FALSE),0)</f>
        <v>0</v>
      </c>
      <c r="DH4" s="5">
        <f>IF($E4&gt;=DH$2,VLOOKUP($E4-DH$2,'data input'!$D$3:$E$130,2,FALSE),0)</f>
        <v>0</v>
      </c>
      <c r="DI4" s="5">
        <f>IF($E4&gt;=DI$2,VLOOKUP($E4-DI$2,'data input'!$D$3:$E$130,2,FALSE),0)</f>
        <v>0</v>
      </c>
      <c r="DJ4" s="5">
        <f>IF($E4&gt;=DJ$2,VLOOKUP($E4-DJ$2,'data input'!$D$3:$E$130,2,FALSE),0)</f>
        <v>0</v>
      </c>
      <c r="DK4" s="5">
        <f>IF($E4&gt;=DK$2,VLOOKUP($E4-DK$2,'data input'!$D$3:$E$130,2,FALSE),0)</f>
        <v>0</v>
      </c>
      <c r="DL4" s="5">
        <f>IF($E4&gt;=DL$2,VLOOKUP($E4-DL$2,'data input'!$D$3:$E$130,2,FALSE),0)</f>
        <v>0</v>
      </c>
      <c r="DM4" s="5">
        <f>IF($E4&gt;=DM$2,VLOOKUP($E4-DM$2,'data input'!$D$3:$E$130,2,FALSE),0)</f>
        <v>0</v>
      </c>
      <c r="DN4" s="5">
        <f>IF($E4&gt;=DN$2,VLOOKUP($E4-DN$2,'data input'!$D$3:$E$130,2,FALSE),0)</f>
        <v>0</v>
      </c>
      <c r="DO4" s="5">
        <f>IF($E4&gt;=DO$2,VLOOKUP($E4-DO$2,'data input'!$D$3:$E$130,2,FALSE),0)</f>
        <v>0</v>
      </c>
      <c r="DP4" s="5">
        <f>IF($E4&gt;=DP$2,VLOOKUP($E4-DP$2,'data input'!$D$3:$E$130,2,FALSE),0)</f>
        <v>0</v>
      </c>
      <c r="DQ4" s="5">
        <f>IF($E4&gt;=DQ$2,VLOOKUP($E4-DQ$2,'data input'!$D$3:$E$130,2,FALSE),0)</f>
        <v>0</v>
      </c>
      <c r="DR4" s="5">
        <f>IF($E4&gt;=DR$2,VLOOKUP($E4-DR$2,'data input'!$D$3:$E$130,2,FALSE),0)</f>
        <v>0</v>
      </c>
      <c r="DS4" s="5">
        <f>IF($E4&gt;=DS$2,VLOOKUP($E4-DS$2,'data input'!$D$3:$E$130,2,FALSE),0)</f>
        <v>0</v>
      </c>
      <c r="DT4" s="5">
        <f>IF($E4&gt;=DT$2,VLOOKUP($E4-DT$2,'data input'!$D$3:$E$130,2,FALSE),0)</f>
        <v>0</v>
      </c>
      <c r="DU4" s="5">
        <f>IF($E4&gt;=DU$2,VLOOKUP($E4-DU$2,'data input'!$D$3:$E$130,2,FALSE),0)</f>
        <v>0</v>
      </c>
      <c r="DV4" s="5">
        <f>IF($E4&gt;=DV$2,VLOOKUP($E4-DV$2,'data input'!$D$3:$E$130,2,FALSE),0)</f>
        <v>0</v>
      </c>
      <c r="DW4" s="5">
        <f>IF($E4&gt;=DW$2,VLOOKUP($E4-DW$2,'data input'!$D$3:$E$130,2,FALSE),0)</f>
        <v>0</v>
      </c>
      <c r="DX4" s="5">
        <f>IF($E4&gt;=DX$2,VLOOKUP($E4-DX$2,'data input'!$D$3:$E$130,2,FALSE),0)</f>
        <v>0</v>
      </c>
      <c r="DY4" s="5">
        <f>IF($E4&gt;=DY$2,VLOOKUP($E4-DY$2,'data input'!$D$3:$E$130,2,FALSE),0)</f>
        <v>0</v>
      </c>
      <c r="DZ4" s="5">
        <f>IF($E4&gt;=DZ$2,VLOOKUP($E4-DZ$2,'data input'!$D$3:$E$130,2,FALSE),0)</f>
        <v>0</v>
      </c>
      <c r="EA4" s="5">
        <f>IF($E4&gt;=EA$2,VLOOKUP($E4-EA$2,'data input'!$D$3:$E$130,2,FALSE),0)</f>
        <v>0</v>
      </c>
      <c r="EB4" s="5">
        <f>IF($E4&gt;=EB$2,VLOOKUP($E4-EB$2,'data input'!$D$3:$E$130,2,FALSE),0)</f>
        <v>0</v>
      </c>
      <c r="EC4" s="5">
        <f>IF($E4&gt;=EC$2,VLOOKUP($E4-EC$2,'data input'!$D$3:$E$130,2,FALSE),0)</f>
        <v>0</v>
      </c>
    </row>
    <row r="5" spans="5:133">
      <c r="E5" s="7">
        <f>'data input'!B5</f>
        <v>1880</v>
      </c>
      <c r="F5" s="5">
        <f>IF($E5&gt;=F$2,VLOOKUP($E5-F$2,'data input'!$D$3:$E$130,2,FALSE),0)</f>
        <v>0.99781403854508677</v>
      </c>
      <c r="G5" s="5">
        <f>IF($E5&gt;=G$2,VLOOKUP($E5-G$2,'data input'!$D$3:$E$130,2,FALSE),0)</f>
        <v>0.99827771888413241</v>
      </c>
      <c r="H5" s="5">
        <f>IF($E5&gt;=H$2,VLOOKUP($E5-H$2,'data input'!$D$3:$E$130,2,FALSE),0)</f>
        <v>0.9986501019683699</v>
      </c>
      <c r="I5" s="5">
        <f>IF($E5&gt;=I$2,VLOOKUP($E5-I$2,'data input'!$D$3:$E$130,2,FALSE),0)</f>
        <v>0</v>
      </c>
      <c r="J5" s="5">
        <f>IF($E5&gt;=J$2,VLOOKUP($E5-J$2,'data input'!$D$3:$E$130,2,FALSE),0)</f>
        <v>0</v>
      </c>
      <c r="K5" s="5">
        <f>IF($E5&gt;=K$2,VLOOKUP($E5-K$2,'data input'!$D$3:$E$130,2,FALSE),0)</f>
        <v>0</v>
      </c>
      <c r="L5" s="5">
        <f>IF($E5&gt;=L$2,VLOOKUP($E5-L$2,'data input'!$D$3:$E$130,2,FALSE),0)</f>
        <v>0</v>
      </c>
      <c r="M5" s="5">
        <f>IF($E5&gt;=M$2,VLOOKUP($E5-M$2,'data input'!$D$3:$E$130,2,FALSE),0)</f>
        <v>0</v>
      </c>
      <c r="N5" s="5">
        <f>IF($E5&gt;=N$2,VLOOKUP($E5-N$2,'data input'!$D$3:$E$130,2,FALSE),0)</f>
        <v>0</v>
      </c>
      <c r="O5" s="5">
        <f>IF($E5&gt;=O$2,VLOOKUP($E5-O$2,'data input'!$D$3:$E$130,2,FALSE),0)</f>
        <v>0</v>
      </c>
      <c r="P5" s="5">
        <f>IF($E5&gt;=P$2,VLOOKUP($E5-P$2,'data input'!$D$3:$E$130,2,FALSE),0)</f>
        <v>0</v>
      </c>
      <c r="Q5" s="5">
        <f>IF($E5&gt;=Q$2,VLOOKUP($E5-Q$2,'data input'!$D$3:$E$130,2,FALSE),0)</f>
        <v>0</v>
      </c>
      <c r="R5" s="5">
        <f>IF($E5&gt;=R$2,VLOOKUP($E5-R$2,'data input'!$D$3:$E$130,2,FALSE),0)</f>
        <v>0</v>
      </c>
      <c r="S5" s="5">
        <f>IF($E5&gt;=S$2,VLOOKUP($E5-S$2,'data input'!$D$3:$E$130,2,FALSE),0)</f>
        <v>0</v>
      </c>
      <c r="T5" s="5">
        <f>IF($E5&gt;=T$2,VLOOKUP($E5-T$2,'data input'!$D$3:$E$130,2,FALSE),0)</f>
        <v>0</v>
      </c>
      <c r="U5" s="5">
        <f>IF($E5&gt;=U$2,VLOOKUP($E5-U$2,'data input'!$D$3:$E$130,2,FALSE),0)</f>
        <v>0</v>
      </c>
      <c r="V5" s="5">
        <f>IF($E5&gt;=V$2,VLOOKUP($E5-V$2,'data input'!$D$3:$E$130,2,FALSE),0)</f>
        <v>0</v>
      </c>
      <c r="W5" s="5">
        <f>IF($E5&gt;=W$2,VLOOKUP($E5-W$2,'data input'!$D$3:$E$130,2,FALSE),0)</f>
        <v>0</v>
      </c>
      <c r="X5" s="5">
        <f>IF($E5&gt;=X$2,VLOOKUP($E5-X$2,'data input'!$D$3:$E$130,2,FALSE),0)</f>
        <v>0</v>
      </c>
      <c r="Y5" s="5">
        <f>IF($E5&gt;=Y$2,VLOOKUP($E5-Y$2,'data input'!$D$3:$E$130,2,FALSE),0)</f>
        <v>0</v>
      </c>
      <c r="Z5" s="5">
        <f>IF($E5&gt;=Z$2,VLOOKUP($E5-Z$2,'data input'!$D$3:$E$130,2,FALSE),0)</f>
        <v>0</v>
      </c>
      <c r="AA5" s="5">
        <f>IF($E5&gt;=AA$2,VLOOKUP($E5-AA$2,'data input'!$D$3:$E$130,2,FALSE),0)</f>
        <v>0</v>
      </c>
      <c r="AB5" s="5">
        <f>IF($E5&gt;=AB$2,VLOOKUP($E5-AB$2,'data input'!$D$3:$E$130,2,FALSE),0)</f>
        <v>0</v>
      </c>
      <c r="AC5" s="5">
        <f>IF($E5&gt;=AC$2,VLOOKUP($E5-AC$2,'data input'!$D$3:$E$130,2,FALSE),0)</f>
        <v>0</v>
      </c>
      <c r="AD5" s="5">
        <f>IF($E5&gt;=AD$2,VLOOKUP($E5-AD$2,'data input'!$D$3:$E$130,2,FALSE),0)</f>
        <v>0</v>
      </c>
      <c r="AE5" s="5">
        <f>IF($E5&gt;=AE$2,VLOOKUP($E5-AE$2,'data input'!$D$3:$E$130,2,FALSE),0)</f>
        <v>0</v>
      </c>
      <c r="AF5" s="5">
        <f>IF($E5&gt;=AF$2,VLOOKUP($E5-AF$2,'data input'!$D$3:$E$130,2,FALSE),0)</f>
        <v>0</v>
      </c>
      <c r="AG5" s="5">
        <f>IF($E5&gt;=AG$2,VLOOKUP($E5-AG$2,'data input'!$D$3:$E$130,2,FALSE),0)</f>
        <v>0</v>
      </c>
      <c r="AH5" s="5">
        <f>IF($E5&gt;=AH$2,VLOOKUP($E5-AH$2,'data input'!$D$3:$E$130,2,FALSE),0)</f>
        <v>0</v>
      </c>
      <c r="AI5" s="5">
        <f>IF($E5&gt;=AI$2,VLOOKUP($E5-AI$2,'data input'!$D$3:$E$130,2,FALSE),0)</f>
        <v>0</v>
      </c>
      <c r="AJ5" s="5">
        <f>IF($E5&gt;=AJ$2,VLOOKUP($E5-AJ$2,'data input'!$D$3:$E$130,2,FALSE),0)</f>
        <v>0</v>
      </c>
      <c r="AK5" s="5">
        <f>IF($E5&gt;=AK$2,VLOOKUP($E5-AK$2,'data input'!$D$3:$E$130,2,FALSE),0)</f>
        <v>0</v>
      </c>
      <c r="AL5" s="5">
        <f>IF($E5&gt;=AL$2,VLOOKUP($E5-AL$2,'data input'!$D$3:$E$130,2,FALSE),0)</f>
        <v>0</v>
      </c>
      <c r="AM5" s="5">
        <f>IF($E5&gt;=AM$2,VLOOKUP($E5-AM$2,'data input'!$D$3:$E$130,2,FALSE),0)</f>
        <v>0</v>
      </c>
      <c r="AN5" s="5">
        <f>IF($E5&gt;=AN$2,VLOOKUP($E5-AN$2,'data input'!$D$3:$E$130,2,FALSE),0)</f>
        <v>0</v>
      </c>
      <c r="AO5" s="5">
        <f>IF($E5&gt;=AO$2,VLOOKUP($E5-AO$2,'data input'!$D$3:$E$130,2,FALSE),0)</f>
        <v>0</v>
      </c>
      <c r="AP5" s="5">
        <f>IF($E5&gt;=AP$2,VLOOKUP($E5-AP$2,'data input'!$D$3:$E$130,2,FALSE),0)</f>
        <v>0</v>
      </c>
      <c r="AQ5" s="5">
        <f>IF($E5&gt;=AQ$2,VLOOKUP($E5-AQ$2,'data input'!$D$3:$E$130,2,FALSE),0)</f>
        <v>0</v>
      </c>
      <c r="AR5" s="5">
        <f>IF($E5&gt;=AR$2,VLOOKUP($E5-AR$2,'data input'!$D$3:$E$130,2,FALSE),0)</f>
        <v>0</v>
      </c>
      <c r="AS5" s="5">
        <f>IF($E5&gt;=AS$2,VLOOKUP($E5-AS$2,'data input'!$D$3:$E$130,2,FALSE),0)</f>
        <v>0</v>
      </c>
      <c r="AT5" s="5">
        <f>IF($E5&gt;=AT$2,VLOOKUP($E5-AT$2,'data input'!$D$3:$E$130,2,FALSE),0)</f>
        <v>0</v>
      </c>
      <c r="AU5" s="5">
        <f>IF($E5&gt;=AU$2,VLOOKUP($E5-AU$2,'data input'!$D$3:$E$130,2,FALSE),0)</f>
        <v>0</v>
      </c>
      <c r="AV5" s="5">
        <f>IF($E5&gt;=AV$2,VLOOKUP($E5-AV$2,'data input'!$D$3:$E$130,2,FALSE),0)</f>
        <v>0</v>
      </c>
      <c r="AW5" s="5">
        <f>IF($E5&gt;=AW$2,VLOOKUP($E5-AW$2,'data input'!$D$3:$E$130,2,FALSE),0)</f>
        <v>0</v>
      </c>
      <c r="AX5" s="5">
        <f>IF($E5&gt;=AX$2,VLOOKUP($E5-AX$2,'data input'!$D$3:$E$130,2,FALSE),0)</f>
        <v>0</v>
      </c>
      <c r="AY5" s="5">
        <f>IF($E5&gt;=AY$2,VLOOKUP($E5-AY$2,'data input'!$D$3:$E$130,2,FALSE),0)</f>
        <v>0</v>
      </c>
      <c r="AZ5" s="5">
        <f>IF($E5&gt;=AZ$2,VLOOKUP($E5-AZ$2,'data input'!$D$3:$E$130,2,FALSE),0)</f>
        <v>0</v>
      </c>
      <c r="BA5" s="5">
        <f>IF($E5&gt;=BA$2,VLOOKUP($E5-BA$2,'data input'!$D$3:$E$130,2,FALSE),0)</f>
        <v>0</v>
      </c>
      <c r="BB5" s="5">
        <f>IF($E5&gt;=BB$2,VLOOKUP($E5-BB$2,'data input'!$D$3:$E$130,2,FALSE),0)</f>
        <v>0</v>
      </c>
      <c r="BC5" s="5">
        <f>IF($E5&gt;=BC$2,VLOOKUP($E5-BC$2,'data input'!$D$3:$E$130,2,FALSE),0)</f>
        <v>0</v>
      </c>
      <c r="BD5" s="5">
        <f>IF($E5&gt;=BD$2,VLOOKUP($E5-BD$2,'data input'!$D$3:$E$130,2,FALSE),0)</f>
        <v>0</v>
      </c>
      <c r="BE5" s="5">
        <f>IF($E5&gt;=BE$2,VLOOKUP($E5-BE$2,'data input'!$D$3:$E$130,2,FALSE),0)</f>
        <v>0</v>
      </c>
      <c r="BF5" s="5">
        <f>IF($E5&gt;=BF$2,VLOOKUP($E5-BF$2,'data input'!$D$3:$E$130,2,FALSE),0)</f>
        <v>0</v>
      </c>
      <c r="BG5" s="5">
        <f>IF($E5&gt;=BG$2,VLOOKUP($E5-BG$2,'data input'!$D$3:$E$130,2,FALSE),0)</f>
        <v>0</v>
      </c>
      <c r="BH5" s="5">
        <f>IF($E5&gt;=BH$2,VLOOKUP($E5-BH$2,'data input'!$D$3:$E$130,2,FALSE),0)</f>
        <v>0</v>
      </c>
      <c r="BI5" s="5">
        <f>IF($E5&gt;=BI$2,VLOOKUP($E5-BI$2,'data input'!$D$3:$E$130,2,FALSE),0)</f>
        <v>0</v>
      </c>
      <c r="BJ5" s="5">
        <f>IF($E5&gt;=BJ$2,VLOOKUP($E5-BJ$2,'data input'!$D$3:$E$130,2,FALSE),0)</f>
        <v>0</v>
      </c>
      <c r="BK5" s="5">
        <f>IF($E5&gt;=BK$2,VLOOKUP($E5-BK$2,'data input'!$D$3:$E$130,2,FALSE),0)</f>
        <v>0</v>
      </c>
      <c r="BL5" s="5">
        <f>IF($E5&gt;=BL$2,VLOOKUP($E5-BL$2,'data input'!$D$3:$E$130,2,FALSE),0)</f>
        <v>0</v>
      </c>
      <c r="BM5" s="5">
        <f>IF($E5&gt;=BM$2,VLOOKUP($E5-BM$2,'data input'!$D$3:$E$130,2,FALSE),0)</f>
        <v>0</v>
      </c>
      <c r="BN5" s="5">
        <f>IF($E5&gt;=BN$2,VLOOKUP($E5-BN$2,'data input'!$D$3:$E$130,2,FALSE),0)</f>
        <v>0</v>
      </c>
      <c r="BO5" s="5">
        <f>IF($E5&gt;=BO$2,VLOOKUP($E5-BO$2,'data input'!$D$3:$E$130,2,FALSE),0)</f>
        <v>0</v>
      </c>
      <c r="BP5" s="5">
        <f>IF($E5&gt;=BP$2,VLOOKUP($E5-BP$2,'data input'!$D$3:$E$130,2,FALSE),0)</f>
        <v>0</v>
      </c>
      <c r="BQ5" s="5">
        <f>IF($E5&gt;=BQ$2,VLOOKUP($E5-BQ$2,'data input'!$D$3:$E$130,2,FALSE),0)</f>
        <v>0</v>
      </c>
      <c r="BR5" s="5">
        <f>IF($E5&gt;=BR$2,VLOOKUP($E5-BR$2,'data input'!$D$3:$E$130,2,FALSE),0)</f>
        <v>0</v>
      </c>
      <c r="BS5" s="5">
        <f>IF($E5&gt;=BS$2,VLOOKUP($E5-BS$2,'data input'!$D$3:$E$130,2,FALSE),0)</f>
        <v>0</v>
      </c>
      <c r="BT5" s="5">
        <f>IF($E5&gt;=BT$2,VLOOKUP($E5-BT$2,'data input'!$D$3:$E$130,2,FALSE),0)</f>
        <v>0</v>
      </c>
      <c r="BU5" s="5">
        <f>IF($E5&gt;=BU$2,VLOOKUP($E5-BU$2,'data input'!$D$3:$E$130,2,FALSE),0)</f>
        <v>0</v>
      </c>
      <c r="BV5" s="5">
        <f>IF($E5&gt;=BV$2,VLOOKUP($E5-BV$2,'data input'!$D$3:$E$130,2,FALSE),0)</f>
        <v>0</v>
      </c>
      <c r="BW5" s="5">
        <f>IF($E5&gt;=BW$2,VLOOKUP($E5-BW$2,'data input'!$D$3:$E$130,2,FALSE),0)</f>
        <v>0</v>
      </c>
      <c r="BX5" s="5">
        <f>IF($E5&gt;=BX$2,VLOOKUP($E5-BX$2,'data input'!$D$3:$E$130,2,FALSE),0)</f>
        <v>0</v>
      </c>
      <c r="BY5" s="5">
        <f>IF($E5&gt;=BY$2,VLOOKUP($E5-BY$2,'data input'!$D$3:$E$130,2,FALSE),0)</f>
        <v>0</v>
      </c>
      <c r="BZ5" s="5">
        <f>IF($E5&gt;=BZ$2,VLOOKUP($E5-BZ$2,'data input'!$D$3:$E$130,2,FALSE),0)</f>
        <v>0</v>
      </c>
      <c r="CA5" s="5">
        <f>IF($E5&gt;=CA$2,VLOOKUP($E5-CA$2,'data input'!$D$3:$E$130,2,FALSE),0)</f>
        <v>0</v>
      </c>
      <c r="CB5" s="5">
        <f>IF($E5&gt;=CB$2,VLOOKUP($E5-CB$2,'data input'!$D$3:$E$130,2,FALSE),0)</f>
        <v>0</v>
      </c>
      <c r="CC5" s="5">
        <f>IF($E5&gt;=CC$2,VLOOKUP($E5-CC$2,'data input'!$D$3:$E$130,2,FALSE),0)</f>
        <v>0</v>
      </c>
      <c r="CD5" s="5">
        <f>IF($E5&gt;=CD$2,VLOOKUP($E5-CD$2,'data input'!$D$3:$E$130,2,FALSE),0)</f>
        <v>0</v>
      </c>
      <c r="CE5" s="5">
        <f>IF($E5&gt;=CE$2,VLOOKUP($E5-CE$2,'data input'!$D$3:$E$130,2,FALSE),0)</f>
        <v>0</v>
      </c>
      <c r="CF5" s="5">
        <f>IF($E5&gt;=CF$2,VLOOKUP($E5-CF$2,'data input'!$D$3:$E$130,2,FALSE),0)</f>
        <v>0</v>
      </c>
      <c r="CG5" s="5">
        <f>IF($E5&gt;=CG$2,VLOOKUP($E5-CG$2,'data input'!$D$3:$E$130,2,FALSE),0)</f>
        <v>0</v>
      </c>
      <c r="CH5" s="5">
        <f>IF($E5&gt;=CH$2,VLOOKUP($E5-CH$2,'data input'!$D$3:$E$130,2,FALSE),0)</f>
        <v>0</v>
      </c>
      <c r="CI5" s="5">
        <f>IF($E5&gt;=CI$2,VLOOKUP($E5-CI$2,'data input'!$D$3:$E$130,2,FALSE),0)</f>
        <v>0</v>
      </c>
      <c r="CJ5" s="5">
        <f>IF($E5&gt;=CJ$2,VLOOKUP($E5-CJ$2,'data input'!$D$3:$E$130,2,FALSE),0)</f>
        <v>0</v>
      </c>
      <c r="CK5" s="5">
        <f>IF($E5&gt;=CK$2,VLOOKUP($E5-CK$2,'data input'!$D$3:$E$130,2,FALSE),0)</f>
        <v>0</v>
      </c>
      <c r="CL5" s="5">
        <f>IF($E5&gt;=CL$2,VLOOKUP($E5-CL$2,'data input'!$D$3:$E$130,2,FALSE),0)</f>
        <v>0</v>
      </c>
      <c r="CM5" s="5">
        <f>IF($E5&gt;=CM$2,VLOOKUP($E5-CM$2,'data input'!$D$3:$E$130,2,FALSE),0)</f>
        <v>0</v>
      </c>
      <c r="CN5" s="5">
        <f>IF($E5&gt;=CN$2,VLOOKUP($E5-CN$2,'data input'!$D$3:$E$130,2,FALSE),0)</f>
        <v>0</v>
      </c>
      <c r="CO5" s="5">
        <f>IF($E5&gt;=CO$2,VLOOKUP($E5-CO$2,'data input'!$D$3:$E$130,2,FALSE),0)</f>
        <v>0</v>
      </c>
      <c r="CP5" s="5">
        <f>IF($E5&gt;=CP$2,VLOOKUP($E5-CP$2,'data input'!$D$3:$E$130,2,FALSE),0)</f>
        <v>0</v>
      </c>
      <c r="CQ5" s="5">
        <f>IF($E5&gt;=CQ$2,VLOOKUP($E5-CQ$2,'data input'!$D$3:$E$130,2,FALSE),0)</f>
        <v>0</v>
      </c>
      <c r="CR5" s="5">
        <f>IF($E5&gt;=CR$2,VLOOKUP($E5-CR$2,'data input'!$D$3:$E$130,2,FALSE),0)</f>
        <v>0</v>
      </c>
      <c r="CS5" s="5">
        <f>IF($E5&gt;=CS$2,VLOOKUP($E5-CS$2,'data input'!$D$3:$E$130,2,FALSE),0)</f>
        <v>0</v>
      </c>
      <c r="CT5" s="5">
        <f>IF($E5&gt;=CT$2,VLOOKUP($E5-CT$2,'data input'!$D$3:$E$130,2,FALSE),0)</f>
        <v>0</v>
      </c>
      <c r="CU5" s="5">
        <f>IF($E5&gt;=CU$2,VLOOKUP($E5-CU$2,'data input'!$D$3:$E$130,2,FALSE),0)</f>
        <v>0</v>
      </c>
      <c r="CV5" s="5">
        <f>IF($E5&gt;=CV$2,VLOOKUP($E5-CV$2,'data input'!$D$3:$E$130,2,FALSE),0)</f>
        <v>0</v>
      </c>
      <c r="CW5" s="5">
        <f>IF($E5&gt;=CW$2,VLOOKUP($E5-CW$2,'data input'!$D$3:$E$130,2,FALSE),0)</f>
        <v>0</v>
      </c>
      <c r="CX5" s="5">
        <f>IF($E5&gt;=CX$2,VLOOKUP($E5-CX$2,'data input'!$D$3:$E$130,2,FALSE),0)</f>
        <v>0</v>
      </c>
      <c r="CY5" s="5">
        <f>IF($E5&gt;=CY$2,VLOOKUP($E5-CY$2,'data input'!$D$3:$E$130,2,FALSE),0)</f>
        <v>0</v>
      </c>
      <c r="CZ5" s="5">
        <f>IF($E5&gt;=CZ$2,VLOOKUP($E5-CZ$2,'data input'!$D$3:$E$130,2,FALSE),0)</f>
        <v>0</v>
      </c>
      <c r="DA5" s="5">
        <f>IF($E5&gt;=DA$2,VLOOKUP($E5-DA$2,'data input'!$D$3:$E$130,2,FALSE),0)</f>
        <v>0</v>
      </c>
      <c r="DB5" s="5">
        <f>IF($E5&gt;=DB$2,VLOOKUP($E5-DB$2,'data input'!$D$3:$E$130,2,FALSE),0)</f>
        <v>0</v>
      </c>
      <c r="DC5" s="5">
        <f>IF($E5&gt;=DC$2,VLOOKUP($E5-DC$2,'data input'!$D$3:$E$130,2,FALSE),0)</f>
        <v>0</v>
      </c>
      <c r="DD5" s="5">
        <f>IF($E5&gt;=DD$2,VLOOKUP($E5-DD$2,'data input'!$D$3:$E$130,2,FALSE),0)</f>
        <v>0</v>
      </c>
      <c r="DE5" s="5">
        <f>IF($E5&gt;=DE$2,VLOOKUP($E5-DE$2,'data input'!$D$3:$E$130,2,FALSE),0)</f>
        <v>0</v>
      </c>
      <c r="DF5" s="5">
        <f>IF($E5&gt;=DF$2,VLOOKUP($E5-DF$2,'data input'!$D$3:$E$130,2,FALSE),0)</f>
        <v>0</v>
      </c>
      <c r="DG5" s="5">
        <f>IF($E5&gt;=DG$2,VLOOKUP($E5-DG$2,'data input'!$D$3:$E$130,2,FALSE),0)</f>
        <v>0</v>
      </c>
      <c r="DH5" s="5">
        <f>IF($E5&gt;=DH$2,VLOOKUP($E5-DH$2,'data input'!$D$3:$E$130,2,FALSE),0)</f>
        <v>0</v>
      </c>
      <c r="DI5" s="5">
        <f>IF($E5&gt;=DI$2,VLOOKUP($E5-DI$2,'data input'!$D$3:$E$130,2,FALSE),0)</f>
        <v>0</v>
      </c>
      <c r="DJ5" s="5">
        <f>IF($E5&gt;=DJ$2,VLOOKUP($E5-DJ$2,'data input'!$D$3:$E$130,2,FALSE),0)</f>
        <v>0</v>
      </c>
      <c r="DK5" s="5">
        <f>IF($E5&gt;=DK$2,VLOOKUP($E5-DK$2,'data input'!$D$3:$E$130,2,FALSE),0)</f>
        <v>0</v>
      </c>
      <c r="DL5" s="5">
        <f>IF($E5&gt;=DL$2,VLOOKUP($E5-DL$2,'data input'!$D$3:$E$130,2,FALSE),0)</f>
        <v>0</v>
      </c>
      <c r="DM5" s="5">
        <f>IF($E5&gt;=DM$2,VLOOKUP($E5-DM$2,'data input'!$D$3:$E$130,2,FALSE),0)</f>
        <v>0</v>
      </c>
      <c r="DN5" s="5">
        <f>IF($E5&gt;=DN$2,VLOOKUP($E5-DN$2,'data input'!$D$3:$E$130,2,FALSE),0)</f>
        <v>0</v>
      </c>
      <c r="DO5" s="5">
        <f>IF($E5&gt;=DO$2,VLOOKUP($E5-DO$2,'data input'!$D$3:$E$130,2,FALSE),0)</f>
        <v>0</v>
      </c>
      <c r="DP5" s="5">
        <f>IF($E5&gt;=DP$2,VLOOKUP($E5-DP$2,'data input'!$D$3:$E$130,2,FALSE),0)</f>
        <v>0</v>
      </c>
      <c r="DQ5" s="5">
        <f>IF($E5&gt;=DQ$2,VLOOKUP($E5-DQ$2,'data input'!$D$3:$E$130,2,FALSE),0)</f>
        <v>0</v>
      </c>
      <c r="DR5" s="5">
        <f>IF($E5&gt;=DR$2,VLOOKUP($E5-DR$2,'data input'!$D$3:$E$130,2,FALSE),0)</f>
        <v>0</v>
      </c>
      <c r="DS5" s="5">
        <f>IF($E5&gt;=DS$2,VLOOKUP($E5-DS$2,'data input'!$D$3:$E$130,2,FALSE),0)</f>
        <v>0</v>
      </c>
      <c r="DT5" s="5">
        <f>IF($E5&gt;=DT$2,VLOOKUP($E5-DT$2,'data input'!$D$3:$E$130,2,FALSE),0)</f>
        <v>0</v>
      </c>
      <c r="DU5" s="5">
        <f>IF($E5&gt;=DU$2,VLOOKUP($E5-DU$2,'data input'!$D$3:$E$130,2,FALSE),0)</f>
        <v>0</v>
      </c>
      <c r="DV5" s="5">
        <f>IF($E5&gt;=DV$2,VLOOKUP($E5-DV$2,'data input'!$D$3:$E$130,2,FALSE),0)</f>
        <v>0</v>
      </c>
      <c r="DW5" s="5">
        <f>IF($E5&gt;=DW$2,VLOOKUP($E5-DW$2,'data input'!$D$3:$E$130,2,FALSE),0)</f>
        <v>0</v>
      </c>
      <c r="DX5" s="5">
        <f>IF($E5&gt;=DX$2,VLOOKUP($E5-DX$2,'data input'!$D$3:$E$130,2,FALSE),0)</f>
        <v>0</v>
      </c>
      <c r="DY5" s="5">
        <f>IF($E5&gt;=DY$2,VLOOKUP($E5-DY$2,'data input'!$D$3:$E$130,2,FALSE),0)</f>
        <v>0</v>
      </c>
      <c r="DZ5" s="5">
        <f>IF($E5&gt;=DZ$2,VLOOKUP($E5-DZ$2,'data input'!$D$3:$E$130,2,FALSE),0)</f>
        <v>0</v>
      </c>
      <c r="EA5" s="5">
        <f>IF($E5&gt;=EA$2,VLOOKUP($E5-EA$2,'data input'!$D$3:$E$130,2,FALSE),0)</f>
        <v>0</v>
      </c>
      <c r="EB5" s="5">
        <f>IF($E5&gt;=EB$2,VLOOKUP($E5-EB$2,'data input'!$D$3:$E$130,2,FALSE),0)</f>
        <v>0</v>
      </c>
      <c r="EC5" s="5">
        <f>IF($E5&gt;=EC$2,VLOOKUP($E5-EC$2,'data input'!$D$3:$E$130,2,FALSE),0)</f>
        <v>0</v>
      </c>
    </row>
    <row r="6" spans="5:133">
      <c r="E6" s="7">
        <f>'data input'!B6</f>
        <v>1881</v>
      </c>
      <c r="F6" s="5">
        <f>IF($E6&gt;=F$2,VLOOKUP($E6-F$2,'data input'!$D$3:$E$130,2,FALSE),0)</f>
        <v>0.99723991460873751</v>
      </c>
      <c r="G6" s="5">
        <f>IF($E6&gt;=G$2,VLOOKUP($E6-G$2,'data input'!$D$3:$E$130,2,FALSE),0)</f>
        <v>0.99781403854508677</v>
      </c>
      <c r="H6" s="5">
        <f>IF($E6&gt;=H$2,VLOOKUP($E6-H$2,'data input'!$D$3:$E$130,2,FALSE),0)</f>
        <v>0.99827771888413241</v>
      </c>
      <c r="I6" s="5">
        <f>IF($E6&gt;=I$2,VLOOKUP($E6-I$2,'data input'!$D$3:$E$130,2,FALSE),0)</f>
        <v>0.9986501019683699</v>
      </c>
      <c r="J6" s="5">
        <f>IF($E6&gt;=J$2,VLOOKUP($E6-J$2,'data input'!$D$3:$E$130,2,FALSE),0)</f>
        <v>0</v>
      </c>
      <c r="K6" s="5">
        <f>IF($E6&gt;=K$2,VLOOKUP($E6-K$2,'data input'!$D$3:$E$130,2,FALSE),0)</f>
        <v>0</v>
      </c>
      <c r="L6" s="5">
        <f>IF($E6&gt;=L$2,VLOOKUP($E6-L$2,'data input'!$D$3:$E$130,2,FALSE),0)</f>
        <v>0</v>
      </c>
      <c r="M6" s="5">
        <f>IF($E6&gt;=M$2,VLOOKUP($E6-M$2,'data input'!$D$3:$E$130,2,FALSE),0)</f>
        <v>0</v>
      </c>
      <c r="N6" s="5">
        <f>IF($E6&gt;=N$2,VLOOKUP($E6-N$2,'data input'!$D$3:$E$130,2,FALSE),0)</f>
        <v>0</v>
      </c>
      <c r="O6" s="5">
        <f>IF($E6&gt;=O$2,VLOOKUP($E6-O$2,'data input'!$D$3:$E$130,2,FALSE),0)</f>
        <v>0</v>
      </c>
      <c r="P6" s="5">
        <f>IF($E6&gt;=P$2,VLOOKUP($E6-P$2,'data input'!$D$3:$E$130,2,FALSE),0)</f>
        <v>0</v>
      </c>
      <c r="Q6" s="5">
        <f>IF($E6&gt;=Q$2,VLOOKUP($E6-Q$2,'data input'!$D$3:$E$130,2,FALSE),0)</f>
        <v>0</v>
      </c>
      <c r="R6" s="5">
        <f>IF($E6&gt;=R$2,VLOOKUP($E6-R$2,'data input'!$D$3:$E$130,2,FALSE),0)</f>
        <v>0</v>
      </c>
      <c r="S6" s="5">
        <f>IF($E6&gt;=S$2,VLOOKUP($E6-S$2,'data input'!$D$3:$E$130,2,FALSE),0)</f>
        <v>0</v>
      </c>
      <c r="T6" s="5">
        <f>IF($E6&gt;=T$2,VLOOKUP($E6-T$2,'data input'!$D$3:$E$130,2,FALSE),0)</f>
        <v>0</v>
      </c>
      <c r="U6" s="5">
        <f>IF($E6&gt;=U$2,VLOOKUP($E6-U$2,'data input'!$D$3:$E$130,2,FALSE),0)</f>
        <v>0</v>
      </c>
      <c r="V6" s="5">
        <f>IF($E6&gt;=V$2,VLOOKUP($E6-V$2,'data input'!$D$3:$E$130,2,FALSE),0)</f>
        <v>0</v>
      </c>
      <c r="W6" s="5">
        <f>IF($E6&gt;=W$2,VLOOKUP($E6-W$2,'data input'!$D$3:$E$130,2,FALSE),0)</f>
        <v>0</v>
      </c>
      <c r="X6" s="5">
        <f>IF($E6&gt;=X$2,VLOOKUP($E6-X$2,'data input'!$D$3:$E$130,2,FALSE),0)</f>
        <v>0</v>
      </c>
      <c r="Y6" s="5">
        <f>IF($E6&gt;=Y$2,VLOOKUP($E6-Y$2,'data input'!$D$3:$E$130,2,FALSE),0)</f>
        <v>0</v>
      </c>
      <c r="Z6" s="5">
        <f>IF($E6&gt;=Z$2,VLOOKUP($E6-Z$2,'data input'!$D$3:$E$130,2,FALSE),0)</f>
        <v>0</v>
      </c>
      <c r="AA6" s="5">
        <f>IF($E6&gt;=AA$2,VLOOKUP($E6-AA$2,'data input'!$D$3:$E$130,2,FALSE),0)</f>
        <v>0</v>
      </c>
      <c r="AB6" s="5">
        <f>IF($E6&gt;=AB$2,VLOOKUP($E6-AB$2,'data input'!$D$3:$E$130,2,FALSE),0)</f>
        <v>0</v>
      </c>
      <c r="AC6" s="5">
        <f>IF($E6&gt;=AC$2,VLOOKUP($E6-AC$2,'data input'!$D$3:$E$130,2,FALSE),0)</f>
        <v>0</v>
      </c>
      <c r="AD6" s="5">
        <f>IF($E6&gt;=AD$2,VLOOKUP($E6-AD$2,'data input'!$D$3:$E$130,2,FALSE),0)</f>
        <v>0</v>
      </c>
      <c r="AE6" s="5">
        <f>IF($E6&gt;=AE$2,VLOOKUP($E6-AE$2,'data input'!$D$3:$E$130,2,FALSE),0)</f>
        <v>0</v>
      </c>
      <c r="AF6" s="5">
        <f>IF($E6&gt;=AF$2,VLOOKUP($E6-AF$2,'data input'!$D$3:$E$130,2,FALSE),0)</f>
        <v>0</v>
      </c>
      <c r="AG6" s="5">
        <f>IF($E6&gt;=AG$2,VLOOKUP($E6-AG$2,'data input'!$D$3:$E$130,2,FALSE),0)</f>
        <v>0</v>
      </c>
      <c r="AH6" s="5">
        <f>IF($E6&gt;=AH$2,VLOOKUP($E6-AH$2,'data input'!$D$3:$E$130,2,FALSE),0)</f>
        <v>0</v>
      </c>
      <c r="AI6" s="5">
        <f>IF($E6&gt;=AI$2,VLOOKUP($E6-AI$2,'data input'!$D$3:$E$130,2,FALSE),0)</f>
        <v>0</v>
      </c>
      <c r="AJ6" s="5">
        <f>IF($E6&gt;=AJ$2,VLOOKUP($E6-AJ$2,'data input'!$D$3:$E$130,2,FALSE),0)</f>
        <v>0</v>
      </c>
      <c r="AK6" s="5">
        <f>IF($E6&gt;=AK$2,VLOOKUP($E6-AK$2,'data input'!$D$3:$E$130,2,FALSE),0)</f>
        <v>0</v>
      </c>
      <c r="AL6" s="5">
        <f>IF($E6&gt;=AL$2,VLOOKUP($E6-AL$2,'data input'!$D$3:$E$130,2,FALSE),0)</f>
        <v>0</v>
      </c>
      <c r="AM6" s="5">
        <f>IF($E6&gt;=AM$2,VLOOKUP($E6-AM$2,'data input'!$D$3:$E$130,2,FALSE),0)</f>
        <v>0</v>
      </c>
      <c r="AN6" s="5">
        <f>IF($E6&gt;=AN$2,VLOOKUP($E6-AN$2,'data input'!$D$3:$E$130,2,FALSE),0)</f>
        <v>0</v>
      </c>
      <c r="AO6" s="5">
        <f>IF($E6&gt;=AO$2,VLOOKUP($E6-AO$2,'data input'!$D$3:$E$130,2,FALSE),0)</f>
        <v>0</v>
      </c>
      <c r="AP6" s="5">
        <f>IF($E6&gt;=AP$2,VLOOKUP($E6-AP$2,'data input'!$D$3:$E$130,2,FALSE),0)</f>
        <v>0</v>
      </c>
      <c r="AQ6" s="5">
        <f>IF($E6&gt;=AQ$2,VLOOKUP($E6-AQ$2,'data input'!$D$3:$E$130,2,FALSE),0)</f>
        <v>0</v>
      </c>
      <c r="AR6" s="5">
        <f>IF($E6&gt;=AR$2,VLOOKUP($E6-AR$2,'data input'!$D$3:$E$130,2,FALSE),0)</f>
        <v>0</v>
      </c>
      <c r="AS6" s="5">
        <f>IF($E6&gt;=AS$2,VLOOKUP($E6-AS$2,'data input'!$D$3:$E$130,2,FALSE),0)</f>
        <v>0</v>
      </c>
      <c r="AT6" s="5">
        <f>IF($E6&gt;=AT$2,VLOOKUP($E6-AT$2,'data input'!$D$3:$E$130,2,FALSE),0)</f>
        <v>0</v>
      </c>
      <c r="AU6" s="5">
        <f>IF($E6&gt;=AU$2,VLOOKUP($E6-AU$2,'data input'!$D$3:$E$130,2,FALSE),0)</f>
        <v>0</v>
      </c>
      <c r="AV6" s="5">
        <f>IF($E6&gt;=AV$2,VLOOKUP($E6-AV$2,'data input'!$D$3:$E$130,2,FALSE),0)</f>
        <v>0</v>
      </c>
      <c r="AW6" s="5">
        <f>IF($E6&gt;=AW$2,VLOOKUP($E6-AW$2,'data input'!$D$3:$E$130,2,FALSE),0)</f>
        <v>0</v>
      </c>
      <c r="AX6" s="5">
        <f>IF($E6&gt;=AX$2,VLOOKUP($E6-AX$2,'data input'!$D$3:$E$130,2,FALSE),0)</f>
        <v>0</v>
      </c>
      <c r="AY6" s="5">
        <f>IF($E6&gt;=AY$2,VLOOKUP($E6-AY$2,'data input'!$D$3:$E$130,2,FALSE),0)</f>
        <v>0</v>
      </c>
      <c r="AZ6" s="5">
        <f>IF($E6&gt;=AZ$2,VLOOKUP($E6-AZ$2,'data input'!$D$3:$E$130,2,FALSE),0)</f>
        <v>0</v>
      </c>
      <c r="BA6" s="5">
        <f>IF($E6&gt;=BA$2,VLOOKUP($E6-BA$2,'data input'!$D$3:$E$130,2,FALSE),0)</f>
        <v>0</v>
      </c>
      <c r="BB6" s="5">
        <f>IF($E6&gt;=BB$2,VLOOKUP($E6-BB$2,'data input'!$D$3:$E$130,2,FALSE),0)</f>
        <v>0</v>
      </c>
      <c r="BC6" s="5">
        <f>IF($E6&gt;=BC$2,VLOOKUP($E6-BC$2,'data input'!$D$3:$E$130,2,FALSE),0)</f>
        <v>0</v>
      </c>
      <c r="BD6" s="5">
        <f>IF($E6&gt;=BD$2,VLOOKUP($E6-BD$2,'data input'!$D$3:$E$130,2,FALSE),0)</f>
        <v>0</v>
      </c>
      <c r="BE6" s="5">
        <f>IF($E6&gt;=BE$2,VLOOKUP($E6-BE$2,'data input'!$D$3:$E$130,2,FALSE),0)</f>
        <v>0</v>
      </c>
      <c r="BF6" s="5">
        <f>IF($E6&gt;=BF$2,VLOOKUP($E6-BF$2,'data input'!$D$3:$E$130,2,FALSE),0)</f>
        <v>0</v>
      </c>
      <c r="BG6" s="5">
        <f>IF($E6&gt;=BG$2,VLOOKUP($E6-BG$2,'data input'!$D$3:$E$130,2,FALSE),0)</f>
        <v>0</v>
      </c>
      <c r="BH6" s="5">
        <f>IF($E6&gt;=BH$2,VLOOKUP($E6-BH$2,'data input'!$D$3:$E$130,2,FALSE),0)</f>
        <v>0</v>
      </c>
      <c r="BI6" s="5">
        <f>IF($E6&gt;=BI$2,VLOOKUP($E6-BI$2,'data input'!$D$3:$E$130,2,FALSE),0)</f>
        <v>0</v>
      </c>
      <c r="BJ6" s="5">
        <f>IF($E6&gt;=BJ$2,VLOOKUP($E6-BJ$2,'data input'!$D$3:$E$130,2,FALSE),0)</f>
        <v>0</v>
      </c>
      <c r="BK6" s="5">
        <f>IF($E6&gt;=BK$2,VLOOKUP($E6-BK$2,'data input'!$D$3:$E$130,2,FALSE),0)</f>
        <v>0</v>
      </c>
      <c r="BL6" s="5">
        <f>IF($E6&gt;=BL$2,VLOOKUP($E6-BL$2,'data input'!$D$3:$E$130,2,FALSE),0)</f>
        <v>0</v>
      </c>
      <c r="BM6" s="5">
        <f>IF($E6&gt;=BM$2,VLOOKUP($E6-BM$2,'data input'!$D$3:$E$130,2,FALSE),0)</f>
        <v>0</v>
      </c>
      <c r="BN6" s="5">
        <f>IF($E6&gt;=BN$2,VLOOKUP($E6-BN$2,'data input'!$D$3:$E$130,2,FALSE),0)</f>
        <v>0</v>
      </c>
      <c r="BO6" s="5">
        <f>IF($E6&gt;=BO$2,VLOOKUP($E6-BO$2,'data input'!$D$3:$E$130,2,FALSE),0)</f>
        <v>0</v>
      </c>
      <c r="BP6" s="5">
        <f>IF($E6&gt;=BP$2,VLOOKUP($E6-BP$2,'data input'!$D$3:$E$130,2,FALSE),0)</f>
        <v>0</v>
      </c>
      <c r="BQ6" s="5">
        <f>IF($E6&gt;=BQ$2,VLOOKUP($E6-BQ$2,'data input'!$D$3:$E$130,2,FALSE),0)</f>
        <v>0</v>
      </c>
      <c r="BR6" s="5">
        <f>IF($E6&gt;=BR$2,VLOOKUP($E6-BR$2,'data input'!$D$3:$E$130,2,FALSE),0)</f>
        <v>0</v>
      </c>
      <c r="BS6" s="5">
        <f>IF($E6&gt;=BS$2,VLOOKUP($E6-BS$2,'data input'!$D$3:$E$130,2,FALSE),0)</f>
        <v>0</v>
      </c>
      <c r="BT6" s="5">
        <f>IF($E6&gt;=BT$2,VLOOKUP($E6-BT$2,'data input'!$D$3:$E$130,2,FALSE),0)</f>
        <v>0</v>
      </c>
      <c r="BU6" s="5">
        <f>IF($E6&gt;=BU$2,VLOOKUP($E6-BU$2,'data input'!$D$3:$E$130,2,FALSE),0)</f>
        <v>0</v>
      </c>
      <c r="BV6" s="5">
        <f>IF($E6&gt;=BV$2,VLOOKUP($E6-BV$2,'data input'!$D$3:$E$130,2,FALSE),0)</f>
        <v>0</v>
      </c>
      <c r="BW6" s="5">
        <f>IF($E6&gt;=BW$2,VLOOKUP($E6-BW$2,'data input'!$D$3:$E$130,2,FALSE),0)</f>
        <v>0</v>
      </c>
      <c r="BX6" s="5">
        <f>IF($E6&gt;=BX$2,VLOOKUP($E6-BX$2,'data input'!$D$3:$E$130,2,FALSE),0)</f>
        <v>0</v>
      </c>
      <c r="BY6" s="5">
        <f>IF($E6&gt;=BY$2,VLOOKUP($E6-BY$2,'data input'!$D$3:$E$130,2,FALSE),0)</f>
        <v>0</v>
      </c>
      <c r="BZ6" s="5">
        <f>IF($E6&gt;=BZ$2,VLOOKUP($E6-BZ$2,'data input'!$D$3:$E$130,2,FALSE),0)</f>
        <v>0</v>
      </c>
      <c r="CA6" s="5">
        <f>IF($E6&gt;=CA$2,VLOOKUP($E6-CA$2,'data input'!$D$3:$E$130,2,FALSE),0)</f>
        <v>0</v>
      </c>
      <c r="CB6" s="5">
        <f>IF($E6&gt;=CB$2,VLOOKUP($E6-CB$2,'data input'!$D$3:$E$130,2,FALSE),0)</f>
        <v>0</v>
      </c>
      <c r="CC6" s="5">
        <f>IF($E6&gt;=CC$2,VLOOKUP($E6-CC$2,'data input'!$D$3:$E$130,2,FALSE),0)</f>
        <v>0</v>
      </c>
      <c r="CD6" s="5">
        <f>IF($E6&gt;=CD$2,VLOOKUP($E6-CD$2,'data input'!$D$3:$E$130,2,FALSE),0)</f>
        <v>0</v>
      </c>
      <c r="CE6" s="5">
        <f>IF($E6&gt;=CE$2,VLOOKUP($E6-CE$2,'data input'!$D$3:$E$130,2,FALSE),0)</f>
        <v>0</v>
      </c>
      <c r="CF6" s="5">
        <f>IF($E6&gt;=CF$2,VLOOKUP($E6-CF$2,'data input'!$D$3:$E$130,2,FALSE),0)</f>
        <v>0</v>
      </c>
      <c r="CG6" s="5">
        <f>IF($E6&gt;=CG$2,VLOOKUP($E6-CG$2,'data input'!$D$3:$E$130,2,FALSE),0)</f>
        <v>0</v>
      </c>
      <c r="CH6" s="5">
        <f>IF($E6&gt;=CH$2,VLOOKUP($E6-CH$2,'data input'!$D$3:$E$130,2,FALSE),0)</f>
        <v>0</v>
      </c>
      <c r="CI6" s="5">
        <f>IF($E6&gt;=CI$2,VLOOKUP($E6-CI$2,'data input'!$D$3:$E$130,2,FALSE),0)</f>
        <v>0</v>
      </c>
      <c r="CJ6" s="5">
        <f>IF($E6&gt;=CJ$2,VLOOKUP($E6-CJ$2,'data input'!$D$3:$E$130,2,FALSE),0)</f>
        <v>0</v>
      </c>
      <c r="CK6" s="5">
        <f>IF($E6&gt;=CK$2,VLOOKUP($E6-CK$2,'data input'!$D$3:$E$130,2,FALSE),0)</f>
        <v>0</v>
      </c>
      <c r="CL6" s="5">
        <f>IF($E6&gt;=CL$2,VLOOKUP($E6-CL$2,'data input'!$D$3:$E$130,2,FALSE),0)</f>
        <v>0</v>
      </c>
      <c r="CM6" s="5">
        <f>IF($E6&gt;=CM$2,VLOOKUP($E6-CM$2,'data input'!$D$3:$E$130,2,FALSE),0)</f>
        <v>0</v>
      </c>
      <c r="CN6" s="5">
        <f>IF($E6&gt;=CN$2,VLOOKUP($E6-CN$2,'data input'!$D$3:$E$130,2,FALSE),0)</f>
        <v>0</v>
      </c>
      <c r="CO6" s="5">
        <f>IF($E6&gt;=CO$2,VLOOKUP($E6-CO$2,'data input'!$D$3:$E$130,2,FALSE),0)</f>
        <v>0</v>
      </c>
      <c r="CP6" s="5">
        <f>IF($E6&gt;=CP$2,VLOOKUP($E6-CP$2,'data input'!$D$3:$E$130,2,FALSE),0)</f>
        <v>0</v>
      </c>
      <c r="CQ6" s="5">
        <f>IF($E6&gt;=CQ$2,VLOOKUP($E6-CQ$2,'data input'!$D$3:$E$130,2,FALSE),0)</f>
        <v>0</v>
      </c>
      <c r="CR6" s="5">
        <f>IF($E6&gt;=CR$2,VLOOKUP($E6-CR$2,'data input'!$D$3:$E$130,2,FALSE),0)</f>
        <v>0</v>
      </c>
      <c r="CS6" s="5">
        <f>IF($E6&gt;=CS$2,VLOOKUP($E6-CS$2,'data input'!$D$3:$E$130,2,FALSE),0)</f>
        <v>0</v>
      </c>
      <c r="CT6" s="5">
        <f>IF($E6&gt;=CT$2,VLOOKUP($E6-CT$2,'data input'!$D$3:$E$130,2,FALSE),0)</f>
        <v>0</v>
      </c>
      <c r="CU6" s="5">
        <f>IF($E6&gt;=CU$2,VLOOKUP($E6-CU$2,'data input'!$D$3:$E$130,2,FALSE),0)</f>
        <v>0</v>
      </c>
      <c r="CV6" s="5">
        <f>IF($E6&gt;=CV$2,VLOOKUP($E6-CV$2,'data input'!$D$3:$E$130,2,FALSE),0)</f>
        <v>0</v>
      </c>
      <c r="CW6" s="5">
        <f>IF($E6&gt;=CW$2,VLOOKUP($E6-CW$2,'data input'!$D$3:$E$130,2,FALSE),0)</f>
        <v>0</v>
      </c>
      <c r="CX6" s="5">
        <f>IF($E6&gt;=CX$2,VLOOKUP($E6-CX$2,'data input'!$D$3:$E$130,2,FALSE),0)</f>
        <v>0</v>
      </c>
      <c r="CY6" s="5">
        <f>IF($E6&gt;=CY$2,VLOOKUP($E6-CY$2,'data input'!$D$3:$E$130,2,FALSE),0)</f>
        <v>0</v>
      </c>
      <c r="CZ6" s="5">
        <f>IF($E6&gt;=CZ$2,VLOOKUP($E6-CZ$2,'data input'!$D$3:$E$130,2,FALSE),0)</f>
        <v>0</v>
      </c>
      <c r="DA6" s="5">
        <f>IF($E6&gt;=DA$2,VLOOKUP($E6-DA$2,'data input'!$D$3:$E$130,2,FALSE),0)</f>
        <v>0</v>
      </c>
      <c r="DB6" s="5">
        <f>IF($E6&gt;=DB$2,VLOOKUP($E6-DB$2,'data input'!$D$3:$E$130,2,FALSE),0)</f>
        <v>0</v>
      </c>
      <c r="DC6" s="5">
        <f>IF($E6&gt;=DC$2,VLOOKUP($E6-DC$2,'data input'!$D$3:$E$130,2,FALSE),0)</f>
        <v>0</v>
      </c>
      <c r="DD6" s="5">
        <f>IF($E6&gt;=DD$2,VLOOKUP($E6-DD$2,'data input'!$D$3:$E$130,2,FALSE),0)</f>
        <v>0</v>
      </c>
      <c r="DE6" s="5">
        <f>IF($E6&gt;=DE$2,VLOOKUP($E6-DE$2,'data input'!$D$3:$E$130,2,FALSE),0)</f>
        <v>0</v>
      </c>
      <c r="DF6" s="5">
        <f>IF($E6&gt;=DF$2,VLOOKUP($E6-DF$2,'data input'!$D$3:$E$130,2,FALSE),0)</f>
        <v>0</v>
      </c>
      <c r="DG6" s="5">
        <f>IF($E6&gt;=DG$2,VLOOKUP($E6-DG$2,'data input'!$D$3:$E$130,2,FALSE),0)</f>
        <v>0</v>
      </c>
      <c r="DH6" s="5">
        <f>IF($E6&gt;=DH$2,VLOOKUP($E6-DH$2,'data input'!$D$3:$E$130,2,FALSE),0)</f>
        <v>0</v>
      </c>
      <c r="DI6" s="5">
        <f>IF($E6&gt;=DI$2,VLOOKUP($E6-DI$2,'data input'!$D$3:$E$130,2,FALSE),0)</f>
        <v>0</v>
      </c>
      <c r="DJ6" s="5">
        <f>IF($E6&gt;=DJ$2,VLOOKUP($E6-DJ$2,'data input'!$D$3:$E$130,2,FALSE),0)</f>
        <v>0</v>
      </c>
      <c r="DK6" s="5">
        <f>IF($E6&gt;=DK$2,VLOOKUP($E6-DK$2,'data input'!$D$3:$E$130,2,FALSE),0)</f>
        <v>0</v>
      </c>
      <c r="DL6" s="5">
        <f>IF($E6&gt;=DL$2,VLOOKUP($E6-DL$2,'data input'!$D$3:$E$130,2,FALSE),0)</f>
        <v>0</v>
      </c>
      <c r="DM6" s="5">
        <f>IF($E6&gt;=DM$2,VLOOKUP($E6-DM$2,'data input'!$D$3:$E$130,2,FALSE),0)</f>
        <v>0</v>
      </c>
      <c r="DN6" s="5">
        <f>IF($E6&gt;=DN$2,VLOOKUP($E6-DN$2,'data input'!$D$3:$E$130,2,FALSE),0)</f>
        <v>0</v>
      </c>
      <c r="DO6" s="5">
        <f>IF($E6&gt;=DO$2,VLOOKUP($E6-DO$2,'data input'!$D$3:$E$130,2,FALSE),0)</f>
        <v>0</v>
      </c>
      <c r="DP6" s="5">
        <f>IF($E6&gt;=DP$2,VLOOKUP($E6-DP$2,'data input'!$D$3:$E$130,2,FALSE),0)</f>
        <v>0</v>
      </c>
      <c r="DQ6" s="5">
        <f>IF($E6&gt;=DQ$2,VLOOKUP($E6-DQ$2,'data input'!$D$3:$E$130,2,FALSE),0)</f>
        <v>0</v>
      </c>
      <c r="DR6" s="5">
        <f>IF($E6&gt;=DR$2,VLOOKUP($E6-DR$2,'data input'!$D$3:$E$130,2,FALSE),0)</f>
        <v>0</v>
      </c>
      <c r="DS6" s="5">
        <f>IF($E6&gt;=DS$2,VLOOKUP($E6-DS$2,'data input'!$D$3:$E$130,2,FALSE),0)</f>
        <v>0</v>
      </c>
      <c r="DT6" s="5">
        <f>IF($E6&gt;=DT$2,VLOOKUP($E6-DT$2,'data input'!$D$3:$E$130,2,FALSE),0)</f>
        <v>0</v>
      </c>
      <c r="DU6" s="5">
        <f>IF($E6&gt;=DU$2,VLOOKUP($E6-DU$2,'data input'!$D$3:$E$130,2,FALSE),0)</f>
        <v>0</v>
      </c>
      <c r="DV6" s="5">
        <f>IF($E6&gt;=DV$2,VLOOKUP($E6-DV$2,'data input'!$D$3:$E$130,2,FALSE),0)</f>
        <v>0</v>
      </c>
      <c r="DW6" s="5">
        <f>IF($E6&gt;=DW$2,VLOOKUP($E6-DW$2,'data input'!$D$3:$E$130,2,FALSE),0)</f>
        <v>0</v>
      </c>
      <c r="DX6" s="5">
        <f>IF($E6&gt;=DX$2,VLOOKUP($E6-DX$2,'data input'!$D$3:$E$130,2,FALSE),0)</f>
        <v>0</v>
      </c>
      <c r="DY6" s="5">
        <f>IF($E6&gt;=DY$2,VLOOKUP($E6-DY$2,'data input'!$D$3:$E$130,2,FALSE),0)</f>
        <v>0</v>
      </c>
      <c r="DZ6" s="5">
        <f>IF($E6&gt;=DZ$2,VLOOKUP($E6-DZ$2,'data input'!$D$3:$E$130,2,FALSE),0)</f>
        <v>0</v>
      </c>
      <c r="EA6" s="5">
        <f>IF($E6&gt;=EA$2,VLOOKUP($E6-EA$2,'data input'!$D$3:$E$130,2,FALSE),0)</f>
        <v>0</v>
      </c>
      <c r="EB6" s="5">
        <f>IF($E6&gt;=EB$2,VLOOKUP($E6-EB$2,'data input'!$D$3:$E$130,2,FALSE),0)</f>
        <v>0</v>
      </c>
      <c r="EC6" s="5">
        <f>IF($E6&gt;=EC$2,VLOOKUP($E6-EC$2,'data input'!$D$3:$E$130,2,FALSE),0)</f>
        <v>0</v>
      </c>
    </row>
    <row r="7" spans="5:133">
      <c r="E7" s="7">
        <f>'data input'!B7</f>
        <v>1882</v>
      </c>
      <c r="F7" s="5">
        <f>IF($E7&gt;=F$2,VLOOKUP($E7-F$2,'data input'!$D$3:$E$130,2,FALSE),0)</f>
        <v>0.99653302619695938</v>
      </c>
      <c r="G7" s="5">
        <f>IF($E7&gt;=G$2,VLOOKUP($E7-G$2,'data input'!$D$3:$E$130,2,FALSE),0)</f>
        <v>0.99723991460873751</v>
      </c>
      <c r="H7" s="5">
        <f>IF($E7&gt;=H$2,VLOOKUP($E7-H$2,'data input'!$D$3:$E$130,2,FALSE),0)</f>
        <v>0.99781403854508677</v>
      </c>
      <c r="I7" s="5">
        <f>IF($E7&gt;=I$2,VLOOKUP($E7-I$2,'data input'!$D$3:$E$130,2,FALSE),0)</f>
        <v>0.99827771888413241</v>
      </c>
      <c r="J7" s="5">
        <f>IF($E7&gt;=J$2,VLOOKUP($E7-J$2,'data input'!$D$3:$E$130,2,FALSE),0)</f>
        <v>0.9986501019683699</v>
      </c>
      <c r="K7" s="5">
        <f>IF($E7&gt;=K$2,VLOOKUP($E7-K$2,'data input'!$D$3:$E$130,2,FALSE),0)</f>
        <v>0</v>
      </c>
      <c r="L7" s="5">
        <f>IF($E7&gt;=L$2,VLOOKUP($E7-L$2,'data input'!$D$3:$E$130,2,FALSE),0)</f>
        <v>0</v>
      </c>
      <c r="M7" s="5">
        <f>IF($E7&gt;=M$2,VLOOKUP($E7-M$2,'data input'!$D$3:$E$130,2,FALSE),0)</f>
        <v>0</v>
      </c>
      <c r="N7" s="5">
        <f>IF($E7&gt;=N$2,VLOOKUP($E7-N$2,'data input'!$D$3:$E$130,2,FALSE),0)</f>
        <v>0</v>
      </c>
      <c r="O7" s="5">
        <f>IF($E7&gt;=O$2,VLOOKUP($E7-O$2,'data input'!$D$3:$E$130,2,FALSE),0)</f>
        <v>0</v>
      </c>
      <c r="P7" s="5">
        <f>IF($E7&gt;=P$2,VLOOKUP($E7-P$2,'data input'!$D$3:$E$130,2,FALSE),0)</f>
        <v>0</v>
      </c>
      <c r="Q7" s="5">
        <f>IF($E7&gt;=Q$2,VLOOKUP($E7-Q$2,'data input'!$D$3:$E$130,2,FALSE),0)</f>
        <v>0</v>
      </c>
      <c r="R7" s="5">
        <f>IF($E7&gt;=R$2,VLOOKUP($E7-R$2,'data input'!$D$3:$E$130,2,FALSE),0)</f>
        <v>0</v>
      </c>
      <c r="S7" s="5">
        <f>IF($E7&gt;=S$2,VLOOKUP($E7-S$2,'data input'!$D$3:$E$130,2,FALSE),0)</f>
        <v>0</v>
      </c>
      <c r="T7" s="5">
        <f>IF($E7&gt;=T$2,VLOOKUP($E7-T$2,'data input'!$D$3:$E$130,2,FALSE),0)</f>
        <v>0</v>
      </c>
      <c r="U7" s="5">
        <f>IF($E7&gt;=U$2,VLOOKUP($E7-U$2,'data input'!$D$3:$E$130,2,FALSE),0)</f>
        <v>0</v>
      </c>
      <c r="V7" s="5">
        <f>IF($E7&gt;=V$2,VLOOKUP($E7-V$2,'data input'!$D$3:$E$130,2,FALSE),0)</f>
        <v>0</v>
      </c>
      <c r="W7" s="5">
        <f>IF($E7&gt;=W$2,VLOOKUP($E7-W$2,'data input'!$D$3:$E$130,2,FALSE),0)</f>
        <v>0</v>
      </c>
      <c r="X7" s="5">
        <f>IF($E7&gt;=X$2,VLOOKUP($E7-X$2,'data input'!$D$3:$E$130,2,FALSE),0)</f>
        <v>0</v>
      </c>
      <c r="Y7" s="5">
        <f>IF($E7&gt;=Y$2,VLOOKUP($E7-Y$2,'data input'!$D$3:$E$130,2,FALSE),0)</f>
        <v>0</v>
      </c>
      <c r="Z7" s="5">
        <f>IF($E7&gt;=Z$2,VLOOKUP($E7-Z$2,'data input'!$D$3:$E$130,2,FALSE),0)</f>
        <v>0</v>
      </c>
      <c r="AA7" s="5">
        <f>IF($E7&gt;=AA$2,VLOOKUP($E7-AA$2,'data input'!$D$3:$E$130,2,FALSE),0)</f>
        <v>0</v>
      </c>
      <c r="AB7" s="5">
        <f>IF($E7&gt;=AB$2,VLOOKUP($E7-AB$2,'data input'!$D$3:$E$130,2,FALSE),0)</f>
        <v>0</v>
      </c>
      <c r="AC7" s="5">
        <f>IF($E7&gt;=AC$2,VLOOKUP($E7-AC$2,'data input'!$D$3:$E$130,2,FALSE),0)</f>
        <v>0</v>
      </c>
      <c r="AD7" s="5">
        <f>IF($E7&gt;=AD$2,VLOOKUP($E7-AD$2,'data input'!$D$3:$E$130,2,FALSE),0)</f>
        <v>0</v>
      </c>
      <c r="AE7" s="5">
        <f>IF($E7&gt;=AE$2,VLOOKUP($E7-AE$2,'data input'!$D$3:$E$130,2,FALSE),0)</f>
        <v>0</v>
      </c>
      <c r="AF7" s="5">
        <f>IF($E7&gt;=AF$2,VLOOKUP($E7-AF$2,'data input'!$D$3:$E$130,2,FALSE),0)</f>
        <v>0</v>
      </c>
      <c r="AG7" s="5">
        <f>IF($E7&gt;=AG$2,VLOOKUP($E7-AG$2,'data input'!$D$3:$E$130,2,FALSE),0)</f>
        <v>0</v>
      </c>
      <c r="AH7" s="5">
        <f>IF($E7&gt;=AH$2,VLOOKUP($E7-AH$2,'data input'!$D$3:$E$130,2,FALSE),0)</f>
        <v>0</v>
      </c>
      <c r="AI7" s="5">
        <f>IF($E7&gt;=AI$2,VLOOKUP($E7-AI$2,'data input'!$D$3:$E$130,2,FALSE),0)</f>
        <v>0</v>
      </c>
      <c r="AJ7" s="5">
        <f>IF($E7&gt;=AJ$2,VLOOKUP($E7-AJ$2,'data input'!$D$3:$E$130,2,FALSE),0)</f>
        <v>0</v>
      </c>
      <c r="AK7" s="5">
        <f>IF($E7&gt;=AK$2,VLOOKUP($E7-AK$2,'data input'!$D$3:$E$130,2,FALSE),0)</f>
        <v>0</v>
      </c>
      <c r="AL7" s="5">
        <f>IF($E7&gt;=AL$2,VLOOKUP($E7-AL$2,'data input'!$D$3:$E$130,2,FALSE),0)</f>
        <v>0</v>
      </c>
      <c r="AM7" s="5">
        <f>IF($E7&gt;=AM$2,VLOOKUP($E7-AM$2,'data input'!$D$3:$E$130,2,FALSE),0)</f>
        <v>0</v>
      </c>
      <c r="AN7" s="5">
        <f>IF($E7&gt;=AN$2,VLOOKUP($E7-AN$2,'data input'!$D$3:$E$130,2,FALSE),0)</f>
        <v>0</v>
      </c>
      <c r="AO7" s="5">
        <f>IF($E7&gt;=AO$2,VLOOKUP($E7-AO$2,'data input'!$D$3:$E$130,2,FALSE),0)</f>
        <v>0</v>
      </c>
      <c r="AP7" s="5">
        <f>IF($E7&gt;=AP$2,VLOOKUP($E7-AP$2,'data input'!$D$3:$E$130,2,FALSE),0)</f>
        <v>0</v>
      </c>
      <c r="AQ7" s="5">
        <f>IF($E7&gt;=AQ$2,VLOOKUP($E7-AQ$2,'data input'!$D$3:$E$130,2,FALSE),0)</f>
        <v>0</v>
      </c>
      <c r="AR7" s="5">
        <f>IF($E7&gt;=AR$2,VLOOKUP($E7-AR$2,'data input'!$D$3:$E$130,2,FALSE),0)</f>
        <v>0</v>
      </c>
      <c r="AS7" s="5">
        <f>IF($E7&gt;=AS$2,VLOOKUP($E7-AS$2,'data input'!$D$3:$E$130,2,FALSE),0)</f>
        <v>0</v>
      </c>
      <c r="AT7" s="5">
        <f>IF($E7&gt;=AT$2,VLOOKUP($E7-AT$2,'data input'!$D$3:$E$130,2,FALSE),0)</f>
        <v>0</v>
      </c>
      <c r="AU7" s="5">
        <f>IF($E7&gt;=AU$2,VLOOKUP($E7-AU$2,'data input'!$D$3:$E$130,2,FALSE),0)</f>
        <v>0</v>
      </c>
      <c r="AV7" s="5">
        <f>IF($E7&gt;=AV$2,VLOOKUP($E7-AV$2,'data input'!$D$3:$E$130,2,FALSE),0)</f>
        <v>0</v>
      </c>
      <c r="AW7" s="5">
        <f>IF($E7&gt;=AW$2,VLOOKUP($E7-AW$2,'data input'!$D$3:$E$130,2,FALSE),0)</f>
        <v>0</v>
      </c>
      <c r="AX7" s="5">
        <f>IF($E7&gt;=AX$2,VLOOKUP($E7-AX$2,'data input'!$D$3:$E$130,2,FALSE),0)</f>
        <v>0</v>
      </c>
      <c r="AY7" s="5">
        <f>IF($E7&gt;=AY$2,VLOOKUP($E7-AY$2,'data input'!$D$3:$E$130,2,FALSE),0)</f>
        <v>0</v>
      </c>
      <c r="AZ7" s="5">
        <f>IF($E7&gt;=AZ$2,VLOOKUP($E7-AZ$2,'data input'!$D$3:$E$130,2,FALSE),0)</f>
        <v>0</v>
      </c>
      <c r="BA7" s="5">
        <f>IF($E7&gt;=BA$2,VLOOKUP($E7-BA$2,'data input'!$D$3:$E$130,2,FALSE),0)</f>
        <v>0</v>
      </c>
      <c r="BB7" s="5">
        <f>IF($E7&gt;=BB$2,VLOOKUP($E7-BB$2,'data input'!$D$3:$E$130,2,FALSE),0)</f>
        <v>0</v>
      </c>
      <c r="BC7" s="5">
        <f>IF($E7&gt;=BC$2,VLOOKUP($E7-BC$2,'data input'!$D$3:$E$130,2,FALSE),0)</f>
        <v>0</v>
      </c>
      <c r="BD7" s="5">
        <f>IF($E7&gt;=BD$2,VLOOKUP($E7-BD$2,'data input'!$D$3:$E$130,2,FALSE),0)</f>
        <v>0</v>
      </c>
      <c r="BE7" s="5">
        <f>IF($E7&gt;=BE$2,VLOOKUP($E7-BE$2,'data input'!$D$3:$E$130,2,FALSE),0)</f>
        <v>0</v>
      </c>
      <c r="BF7" s="5">
        <f>IF($E7&gt;=BF$2,VLOOKUP($E7-BF$2,'data input'!$D$3:$E$130,2,FALSE),0)</f>
        <v>0</v>
      </c>
      <c r="BG7" s="5">
        <f>IF($E7&gt;=BG$2,VLOOKUP($E7-BG$2,'data input'!$D$3:$E$130,2,FALSE),0)</f>
        <v>0</v>
      </c>
      <c r="BH7" s="5">
        <f>IF($E7&gt;=BH$2,VLOOKUP($E7-BH$2,'data input'!$D$3:$E$130,2,FALSE),0)</f>
        <v>0</v>
      </c>
      <c r="BI7" s="5">
        <f>IF($E7&gt;=BI$2,VLOOKUP($E7-BI$2,'data input'!$D$3:$E$130,2,FALSE),0)</f>
        <v>0</v>
      </c>
      <c r="BJ7" s="5">
        <f>IF($E7&gt;=BJ$2,VLOOKUP($E7-BJ$2,'data input'!$D$3:$E$130,2,FALSE),0)</f>
        <v>0</v>
      </c>
      <c r="BK7" s="5">
        <f>IF($E7&gt;=BK$2,VLOOKUP($E7-BK$2,'data input'!$D$3:$E$130,2,FALSE),0)</f>
        <v>0</v>
      </c>
      <c r="BL7" s="5">
        <f>IF($E7&gt;=BL$2,VLOOKUP($E7-BL$2,'data input'!$D$3:$E$130,2,FALSE),0)</f>
        <v>0</v>
      </c>
      <c r="BM7" s="5">
        <f>IF($E7&gt;=BM$2,VLOOKUP($E7-BM$2,'data input'!$D$3:$E$130,2,FALSE),0)</f>
        <v>0</v>
      </c>
      <c r="BN7" s="5">
        <f>IF($E7&gt;=BN$2,VLOOKUP($E7-BN$2,'data input'!$D$3:$E$130,2,FALSE),0)</f>
        <v>0</v>
      </c>
      <c r="BO7" s="5">
        <f>IF($E7&gt;=BO$2,VLOOKUP($E7-BO$2,'data input'!$D$3:$E$130,2,FALSE),0)</f>
        <v>0</v>
      </c>
      <c r="BP7" s="5">
        <f>IF($E7&gt;=BP$2,VLOOKUP($E7-BP$2,'data input'!$D$3:$E$130,2,FALSE),0)</f>
        <v>0</v>
      </c>
      <c r="BQ7" s="5">
        <f>IF($E7&gt;=BQ$2,VLOOKUP($E7-BQ$2,'data input'!$D$3:$E$130,2,FALSE),0)</f>
        <v>0</v>
      </c>
      <c r="BR7" s="5">
        <f>IF($E7&gt;=BR$2,VLOOKUP($E7-BR$2,'data input'!$D$3:$E$130,2,FALSE),0)</f>
        <v>0</v>
      </c>
      <c r="BS7" s="5">
        <f>IF($E7&gt;=BS$2,VLOOKUP($E7-BS$2,'data input'!$D$3:$E$130,2,FALSE),0)</f>
        <v>0</v>
      </c>
      <c r="BT7" s="5">
        <f>IF($E7&gt;=BT$2,VLOOKUP($E7-BT$2,'data input'!$D$3:$E$130,2,FALSE),0)</f>
        <v>0</v>
      </c>
      <c r="BU7" s="5">
        <f>IF($E7&gt;=BU$2,VLOOKUP($E7-BU$2,'data input'!$D$3:$E$130,2,FALSE),0)</f>
        <v>0</v>
      </c>
      <c r="BV7" s="5">
        <f>IF($E7&gt;=BV$2,VLOOKUP($E7-BV$2,'data input'!$D$3:$E$130,2,FALSE),0)</f>
        <v>0</v>
      </c>
      <c r="BW7" s="5">
        <f>IF($E7&gt;=BW$2,VLOOKUP($E7-BW$2,'data input'!$D$3:$E$130,2,FALSE),0)</f>
        <v>0</v>
      </c>
      <c r="BX7" s="5">
        <f>IF($E7&gt;=BX$2,VLOOKUP($E7-BX$2,'data input'!$D$3:$E$130,2,FALSE),0)</f>
        <v>0</v>
      </c>
      <c r="BY7" s="5">
        <f>IF($E7&gt;=BY$2,VLOOKUP($E7-BY$2,'data input'!$D$3:$E$130,2,FALSE),0)</f>
        <v>0</v>
      </c>
      <c r="BZ7" s="5">
        <f>IF($E7&gt;=BZ$2,VLOOKUP($E7-BZ$2,'data input'!$D$3:$E$130,2,FALSE),0)</f>
        <v>0</v>
      </c>
      <c r="CA7" s="5">
        <f>IF($E7&gt;=CA$2,VLOOKUP($E7-CA$2,'data input'!$D$3:$E$130,2,FALSE),0)</f>
        <v>0</v>
      </c>
      <c r="CB7" s="5">
        <f>IF($E7&gt;=CB$2,VLOOKUP($E7-CB$2,'data input'!$D$3:$E$130,2,FALSE),0)</f>
        <v>0</v>
      </c>
      <c r="CC7" s="5">
        <f>IF($E7&gt;=CC$2,VLOOKUP($E7-CC$2,'data input'!$D$3:$E$130,2,FALSE),0)</f>
        <v>0</v>
      </c>
      <c r="CD7" s="5">
        <f>IF($E7&gt;=CD$2,VLOOKUP($E7-CD$2,'data input'!$D$3:$E$130,2,FALSE),0)</f>
        <v>0</v>
      </c>
      <c r="CE7" s="5">
        <f>IF($E7&gt;=CE$2,VLOOKUP($E7-CE$2,'data input'!$D$3:$E$130,2,FALSE),0)</f>
        <v>0</v>
      </c>
      <c r="CF7" s="5">
        <f>IF($E7&gt;=CF$2,VLOOKUP($E7-CF$2,'data input'!$D$3:$E$130,2,FALSE),0)</f>
        <v>0</v>
      </c>
      <c r="CG7" s="5">
        <f>IF($E7&gt;=CG$2,VLOOKUP($E7-CG$2,'data input'!$D$3:$E$130,2,FALSE),0)</f>
        <v>0</v>
      </c>
      <c r="CH7" s="5">
        <f>IF($E7&gt;=CH$2,VLOOKUP($E7-CH$2,'data input'!$D$3:$E$130,2,FALSE),0)</f>
        <v>0</v>
      </c>
      <c r="CI7" s="5">
        <f>IF($E7&gt;=CI$2,VLOOKUP($E7-CI$2,'data input'!$D$3:$E$130,2,FALSE),0)</f>
        <v>0</v>
      </c>
      <c r="CJ7" s="5">
        <f>IF($E7&gt;=CJ$2,VLOOKUP($E7-CJ$2,'data input'!$D$3:$E$130,2,FALSE),0)</f>
        <v>0</v>
      </c>
      <c r="CK7" s="5">
        <f>IF($E7&gt;=CK$2,VLOOKUP($E7-CK$2,'data input'!$D$3:$E$130,2,FALSE),0)</f>
        <v>0</v>
      </c>
      <c r="CL7" s="5">
        <f>IF($E7&gt;=CL$2,VLOOKUP($E7-CL$2,'data input'!$D$3:$E$130,2,FALSE),0)</f>
        <v>0</v>
      </c>
      <c r="CM7" s="5">
        <f>IF($E7&gt;=CM$2,VLOOKUP($E7-CM$2,'data input'!$D$3:$E$130,2,FALSE),0)</f>
        <v>0</v>
      </c>
      <c r="CN7" s="5">
        <f>IF($E7&gt;=CN$2,VLOOKUP($E7-CN$2,'data input'!$D$3:$E$130,2,FALSE),0)</f>
        <v>0</v>
      </c>
      <c r="CO7" s="5">
        <f>IF($E7&gt;=CO$2,VLOOKUP($E7-CO$2,'data input'!$D$3:$E$130,2,FALSE),0)</f>
        <v>0</v>
      </c>
      <c r="CP7" s="5">
        <f>IF($E7&gt;=CP$2,VLOOKUP($E7-CP$2,'data input'!$D$3:$E$130,2,FALSE),0)</f>
        <v>0</v>
      </c>
      <c r="CQ7" s="5">
        <f>IF($E7&gt;=CQ$2,VLOOKUP($E7-CQ$2,'data input'!$D$3:$E$130,2,FALSE),0)</f>
        <v>0</v>
      </c>
      <c r="CR7" s="5">
        <f>IF($E7&gt;=CR$2,VLOOKUP($E7-CR$2,'data input'!$D$3:$E$130,2,FALSE),0)</f>
        <v>0</v>
      </c>
      <c r="CS7" s="5">
        <f>IF($E7&gt;=CS$2,VLOOKUP($E7-CS$2,'data input'!$D$3:$E$130,2,FALSE),0)</f>
        <v>0</v>
      </c>
      <c r="CT7" s="5">
        <f>IF($E7&gt;=CT$2,VLOOKUP($E7-CT$2,'data input'!$D$3:$E$130,2,FALSE),0)</f>
        <v>0</v>
      </c>
      <c r="CU7" s="5">
        <f>IF($E7&gt;=CU$2,VLOOKUP($E7-CU$2,'data input'!$D$3:$E$130,2,FALSE),0)</f>
        <v>0</v>
      </c>
      <c r="CV7" s="5">
        <f>IF($E7&gt;=CV$2,VLOOKUP($E7-CV$2,'data input'!$D$3:$E$130,2,FALSE),0)</f>
        <v>0</v>
      </c>
      <c r="CW7" s="5">
        <f>IF($E7&gt;=CW$2,VLOOKUP($E7-CW$2,'data input'!$D$3:$E$130,2,FALSE),0)</f>
        <v>0</v>
      </c>
      <c r="CX7" s="5">
        <f>IF($E7&gt;=CX$2,VLOOKUP($E7-CX$2,'data input'!$D$3:$E$130,2,FALSE),0)</f>
        <v>0</v>
      </c>
      <c r="CY7" s="5">
        <f>IF($E7&gt;=CY$2,VLOOKUP($E7-CY$2,'data input'!$D$3:$E$130,2,FALSE),0)</f>
        <v>0</v>
      </c>
      <c r="CZ7" s="5">
        <f>IF($E7&gt;=CZ$2,VLOOKUP($E7-CZ$2,'data input'!$D$3:$E$130,2,FALSE),0)</f>
        <v>0</v>
      </c>
      <c r="DA7" s="5">
        <f>IF($E7&gt;=DA$2,VLOOKUP($E7-DA$2,'data input'!$D$3:$E$130,2,FALSE),0)</f>
        <v>0</v>
      </c>
      <c r="DB7" s="5">
        <f>IF($E7&gt;=DB$2,VLOOKUP($E7-DB$2,'data input'!$D$3:$E$130,2,FALSE),0)</f>
        <v>0</v>
      </c>
      <c r="DC7" s="5">
        <f>IF($E7&gt;=DC$2,VLOOKUP($E7-DC$2,'data input'!$D$3:$E$130,2,FALSE),0)</f>
        <v>0</v>
      </c>
      <c r="DD7" s="5">
        <f>IF($E7&gt;=DD$2,VLOOKUP($E7-DD$2,'data input'!$D$3:$E$130,2,FALSE),0)</f>
        <v>0</v>
      </c>
      <c r="DE7" s="5">
        <f>IF($E7&gt;=DE$2,VLOOKUP($E7-DE$2,'data input'!$D$3:$E$130,2,FALSE),0)</f>
        <v>0</v>
      </c>
      <c r="DF7" s="5">
        <f>IF($E7&gt;=DF$2,VLOOKUP($E7-DF$2,'data input'!$D$3:$E$130,2,FALSE),0)</f>
        <v>0</v>
      </c>
      <c r="DG7" s="5">
        <f>IF($E7&gt;=DG$2,VLOOKUP($E7-DG$2,'data input'!$D$3:$E$130,2,FALSE),0)</f>
        <v>0</v>
      </c>
      <c r="DH7" s="5">
        <f>IF($E7&gt;=DH$2,VLOOKUP($E7-DH$2,'data input'!$D$3:$E$130,2,FALSE),0)</f>
        <v>0</v>
      </c>
      <c r="DI7" s="5">
        <f>IF($E7&gt;=DI$2,VLOOKUP($E7-DI$2,'data input'!$D$3:$E$130,2,FALSE),0)</f>
        <v>0</v>
      </c>
      <c r="DJ7" s="5">
        <f>IF($E7&gt;=DJ$2,VLOOKUP($E7-DJ$2,'data input'!$D$3:$E$130,2,FALSE),0)</f>
        <v>0</v>
      </c>
      <c r="DK7" s="5">
        <f>IF($E7&gt;=DK$2,VLOOKUP($E7-DK$2,'data input'!$D$3:$E$130,2,FALSE),0)</f>
        <v>0</v>
      </c>
      <c r="DL7" s="5">
        <f>IF($E7&gt;=DL$2,VLOOKUP($E7-DL$2,'data input'!$D$3:$E$130,2,FALSE),0)</f>
        <v>0</v>
      </c>
      <c r="DM7" s="5">
        <f>IF($E7&gt;=DM$2,VLOOKUP($E7-DM$2,'data input'!$D$3:$E$130,2,FALSE),0)</f>
        <v>0</v>
      </c>
      <c r="DN7" s="5">
        <f>IF($E7&gt;=DN$2,VLOOKUP($E7-DN$2,'data input'!$D$3:$E$130,2,FALSE),0)</f>
        <v>0</v>
      </c>
      <c r="DO7" s="5">
        <f>IF($E7&gt;=DO$2,VLOOKUP($E7-DO$2,'data input'!$D$3:$E$130,2,FALSE),0)</f>
        <v>0</v>
      </c>
      <c r="DP7" s="5">
        <f>IF($E7&gt;=DP$2,VLOOKUP($E7-DP$2,'data input'!$D$3:$E$130,2,FALSE),0)</f>
        <v>0</v>
      </c>
      <c r="DQ7" s="5">
        <f>IF($E7&gt;=DQ$2,VLOOKUP($E7-DQ$2,'data input'!$D$3:$E$130,2,FALSE),0)</f>
        <v>0</v>
      </c>
      <c r="DR7" s="5">
        <f>IF($E7&gt;=DR$2,VLOOKUP($E7-DR$2,'data input'!$D$3:$E$130,2,FALSE),0)</f>
        <v>0</v>
      </c>
      <c r="DS7" s="5">
        <f>IF($E7&gt;=DS$2,VLOOKUP($E7-DS$2,'data input'!$D$3:$E$130,2,FALSE),0)</f>
        <v>0</v>
      </c>
      <c r="DT7" s="5">
        <f>IF($E7&gt;=DT$2,VLOOKUP($E7-DT$2,'data input'!$D$3:$E$130,2,FALSE),0)</f>
        <v>0</v>
      </c>
      <c r="DU7" s="5">
        <f>IF($E7&gt;=DU$2,VLOOKUP($E7-DU$2,'data input'!$D$3:$E$130,2,FALSE),0)</f>
        <v>0</v>
      </c>
      <c r="DV7" s="5">
        <f>IF($E7&gt;=DV$2,VLOOKUP($E7-DV$2,'data input'!$D$3:$E$130,2,FALSE),0)</f>
        <v>0</v>
      </c>
      <c r="DW7" s="5">
        <f>IF($E7&gt;=DW$2,VLOOKUP($E7-DW$2,'data input'!$D$3:$E$130,2,FALSE),0)</f>
        <v>0</v>
      </c>
      <c r="DX7" s="5">
        <f>IF($E7&gt;=DX$2,VLOOKUP($E7-DX$2,'data input'!$D$3:$E$130,2,FALSE),0)</f>
        <v>0</v>
      </c>
      <c r="DY7" s="5">
        <f>IF($E7&gt;=DY$2,VLOOKUP($E7-DY$2,'data input'!$D$3:$E$130,2,FALSE),0)</f>
        <v>0</v>
      </c>
      <c r="DZ7" s="5">
        <f>IF($E7&gt;=DZ$2,VLOOKUP($E7-DZ$2,'data input'!$D$3:$E$130,2,FALSE),0)</f>
        <v>0</v>
      </c>
      <c r="EA7" s="5">
        <f>IF($E7&gt;=EA$2,VLOOKUP($E7-EA$2,'data input'!$D$3:$E$130,2,FALSE),0)</f>
        <v>0</v>
      </c>
      <c r="EB7" s="5">
        <f>IF($E7&gt;=EB$2,VLOOKUP($E7-EB$2,'data input'!$D$3:$E$130,2,FALSE),0)</f>
        <v>0</v>
      </c>
      <c r="EC7" s="5">
        <f>IF($E7&gt;=EC$2,VLOOKUP($E7-EC$2,'data input'!$D$3:$E$130,2,FALSE),0)</f>
        <v>0</v>
      </c>
    </row>
    <row r="8" spans="5:133">
      <c r="E8" s="7">
        <f>'data input'!B8</f>
        <v>1883</v>
      </c>
      <c r="F8" s="5">
        <f>IF($E8&gt;=F$2,VLOOKUP($E8-F$2,'data input'!$D$3:$E$130,2,FALSE),0)</f>
        <v>0.99566755163698739</v>
      </c>
      <c r="G8" s="5">
        <f>IF($E8&gt;=G$2,VLOOKUP($E8-G$2,'data input'!$D$3:$E$130,2,FALSE),0)</f>
        <v>0.99653302619695938</v>
      </c>
      <c r="H8" s="5">
        <f>IF($E8&gt;=H$2,VLOOKUP($E8-H$2,'data input'!$D$3:$E$130,2,FALSE),0)</f>
        <v>0.99723991460873751</v>
      </c>
      <c r="I8" s="5">
        <f>IF($E8&gt;=I$2,VLOOKUP($E8-I$2,'data input'!$D$3:$E$130,2,FALSE),0)</f>
        <v>0.99781403854508677</v>
      </c>
      <c r="J8" s="5">
        <f>IF($E8&gt;=J$2,VLOOKUP($E8-J$2,'data input'!$D$3:$E$130,2,FALSE),0)</f>
        <v>0.99827771888413241</v>
      </c>
      <c r="K8" s="5">
        <f>IF($E8&gt;=K$2,VLOOKUP($E8-K$2,'data input'!$D$3:$E$130,2,FALSE),0)</f>
        <v>0.9986501019683699</v>
      </c>
      <c r="L8" s="5">
        <f>IF($E8&gt;=L$2,VLOOKUP($E8-L$2,'data input'!$D$3:$E$130,2,FALSE),0)</f>
        <v>0</v>
      </c>
      <c r="M8" s="5">
        <f>IF($E8&gt;=M$2,VLOOKUP($E8-M$2,'data input'!$D$3:$E$130,2,FALSE),0)</f>
        <v>0</v>
      </c>
      <c r="N8" s="5">
        <f>IF($E8&gt;=N$2,VLOOKUP($E8-N$2,'data input'!$D$3:$E$130,2,FALSE),0)</f>
        <v>0</v>
      </c>
      <c r="O8" s="5">
        <f>IF($E8&gt;=O$2,VLOOKUP($E8-O$2,'data input'!$D$3:$E$130,2,FALSE),0)</f>
        <v>0</v>
      </c>
      <c r="P8" s="5">
        <f>IF($E8&gt;=P$2,VLOOKUP($E8-P$2,'data input'!$D$3:$E$130,2,FALSE),0)</f>
        <v>0</v>
      </c>
      <c r="Q8" s="5">
        <f>IF($E8&gt;=Q$2,VLOOKUP($E8-Q$2,'data input'!$D$3:$E$130,2,FALSE),0)</f>
        <v>0</v>
      </c>
      <c r="R8" s="5">
        <f>IF($E8&gt;=R$2,VLOOKUP($E8-R$2,'data input'!$D$3:$E$130,2,FALSE),0)</f>
        <v>0</v>
      </c>
      <c r="S8" s="5">
        <f>IF($E8&gt;=S$2,VLOOKUP($E8-S$2,'data input'!$D$3:$E$130,2,FALSE),0)</f>
        <v>0</v>
      </c>
      <c r="T8" s="5">
        <f>IF($E8&gt;=T$2,VLOOKUP($E8-T$2,'data input'!$D$3:$E$130,2,FALSE),0)</f>
        <v>0</v>
      </c>
      <c r="U8" s="5">
        <f>IF($E8&gt;=U$2,VLOOKUP($E8-U$2,'data input'!$D$3:$E$130,2,FALSE),0)</f>
        <v>0</v>
      </c>
      <c r="V8" s="5">
        <f>IF($E8&gt;=V$2,VLOOKUP($E8-V$2,'data input'!$D$3:$E$130,2,FALSE),0)</f>
        <v>0</v>
      </c>
      <c r="W8" s="5">
        <f>IF($E8&gt;=W$2,VLOOKUP($E8-W$2,'data input'!$D$3:$E$130,2,FALSE),0)</f>
        <v>0</v>
      </c>
      <c r="X8" s="5">
        <f>IF($E8&gt;=X$2,VLOOKUP($E8-X$2,'data input'!$D$3:$E$130,2,FALSE),0)</f>
        <v>0</v>
      </c>
      <c r="Y8" s="5">
        <f>IF($E8&gt;=Y$2,VLOOKUP($E8-Y$2,'data input'!$D$3:$E$130,2,FALSE),0)</f>
        <v>0</v>
      </c>
      <c r="Z8" s="5">
        <f>IF($E8&gt;=Z$2,VLOOKUP($E8-Z$2,'data input'!$D$3:$E$130,2,FALSE),0)</f>
        <v>0</v>
      </c>
      <c r="AA8" s="5">
        <f>IF($E8&gt;=AA$2,VLOOKUP($E8-AA$2,'data input'!$D$3:$E$130,2,FALSE),0)</f>
        <v>0</v>
      </c>
      <c r="AB8" s="5">
        <f>IF($E8&gt;=AB$2,VLOOKUP($E8-AB$2,'data input'!$D$3:$E$130,2,FALSE),0)</f>
        <v>0</v>
      </c>
      <c r="AC8" s="5">
        <f>IF($E8&gt;=AC$2,VLOOKUP($E8-AC$2,'data input'!$D$3:$E$130,2,FALSE),0)</f>
        <v>0</v>
      </c>
      <c r="AD8" s="5">
        <f>IF($E8&gt;=AD$2,VLOOKUP($E8-AD$2,'data input'!$D$3:$E$130,2,FALSE),0)</f>
        <v>0</v>
      </c>
      <c r="AE8" s="5">
        <f>IF($E8&gt;=AE$2,VLOOKUP($E8-AE$2,'data input'!$D$3:$E$130,2,FALSE),0)</f>
        <v>0</v>
      </c>
      <c r="AF8" s="5">
        <f>IF($E8&gt;=AF$2,VLOOKUP($E8-AF$2,'data input'!$D$3:$E$130,2,FALSE),0)</f>
        <v>0</v>
      </c>
      <c r="AG8" s="5">
        <f>IF($E8&gt;=AG$2,VLOOKUP($E8-AG$2,'data input'!$D$3:$E$130,2,FALSE),0)</f>
        <v>0</v>
      </c>
      <c r="AH8" s="5">
        <f>IF($E8&gt;=AH$2,VLOOKUP($E8-AH$2,'data input'!$D$3:$E$130,2,FALSE),0)</f>
        <v>0</v>
      </c>
      <c r="AI8" s="5">
        <f>IF($E8&gt;=AI$2,VLOOKUP($E8-AI$2,'data input'!$D$3:$E$130,2,FALSE),0)</f>
        <v>0</v>
      </c>
      <c r="AJ8" s="5">
        <f>IF($E8&gt;=AJ$2,VLOOKUP($E8-AJ$2,'data input'!$D$3:$E$130,2,FALSE),0)</f>
        <v>0</v>
      </c>
      <c r="AK8" s="5">
        <f>IF($E8&gt;=AK$2,VLOOKUP($E8-AK$2,'data input'!$D$3:$E$130,2,FALSE),0)</f>
        <v>0</v>
      </c>
      <c r="AL8" s="5">
        <f>IF($E8&gt;=AL$2,VLOOKUP($E8-AL$2,'data input'!$D$3:$E$130,2,FALSE),0)</f>
        <v>0</v>
      </c>
      <c r="AM8" s="5">
        <f>IF($E8&gt;=AM$2,VLOOKUP($E8-AM$2,'data input'!$D$3:$E$130,2,FALSE),0)</f>
        <v>0</v>
      </c>
      <c r="AN8" s="5">
        <f>IF($E8&gt;=AN$2,VLOOKUP($E8-AN$2,'data input'!$D$3:$E$130,2,FALSE),0)</f>
        <v>0</v>
      </c>
      <c r="AO8" s="5">
        <f>IF($E8&gt;=AO$2,VLOOKUP($E8-AO$2,'data input'!$D$3:$E$130,2,FALSE),0)</f>
        <v>0</v>
      </c>
      <c r="AP8" s="5">
        <f>IF($E8&gt;=AP$2,VLOOKUP($E8-AP$2,'data input'!$D$3:$E$130,2,FALSE),0)</f>
        <v>0</v>
      </c>
      <c r="AQ8" s="5">
        <f>IF($E8&gt;=AQ$2,VLOOKUP($E8-AQ$2,'data input'!$D$3:$E$130,2,FALSE),0)</f>
        <v>0</v>
      </c>
      <c r="AR8" s="5">
        <f>IF($E8&gt;=AR$2,VLOOKUP($E8-AR$2,'data input'!$D$3:$E$130,2,FALSE),0)</f>
        <v>0</v>
      </c>
      <c r="AS8" s="5">
        <f>IF($E8&gt;=AS$2,VLOOKUP($E8-AS$2,'data input'!$D$3:$E$130,2,FALSE),0)</f>
        <v>0</v>
      </c>
      <c r="AT8" s="5">
        <f>IF($E8&gt;=AT$2,VLOOKUP($E8-AT$2,'data input'!$D$3:$E$130,2,FALSE),0)</f>
        <v>0</v>
      </c>
      <c r="AU8" s="5">
        <f>IF($E8&gt;=AU$2,VLOOKUP($E8-AU$2,'data input'!$D$3:$E$130,2,FALSE),0)</f>
        <v>0</v>
      </c>
      <c r="AV8" s="5">
        <f>IF($E8&gt;=AV$2,VLOOKUP($E8-AV$2,'data input'!$D$3:$E$130,2,FALSE),0)</f>
        <v>0</v>
      </c>
      <c r="AW8" s="5">
        <f>IF($E8&gt;=AW$2,VLOOKUP($E8-AW$2,'data input'!$D$3:$E$130,2,FALSE),0)</f>
        <v>0</v>
      </c>
      <c r="AX8" s="5">
        <f>IF($E8&gt;=AX$2,VLOOKUP($E8-AX$2,'data input'!$D$3:$E$130,2,FALSE),0)</f>
        <v>0</v>
      </c>
      <c r="AY8" s="5">
        <f>IF($E8&gt;=AY$2,VLOOKUP($E8-AY$2,'data input'!$D$3:$E$130,2,FALSE),0)</f>
        <v>0</v>
      </c>
      <c r="AZ8" s="5">
        <f>IF($E8&gt;=AZ$2,VLOOKUP($E8-AZ$2,'data input'!$D$3:$E$130,2,FALSE),0)</f>
        <v>0</v>
      </c>
      <c r="BA8" s="5">
        <f>IF($E8&gt;=BA$2,VLOOKUP($E8-BA$2,'data input'!$D$3:$E$130,2,FALSE),0)</f>
        <v>0</v>
      </c>
      <c r="BB8" s="5">
        <f>IF($E8&gt;=BB$2,VLOOKUP($E8-BB$2,'data input'!$D$3:$E$130,2,FALSE),0)</f>
        <v>0</v>
      </c>
      <c r="BC8" s="5">
        <f>IF($E8&gt;=BC$2,VLOOKUP($E8-BC$2,'data input'!$D$3:$E$130,2,FALSE),0)</f>
        <v>0</v>
      </c>
      <c r="BD8" s="5">
        <f>IF($E8&gt;=BD$2,VLOOKUP($E8-BD$2,'data input'!$D$3:$E$130,2,FALSE),0)</f>
        <v>0</v>
      </c>
      <c r="BE8" s="5">
        <f>IF($E8&gt;=BE$2,VLOOKUP($E8-BE$2,'data input'!$D$3:$E$130,2,FALSE),0)</f>
        <v>0</v>
      </c>
      <c r="BF8" s="5">
        <f>IF($E8&gt;=BF$2,VLOOKUP($E8-BF$2,'data input'!$D$3:$E$130,2,FALSE),0)</f>
        <v>0</v>
      </c>
      <c r="BG8" s="5">
        <f>IF($E8&gt;=BG$2,VLOOKUP($E8-BG$2,'data input'!$D$3:$E$130,2,FALSE),0)</f>
        <v>0</v>
      </c>
      <c r="BH8" s="5">
        <f>IF($E8&gt;=BH$2,VLOOKUP($E8-BH$2,'data input'!$D$3:$E$130,2,FALSE),0)</f>
        <v>0</v>
      </c>
      <c r="BI8" s="5">
        <f>IF($E8&gt;=BI$2,VLOOKUP($E8-BI$2,'data input'!$D$3:$E$130,2,FALSE),0)</f>
        <v>0</v>
      </c>
      <c r="BJ8" s="5">
        <f>IF($E8&gt;=BJ$2,VLOOKUP($E8-BJ$2,'data input'!$D$3:$E$130,2,FALSE),0)</f>
        <v>0</v>
      </c>
      <c r="BK8" s="5">
        <f>IF($E8&gt;=BK$2,VLOOKUP($E8-BK$2,'data input'!$D$3:$E$130,2,FALSE),0)</f>
        <v>0</v>
      </c>
      <c r="BL8" s="5">
        <f>IF($E8&gt;=BL$2,VLOOKUP($E8-BL$2,'data input'!$D$3:$E$130,2,FALSE),0)</f>
        <v>0</v>
      </c>
      <c r="BM8" s="5">
        <f>IF($E8&gt;=BM$2,VLOOKUP($E8-BM$2,'data input'!$D$3:$E$130,2,FALSE),0)</f>
        <v>0</v>
      </c>
      <c r="BN8" s="5">
        <f>IF($E8&gt;=BN$2,VLOOKUP($E8-BN$2,'data input'!$D$3:$E$130,2,FALSE),0)</f>
        <v>0</v>
      </c>
      <c r="BO8" s="5">
        <f>IF($E8&gt;=BO$2,VLOOKUP($E8-BO$2,'data input'!$D$3:$E$130,2,FALSE),0)</f>
        <v>0</v>
      </c>
      <c r="BP8" s="5">
        <f>IF($E8&gt;=BP$2,VLOOKUP($E8-BP$2,'data input'!$D$3:$E$130,2,FALSE),0)</f>
        <v>0</v>
      </c>
      <c r="BQ8" s="5">
        <f>IF($E8&gt;=BQ$2,VLOOKUP($E8-BQ$2,'data input'!$D$3:$E$130,2,FALSE),0)</f>
        <v>0</v>
      </c>
      <c r="BR8" s="5">
        <f>IF($E8&gt;=BR$2,VLOOKUP($E8-BR$2,'data input'!$D$3:$E$130,2,FALSE),0)</f>
        <v>0</v>
      </c>
      <c r="BS8" s="5">
        <f>IF($E8&gt;=BS$2,VLOOKUP($E8-BS$2,'data input'!$D$3:$E$130,2,FALSE),0)</f>
        <v>0</v>
      </c>
      <c r="BT8" s="5">
        <f>IF($E8&gt;=BT$2,VLOOKUP($E8-BT$2,'data input'!$D$3:$E$130,2,FALSE),0)</f>
        <v>0</v>
      </c>
      <c r="BU8" s="5">
        <f>IF($E8&gt;=BU$2,VLOOKUP($E8-BU$2,'data input'!$D$3:$E$130,2,FALSE),0)</f>
        <v>0</v>
      </c>
      <c r="BV8" s="5">
        <f>IF($E8&gt;=BV$2,VLOOKUP($E8-BV$2,'data input'!$D$3:$E$130,2,FALSE),0)</f>
        <v>0</v>
      </c>
      <c r="BW8" s="5">
        <f>IF($E8&gt;=BW$2,VLOOKUP($E8-BW$2,'data input'!$D$3:$E$130,2,FALSE),0)</f>
        <v>0</v>
      </c>
      <c r="BX8" s="5">
        <f>IF($E8&gt;=BX$2,VLOOKUP($E8-BX$2,'data input'!$D$3:$E$130,2,FALSE),0)</f>
        <v>0</v>
      </c>
      <c r="BY8" s="5">
        <f>IF($E8&gt;=BY$2,VLOOKUP($E8-BY$2,'data input'!$D$3:$E$130,2,FALSE),0)</f>
        <v>0</v>
      </c>
      <c r="BZ8" s="5">
        <f>IF($E8&gt;=BZ$2,VLOOKUP($E8-BZ$2,'data input'!$D$3:$E$130,2,FALSE),0)</f>
        <v>0</v>
      </c>
      <c r="CA8" s="5">
        <f>IF($E8&gt;=CA$2,VLOOKUP($E8-CA$2,'data input'!$D$3:$E$130,2,FALSE),0)</f>
        <v>0</v>
      </c>
      <c r="CB8" s="5">
        <f>IF($E8&gt;=CB$2,VLOOKUP($E8-CB$2,'data input'!$D$3:$E$130,2,FALSE),0)</f>
        <v>0</v>
      </c>
      <c r="CC8" s="5">
        <f>IF($E8&gt;=CC$2,VLOOKUP($E8-CC$2,'data input'!$D$3:$E$130,2,FALSE),0)</f>
        <v>0</v>
      </c>
      <c r="CD8" s="5">
        <f>IF($E8&gt;=CD$2,VLOOKUP($E8-CD$2,'data input'!$D$3:$E$130,2,FALSE),0)</f>
        <v>0</v>
      </c>
      <c r="CE8" s="5">
        <f>IF($E8&gt;=CE$2,VLOOKUP($E8-CE$2,'data input'!$D$3:$E$130,2,FALSE),0)</f>
        <v>0</v>
      </c>
      <c r="CF8" s="5">
        <f>IF($E8&gt;=CF$2,VLOOKUP($E8-CF$2,'data input'!$D$3:$E$130,2,FALSE),0)</f>
        <v>0</v>
      </c>
      <c r="CG8" s="5">
        <f>IF($E8&gt;=CG$2,VLOOKUP($E8-CG$2,'data input'!$D$3:$E$130,2,FALSE),0)</f>
        <v>0</v>
      </c>
      <c r="CH8" s="5">
        <f>IF($E8&gt;=CH$2,VLOOKUP($E8-CH$2,'data input'!$D$3:$E$130,2,FALSE),0)</f>
        <v>0</v>
      </c>
      <c r="CI8" s="5">
        <f>IF($E8&gt;=CI$2,VLOOKUP($E8-CI$2,'data input'!$D$3:$E$130,2,FALSE),0)</f>
        <v>0</v>
      </c>
      <c r="CJ8" s="5">
        <f>IF($E8&gt;=CJ$2,VLOOKUP($E8-CJ$2,'data input'!$D$3:$E$130,2,FALSE),0)</f>
        <v>0</v>
      </c>
      <c r="CK8" s="5">
        <f>IF($E8&gt;=CK$2,VLOOKUP($E8-CK$2,'data input'!$D$3:$E$130,2,FALSE),0)</f>
        <v>0</v>
      </c>
      <c r="CL8" s="5">
        <f>IF($E8&gt;=CL$2,VLOOKUP($E8-CL$2,'data input'!$D$3:$E$130,2,FALSE),0)</f>
        <v>0</v>
      </c>
      <c r="CM8" s="5">
        <f>IF($E8&gt;=CM$2,VLOOKUP($E8-CM$2,'data input'!$D$3:$E$130,2,FALSE),0)</f>
        <v>0</v>
      </c>
      <c r="CN8" s="5">
        <f>IF($E8&gt;=CN$2,VLOOKUP($E8-CN$2,'data input'!$D$3:$E$130,2,FALSE),0)</f>
        <v>0</v>
      </c>
      <c r="CO8" s="5">
        <f>IF($E8&gt;=CO$2,VLOOKUP($E8-CO$2,'data input'!$D$3:$E$130,2,FALSE),0)</f>
        <v>0</v>
      </c>
      <c r="CP8" s="5">
        <f>IF($E8&gt;=CP$2,VLOOKUP($E8-CP$2,'data input'!$D$3:$E$130,2,FALSE),0)</f>
        <v>0</v>
      </c>
      <c r="CQ8" s="5">
        <f>IF($E8&gt;=CQ$2,VLOOKUP($E8-CQ$2,'data input'!$D$3:$E$130,2,FALSE),0)</f>
        <v>0</v>
      </c>
      <c r="CR8" s="5">
        <f>IF($E8&gt;=CR$2,VLOOKUP($E8-CR$2,'data input'!$D$3:$E$130,2,FALSE),0)</f>
        <v>0</v>
      </c>
      <c r="CS8" s="5">
        <f>IF($E8&gt;=CS$2,VLOOKUP($E8-CS$2,'data input'!$D$3:$E$130,2,FALSE),0)</f>
        <v>0</v>
      </c>
      <c r="CT8" s="5">
        <f>IF($E8&gt;=CT$2,VLOOKUP($E8-CT$2,'data input'!$D$3:$E$130,2,FALSE),0)</f>
        <v>0</v>
      </c>
      <c r="CU8" s="5">
        <f>IF($E8&gt;=CU$2,VLOOKUP($E8-CU$2,'data input'!$D$3:$E$130,2,FALSE),0)</f>
        <v>0</v>
      </c>
      <c r="CV8" s="5">
        <f>IF($E8&gt;=CV$2,VLOOKUP($E8-CV$2,'data input'!$D$3:$E$130,2,FALSE),0)</f>
        <v>0</v>
      </c>
      <c r="CW8" s="5">
        <f>IF($E8&gt;=CW$2,VLOOKUP($E8-CW$2,'data input'!$D$3:$E$130,2,FALSE),0)</f>
        <v>0</v>
      </c>
      <c r="CX8" s="5">
        <f>IF($E8&gt;=CX$2,VLOOKUP($E8-CX$2,'data input'!$D$3:$E$130,2,FALSE),0)</f>
        <v>0</v>
      </c>
      <c r="CY8" s="5">
        <f>IF($E8&gt;=CY$2,VLOOKUP($E8-CY$2,'data input'!$D$3:$E$130,2,FALSE),0)</f>
        <v>0</v>
      </c>
      <c r="CZ8" s="5">
        <f>IF($E8&gt;=CZ$2,VLOOKUP($E8-CZ$2,'data input'!$D$3:$E$130,2,FALSE),0)</f>
        <v>0</v>
      </c>
      <c r="DA8" s="5">
        <f>IF($E8&gt;=DA$2,VLOOKUP($E8-DA$2,'data input'!$D$3:$E$130,2,FALSE),0)</f>
        <v>0</v>
      </c>
      <c r="DB8" s="5">
        <f>IF($E8&gt;=DB$2,VLOOKUP($E8-DB$2,'data input'!$D$3:$E$130,2,FALSE),0)</f>
        <v>0</v>
      </c>
      <c r="DC8" s="5">
        <f>IF($E8&gt;=DC$2,VLOOKUP($E8-DC$2,'data input'!$D$3:$E$130,2,FALSE),0)</f>
        <v>0</v>
      </c>
      <c r="DD8" s="5">
        <f>IF($E8&gt;=DD$2,VLOOKUP($E8-DD$2,'data input'!$D$3:$E$130,2,FALSE),0)</f>
        <v>0</v>
      </c>
      <c r="DE8" s="5">
        <f>IF($E8&gt;=DE$2,VLOOKUP($E8-DE$2,'data input'!$D$3:$E$130,2,FALSE),0)</f>
        <v>0</v>
      </c>
      <c r="DF8" s="5">
        <f>IF($E8&gt;=DF$2,VLOOKUP($E8-DF$2,'data input'!$D$3:$E$130,2,FALSE),0)</f>
        <v>0</v>
      </c>
      <c r="DG8" s="5">
        <f>IF($E8&gt;=DG$2,VLOOKUP($E8-DG$2,'data input'!$D$3:$E$130,2,FALSE),0)</f>
        <v>0</v>
      </c>
      <c r="DH8" s="5">
        <f>IF($E8&gt;=DH$2,VLOOKUP($E8-DH$2,'data input'!$D$3:$E$130,2,FALSE),0)</f>
        <v>0</v>
      </c>
      <c r="DI8" s="5">
        <f>IF($E8&gt;=DI$2,VLOOKUP($E8-DI$2,'data input'!$D$3:$E$130,2,FALSE),0)</f>
        <v>0</v>
      </c>
      <c r="DJ8" s="5">
        <f>IF($E8&gt;=DJ$2,VLOOKUP($E8-DJ$2,'data input'!$D$3:$E$130,2,FALSE),0)</f>
        <v>0</v>
      </c>
      <c r="DK8" s="5">
        <f>IF($E8&gt;=DK$2,VLOOKUP($E8-DK$2,'data input'!$D$3:$E$130,2,FALSE),0)</f>
        <v>0</v>
      </c>
      <c r="DL8" s="5">
        <f>IF($E8&gt;=DL$2,VLOOKUP($E8-DL$2,'data input'!$D$3:$E$130,2,FALSE),0)</f>
        <v>0</v>
      </c>
      <c r="DM8" s="5">
        <f>IF($E8&gt;=DM$2,VLOOKUP($E8-DM$2,'data input'!$D$3:$E$130,2,FALSE),0)</f>
        <v>0</v>
      </c>
      <c r="DN8" s="5">
        <f>IF($E8&gt;=DN$2,VLOOKUP($E8-DN$2,'data input'!$D$3:$E$130,2,FALSE),0)</f>
        <v>0</v>
      </c>
      <c r="DO8" s="5">
        <f>IF($E8&gt;=DO$2,VLOOKUP($E8-DO$2,'data input'!$D$3:$E$130,2,FALSE),0)</f>
        <v>0</v>
      </c>
      <c r="DP8" s="5">
        <f>IF($E8&gt;=DP$2,VLOOKUP($E8-DP$2,'data input'!$D$3:$E$130,2,FALSE),0)</f>
        <v>0</v>
      </c>
      <c r="DQ8" s="5">
        <f>IF($E8&gt;=DQ$2,VLOOKUP($E8-DQ$2,'data input'!$D$3:$E$130,2,FALSE),0)</f>
        <v>0</v>
      </c>
      <c r="DR8" s="5">
        <f>IF($E8&gt;=DR$2,VLOOKUP($E8-DR$2,'data input'!$D$3:$E$130,2,FALSE),0)</f>
        <v>0</v>
      </c>
      <c r="DS8" s="5">
        <f>IF($E8&gt;=DS$2,VLOOKUP($E8-DS$2,'data input'!$D$3:$E$130,2,FALSE),0)</f>
        <v>0</v>
      </c>
      <c r="DT8" s="5">
        <f>IF($E8&gt;=DT$2,VLOOKUP($E8-DT$2,'data input'!$D$3:$E$130,2,FALSE),0)</f>
        <v>0</v>
      </c>
      <c r="DU8" s="5">
        <f>IF($E8&gt;=DU$2,VLOOKUP($E8-DU$2,'data input'!$D$3:$E$130,2,FALSE),0)</f>
        <v>0</v>
      </c>
      <c r="DV8" s="5">
        <f>IF($E8&gt;=DV$2,VLOOKUP($E8-DV$2,'data input'!$D$3:$E$130,2,FALSE),0)</f>
        <v>0</v>
      </c>
      <c r="DW8" s="5">
        <f>IF($E8&gt;=DW$2,VLOOKUP($E8-DW$2,'data input'!$D$3:$E$130,2,FALSE),0)</f>
        <v>0</v>
      </c>
      <c r="DX8" s="5">
        <f>IF($E8&gt;=DX$2,VLOOKUP($E8-DX$2,'data input'!$D$3:$E$130,2,FALSE),0)</f>
        <v>0</v>
      </c>
      <c r="DY8" s="5">
        <f>IF($E8&gt;=DY$2,VLOOKUP($E8-DY$2,'data input'!$D$3:$E$130,2,FALSE),0)</f>
        <v>0</v>
      </c>
      <c r="DZ8" s="5">
        <f>IF($E8&gt;=DZ$2,VLOOKUP($E8-DZ$2,'data input'!$D$3:$E$130,2,FALSE),0)</f>
        <v>0</v>
      </c>
      <c r="EA8" s="5">
        <f>IF($E8&gt;=EA$2,VLOOKUP($E8-EA$2,'data input'!$D$3:$E$130,2,FALSE),0)</f>
        <v>0</v>
      </c>
      <c r="EB8" s="5">
        <f>IF($E8&gt;=EB$2,VLOOKUP($E8-EB$2,'data input'!$D$3:$E$130,2,FALSE),0)</f>
        <v>0</v>
      </c>
      <c r="EC8" s="5">
        <f>IF($E8&gt;=EC$2,VLOOKUP($E8-EC$2,'data input'!$D$3:$E$130,2,FALSE),0)</f>
        <v>0</v>
      </c>
    </row>
    <row r="9" spans="5:133">
      <c r="E9" s="7">
        <f>'data input'!B9</f>
        <v>1884</v>
      </c>
      <c r="F9" s="5">
        <f>IF($E9&gt;=F$2,VLOOKUP($E9-F$2,'data input'!$D$3:$E$130,2,FALSE),0)</f>
        <v>0.99461385404593328</v>
      </c>
      <c r="G9" s="5">
        <f>IF($E9&gt;=G$2,VLOOKUP($E9-G$2,'data input'!$D$3:$E$130,2,FALSE),0)</f>
        <v>0.99566755163698739</v>
      </c>
      <c r="H9" s="5">
        <f>IF($E9&gt;=H$2,VLOOKUP($E9-H$2,'data input'!$D$3:$E$130,2,FALSE),0)</f>
        <v>0.99653302619695938</v>
      </c>
      <c r="I9" s="5">
        <f>IF($E9&gt;=I$2,VLOOKUP($E9-I$2,'data input'!$D$3:$E$130,2,FALSE),0)</f>
        <v>0.99723991460873751</v>
      </c>
      <c r="J9" s="5">
        <f>IF($E9&gt;=J$2,VLOOKUP($E9-J$2,'data input'!$D$3:$E$130,2,FALSE),0)</f>
        <v>0.99781403854508677</v>
      </c>
      <c r="K9" s="5">
        <f>IF($E9&gt;=K$2,VLOOKUP($E9-K$2,'data input'!$D$3:$E$130,2,FALSE),0)</f>
        <v>0.99827771888413241</v>
      </c>
      <c r="L9" s="5">
        <f>IF($E9&gt;=L$2,VLOOKUP($E9-L$2,'data input'!$D$3:$E$130,2,FALSE),0)</f>
        <v>0.9986501019683699</v>
      </c>
      <c r="M9" s="5">
        <f>IF($E9&gt;=M$2,VLOOKUP($E9-M$2,'data input'!$D$3:$E$130,2,FALSE),0)</f>
        <v>0</v>
      </c>
      <c r="N9" s="5">
        <f>IF($E9&gt;=N$2,VLOOKUP($E9-N$2,'data input'!$D$3:$E$130,2,FALSE),0)</f>
        <v>0</v>
      </c>
      <c r="O9" s="5">
        <f>IF($E9&gt;=O$2,VLOOKUP($E9-O$2,'data input'!$D$3:$E$130,2,FALSE),0)</f>
        <v>0</v>
      </c>
      <c r="P9" s="5">
        <f>IF($E9&gt;=P$2,VLOOKUP($E9-P$2,'data input'!$D$3:$E$130,2,FALSE),0)</f>
        <v>0</v>
      </c>
      <c r="Q9" s="5">
        <f>IF($E9&gt;=Q$2,VLOOKUP($E9-Q$2,'data input'!$D$3:$E$130,2,FALSE),0)</f>
        <v>0</v>
      </c>
      <c r="R9" s="5">
        <f>IF($E9&gt;=R$2,VLOOKUP($E9-R$2,'data input'!$D$3:$E$130,2,FALSE),0)</f>
        <v>0</v>
      </c>
      <c r="S9" s="5">
        <f>IF($E9&gt;=S$2,VLOOKUP($E9-S$2,'data input'!$D$3:$E$130,2,FALSE),0)</f>
        <v>0</v>
      </c>
      <c r="T9" s="5">
        <f>IF($E9&gt;=T$2,VLOOKUP($E9-T$2,'data input'!$D$3:$E$130,2,FALSE),0)</f>
        <v>0</v>
      </c>
      <c r="U9" s="5">
        <f>IF($E9&gt;=U$2,VLOOKUP($E9-U$2,'data input'!$D$3:$E$130,2,FALSE),0)</f>
        <v>0</v>
      </c>
      <c r="V9" s="5">
        <f>IF($E9&gt;=V$2,VLOOKUP($E9-V$2,'data input'!$D$3:$E$130,2,FALSE),0)</f>
        <v>0</v>
      </c>
      <c r="W9" s="5">
        <f>IF($E9&gt;=W$2,VLOOKUP($E9-W$2,'data input'!$D$3:$E$130,2,FALSE),0)</f>
        <v>0</v>
      </c>
      <c r="X9" s="5">
        <f>IF($E9&gt;=X$2,VLOOKUP($E9-X$2,'data input'!$D$3:$E$130,2,FALSE),0)</f>
        <v>0</v>
      </c>
      <c r="Y9" s="5">
        <f>IF($E9&gt;=Y$2,VLOOKUP($E9-Y$2,'data input'!$D$3:$E$130,2,FALSE),0)</f>
        <v>0</v>
      </c>
      <c r="Z9" s="5">
        <f>IF($E9&gt;=Z$2,VLOOKUP($E9-Z$2,'data input'!$D$3:$E$130,2,FALSE),0)</f>
        <v>0</v>
      </c>
      <c r="AA9" s="5">
        <f>IF($E9&gt;=AA$2,VLOOKUP($E9-AA$2,'data input'!$D$3:$E$130,2,FALSE),0)</f>
        <v>0</v>
      </c>
      <c r="AB9" s="5">
        <f>IF($E9&gt;=AB$2,VLOOKUP($E9-AB$2,'data input'!$D$3:$E$130,2,FALSE),0)</f>
        <v>0</v>
      </c>
      <c r="AC9" s="5">
        <f>IF($E9&gt;=AC$2,VLOOKUP($E9-AC$2,'data input'!$D$3:$E$130,2,FALSE),0)</f>
        <v>0</v>
      </c>
      <c r="AD9" s="5">
        <f>IF($E9&gt;=AD$2,VLOOKUP($E9-AD$2,'data input'!$D$3:$E$130,2,FALSE),0)</f>
        <v>0</v>
      </c>
      <c r="AE9" s="5">
        <f>IF($E9&gt;=AE$2,VLOOKUP($E9-AE$2,'data input'!$D$3:$E$130,2,FALSE),0)</f>
        <v>0</v>
      </c>
      <c r="AF9" s="5">
        <f>IF($E9&gt;=AF$2,VLOOKUP($E9-AF$2,'data input'!$D$3:$E$130,2,FALSE),0)</f>
        <v>0</v>
      </c>
      <c r="AG9" s="5">
        <f>IF($E9&gt;=AG$2,VLOOKUP($E9-AG$2,'data input'!$D$3:$E$130,2,FALSE),0)</f>
        <v>0</v>
      </c>
      <c r="AH9" s="5">
        <f>IF($E9&gt;=AH$2,VLOOKUP($E9-AH$2,'data input'!$D$3:$E$130,2,FALSE),0)</f>
        <v>0</v>
      </c>
      <c r="AI9" s="5">
        <f>IF($E9&gt;=AI$2,VLOOKUP($E9-AI$2,'data input'!$D$3:$E$130,2,FALSE),0)</f>
        <v>0</v>
      </c>
      <c r="AJ9" s="5">
        <f>IF($E9&gt;=AJ$2,VLOOKUP($E9-AJ$2,'data input'!$D$3:$E$130,2,FALSE),0)</f>
        <v>0</v>
      </c>
      <c r="AK9" s="5">
        <f>IF($E9&gt;=AK$2,VLOOKUP($E9-AK$2,'data input'!$D$3:$E$130,2,FALSE),0)</f>
        <v>0</v>
      </c>
      <c r="AL9" s="5">
        <f>IF($E9&gt;=AL$2,VLOOKUP($E9-AL$2,'data input'!$D$3:$E$130,2,FALSE),0)</f>
        <v>0</v>
      </c>
      <c r="AM9" s="5">
        <f>IF($E9&gt;=AM$2,VLOOKUP($E9-AM$2,'data input'!$D$3:$E$130,2,FALSE),0)</f>
        <v>0</v>
      </c>
      <c r="AN9" s="5">
        <f>IF($E9&gt;=AN$2,VLOOKUP($E9-AN$2,'data input'!$D$3:$E$130,2,FALSE),0)</f>
        <v>0</v>
      </c>
      <c r="AO9" s="5">
        <f>IF($E9&gt;=AO$2,VLOOKUP($E9-AO$2,'data input'!$D$3:$E$130,2,FALSE),0)</f>
        <v>0</v>
      </c>
      <c r="AP9" s="5">
        <f>IF($E9&gt;=AP$2,VLOOKUP($E9-AP$2,'data input'!$D$3:$E$130,2,FALSE),0)</f>
        <v>0</v>
      </c>
      <c r="AQ9" s="5">
        <f>IF($E9&gt;=AQ$2,VLOOKUP($E9-AQ$2,'data input'!$D$3:$E$130,2,FALSE),0)</f>
        <v>0</v>
      </c>
      <c r="AR9" s="5">
        <f>IF($E9&gt;=AR$2,VLOOKUP($E9-AR$2,'data input'!$D$3:$E$130,2,FALSE),0)</f>
        <v>0</v>
      </c>
      <c r="AS9" s="5">
        <f>IF($E9&gt;=AS$2,VLOOKUP($E9-AS$2,'data input'!$D$3:$E$130,2,FALSE),0)</f>
        <v>0</v>
      </c>
      <c r="AT9" s="5">
        <f>IF($E9&gt;=AT$2,VLOOKUP($E9-AT$2,'data input'!$D$3:$E$130,2,FALSE),0)</f>
        <v>0</v>
      </c>
      <c r="AU9" s="5">
        <f>IF($E9&gt;=AU$2,VLOOKUP($E9-AU$2,'data input'!$D$3:$E$130,2,FALSE),0)</f>
        <v>0</v>
      </c>
      <c r="AV9" s="5">
        <f>IF($E9&gt;=AV$2,VLOOKUP($E9-AV$2,'data input'!$D$3:$E$130,2,FALSE),0)</f>
        <v>0</v>
      </c>
      <c r="AW9" s="5">
        <f>IF($E9&gt;=AW$2,VLOOKUP($E9-AW$2,'data input'!$D$3:$E$130,2,FALSE),0)</f>
        <v>0</v>
      </c>
      <c r="AX9" s="5">
        <f>IF($E9&gt;=AX$2,VLOOKUP($E9-AX$2,'data input'!$D$3:$E$130,2,FALSE),0)</f>
        <v>0</v>
      </c>
      <c r="AY9" s="5">
        <f>IF($E9&gt;=AY$2,VLOOKUP($E9-AY$2,'data input'!$D$3:$E$130,2,FALSE),0)</f>
        <v>0</v>
      </c>
      <c r="AZ9" s="5">
        <f>IF($E9&gt;=AZ$2,VLOOKUP($E9-AZ$2,'data input'!$D$3:$E$130,2,FALSE),0)</f>
        <v>0</v>
      </c>
      <c r="BA9" s="5">
        <f>IF($E9&gt;=BA$2,VLOOKUP($E9-BA$2,'data input'!$D$3:$E$130,2,FALSE),0)</f>
        <v>0</v>
      </c>
      <c r="BB9" s="5">
        <f>IF($E9&gt;=BB$2,VLOOKUP($E9-BB$2,'data input'!$D$3:$E$130,2,FALSE),0)</f>
        <v>0</v>
      </c>
      <c r="BC9" s="5">
        <f>IF($E9&gt;=BC$2,VLOOKUP($E9-BC$2,'data input'!$D$3:$E$130,2,FALSE),0)</f>
        <v>0</v>
      </c>
      <c r="BD9" s="5">
        <f>IF($E9&gt;=BD$2,VLOOKUP($E9-BD$2,'data input'!$D$3:$E$130,2,FALSE),0)</f>
        <v>0</v>
      </c>
      <c r="BE9" s="5">
        <f>IF($E9&gt;=BE$2,VLOOKUP($E9-BE$2,'data input'!$D$3:$E$130,2,FALSE),0)</f>
        <v>0</v>
      </c>
      <c r="BF9" s="5">
        <f>IF($E9&gt;=BF$2,VLOOKUP($E9-BF$2,'data input'!$D$3:$E$130,2,FALSE),0)</f>
        <v>0</v>
      </c>
      <c r="BG9" s="5">
        <f>IF($E9&gt;=BG$2,VLOOKUP($E9-BG$2,'data input'!$D$3:$E$130,2,FALSE),0)</f>
        <v>0</v>
      </c>
      <c r="BH9" s="5">
        <f>IF($E9&gt;=BH$2,VLOOKUP($E9-BH$2,'data input'!$D$3:$E$130,2,FALSE),0)</f>
        <v>0</v>
      </c>
      <c r="BI9" s="5">
        <f>IF($E9&gt;=BI$2,VLOOKUP($E9-BI$2,'data input'!$D$3:$E$130,2,FALSE),0)</f>
        <v>0</v>
      </c>
      <c r="BJ9" s="5">
        <f>IF($E9&gt;=BJ$2,VLOOKUP($E9-BJ$2,'data input'!$D$3:$E$130,2,FALSE),0)</f>
        <v>0</v>
      </c>
      <c r="BK9" s="5">
        <f>IF($E9&gt;=BK$2,VLOOKUP($E9-BK$2,'data input'!$D$3:$E$130,2,FALSE),0)</f>
        <v>0</v>
      </c>
      <c r="BL9" s="5">
        <f>IF($E9&gt;=BL$2,VLOOKUP($E9-BL$2,'data input'!$D$3:$E$130,2,FALSE),0)</f>
        <v>0</v>
      </c>
      <c r="BM9" s="5">
        <f>IF($E9&gt;=BM$2,VLOOKUP($E9-BM$2,'data input'!$D$3:$E$130,2,FALSE),0)</f>
        <v>0</v>
      </c>
      <c r="BN9" s="5">
        <f>IF($E9&gt;=BN$2,VLOOKUP($E9-BN$2,'data input'!$D$3:$E$130,2,FALSE),0)</f>
        <v>0</v>
      </c>
      <c r="BO9" s="5">
        <f>IF($E9&gt;=BO$2,VLOOKUP($E9-BO$2,'data input'!$D$3:$E$130,2,FALSE),0)</f>
        <v>0</v>
      </c>
      <c r="BP9" s="5">
        <f>IF($E9&gt;=BP$2,VLOOKUP($E9-BP$2,'data input'!$D$3:$E$130,2,FALSE),0)</f>
        <v>0</v>
      </c>
      <c r="BQ9" s="5">
        <f>IF($E9&gt;=BQ$2,VLOOKUP($E9-BQ$2,'data input'!$D$3:$E$130,2,FALSE),0)</f>
        <v>0</v>
      </c>
      <c r="BR9" s="5">
        <f>IF($E9&gt;=BR$2,VLOOKUP($E9-BR$2,'data input'!$D$3:$E$130,2,FALSE),0)</f>
        <v>0</v>
      </c>
      <c r="BS9" s="5">
        <f>IF($E9&gt;=BS$2,VLOOKUP($E9-BS$2,'data input'!$D$3:$E$130,2,FALSE),0)</f>
        <v>0</v>
      </c>
      <c r="BT9" s="5">
        <f>IF($E9&gt;=BT$2,VLOOKUP($E9-BT$2,'data input'!$D$3:$E$130,2,FALSE),0)</f>
        <v>0</v>
      </c>
      <c r="BU9" s="5">
        <f>IF($E9&gt;=BU$2,VLOOKUP($E9-BU$2,'data input'!$D$3:$E$130,2,FALSE),0)</f>
        <v>0</v>
      </c>
      <c r="BV9" s="5">
        <f>IF($E9&gt;=BV$2,VLOOKUP($E9-BV$2,'data input'!$D$3:$E$130,2,FALSE),0)</f>
        <v>0</v>
      </c>
      <c r="BW9" s="5">
        <f>IF($E9&gt;=BW$2,VLOOKUP($E9-BW$2,'data input'!$D$3:$E$130,2,FALSE),0)</f>
        <v>0</v>
      </c>
      <c r="BX9" s="5">
        <f>IF($E9&gt;=BX$2,VLOOKUP($E9-BX$2,'data input'!$D$3:$E$130,2,FALSE),0)</f>
        <v>0</v>
      </c>
      <c r="BY9" s="5">
        <f>IF($E9&gt;=BY$2,VLOOKUP($E9-BY$2,'data input'!$D$3:$E$130,2,FALSE),0)</f>
        <v>0</v>
      </c>
      <c r="BZ9" s="5">
        <f>IF($E9&gt;=BZ$2,VLOOKUP($E9-BZ$2,'data input'!$D$3:$E$130,2,FALSE),0)</f>
        <v>0</v>
      </c>
      <c r="CA9" s="5">
        <f>IF($E9&gt;=CA$2,VLOOKUP($E9-CA$2,'data input'!$D$3:$E$130,2,FALSE),0)</f>
        <v>0</v>
      </c>
      <c r="CB9" s="5">
        <f>IF($E9&gt;=CB$2,VLOOKUP($E9-CB$2,'data input'!$D$3:$E$130,2,FALSE),0)</f>
        <v>0</v>
      </c>
      <c r="CC9" s="5">
        <f>IF($E9&gt;=CC$2,VLOOKUP($E9-CC$2,'data input'!$D$3:$E$130,2,FALSE),0)</f>
        <v>0</v>
      </c>
      <c r="CD9" s="5">
        <f>IF($E9&gt;=CD$2,VLOOKUP($E9-CD$2,'data input'!$D$3:$E$130,2,FALSE),0)</f>
        <v>0</v>
      </c>
      <c r="CE9" s="5">
        <f>IF($E9&gt;=CE$2,VLOOKUP($E9-CE$2,'data input'!$D$3:$E$130,2,FALSE),0)</f>
        <v>0</v>
      </c>
      <c r="CF9" s="5">
        <f>IF($E9&gt;=CF$2,VLOOKUP($E9-CF$2,'data input'!$D$3:$E$130,2,FALSE),0)</f>
        <v>0</v>
      </c>
      <c r="CG9" s="5">
        <f>IF($E9&gt;=CG$2,VLOOKUP($E9-CG$2,'data input'!$D$3:$E$130,2,FALSE),0)</f>
        <v>0</v>
      </c>
      <c r="CH9" s="5">
        <f>IF($E9&gt;=CH$2,VLOOKUP($E9-CH$2,'data input'!$D$3:$E$130,2,FALSE),0)</f>
        <v>0</v>
      </c>
      <c r="CI9" s="5">
        <f>IF($E9&gt;=CI$2,VLOOKUP($E9-CI$2,'data input'!$D$3:$E$130,2,FALSE),0)</f>
        <v>0</v>
      </c>
      <c r="CJ9" s="5">
        <f>IF($E9&gt;=CJ$2,VLOOKUP($E9-CJ$2,'data input'!$D$3:$E$130,2,FALSE),0)</f>
        <v>0</v>
      </c>
      <c r="CK9" s="5">
        <f>IF($E9&gt;=CK$2,VLOOKUP($E9-CK$2,'data input'!$D$3:$E$130,2,FALSE),0)</f>
        <v>0</v>
      </c>
      <c r="CL9" s="5">
        <f>IF($E9&gt;=CL$2,VLOOKUP($E9-CL$2,'data input'!$D$3:$E$130,2,FALSE),0)</f>
        <v>0</v>
      </c>
      <c r="CM9" s="5">
        <f>IF($E9&gt;=CM$2,VLOOKUP($E9-CM$2,'data input'!$D$3:$E$130,2,FALSE),0)</f>
        <v>0</v>
      </c>
      <c r="CN9" s="5">
        <f>IF($E9&gt;=CN$2,VLOOKUP($E9-CN$2,'data input'!$D$3:$E$130,2,FALSE),0)</f>
        <v>0</v>
      </c>
      <c r="CO9" s="5">
        <f>IF($E9&gt;=CO$2,VLOOKUP($E9-CO$2,'data input'!$D$3:$E$130,2,FALSE),0)</f>
        <v>0</v>
      </c>
      <c r="CP9" s="5">
        <f>IF($E9&gt;=CP$2,VLOOKUP($E9-CP$2,'data input'!$D$3:$E$130,2,FALSE),0)</f>
        <v>0</v>
      </c>
      <c r="CQ9" s="5">
        <f>IF($E9&gt;=CQ$2,VLOOKUP($E9-CQ$2,'data input'!$D$3:$E$130,2,FALSE),0)</f>
        <v>0</v>
      </c>
      <c r="CR9" s="5">
        <f>IF($E9&gt;=CR$2,VLOOKUP($E9-CR$2,'data input'!$D$3:$E$130,2,FALSE),0)</f>
        <v>0</v>
      </c>
      <c r="CS9" s="5">
        <f>IF($E9&gt;=CS$2,VLOOKUP($E9-CS$2,'data input'!$D$3:$E$130,2,FALSE),0)</f>
        <v>0</v>
      </c>
      <c r="CT9" s="5">
        <f>IF($E9&gt;=CT$2,VLOOKUP($E9-CT$2,'data input'!$D$3:$E$130,2,FALSE),0)</f>
        <v>0</v>
      </c>
      <c r="CU9" s="5">
        <f>IF($E9&gt;=CU$2,VLOOKUP($E9-CU$2,'data input'!$D$3:$E$130,2,FALSE),0)</f>
        <v>0</v>
      </c>
      <c r="CV9" s="5">
        <f>IF($E9&gt;=CV$2,VLOOKUP($E9-CV$2,'data input'!$D$3:$E$130,2,FALSE),0)</f>
        <v>0</v>
      </c>
      <c r="CW9" s="5">
        <f>IF($E9&gt;=CW$2,VLOOKUP($E9-CW$2,'data input'!$D$3:$E$130,2,FALSE),0)</f>
        <v>0</v>
      </c>
      <c r="CX9" s="5">
        <f>IF($E9&gt;=CX$2,VLOOKUP($E9-CX$2,'data input'!$D$3:$E$130,2,FALSE),0)</f>
        <v>0</v>
      </c>
      <c r="CY9" s="5">
        <f>IF($E9&gt;=CY$2,VLOOKUP($E9-CY$2,'data input'!$D$3:$E$130,2,FALSE),0)</f>
        <v>0</v>
      </c>
      <c r="CZ9" s="5">
        <f>IF($E9&gt;=CZ$2,VLOOKUP($E9-CZ$2,'data input'!$D$3:$E$130,2,FALSE),0)</f>
        <v>0</v>
      </c>
      <c r="DA9" s="5">
        <f>IF($E9&gt;=DA$2,VLOOKUP($E9-DA$2,'data input'!$D$3:$E$130,2,FALSE),0)</f>
        <v>0</v>
      </c>
      <c r="DB9" s="5">
        <f>IF($E9&gt;=DB$2,VLOOKUP($E9-DB$2,'data input'!$D$3:$E$130,2,FALSE),0)</f>
        <v>0</v>
      </c>
      <c r="DC9" s="5">
        <f>IF($E9&gt;=DC$2,VLOOKUP($E9-DC$2,'data input'!$D$3:$E$130,2,FALSE),0)</f>
        <v>0</v>
      </c>
      <c r="DD9" s="5">
        <f>IF($E9&gt;=DD$2,VLOOKUP($E9-DD$2,'data input'!$D$3:$E$130,2,FALSE),0)</f>
        <v>0</v>
      </c>
      <c r="DE9" s="5">
        <f>IF($E9&gt;=DE$2,VLOOKUP($E9-DE$2,'data input'!$D$3:$E$130,2,FALSE),0)</f>
        <v>0</v>
      </c>
      <c r="DF9" s="5">
        <f>IF($E9&gt;=DF$2,VLOOKUP($E9-DF$2,'data input'!$D$3:$E$130,2,FALSE),0)</f>
        <v>0</v>
      </c>
      <c r="DG9" s="5">
        <f>IF($E9&gt;=DG$2,VLOOKUP($E9-DG$2,'data input'!$D$3:$E$130,2,FALSE),0)</f>
        <v>0</v>
      </c>
      <c r="DH9" s="5">
        <f>IF($E9&gt;=DH$2,VLOOKUP($E9-DH$2,'data input'!$D$3:$E$130,2,FALSE),0)</f>
        <v>0</v>
      </c>
      <c r="DI9" s="5">
        <f>IF($E9&gt;=DI$2,VLOOKUP($E9-DI$2,'data input'!$D$3:$E$130,2,FALSE),0)</f>
        <v>0</v>
      </c>
      <c r="DJ9" s="5">
        <f>IF($E9&gt;=DJ$2,VLOOKUP($E9-DJ$2,'data input'!$D$3:$E$130,2,FALSE),0)</f>
        <v>0</v>
      </c>
      <c r="DK9" s="5">
        <f>IF($E9&gt;=DK$2,VLOOKUP($E9-DK$2,'data input'!$D$3:$E$130,2,FALSE),0)</f>
        <v>0</v>
      </c>
      <c r="DL9" s="5">
        <f>IF($E9&gt;=DL$2,VLOOKUP($E9-DL$2,'data input'!$D$3:$E$130,2,FALSE),0)</f>
        <v>0</v>
      </c>
      <c r="DM9" s="5">
        <f>IF($E9&gt;=DM$2,VLOOKUP($E9-DM$2,'data input'!$D$3:$E$130,2,FALSE),0)</f>
        <v>0</v>
      </c>
      <c r="DN9" s="5">
        <f>IF($E9&gt;=DN$2,VLOOKUP($E9-DN$2,'data input'!$D$3:$E$130,2,FALSE),0)</f>
        <v>0</v>
      </c>
      <c r="DO9" s="5">
        <f>IF($E9&gt;=DO$2,VLOOKUP($E9-DO$2,'data input'!$D$3:$E$130,2,FALSE),0)</f>
        <v>0</v>
      </c>
      <c r="DP9" s="5">
        <f>IF($E9&gt;=DP$2,VLOOKUP($E9-DP$2,'data input'!$D$3:$E$130,2,FALSE),0)</f>
        <v>0</v>
      </c>
      <c r="DQ9" s="5">
        <f>IF($E9&gt;=DQ$2,VLOOKUP($E9-DQ$2,'data input'!$D$3:$E$130,2,FALSE),0)</f>
        <v>0</v>
      </c>
      <c r="DR9" s="5">
        <f>IF($E9&gt;=DR$2,VLOOKUP($E9-DR$2,'data input'!$D$3:$E$130,2,FALSE),0)</f>
        <v>0</v>
      </c>
      <c r="DS9" s="5">
        <f>IF($E9&gt;=DS$2,VLOOKUP($E9-DS$2,'data input'!$D$3:$E$130,2,FALSE),0)</f>
        <v>0</v>
      </c>
      <c r="DT9" s="5">
        <f>IF($E9&gt;=DT$2,VLOOKUP($E9-DT$2,'data input'!$D$3:$E$130,2,FALSE),0)</f>
        <v>0</v>
      </c>
      <c r="DU9" s="5">
        <f>IF($E9&gt;=DU$2,VLOOKUP($E9-DU$2,'data input'!$D$3:$E$130,2,FALSE),0)</f>
        <v>0</v>
      </c>
      <c r="DV9" s="5">
        <f>IF($E9&gt;=DV$2,VLOOKUP($E9-DV$2,'data input'!$D$3:$E$130,2,FALSE),0)</f>
        <v>0</v>
      </c>
      <c r="DW9" s="5">
        <f>IF($E9&gt;=DW$2,VLOOKUP($E9-DW$2,'data input'!$D$3:$E$130,2,FALSE),0)</f>
        <v>0</v>
      </c>
      <c r="DX9" s="5">
        <f>IF($E9&gt;=DX$2,VLOOKUP($E9-DX$2,'data input'!$D$3:$E$130,2,FALSE),0)</f>
        <v>0</v>
      </c>
      <c r="DY9" s="5">
        <f>IF($E9&gt;=DY$2,VLOOKUP($E9-DY$2,'data input'!$D$3:$E$130,2,FALSE),0)</f>
        <v>0</v>
      </c>
      <c r="DZ9" s="5">
        <f>IF($E9&gt;=DZ$2,VLOOKUP($E9-DZ$2,'data input'!$D$3:$E$130,2,FALSE),0)</f>
        <v>0</v>
      </c>
      <c r="EA9" s="5">
        <f>IF($E9&gt;=EA$2,VLOOKUP($E9-EA$2,'data input'!$D$3:$E$130,2,FALSE),0)</f>
        <v>0</v>
      </c>
      <c r="EB9" s="5">
        <f>IF($E9&gt;=EB$2,VLOOKUP($E9-EB$2,'data input'!$D$3:$E$130,2,FALSE),0)</f>
        <v>0</v>
      </c>
      <c r="EC9" s="5">
        <f>IF($E9&gt;=EC$2,VLOOKUP($E9-EC$2,'data input'!$D$3:$E$130,2,FALSE),0)</f>
        <v>0</v>
      </c>
    </row>
    <row r="10" spans="5:133">
      <c r="E10" s="7">
        <f>'data input'!B10</f>
        <v>1885</v>
      </c>
      <c r="F10" s="5">
        <f>IF($E10&gt;=F$2,VLOOKUP($E10-F$2,'data input'!$D$3:$E$130,2,FALSE),0)</f>
        <v>0.99333819120801725</v>
      </c>
      <c r="G10" s="5">
        <f>IF($E10&gt;=G$2,VLOOKUP($E10-G$2,'data input'!$D$3:$E$130,2,FALSE),0)</f>
        <v>0.99461385404593328</v>
      </c>
      <c r="H10" s="5">
        <f>IF($E10&gt;=H$2,VLOOKUP($E10-H$2,'data input'!$D$3:$E$130,2,FALSE),0)</f>
        <v>0.99566755163698739</v>
      </c>
      <c r="I10" s="5">
        <f>IF($E10&gt;=I$2,VLOOKUP($E10-I$2,'data input'!$D$3:$E$130,2,FALSE),0)</f>
        <v>0.99653302619695938</v>
      </c>
      <c r="J10" s="5">
        <f>IF($E10&gt;=J$2,VLOOKUP($E10-J$2,'data input'!$D$3:$E$130,2,FALSE),0)</f>
        <v>0.99723991460873751</v>
      </c>
      <c r="K10" s="5">
        <f>IF($E10&gt;=K$2,VLOOKUP($E10-K$2,'data input'!$D$3:$E$130,2,FALSE),0)</f>
        <v>0.99781403854508677</v>
      </c>
      <c r="L10" s="5">
        <f>IF($E10&gt;=L$2,VLOOKUP($E10-L$2,'data input'!$D$3:$E$130,2,FALSE),0)</f>
        <v>0.99827771888413241</v>
      </c>
      <c r="M10" s="5">
        <f>IF($E10&gt;=M$2,VLOOKUP($E10-M$2,'data input'!$D$3:$E$130,2,FALSE),0)</f>
        <v>0.9986501019683699</v>
      </c>
      <c r="N10" s="5">
        <f>IF($E10&gt;=N$2,VLOOKUP($E10-N$2,'data input'!$D$3:$E$130,2,FALSE),0)</f>
        <v>0</v>
      </c>
      <c r="O10" s="5">
        <f>IF($E10&gt;=O$2,VLOOKUP($E10-O$2,'data input'!$D$3:$E$130,2,FALSE),0)</f>
        <v>0</v>
      </c>
      <c r="P10" s="5">
        <f>IF($E10&gt;=P$2,VLOOKUP($E10-P$2,'data input'!$D$3:$E$130,2,FALSE),0)</f>
        <v>0</v>
      </c>
      <c r="Q10" s="5">
        <f>IF($E10&gt;=Q$2,VLOOKUP($E10-Q$2,'data input'!$D$3:$E$130,2,FALSE),0)</f>
        <v>0</v>
      </c>
      <c r="R10" s="5">
        <f>IF($E10&gt;=R$2,VLOOKUP($E10-R$2,'data input'!$D$3:$E$130,2,FALSE),0)</f>
        <v>0</v>
      </c>
      <c r="S10" s="5">
        <f>IF($E10&gt;=S$2,VLOOKUP($E10-S$2,'data input'!$D$3:$E$130,2,FALSE),0)</f>
        <v>0</v>
      </c>
      <c r="T10" s="5">
        <f>IF($E10&gt;=T$2,VLOOKUP($E10-T$2,'data input'!$D$3:$E$130,2,FALSE),0)</f>
        <v>0</v>
      </c>
      <c r="U10" s="5">
        <f>IF($E10&gt;=U$2,VLOOKUP($E10-U$2,'data input'!$D$3:$E$130,2,FALSE),0)</f>
        <v>0</v>
      </c>
      <c r="V10" s="5">
        <f>IF($E10&gt;=V$2,VLOOKUP($E10-V$2,'data input'!$D$3:$E$130,2,FALSE),0)</f>
        <v>0</v>
      </c>
      <c r="W10" s="5">
        <f>IF($E10&gt;=W$2,VLOOKUP($E10-W$2,'data input'!$D$3:$E$130,2,FALSE),0)</f>
        <v>0</v>
      </c>
      <c r="X10" s="5">
        <f>IF($E10&gt;=X$2,VLOOKUP($E10-X$2,'data input'!$D$3:$E$130,2,FALSE),0)</f>
        <v>0</v>
      </c>
      <c r="Y10" s="5">
        <f>IF($E10&gt;=Y$2,VLOOKUP($E10-Y$2,'data input'!$D$3:$E$130,2,FALSE),0)</f>
        <v>0</v>
      </c>
      <c r="Z10" s="5">
        <f>IF($E10&gt;=Z$2,VLOOKUP($E10-Z$2,'data input'!$D$3:$E$130,2,FALSE),0)</f>
        <v>0</v>
      </c>
      <c r="AA10" s="5">
        <f>IF($E10&gt;=AA$2,VLOOKUP($E10-AA$2,'data input'!$D$3:$E$130,2,FALSE),0)</f>
        <v>0</v>
      </c>
      <c r="AB10" s="5">
        <f>IF($E10&gt;=AB$2,VLOOKUP($E10-AB$2,'data input'!$D$3:$E$130,2,FALSE),0)</f>
        <v>0</v>
      </c>
      <c r="AC10" s="5">
        <f>IF($E10&gt;=AC$2,VLOOKUP($E10-AC$2,'data input'!$D$3:$E$130,2,FALSE),0)</f>
        <v>0</v>
      </c>
      <c r="AD10" s="5">
        <f>IF($E10&gt;=AD$2,VLOOKUP($E10-AD$2,'data input'!$D$3:$E$130,2,FALSE),0)</f>
        <v>0</v>
      </c>
      <c r="AE10" s="5">
        <f>IF($E10&gt;=AE$2,VLOOKUP($E10-AE$2,'data input'!$D$3:$E$130,2,FALSE),0)</f>
        <v>0</v>
      </c>
      <c r="AF10" s="5">
        <f>IF($E10&gt;=AF$2,VLOOKUP($E10-AF$2,'data input'!$D$3:$E$130,2,FALSE),0)</f>
        <v>0</v>
      </c>
      <c r="AG10" s="5">
        <f>IF($E10&gt;=AG$2,VLOOKUP($E10-AG$2,'data input'!$D$3:$E$130,2,FALSE),0)</f>
        <v>0</v>
      </c>
      <c r="AH10" s="5">
        <f>IF($E10&gt;=AH$2,VLOOKUP($E10-AH$2,'data input'!$D$3:$E$130,2,FALSE),0)</f>
        <v>0</v>
      </c>
      <c r="AI10" s="5">
        <f>IF($E10&gt;=AI$2,VLOOKUP($E10-AI$2,'data input'!$D$3:$E$130,2,FALSE),0)</f>
        <v>0</v>
      </c>
      <c r="AJ10" s="5">
        <f>IF($E10&gt;=AJ$2,VLOOKUP($E10-AJ$2,'data input'!$D$3:$E$130,2,FALSE),0)</f>
        <v>0</v>
      </c>
      <c r="AK10" s="5">
        <f>IF($E10&gt;=AK$2,VLOOKUP($E10-AK$2,'data input'!$D$3:$E$130,2,FALSE),0)</f>
        <v>0</v>
      </c>
      <c r="AL10" s="5">
        <f>IF($E10&gt;=AL$2,VLOOKUP($E10-AL$2,'data input'!$D$3:$E$130,2,FALSE),0)</f>
        <v>0</v>
      </c>
      <c r="AM10" s="5">
        <f>IF($E10&gt;=AM$2,VLOOKUP($E10-AM$2,'data input'!$D$3:$E$130,2,FALSE),0)</f>
        <v>0</v>
      </c>
      <c r="AN10" s="5">
        <f>IF($E10&gt;=AN$2,VLOOKUP($E10-AN$2,'data input'!$D$3:$E$130,2,FALSE),0)</f>
        <v>0</v>
      </c>
      <c r="AO10" s="5">
        <f>IF($E10&gt;=AO$2,VLOOKUP($E10-AO$2,'data input'!$D$3:$E$130,2,FALSE),0)</f>
        <v>0</v>
      </c>
      <c r="AP10" s="5">
        <f>IF($E10&gt;=AP$2,VLOOKUP($E10-AP$2,'data input'!$D$3:$E$130,2,FALSE),0)</f>
        <v>0</v>
      </c>
      <c r="AQ10" s="5">
        <f>IF($E10&gt;=AQ$2,VLOOKUP($E10-AQ$2,'data input'!$D$3:$E$130,2,FALSE),0)</f>
        <v>0</v>
      </c>
      <c r="AR10" s="5">
        <f>IF($E10&gt;=AR$2,VLOOKUP($E10-AR$2,'data input'!$D$3:$E$130,2,FALSE),0)</f>
        <v>0</v>
      </c>
      <c r="AS10" s="5">
        <f>IF($E10&gt;=AS$2,VLOOKUP($E10-AS$2,'data input'!$D$3:$E$130,2,FALSE),0)</f>
        <v>0</v>
      </c>
      <c r="AT10" s="5">
        <f>IF($E10&gt;=AT$2,VLOOKUP($E10-AT$2,'data input'!$D$3:$E$130,2,FALSE),0)</f>
        <v>0</v>
      </c>
      <c r="AU10" s="5">
        <f>IF($E10&gt;=AU$2,VLOOKUP($E10-AU$2,'data input'!$D$3:$E$130,2,FALSE),0)</f>
        <v>0</v>
      </c>
      <c r="AV10" s="5">
        <f>IF($E10&gt;=AV$2,VLOOKUP($E10-AV$2,'data input'!$D$3:$E$130,2,FALSE),0)</f>
        <v>0</v>
      </c>
      <c r="AW10" s="5">
        <f>IF($E10&gt;=AW$2,VLOOKUP($E10-AW$2,'data input'!$D$3:$E$130,2,FALSE),0)</f>
        <v>0</v>
      </c>
      <c r="AX10" s="5">
        <f>IF($E10&gt;=AX$2,VLOOKUP($E10-AX$2,'data input'!$D$3:$E$130,2,FALSE),0)</f>
        <v>0</v>
      </c>
      <c r="AY10" s="5">
        <f>IF($E10&gt;=AY$2,VLOOKUP($E10-AY$2,'data input'!$D$3:$E$130,2,FALSE),0)</f>
        <v>0</v>
      </c>
      <c r="AZ10" s="5">
        <f>IF($E10&gt;=AZ$2,VLOOKUP($E10-AZ$2,'data input'!$D$3:$E$130,2,FALSE),0)</f>
        <v>0</v>
      </c>
      <c r="BA10" s="5">
        <f>IF($E10&gt;=BA$2,VLOOKUP($E10-BA$2,'data input'!$D$3:$E$130,2,FALSE),0)</f>
        <v>0</v>
      </c>
      <c r="BB10" s="5">
        <f>IF($E10&gt;=BB$2,VLOOKUP($E10-BB$2,'data input'!$D$3:$E$130,2,FALSE),0)</f>
        <v>0</v>
      </c>
      <c r="BC10" s="5">
        <f>IF($E10&gt;=BC$2,VLOOKUP($E10-BC$2,'data input'!$D$3:$E$130,2,FALSE),0)</f>
        <v>0</v>
      </c>
      <c r="BD10" s="5">
        <f>IF($E10&gt;=BD$2,VLOOKUP($E10-BD$2,'data input'!$D$3:$E$130,2,FALSE),0)</f>
        <v>0</v>
      </c>
      <c r="BE10" s="5">
        <f>IF($E10&gt;=BE$2,VLOOKUP($E10-BE$2,'data input'!$D$3:$E$130,2,FALSE),0)</f>
        <v>0</v>
      </c>
      <c r="BF10" s="5">
        <f>IF($E10&gt;=BF$2,VLOOKUP($E10-BF$2,'data input'!$D$3:$E$130,2,FALSE),0)</f>
        <v>0</v>
      </c>
      <c r="BG10" s="5">
        <f>IF($E10&gt;=BG$2,VLOOKUP($E10-BG$2,'data input'!$D$3:$E$130,2,FALSE),0)</f>
        <v>0</v>
      </c>
      <c r="BH10" s="5">
        <f>IF($E10&gt;=BH$2,VLOOKUP($E10-BH$2,'data input'!$D$3:$E$130,2,FALSE),0)</f>
        <v>0</v>
      </c>
      <c r="BI10" s="5">
        <f>IF($E10&gt;=BI$2,VLOOKUP($E10-BI$2,'data input'!$D$3:$E$130,2,FALSE),0)</f>
        <v>0</v>
      </c>
      <c r="BJ10" s="5">
        <f>IF($E10&gt;=BJ$2,VLOOKUP($E10-BJ$2,'data input'!$D$3:$E$130,2,FALSE),0)</f>
        <v>0</v>
      </c>
      <c r="BK10" s="5">
        <f>IF($E10&gt;=BK$2,VLOOKUP($E10-BK$2,'data input'!$D$3:$E$130,2,FALSE),0)</f>
        <v>0</v>
      </c>
      <c r="BL10" s="5">
        <f>IF($E10&gt;=BL$2,VLOOKUP($E10-BL$2,'data input'!$D$3:$E$130,2,FALSE),0)</f>
        <v>0</v>
      </c>
      <c r="BM10" s="5">
        <f>IF($E10&gt;=BM$2,VLOOKUP($E10-BM$2,'data input'!$D$3:$E$130,2,FALSE),0)</f>
        <v>0</v>
      </c>
      <c r="BN10" s="5">
        <f>IF($E10&gt;=BN$2,VLOOKUP($E10-BN$2,'data input'!$D$3:$E$130,2,FALSE),0)</f>
        <v>0</v>
      </c>
      <c r="BO10" s="5">
        <f>IF($E10&gt;=BO$2,VLOOKUP($E10-BO$2,'data input'!$D$3:$E$130,2,FALSE),0)</f>
        <v>0</v>
      </c>
      <c r="BP10" s="5">
        <f>IF($E10&gt;=BP$2,VLOOKUP($E10-BP$2,'data input'!$D$3:$E$130,2,FALSE),0)</f>
        <v>0</v>
      </c>
      <c r="BQ10" s="5">
        <f>IF($E10&gt;=BQ$2,VLOOKUP($E10-BQ$2,'data input'!$D$3:$E$130,2,FALSE),0)</f>
        <v>0</v>
      </c>
      <c r="BR10" s="5">
        <f>IF($E10&gt;=BR$2,VLOOKUP($E10-BR$2,'data input'!$D$3:$E$130,2,FALSE),0)</f>
        <v>0</v>
      </c>
      <c r="BS10" s="5">
        <f>IF($E10&gt;=BS$2,VLOOKUP($E10-BS$2,'data input'!$D$3:$E$130,2,FALSE),0)</f>
        <v>0</v>
      </c>
      <c r="BT10" s="5">
        <f>IF($E10&gt;=BT$2,VLOOKUP($E10-BT$2,'data input'!$D$3:$E$130,2,FALSE),0)</f>
        <v>0</v>
      </c>
      <c r="BU10" s="5">
        <f>IF($E10&gt;=BU$2,VLOOKUP($E10-BU$2,'data input'!$D$3:$E$130,2,FALSE),0)</f>
        <v>0</v>
      </c>
      <c r="BV10" s="5">
        <f>IF($E10&gt;=BV$2,VLOOKUP($E10-BV$2,'data input'!$D$3:$E$130,2,FALSE),0)</f>
        <v>0</v>
      </c>
      <c r="BW10" s="5">
        <f>IF($E10&gt;=BW$2,VLOOKUP($E10-BW$2,'data input'!$D$3:$E$130,2,FALSE),0)</f>
        <v>0</v>
      </c>
      <c r="BX10" s="5">
        <f>IF($E10&gt;=BX$2,VLOOKUP($E10-BX$2,'data input'!$D$3:$E$130,2,FALSE),0)</f>
        <v>0</v>
      </c>
      <c r="BY10" s="5">
        <f>IF($E10&gt;=BY$2,VLOOKUP($E10-BY$2,'data input'!$D$3:$E$130,2,FALSE),0)</f>
        <v>0</v>
      </c>
      <c r="BZ10" s="5">
        <f>IF($E10&gt;=BZ$2,VLOOKUP($E10-BZ$2,'data input'!$D$3:$E$130,2,FALSE),0)</f>
        <v>0</v>
      </c>
      <c r="CA10" s="5">
        <f>IF($E10&gt;=CA$2,VLOOKUP($E10-CA$2,'data input'!$D$3:$E$130,2,FALSE),0)</f>
        <v>0</v>
      </c>
      <c r="CB10" s="5">
        <f>IF($E10&gt;=CB$2,VLOOKUP($E10-CB$2,'data input'!$D$3:$E$130,2,FALSE),0)</f>
        <v>0</v>
      </c>
      <c r="CC10" s="5">
        <f>IF($E10&gt;=CC$2,VLOOKUP($E10-CC$2,'data input'!$D$3:$E$130,2,FALSE),0)</f>
        <v>0</v>
      </c>
      <c r="CD10" s="5">
        <f>IF($E10&gt;=CD$2,VLOOKUP($E10-CD$2,'data input'!$D$3:$E$130,2,FALSE),0)</f>
        <v>0</v>
      </c>
      <c r="CE10" s="5">
        <f>IF($E10&gt;=CE$2,VLOOKUP($E10-CE$2,'data input'!$D$3:$E$130,2,FALSE),0)</f>
        <v>0</v>
      </c>
      <c r="CF10" s="5">
        <f>IF($E10&gt;=CF$2,VLOOKUP($E10-CF$2,'data input'!$D$3:$E$130,2,FALSE),0)</f>
        <v>0</v>
      </c>
      <c r="CG10" s="5">
        <f>IF($E10&gt;=CG$2,VLOOKUP($E10-CG$2,'data input'!$D$3:$E$130,2,FALSE),0)</f>
        <v>0</v>
      </c>
      <c r="CH10" s="5">
        <f>IF($E10&gt;=CH$2,VLOOKUP($E10-CH$2,'data input'!$D$3:$E$130,2,FALSE),0)</f>
        <v>0</v>
      </c>
      <c r="CI10" s="5">
        <f>IF($E10&gt;=CI$2,VLOOKUP($E10-CI$2,'data input'!$D$3:$E$130,2,FALSE),0)</f>
        <v>0</v>
      </c>
      <c r="CJ10" s="5">
        <f>IF($E10&gt;=CJ$2,VLOOKUP($E10-CJ$2,'data input'!$D$3:$E$130,2,FALSE),0)</f>
        <v>0</v>
      </c>
      <c r="CK10" s="5">
        <f>IF($E10&gt;=CK$2,VLOOKUP($E10-CK$2,'data input'!$D$3:$E$130,2,FALSE),0)</f>
        <v>0</v>
      </c>
      <c r="CL10" s="5">
        <f>IF($E10&gt;=CL$2,VLOOKUP($E10-CL$2,'data input'!$D$3:$E$130,2,FALSE),0)</f>
        <v>0</v>
      </c>
      <c r="CM10" s="5">
        <f>IF($E10&gt;=CM$2,VLOOKUP($E10-CM$2,'data input'!$D$3:$E$130,2,FALSE),0)</f>
        <v>0</v>
      </c>
      <c r="CN10" s="5">
        <f>IF($E10&gt;=CN$2,VLOOKUP($E10-CN$2,'data input'!$D$3:$E$130,2,FALSE),0)</f>
        <v>0</v>
      </c>
      <c r="CO10" s="5">
        <f>IF($E10&gt;=CO$2,VLOOKUP($E10-CO$2,'data input'!$D$3:$E$130,2,FALSE),0)</f>
        <v>0</v>
      </c>
      <c r="CP10" s="5">
        <f>IF($E10&gt;=CP$2,VLOOKUP($E10-CP$2,'data input'!$D$3:$E$130,2,FALSE),0)</f>
        <v>0</v>
      </c>
      <c r="CQ10" s="5">
        <f>IF($E10&gt;=CQ$2,VLOOKUP($E10-CQ$2,'data input'!$D$3:$E$130,2,FALSE),0)</f>
        <v>0</v>
      </c>
      <c r="CR10" s="5">
        <f>IF($E10&gt;=CR$2,VLOOKUP($E10-CR$2,'data input'!$D$3:$E$130,2,FALSE),0)</f>
        <v>0</v>
      </c>
      <c r="CS10" s="5">
        <f>IF($E10&gt;=CS$2,VLOOKUP($E10-CS$2,'data input'!$D$3:$E$130,2,FALSE),0)</f>
        <v>0</v>
      </c>
      <c r="CT10" s="5">
        <f>IF($E10&gt;=CT$2,VLOOKUP($E10-CT$2,'data input'!$D$3:$E$130,2,FALSE),0)</f>
        <v>0</v>
      </c>
      <c r="CU10" s="5">
        <f>IF($E10&gt;=CU$2,VLOOKUP($E10-CU$2,'data input'!$D$3:$E$130,2,FALSE),0)</f>
        <v>0</v>
      </c>
      <c r="CV10" s="5">
        <f>IF($E10&gt;=CV$2,VLOOKUP($E10-CV$2,'data input'!$D$3:$E$130,2,FALSE),0)</f>
        <v>0</v>
      </c>
      <c r="CW10" s="5">
        <f>IF($E10&gt;=CW$2,VLOOKUP($E10-CW$2,'data input'!$D$3:$E$130,2,FALSE),0)</f>
        <v>0</v>
      </c>
      <c r="CX10" s="5">
        <f>IF($E10&gt;=CX$2,VLOOKUP($E10-CX$2,'data input'!$D$3:$E$130,2,FALSE),0)</f>
        <v>0</v>
      </c>
      <c r="CY10" s="5">
        <f>IF($E10&gt;=CY$2,VLOOKUP($E10-CY$2,'data input'!$D$3:$E$130,2,FALSE),0)</f>
        <v>0</v>
      </c>
      <c r="CZ10" s="5">
        <f>IF($E10&gt;=CZ$2,VLOOKUP($E10-CZ$2,'data input'!$D$3:$E$130,2,FALSE),0)</f>
        <v>0</v>
      </c>
      <c r="DA10" s="5">
        <f>IF($E10&gt;=DA$2,VLOOKUP($E10-DA$2,'data input'!$D$3:$E$130,2,FALSE),0)</f>
        <v>0</v>
      </c>
      <c r="DB10" s="5">
        <f>IF($E10&gt;=DB$2,VLOOKUP($E10-DB$2,'data input'!$D$3:$E$130,2,FALSE),0)</f>
        <v>0</v>
      </c>
      <c r="DC10" s="5">
        <f>IF($E10&gt;=DC$2,VLOOKUP($E10-DC$2,'data input'!$D$3:$E$130,2,FALSE),0)</f>
        <v>0</v>
      </c>
      <c r="DD10" s="5">
        <f>IF($E10&gt;=DD$2,VLOOKUP($E10-DD$2,'data input'!$D$3:$E$130,2,FALSE),0)</f>
        <v>0</v>
      </c>
      <c r="DE10" s="5">
        <f>IF($E10&gt;=DE$2,VLOOKUP($E10-DE$2,'data input'!$D$3:$E$130,2,FALSE),0)</f>
        <v>0</v>
      </c>
      <c r="DF10" s="5">
        <f>IF($E10&gt;=DF$2,VLOOKUP($E10-DF$2,'data input'!$D$3:$E$130,2,FALSE),0)</f>
        <v>0</v>
      </c>
      <c r="DG10" s="5">
        <f>IF($E10&gt;=DG$2,VLOOKUP($E10-DG$2,'data input'!$D$3:$E$130,2,FALSE),0)</f>
        <v>0</v>
      </c>
      <c r="DH10" s="5">
        <f>IF($E10&gt;=DH$2,VLOOKUP($E10-DH$2,'data input'!$D$3:$E$130,2,FALSE),0)</f>
        <v>0</v>
      </c>
      <c r="DI10" s="5">
        <f>IF($E10&gt;=DI$2,VLOOKUP($E10-DI$2,'data input'!$D$3:$E$130,2,FALSE),0)</f>
        <v>0</v>
      </c>
      <c r="DJ10" s="5">
        <f>IF($E10&gt;=DJ$2,VLOOKUP($E10-DJ$2,'data input'!$D$3:$E$130,2,FALSE),0)</f>
        <v>0</v>
      </c>
      <c r="DK10" s="5">
        <f>IF($E10&gt;=DK$2,VLOOKUP($E10-DK$2,'data input'!$D$3:$E$130,2,FALSE),0)</f>
        <v>0</v>
      </c>
      <c r="DL10" s="5">
        <f>IF($E10&gt;=DL$2,VLOOKUP($E10-DL$2,'data input'!$D$3:$E$130,2,FALSE),0)</f>
        <v>0</v>
      </c>
      <c r="DM10" s="5">
        <f>IF($E10&gt;=DM$2,VLOOKUP($E10-DM$2,'data input'!$D$3:$E$130,2,FALSE),0)</f>
        <v>0</v>
      </c>
      <c r="DN10" s="5">
        <f>IF($E10&gt;=DN$2,VLOOKUP($E10-DN$2,'data input'!$D$3:$E$130,2,FALSE),0)</f>
        <v>0</v>
      </c>
      <c r="DO10" s="5">
        <f>IF($E10&gt;=DO$2,VLOOKUP($E10-DO$2,'data input'!$D$3:$E$130,2,FALSE),0)</f>
        <v>0</v>
      </c>
      <c r="DP10" s="5">
        <f>IF($E10&gt;=DP$2,VLOOKUP($E10-DP$2,'data input'!$D$3:$E$130,2,FALSE),0)</f>
        <v>0</v>
      </c>
      <c r="DQ10" s="5">
        <f>IF($E10&gt;=DQ$2,VLOOKUP($E10-DQ$2,'data input'!$D$3:$E$130,2,FALSE),0)</f>
        <v>0</v>
      </c>
      <c r="DR10" s="5">
        <f>IF($E10&gt;=DR$2,VLOOKUP($E10-DR$2,'data input'!$D$3:$E$130,2,FALSE),0)</f>
        <v>0</v>
      </c>
      <c r="DS10" s="5">
        <f>IF($E10&gt;=DS$2,VLOOKUP($E10-DS$2,'data input'!$D$3:$E$130,2,FALSE),0)</f>
        <v>0</v>
      </c>
      <c r="DT10" s="5">
        <f>IF($E10&gt;=DT$2,VLOOKUP($E10-DT$2,'data input'!$D$3:$E$130,2,FALSE),0)</f>
        <v>0</v>
      </c>
      <c r="DU10" s="5">
        <f>IF($E10&gt;=DU$2,VLOOKUP($E10-DU$2,'data input'!$D$3:$E$130,2,FALSE),0)</f>
        <v>0</v>
      </c>
      <c r="DV10" s="5">
        <f>IF($E10&gt;=DV$2,VLOOKUP($E10-DV$2,'data input'!$D$3:$E$130,2,FALSE),0)</f>
        <v>0</v>
      </c>
      <c r="DW10" s="5">
        <f>IF($E10&gt;=DW$2,VLOOKUP($E10-DW$2,'data input'!$D$3:$E$130,2,FALSE),0)</f>
        <v>0</v>
      </c>
      <c r="DX10" s="5">
        <f>IF($E10&gt;=DX$2,VLOOKUP($E10-DX$2,'data input'!$D$3:$E$130,2,FALSE),0)</f>
        <v>0</v>
      </c>
      <c r="DY10" s="5">
        <f>IF($E10&gt;=DY$2,VLOOKUP($E10-DY$2,'data input'!$D$3:$E$130,2,FALSE),0)</f>
        <v>0</v>
      </c>
      <c r="DZ10" s="5">
        <f>IF($E10&gt;=DZ$2,VLOOKUP($E10-DZ$2,'data input'!$D$3:$E$130,2,FALSE),0)</f>
        <v>0</v>
      </c>
      <c r="EA10" s="5">
        <f>IF($E10&gt;=EA$2,VLOOKUP($E10-EA$2,'data input'!$D$3:$E$130,2,FALSE),0)</f>
        <v>0</v>
      </c>
      <c r="EB10" s="5">
        <f>IF($E10&gt;=EB$2,VLOOKUP($E10-EB$2,'data input'!$D$3:$E$130,2,FALSE),0)</f>
        <v>0</v>
      </c>
      <c r="EC10" s="5">
        <f>IF($E10&gt;=EC$2,VLOOKUP($E10-EC$2,'data input'!$D$3:$E$130,2,FALSE),0)</f>
        <v>0</v>
      </c>
    </row>
    <row r="11" spans="5:133">
      <c r="E11" s="7">
        <f>'data input'!B11</f>
        <v>1886</v>
      </c>
      <c r="F11" s="5">
        <f>IF($E11&gt;=F$2,VLOOKUP($E11-F$2,'data input'!$D$3:$E$130,2,FALSE),0)</f>
        <v>0.99180246407540384</v>
      </c>
      <c r="G11" s="5">
        <f>IF($E11&gt;=G$2,VLOOKUP($E11-G$2,'data input'!$D$3:$E$130,2,FALSE),0)</f>
        <v>0.99333819120801725</v>
      </c>
      <c r="H11" s="5">
        <f>IF($E11&gt;=H$2,VLOOKUP($E11-H$2,'data input'!$D$3:$E$130,2,FALSE),0)</f>
        <v>0.99461385404593328</v>
      </c>
      <c r="I11" s="5">
        <f>IF($E11&gt;=I$2,VLOOKUP($E11-I$2,'data input'!$D$3:$E$130,2,FALSE),0)</f>
        <v>0.99566755163698739</v>
      </c>
      <c r="J11" s="5">
        <f>IF($E11&gt;=J$2,VLOOKUP($E11-J$2,'data input'!$D$3:$E$130,2,FALSE),0)</f>
        <v>0.99653302619695938</v>
      </c>
      <c r="K11" s="5">
        <f>IF($E11&gt;=K$2,VLOOKUP($E11-K$2,'data input'!$D$3:$E$130,2,FALSE),0)</f>
        <v>0.99723991460873751</v>
      </c>
      <c r="L11" s="5">
        <f>IF($E11&gt;=L$2,VLOOKUP($E11-L$2,'data input'!$D$3:$E$130,2,FALSE),0)</f>
        <v>0.99781403854508677</v>
      </c>
      <c r="M11" s="5">
        <f>IF($E11&gt;=M$2,VLOOKUP($E11-M$2,'data input'!$D$3:$E$130,2,FALSE),0)</f>
        <v>0.99827771888413241</v>
      </c>
      <c r="N11" s="5">
        <f>IF($E11&gt;=N$2,VLOOKUP($E11-N$2,'data input'!$D$3:$E$130,2,FALSE),0)</f>
        <v>0.9986501019683699</v>
      </c>
      <c r="O11" s="5">
        <f>IF($E11&gt;=O$2,VLOOKUP($E11-O$2,'data input'!$D$3:$E$130,2,FALSE),0)</f>
        <v>0</v>
      </c>
      <c r="P11" s="5">
        <f>IF($E11&gt;=P$2,VLOOKUP($E11-P$2,'data input'!$D$3:$E$130,2,FALSE),0)</f>
        <v>0</v>
      </c>
      <c r="Q11" s="5">
        <f>IF($E11&gt;=Q$2,VLOOKUP($E11-Q$2,'data input'!$D$3:$E$130,2,FALSE),0)</f>
        <v>0</v>
      </c>
      <c r="R11" s="5">
        <f>IF($E11&gt;=R$2,VLOOKUP($E11-R$2,'data input'!$D$3:$E$130,2,FALSE),0)</f>
        <v>0</v>
      </c>
      <c r="S11" s="5">
        <f>IF($E11&gt;=S$2,VLOOKUP($E11-S$2,'data input'!$D$3:$E$130,2,FALSE),0)</f>
        <v>0</v>
      </c>
      <c r="T11" s="5">
        <f>IF($E11&gt;=T$2,VLOOKUP($E11-T$2,'data input'!$D$3:$E$130,2,FALSE),0)</f>
        <v>0</v>
      </c>
      <c r="U11" s="5">
        <f>IF($E11&gt;=U$2,VLOOKUP($E11-U$2,'data input'!$D$3:$E$130,2,FALSE),0)</f>
        <v>0</v>
      </c>
      <c r="V11" s="5">
        <f>IF($E11&gt;=V$2,VLOOKUP($E11-V$2,'data input'!$D$3:$E$130,2,FALSE),0)</f>
        <v>0</v>
      </c>
      <c r="W11" s="5">
        <f>IF($E11&gt;=W$2,VLOOKUP($E11-W$2,'data input'!$D$3:$E$130,2,FALSE),0)</f>
        <v>0</v>
      </c>
      <c r="X11" s="5">
        <f>IF($E11&gt;=X$2,VLOOKUP($E11-X$2,'data input'!$D$3:$E$130,2,FALSE),0)</f>
        <v>0</v>
      </c>
      <c r="Y11" s="5">
        <f>IF($E11&gt;=Y$2,VLOOKUP($E11-Y$2,'data input'!$D$3:$E$130,2,FALSE),0)</f>
        <v>0</v>
      </c>
      <c r="Z11" s="5">
        <f>IF($E11&gt;=Z$2,VLOOKUP($E11-Z$2,'data input'!$D$3:$E$130,2,FALSE),0)</f>
        <v>0</v>
      </c>
      <c r="AA11" s="5">
        <f>IF($E11&gt;=AA$2,VLOOKUP($E11-AA$2,'data input'!$D$3:$E$130,2,FALSE),0)</f>
        <v>0</v>
      </c>
      <c r="AB11" s="5">
        <f>IF($E11&gt;=AB$2,VLOOKUP($E11-AB$2,'data input'!$D$3:$E$130,2,FALSE),0)</f>
        <v>0</v>
      </c>
      <c r="AC11" s="5">
        <f>IF($E11&gt;=AC$2,VLOOKUP($E11-AC$2,'data input'!$D$3:$E$130,2,FALSE),0)</f>
        <v>0</v>
      </c>
      <c r="AD11" s="5">
        <f>IF($E11&gt;=AD$2,VLOOKUP($E11-AD$2,'data input'!$D$3:$E$130,2,FALSE),0)</f>
        <v>0</v>
      </c>
      <c r="AE11" s="5">
        <f>IF($E11&gt;=AE$2,VLOOKUP($E11-AE$2,'data input'!$D$3:$E$130,2,FALSE),0)</f>
        <v>0</v>
      </c>
      <c r="AF11" s="5">
        <f>IF($E11&gt;=AF$2,VLOOKUP($E11-AF$2,'data input'!$D$3:$E$130,2,FALSE),0)</f>
        <v>0</v>
      </c>
      <c r="AG11" s="5">
        <f>IF($E11&gt;=AG$2,VLOOKUP($E11-AG$2,'data input'!$D$3:$E$130,2,FALSE),0)</f>
        <v>0</v>
      </c>
      <c r="AH11" s="5">
        <f>IF($E11&gt;=AH$2,VLOOKUP($E11-AH$2,'data input'!$D$3:$E$130,2,FALSE),0)</f>
        <v>0</v>
      </c>
      <c r="AI11" s="5">
        <f>IF($E11&gt;=AI$2,VLOOKUP($E11-AI$2,'data input'!$D$3:$E$130,2,FALSE),0)</f>
        <v>0</v>
      </c>
      <c r="AJ11" s="5">
        <f>IF($E11&gt;=AJ$2,VLOOKUP($E11-AJ$2,'data input'!$D$3:$E$130,2,FALSE),0)</f>
        <v>0</v>
      </c>
      <c r="AK11" s="5">
        <f>IF($E11&gt;=AK$2,VLOOKUP($E11-AK$2,'data input'!$D$3:$E$130,2,FALSE),0)</f>
        <v>0</v>
      </c>
      <c r="AL11" s="5">
        <f>IF($E11&gt;=AL$2,VLOOKUP($E11-AL$2,'data input'!$D$3:$E$130,2,FALSE),0)</f>
        <v>0</v>
      </c>
      <c r="AM11" s="5">
        <f>IF($E11&gt;=AM$2,VLOOKUP($E11-AM$2,'data input'!$D$3:$E$130,2,FALSE),0)</f>
        <v>0</v>
      </c>
      <c r="AN11" s="5">
        <f>IF($E11&gt;=AN$2,VLOOKUP($E11-AN$2,'data input'!$D$3:$E$130,2,FALSE),0)</f>
        <v>0</v>
      </c>
      <c r="AO11" s="5">
        <f>IF($E11&gt;=AO$2,VLOOKUP($E11-AO$2,'data input'!$D$3:$E$130,2,FALSE),0)</f>
        <v>0</v>
      </c>
      <c r="AP11" s="5">
        <f>IF($E11&gt;=AP$2,VLOOKUP($E11-AP$2,'data input'!$D$3:$E$130,2,FALSE),0)</f>
        <v>0</v>
      </c>
      <c r="AQ11" s="5">
        <f>IF($E11&gt;=AQ$2,VLOOKUP($E11-AQ$2,'data input'!$D$3:$E$130,2,FALSE),0)</f>
        <v>0</v>
      </c>
      <c r="AR11" s="5">
        <f>IF($E11&gt;=AR$2,VLOOKUP($E11-AR$2,'data input'!$D$3:$E$130,2,FALSE),0)</f>
        <v>0</v>
      </c>
      <c r="AS11" s="5">
        <f>IF($E11&gt;=AS$2,VLOOKUP($E11-AS$2,'data input'!$D$3:$E$130,2,FALSE),0)</f>
        <v>0</v>
      </c>
      <c r="AT11" s="5">
        <f>IF($E11&gt;=AT$2,VLOOKUP($E11-AT$2,'data input'!$D$3:$E$130,2,FALSE),0)</f>
        <v>0</v>
      </c>
      <c r="AU11" s="5">
        <f>IF($E11&gt;=AU$2,VLOOKUP($E11-AU$2,'data input'!$D$3:$E$130,2,FALSE),0)</f>
        <v>0</v>
      </c>
      <c r="AV11" s="5">
        <f>IF($E11&gt;=AV$2,VLOOKUP($E11-AV$2,'data input'!$D$3:$E$130,2,FALSE),0)</f>
        <v>0</v>
      </c>
      <c r="AW11" s="5">
        <f>IF($E11&gt;=AW$2,VLOOKUP($E11-AW$2,'data input'!$D$3:$E$130,2,FALSE),0)</f>
        <v>0</v>
      </c>
      <c r="AX11" s="5">
        <f>IF($E11&gt;=AX$2,VLOOKUP($E11-AX$2,'data input'!$D$3:$E$130,2,FALSE),0)</f>
        <v>0</v>
      </c>
      <c r="AY11" s="5">
        <f>IF($E11&gt;=AY$2,VLOOKUP($E11-AY$2,'data input'!$D$3:$E$130,2,FALSE),0)</f>
        <v>0</v>
      </c>
      <c r="AZ11" s="5">
        <f>IF($E11&gt;=AZ$2,VLOOKUP($E11-AZ$2,'data input'!$D$3:$E$130,2,FALSE),0)</f>
        <v>0</v>
      </c>
      <c r="BA11" s="5">
        <f>IF($E11&gt;=BA$2,VLOOKUP($E11-BA$2,'data input'!$D$3:$E$130,2,FALSE),0)</f>
        <v>0</v>
      </c>
      <c r="BB11" s="5">
        <f>IF($E11&gt;=BB$2,VLOOKUP($E11-BB$2,'data input'!$D$3:$E$130,2,FALSE),0)</f>
        <v>0</v>
      </c>
      <c r="BC11" s="5">
        <f>IF($E11&gt;=BC$2,VLOOKUP($E11-BC$2,'data input'!$D$3:$E$130,2,FALSE),0)</f>
        <v>0</v>
      </c>
      <c r="BD11" s="5">
        <f>IF($E11&gt;=BD$2,VLOOKUP($E11-BD$2,'data input'!$D$3:$E$130,2,FALSE),0)</f>
        <v>0</v>
      </c>
      <c r="BE11" s="5">
        <f>IF($E11&gt;=BE$2,VLOOKUP($E11-BE$2,'data input'!$D$3:$E$130,2,FALSE),0)</f>
        <v>0</v>
      </c>
      <c r="BF11" s="5">
        <f>IF($E11&gt;=BF$2,VLOOKUP($E11-BF$2,'data input'!$D$3:$E$130,2,FALSE),0)</f>
        <v>0</v>
      </c>
      <c r="BG11" s="5">
        <f>IF($E11&gt;=BG$2,VLOOKUP($E11-BG$2,'data input'!$D$3:$E$130,2,FALSE),0)</f>
        <v>0</v>
      </c>
      <c r="BH11" s="5">
        <f>IF($E11&gt;=BH$2,VLOOKUP($E11-BH$2,'data input'!$D$3:$E$130,2,FALSE),0)</f>
        <v>0</v>
      </c>
      <c r="BI11" s="5">
        <f>IF($E11&gt;=BI$2,VLOOKUP($E11-BI$2,'data input'!$D$3:$E$130,2,FALSE),0)</f>
        <v>0</v>
      </c>
      <c r="BJ11" s="5">
        <f>IF($E11&gt;=BJ$2,VLOOKUP($E11-BJ$2,'data input'!$D$3:$E$130,2,FALSE),0)</f>
        <v>0</v>
      </c>
      <c r="BK11" s="5">
        <f>IF($E11&gt;=BK$2,VLOOKUP($E11-BK$2,'data input'!$D$3:$E$130,2,FALSE),0)</f>
        <v>0</v>
      </c>
      <c r="BL11" s="5">
        <f>IF($E11&gt;=BL$2,VLOOKUP($E11-BL$2,'data input'!$D$3:$E$130,2,FALSE),0)</f>
        <v>0</v>
      </c>
      <c r="BM11" s="5">
        <f>IF($E11&gt;=BM$2,VLOOKUP($E11-BM$2,'data input'!$D$3:$E$130,2,FALSE),0)</f>
        <v>0</v>
      </c>
      <c r="BN11" s="5">
        <f>IF($E11&gt;=BN$2,VLOOKUP($E11-BN$2,'data input'!$D$3:$E$130,2,FALSE),0)</f>
        <v>0</v>
      </c>
      <c r="BO11" s="5">
        <f>IF($E11&gt;=BO$2,VLOOKUP($E11-BO$2,'data input'!$D$3:$E$130,2,FALSE),0)</f>
        <v>0</v>
      </c>
      <c r="BP11" s="5">
        <f>IF($E11&gt;=BP$2,VLOOKUP($E11-BP$2,'data input'!$D$3:$E$130,2,FALSE),0)</f>
        <v>0</v>
      </c>
      <c r="BQ11" s="5">
        <f>IF($E11&gt;=BQ$2,VLOOKUP($E11-BQ$2,'data input'!$D$3:$E$130,2,FALSE),0)</f>
        <v>0</v>
      </c>
      <c r="BR11" s="5">
        <f>IF($E11&gt;=BR$2,VLOOKUP($E11-BR$2,'data input'!$D$3:$E$130,2,FALSE),0)</f>
        <v>0</v>
      </c>
      <c r="BS11" s="5">
        <f>IF($E11&gt;=BS$2,VLOOKUP($E11-BS$2,'data input'!$D$3:$E$130,2,FALSE),0)</f>
        <v>0</v>
      </c>
      <c r="BT11" s="5">
        <f>IF($E11&gt;=BT$2,VLOOKUP($E11-BT$2,'data input'!$D$3:$E$130,2,FALSE),0)</f>
        <v>0</v>
      </c>
      <c r="BU11" s="5">
        <f>IF($E11&gt;=BU$2,VLOOKUP($E11-BU$2,'data input'!$D$3:$E$130,2,FALSE),0)</f>
        <v>0</v>
      </c>
      <c r="BV11" s="5">
        <f>IF($E11&gt;=BV$2,VLOOKUP($E11-BV$2,'data input'!$D$3:$E$130,2,FALSE),0)</f>
        <v>0</v>
      </c>
      <c r="BW11" s="5">
        <f>IF($E11&gt;=BW$2,VLOOKUP($E11-BW$2,'data input'!$D$3:$E$130,2,FALSE),0)</f>
        <v>0</v>
      </c>
      <c r="BX11" s="5">
        <f>IF($E11&gt;=BX$2,VLOOKUP($E11-BX$2,'data input'!$D$3:$E$130,2,FALSE),0)</f>
        <v>0</v>
      </c>
      <c r="BY11" s="5">
        <f>IF($E11&gt;=BY$2,VLOOKUP($E11-BY$2,'data input'!$D$3:$E$130,2,FALSE),0)</f>
        <v>0</v>
      </c>
      <c r="BZ11" s="5">
        <f>IF($E11&gt;=BZ$2,VLOOKUP($E11-BZ$2,'data input'!$D$3:$E$130,2,FALSE),0)</f>
        <v>0</v>
      </c>
      <c r="CA11" s="5">
        <f>IF($E11&gt;=CA$2,VLOOKUP($E11-CA$2,'data input'!$D$3:$E$130,2,FALSE),0)</f>
        <v>0</v>
      </c>
      <c r="CB11" s="5">
        <f>IF($E11&gt;=CB$2,VLOOKUP($E11-CB$2,'data input'!$D$3:$E$130,2,FALSE),0)</f>
        <v>0</v>
      </c>
      <c r="CC11" s="5">
        <f>IF($E11&gt;=CC$2,VLOOKUP($E11-CC$2,'data input'!$D$3:$E$130,2,FALSE),0)</f>
        <v>0</v>
      </c>
      <c r="CD11" s="5">
        <f>IF($E11&gt;=CD$2,VLOOKUP($E11-CD$2,'data input'!$D$3:$E$130,2,FALSE),0)</f>
        <v>0</v>
      </c>
      <c r="CE11" s="5">
        <f>IF($E11&gt;=CE$2,VLOOKUP($E11-CE$2,'data input'!$D$3:$E$130,2,FALSE),0)</f>
        <v>0</v>
      </c>
      <c r="CF11" s="5">
        <f>IF($E11&gt;=CF$2,VLOOKUP($E11-CF$2,'data input'!$D$3:$E$130,2,FALSE),0)</f>
        <v>0</v>
      </c>
      <c r="CG11" s="5">
        <f>IF($E11&gt;=CG$2,VLOOKUP($E11-CG$2,'data input'!$D$3:$E$130,2,FALSE),0)</f>
        <v>0</v>
      </c>
      <c r="CH11" s="5">
        <f>IF($E11&gt;=CH$2,VLOOKUP($E11-CH$2,'data input'!$D$3:$E$130,2,FALSE),0)</f>
        <v>0</v>
      </c>
      <c r="CI11" s="5">
        <f>IF($E11&gt;=CI$2,VLOOKUP($E11-CI$2,'data input'!$D$3:$E$130,2,FALSE),0)</f>
        <v>0</v>
      </c>
      <c r="CJ11" s="5">
        <f>IF($E11&gt;=CJ$2,VLOOKUP($E11-CJ$2,'data input'!$D$3:$E$130,2,FALSE),0)</f>
        <v>0</v>
      </c>
      <c r="CK11" s="5">
        <f>IF($E11&gt;=CK$2,VLOOKUP($E11-CK$2,'data input'!$D$3:$E$130,2,FALSE),0)</f>
        <v>0</v>
      </c>
      <c r="CL11" s="5">
        <f>IF($E11&gt;=CL$2,VLOOKUP($E11-CL$2,'data input'!$D$3:$E$130,2,FALSE),0)</f>
        <v>0</v>
      </c>
      <c r="CM11" s="5">
        <f>IF($E11&gt;=CM$2,VLOOKUP($E11-CM$2,'data input'!$D$3:$E$130,2,FALSE),0)</f>
        <v>0</v>
      </c>
      <c r="CN11" s="5">
        <f>IF($E11&gt;=CN$2,VLOOKUP($E11-CN$2,'data input'!$D$3:$E$130,2,FALSE),0)</f>
        <v>0</v>
      </c>
      <c r="CO11" s="5">
        <f>IF($E11&gt;=CO$2,VLOOKUP($E11-CO$2,'data input'!$D$3:$E$130,2,FALSE),0)</f>
        <v>0</v>
      </c>
      <c r="CP11" s="5">
        <f>IF($E11&gt;=CP$2,VLOOKUP($E11-CP$2,'data input'!$D$3:$E$130,2,FALSE),0)</f>
        <v>0</v>
      </c>
      <c r="CQ11" s="5">
        <f>IF($E11&gt;=CQ$2,VLOOKUP($E11-CQ$2,'data input'!$D$3:$E$130,2,FALSE),0)</f>
        <v>0</v>
      </c>
      <c r="CR11" s="5">
        <f>IF($E11&gt;=CR$2,VLOOKUP($E11-CR$2,'data input'!$D$3:$E$130,2,FALSE),0)</f>
        <v>0</v>
      </c>
      <c r="CS11" s="5">
        <f>IF($E11&gt;=CS$2,VLOOKUP($E11-CS$2,'data input'!$D$3:$E$130,2,FALSE),0)</f>
        <v>0</v>
      </c>
      <c r="CT11" s="5">
        <f>IF($E11&gt;=CT$2,VLOOKUP($E11-CT$2,'data input'!$D$3:$E$130,2,FALSE),0)</f>
        <v>0</v>
      </c>
      <c r="CU11" s="5">
        <f>IF($E11&gt;=CU$2,VLOOKUP($E11-CU$2,'data input'!$D$3:$E$130,2,FALSE),0)</f>
        <v>0</v>
      </c>
      <c r="CV11" s="5">
        <f>IF($E11&gt;=CV$2,VLOOKUP($E11-CV$2,'data input'!$D$3:$E$130,2,FALSE),0)</f>
        <v>0</v>
      </c>
      <c r="CW11" s="5">
        <f>IF($E11&gt;=CW$2,VLOOKUP($E11-CW$2,'data input'!$D$3:$E$130,2,FALSE),0)</f>
        <v>0</v>
      </c>
      <c r="CX11" s="5">
        <f>IF($E11&gt;=CX$2,VLOOKUP($E11-CX$2,'data input'!$D$3:$E$130,2,FALSE),0)</f>
        <v>0</v>
      </c>
      <c r="CY11" s="5">
        <f>IF($E11&gt;=CY$2,VLOOKUP($E11-CY$2,'data input'!$D$3:$E$130,2,FALSE),0)</f>
        <v>0</v>
      </c>
      <c r="CZ11" s="5">
        <f>IF($E11&gt;=CZ$2,VLOOKUP($E11-CZ$2,'data input'!$D$3:$E$130,2,FALSE),0)</f>
        <v>0</v>
      </c>
      <c r="DA11" s="5">
        <f>IF($E11&gt;=DA$2,VLOOKUP($E11-DA$2,'data input'!$D$3:$E$130,2,FALSE),0)</f>
        <v>0</v>
      </c>
      <c r="DB11" s="5">
        <f>IF($E11&gt;=DB$2,VLOOKUP($E11-DB$2,'data input'!$D$3:$E$130,2,FALSE),0)</f>
        <v>0</v>
      </c>
      <c r="DC11" s="5">
        <f>IF($E11&gt;=DC$2,VLOOKUP($E11-DC$2,'data input'!$D$3:$E$130,2,FALSE),0)</f>
        <v>0</v>
      </c>
      <c r="DD11" s="5">
        <f>IF($E11&gt;=DD$2,VLOOKUP($E11-DD$2,'data input'!$D$3:$E$130,2,FALSE),0)</f>
        <v>0</v>
      </c>
      <c r="DE11" s="5">
        <f>IF($E11&gt;=DE$2,VLOOKUP($E11-DE$2,'data input'!$D$3:$E$130,2,FALSE),0)</f>
        <v>0</v>
      </c>
      <c r="DF11" s="5">
        <f>IF($E11&gt;=DF$2,VLOOKUP($E11-DF$2,'data input'!$D$3:$E$130,2,FALSE),0)</f>
        <v>0</v>
      </c>
      <c r="DG11" s="5">
        <f>IF($E11&gt;=DG$2,VLOOKUP($E11-DG$2,'data input'!$D$3:$E$130,2,FALSE),0)</f>
        <v>0</v>
      </c>
      <c r="DH11" s="5">
        <f>IF($E11&gt;=DH$2,VLOOKUP($E11-DH$2,'data input'!$D$3:$E$130,2,FALSE),0)</f>
        <v>0</v>
      </c>
      <c r="DI11" s="5">
        <f>IF($E11&gt;=DI$2,VLOOKUP($E11-DI$2,'data input'!$D$3:$E$130,2,FALSE),0)</f>
        <v>0</v>
      </c>
      <c r="DJ11" s="5">
        <f>IF($E11&gt;=DJ$2,VLOOKUP($E11-DJ$2,'data input'!$D$3:$E$130,2,FALSE),0)</f>
        <v>0</v>
      </c>
      <c r="DK11" s="5">
        <f>IF($E11&gt;=DK$2,VLOOKUP($E11-DK$2,'data input'!$D$3:$E$130,2,FALSE),0)</f>
        <v>0</v>
      </c>
      <c r="DL11" s="5">
        <f>IF($E11&gt;=DL$2,VLOOKUP($E11-DL$2,'data input'!$D$3:$E$130,2,FALSE),0)</f>
        <v>0</v>
      </c>
      <c r="DM11" s="5">
        <f>IF($E11&gt;=DM$2,VLOOKUP($E11-DM$2,'data input'!$D$3:$E$130,2,FALSE),0)</f>
        <v>0</v>
      </c>
      <c r="DN11" s="5">
        <f>IF($E11&gt;=DN$2,VLOOKUP($E11-DN$2,'data input'!$D$3:$E$130,2,FALSE),0)</f>
        <v>0</v>
      </c>
      <c r="DO11" s="5">
        <f>IF($E11&gt;=DO$2,VLOOKUP($E11-DO$2,'data input'!$D$3:$E$130,2,FALSE),0)</f>
        <v>0</v>
      </c>
      <c r="DP11" s="5">
        <f>IF($E11&gt;=DP$2,VLOOKUP($E11-DP$2,'data input'!$D$3:$E$130,2,FALSE),0)</f>
        <v>0</v>
      </c>
      <c r="DQ11" s="5">
        <f>IF($E11&gt;=DQ$2,VLOOKUP($E11-DQ$2,'data input'!$D$3:$E$130,2,FALSE),0)</f>
        <v>0</v>
      </c>
      <c r="DR11" s="5">
        <f>IF($E11&gt;=DR$2,VLOOKUP($E11-DR$2,'data input'!$D$3:$E$130,2,FALSE),0)</f>
        <v>0</v>
      </c>
      <c r="DS11" s="5">
        <f>IF($E11&gt;=DS$2,VLOOKUP($E11-DS$2,'data input'!$D$3:$E$130,2,FALSE),0)</f>
        <v>0</v>
      </c>
      <c r="DT11" s="5">
        <f>IF($E11&gt;=DT$2,VLOOKUP($E11-DT$2,'data input'!$D$3:$E$130,2,FALSE),0)</f>
        <v>0</v>
      </c>
      <c r="DU11" s="5">
        <f>IF($E11&gt;=DU$2,VLOOKUP($E11-DU$2,'data input'!$D$3:$E$130,2,FALSE),0)</f>
        <v>0</v>
      </c>
      <c r="DV11" s="5">
        <f>IF($E11&gt;=DV$2,VLOOKUP($E11-DV$2,'data input'!$D$3:$E$130,2,FALSE),0)</f>
        <v>0</v>
      </c>
      <c r="DW11" s="5">
        <f>IF($E11&gt;=DW$2,VLOOKUP($E11-DW$2,'data input'!$D$3:$E$130,2,FALSE),0)</f>
        <v>0</v>
      </c>
      <c r="DX11" s="5">
        <f>IF($E11&gt;=DX$2,VLOOKUP($E11-DX$2,'data input'!$D$3:$E$130,2,FALSE),0)</f>
        <v>0</v>
      </c>
      <c r="DY11" s="5">
        <f>IF($E11&gt;=DY$2,VLOOKUP($E11-DY$2,'data input'!$D$3:$E$130,2,FALSE),0)</f>
        <v>0</v>
      </c>
      <c r="DZ11" s="5">
        <f>IF($E11&gt;=DZ$2,VLOOKUP($E11-DZ$2,'data input'!$D$3:$E$130,2,FALSE),0)</f>
        <v>0</v>
      </c>
      <c r="EA11" s="5">
        <f>IF($E11&gt;=EA$2,VLOOKUP($E11-EA$2,'data input'!$D$3:$E$130,2,FALSE),0)</f>
        <v>0</v>
      </c>
      <c r="EB11" s="5">
        <f>IF($E11&gt;=EB$2,VLOOKUP($E11-EB$2,'data input'!$D$3:$E$130,2,FALSE),0)</f>
        <v>0</v>
      </c>
      <c r="EC11" s="5">
        <f>IF($E11&gt;=EC$2,VLOOKUP($E11-EC$2,'data input'!$D$3:$E$130,2,FALSE),0)</f>
        <v>0</v>
      </c>
    </row>
    <row r="12" spans="5:133">
      <c r="E12" s="7">
        <f>'data input'!B12</f>
        <v>1887</v>
      </c>
      <c r="F12" s="5">
        <f>IF($E12&gt;=F$2,VLOOKUP($E12-F$2,'data input'!$D$3:$E$130,2,FALSE),0)</f>
        <v>0.98996401989972593</v>
      </c>
      <c r="G12" s="5">
        <f>IF($E12&gt;=G$2,VLOOKUP($E12-G$2,'data input'!$D$3:$E$130,2,FALSE),0)</f>
        <v>0.99180246407540384</v>
      </c>
      <c r="H12" s="5">
        <f>IF($E12&gt;=H$2,VLOOKUP($E12-H$2,'data input'!$D$3:$E$130,2,FALSE),0)</f>
        <v>0.99333819120801725</v>
      </c>
      <c r="I12" s="5">
        <f>IF($E12&gt;=I$2,VLOOKUP($E12-I$2,'data input'!$D$3:$E$130,2,FALSE),0)</f>
        <v>0.99461385404593328</v>
      </c>
      <c r="J12" s="5">
        <f>IF($E12&gt;=J$2,VLOOKUP($E12-J$2,'data input'!$D$3:$E$130,2,FALSE),0)</f>
        <v>0.99566755163698739</v>
      </c>
      <c r="K12" s="5">
        <f>IF($E12&gt;=K$2,VLOOKUP($E12-K$2,'data input'!$D$3:$E$130,2,FALSE),0)</f>
        <v>0.99653302619695938</v>
      </c>
      <c r="L12" s="5">
        <f>IF($E12&gt;=L$2,VLOOKUP($E12-L$2,'data input'!$D$3:$E$130,2,FALSE),0)</f>
        <v>0.99723991460873751</v>
      </c>
      <c r="M12" s="5">
        <f>IF($E12&gt;=M$2,VLOOKUP($E12-M$2,'data input'!$D$3:$E$130,2,FALSE),0)</f>
        <v>0.99781403854508677</v>
      </c>
      <c r="N12" s="5">
        <f>IF($E12&gt;=N$2,VLOOKUP($E12-N$2,'data input'!$D$3:$E$130,2,FALSE),0)</f>
        <v>0.99827771888413241</v>
      </c>
      <c r="O12" s="5">
        <f>IF($E12&gt;=O$2,VLOOKUP($E12-O$2,'data input'!$D$3:$E$130,2,FALSE),0)</f>
        <v>0.9986501019683699</v>
      </c>
      <c r="P12" s="5">
        <f>IF($E12&gt;=P$2,VLOOKUP($E12-P$2,'data input'!$D$3:$E$130,2,FALSE),0)</f>
        <v>0</v>
      </c>
      <c r="Q12" s="5">
        <f>IF($E12&gt;=Q$2,VLOOKUP($E12-Q$2,'data input'!$D$3:$E$130,2,FALSE),0)</f>
        <v>0</v>
      </c>
      <c r="R12" s="5">
        <f>IF($E12&gt;=R$2,VLOOKUP($E12-R$2,'data input'!$D$3:$E$130,2,FALSE),0)</f>
        <v>0</v>
      </c>
      <c r="S12" s="5">
        <f>IF($E12&gt;=S$2,VLOOKUP($E12-S$2,'data input'!$D$3:$E$130,2,FALSE),0)</f>
        <v>0</v>
      </c>
      <c r="T12" s="5">
        <f>IF($E12&gt;=T$2,VLOOKUP($E12-T$2,'data input'!$D$3:$E$130,2,FALSE),0)</f>
        <v>0</v>
      </c>
      <c r="U12" s="5">
        <f>IF($E12&gt;=U$2,VLOOKUP($E12-U$2,'data input'!$D$3:$E$130,2,FALSE),0)</f>
        <v>0</v>
      </c>
      <c r="V12" s="5">
        <f>IF($E12&gt;=V$2,VLOOKUP($E12-V$2,'data input'!$D$3:$E$130,2,FALSE),0)</f>
        <v>0</v>
      </c>
      <c r="W12" s="5">
        <f>IF($E12&gt;=W$2,VLOOKUP($E12-W$2,'data input'!$D$3:$E$130,2,FALSE),0)</f>
        <v>0</v>
      </c>
      <c r="X12" s="5">
        <f>IF($E12&gt;=X$2,VLOOKUP($E12-X$2,'data input'!$D$3:$E$130,2,FALSE),0)</f>
        <v>0</v>
      </c>
      <c r="Y12" s="5">
        <f>IF($E12&gt;=Y$2,VLOOKUP($E12-Y$2,'data input'!$D$3:$E$130,2,FALSE),0)</f>
        <v>0</v>
      </c>
      <c r="Z12" s="5">
        <f>IF($E12&gt;=Z$2,VLOOKUP($E12-Z$2,'data input'!$D$3:$E$130,2,FALSE),0)</f>
        <v>0</v>
      </c>
      <c r="AA12" s="5">
        <f>IF($E12&gt;=AA$2,VLOOKUP($E12-AA$2,'data input'!$D$3:$E$130,2,FALSE),0)</f>
        <v>0</v>
      </c>
      <c r="AB12" s="5">
        <f>IF($E12&gt;=AB$2,VLOOKUP($E12-AB$2,'data input'!$D$3:$E$130,2,FALSE),0)</f>
        <v>0</v>
      </c>
      <c r="AC12" s="5">
        <f>IF($E12&gt;=AC$2,VLOOKUP($E12-AC$2,'data input'!$D$3:$E$130,2,FALSE),0)</f>
        <v>0</v>
      </c>
      <c r="AD12" s="5">
        <f>IF($E12&gt;=AD$2,VLOOKUP($E12-AD$2,'data input'!$D$3:$E$130,2,FALSE),0)</f>
        <v>0</v>
      </c>
      <c r="AE12" s="5">
        <f>IF($E12&gt;=AE$2,VLOOKUP($E12-AE$2,'data input'!$D$3:$E$130,2,FALSE),0)</f>
        <v>0</v>
      </c>
      <c r="AF12" s="5">
        <f>IF($E12&gt;=AF$2,VLOOKUP($E12-AF$2,'data input'!$D$3:$E$130,2,FALSE),0)</f>
        <v>0</v>
      </c>
      <c r="AG12" s="5">
        <f>IF($E12&gt;=AG$2,VLOOKUP($E12-AG$2,'data input'!$D$3:$E$130,2,FALSE),0)</f>
        <v>0</v>
      </c>
      <c r="AH12" s="5">
        <f>IF($E12&gt;=AH$2,VLOOKUP($E12-AH$2,'data input'!$D$3:$E$130,2,FALSE),0)</f>
        <v>0</v>
      </c>
      <c r="AI12" s="5">
        <f>IF($E12&gt;=AI$2,VLOOKUP($E12-AI$2,'data input'!$D$3:$E$130,2,FALSE),0)</f>
        <v>0</v>
      </c>
      <c r="AJ12" s="5">
        <f>IF($E12&gt;=AJ$2,VLOOKUP($E12-AJ$2,'data input'!$D$3:$E$130,2,FALSE),0)</f>
        <v>0</v>
      </c>
      <c r="AK12" s="5">
        <f>IF($E12&gt;=AK$2,VLOOKUP($E12-AK$2,'data input'!$D$3:$E$130,2,FALSE),0)</f>
        <v>0</v>
      </c>
      <c r="AL12" s="5">
        <f>IF($E12&gt;=AL$2,VLOOKUP($E12-AL$2,'data input'!$D$3:$E$130,2,FALSE),0)</f>
        <v>0</v>
      </c>
      <c r="AM12" s="5">
        <f>IF($E12&gt;=AM$2,VLOOKUP($E12-AM$2,'data input'!$D$3:$E$130,2,FALSE),0)</f>
        <v>0</v>
      </c>
      <c r="AN12" s="5">
        <f>IF($E12&gt;=AN$2,VLOOKUP($E12-AN$2,'data input'!$D$3:$E$130,2,FALSE),0)</f>
        <v>0</v>
      </c>
      <c r="AO12" s="5">
        <f>IF($E12&gt;=AO$2,VLOOKUP($E12-AO$2,'data input'!$D$3:$E$130,2,FALSE),0)</f>
        <v>0</v>
      </c>
      <c r="AP12" s="5">
        <f>IF($E12&gt;=AP$2,VLOOKUP($E12-AP$2,'data input'!$D$3:$E$130,2,FALSE),0)</f>
        <v>0</v>
      </c>
      <c r="AQ12" s="5">
        <f>IF($E12&gt;=AQ$2,VLOOKUP($E12-AQ$2,'data input'!$D$3:$E$130,2,FALSE),0)</f>
        <v>0</v>
      </c>
      <c r="AR12" s="5">
        <f>IF($E12&gt;=AR$2,VLOOKUP($E12-AR$2,'data input'!$D$3:$E$130,2,FALSE),0)</f>
        <v>0</v>
      </c>
      <c r="AS12" s="5">
        <f>IF($E12&gt;=AS$2,VLOOKUP($E12-AS$2,'data input'!$D$3:$E$130,2,FALSE),0)</f>
        <v>0</v>
      </c>
      <c r="AT12" s="5">
        <f>IF($E12&gt;=AT$2,VLOOKUP($E12-AT$2,'data input'!$D$3:$E$130,2,FALSE),0)</f>
        <v>0</v>
      </c>
      <c r="AU12" s="5">
        <f>IF($E12&gt;=AU$2,VLOOKUP($E12-AU$2,'data input'!$D$3:$E$130,2,FALSE),0)</f>
        <v>0</v>
      </c>
      <c r="AV12" s="5">
        <f>IF($E12&gt;=AV$2,VLOOKUP($E12-AV$2,'data input'!$D$3:$E$130,2,FALSE),0)</f>
        <v>0</v>
      </c>
      <c r="AW12" s="5">
        <f>IF($E12&gt;=AW$2,VLOOKUP($E12-AW$2,'data input'!$D$3:$E$130,2,FALSE),0)</f>
        <v>0</v>
      </c>
      <c r="AX12" s="5">
        <f>IF($E12&gt;=AX$2,VLOOKUP($E12-AX$2,'data input'!$D$3:$E$130,2,FALSE),0)</f>
        <v>0</v>
      </c>
      <c r="AY12" s="5">
        <f>IF($E12&gt;=AY$2,VLOOKUP($E12-AY$2,'data input'!$D$3:$E$130,2,FALSE),0)</f>
        <v>0</v>
      </c>
      <c r="AZ12" s="5">
        <f>IF($E12&gt;=AZ$2,VLOOKUP($E12-AZ$2,'data input'!$D$3:$E$130,2,FALSE),0)</f>
        <v>0</v>
      </c>
      <c r="BA12" s="5">
        <f>IF($E12&gt;=BA$2,VLOOKUP($E12-BA$2,'data input'!$D$3:$E$130,2,FALSE),0)</f>
        <v>0</v>
      </c>
      <c r="BB12" s="5">
        <f>IF($E12&gt;=BB$2,VLOOKUP($E12-BB$2,'data input'!$D$3:$E$130,2,FALSE),0)</f>
        <v>0</v>
      </c>
      <c r="BC12" s="5">
        <f>IF($E12&gt;=BC$2,VLOOKUP($E12-BC$2,'data input'!$D$3:$E$130,2,FALSE),0)</f>
        <v>0</v>
      </c>
      <c r="BD12" s="5">
        <f>IF($E12&gt;=BD$2,VLOOKUP($E12-BD$2,'data input'!$D$3:$E$130,2,FALSE),0)</f>
        <v>0</v>
      </c>
      <c r="BE12" s="5">
        <f>IF($E12&gt;=BE$2,VLOOKUP($E12-BE$2,'data input'!$D$3:$E$130,2,FALSE),0)</f>
        <v>0</v>
      </c>
      <c r="BF12" s="5">
        <f>IF($E12&gt;=BF$2,VLOOKUP($E12-BF$2,'data input'!$D$3:$E$130,2,FALSE),0)</f>
        <v>0</v>
      </c>
      <c r="BG12" s="5">
        <f>IF($E12&gt;=BG$2,VLOOKUP($E12-BG$2,'data input'!$D$3:$E$130,2,FALSE),0)</f>
        <v>0</v>
      </c>
      <c r="BH12" s="5">
        <f>IF($E12&gt;=BH$2,VLOOKUP($E12-BH$2,'data input'!$D$3:$E$130,2,FALSE),0)</f>
        <v>0</v>
      </c>
      <c r="BI12" s="5">
        <f>IF($E12&gt;=BI$2,VLOOKUP($E12-BI$2,'data input'!$D$3:$E$130,2,FALSE),0)</f>
        <v>0</v>
      </c>
      <c r="BJ12" s="5">
        <f>IF($E12&gt;=BJ$2,VLOOKUP($E12-BJ$2,'data input'!$D$3:$E$130,2,FALSE),0)</f>
        <v>0</v>
      </c>
      <c r="BK12" s="5">
        <f>IF($E12&gt;=BK$2,VLOOKUP($E12-BK$2,'data input'!$D$3:$E$130,2,FALSE),0)</f>
        <v>0</v>
      </c>
      <c r="BL12" s="5">
        <f>IF($E12&gt;=BL$2,VLOOKUP($E12-BL$2,'data input'!$D$3:$E$130,2,FALSE),0)</f>
        <v>0</v>
      </c>
      <c r="BM12" s="5">
        <f>IF($E12&gt;=BM$2,VLOOKUP($E12-BM$2,'data input'!$D$3:$E$130,2,FALSE),0)</f>
        <v>0</v>
      </c>
      <c r="BN12" s="5">
        <f>IF($E12&gt;=BN$2,VLOOKUP($E12-BN$2,'data input'!$D$3:$E$130,2,FALSE),0)</f>
        <v>0</v>
      </c>
      <c r="BO12" s="5">
        <f>IF($E12&gt;=BO$2,VLOOKUP($E12-BO$2,'data input'!$D$3:$E$130,2,FALSE),0)</f>
        <v>0</v>
      </c>
      <c r="BP12" s="5">
        <f>IF($E12&gt;=BP$2,VLOOKUP($E12-BP$2,'data input'!$D$3:$E$130,2,FALSE),0)</f>
        <v>0</v>
      </c>
      <c r="BQ12" s="5">
        <f>IF($E12&gt;=BQ$2,VLOOKUP($E12-BQ$2,'data input'!$D$3:$E$130,2,FALSE),0)</f>
        <v>0</v>
      </c>
      <c r="BR12" s="5">
        <f>IF($E12&gt;=BR$2,VLOOKUP($E12-BR$2,'data input'!$D$3:$E$130,2,FALSE),0)</f>
        <v>0</v>
      </c>
      <c r="BS12" s="5">
        <f>IF($E12&gt;=BS$2,VLOOKUP($E12-BS$2,'data input'!$D$3:$E$130,2,FALSE),0)</f>
        <v>0</v>
      </c>
      <c r="BT12" s="5">
        <f>IF($E12&gt;=BT$2,VLOOKUP($E12-BT$2,'data input'!$D$3:$E$130,2,FALSE),0)</f>
        <v>0</v>
      </c>
      <c r="BU12" s="5">
        <f>IF($E12&gt;=BU$2,VLOOKUP($E12-BU$2,'data input'!$D$3:$E$130,2,FALSE),0)</f>
        <v>0</v>
      </c>
      <c r="BV12" s="5">
        <f>IF($E12&gt;=BV$2,VLOOKUP($E12-BV$2,'data input'!$D$3:$E$130,2,FALSE),0)</f>
        <v>0</v>
      </c>
      <c r="BW12" s="5">
        <f>IF($E12&gt;=BW$2,VLOOKUP($E12-BW$2,'data input'!$D$3:$E$130,2,FALSE),0)</f>
        <v>0</v>
      </c>
      <c r="BX12" s="5">
        <f>IF($E12&gt;=BX$2,VLOOKUP($E12-BX$2,'data input'!$D$3:$E$130,2,FALSE),0)</f>
        <v>0</v>
      </c>
      <c r="BY12" s="5">
        <f>IF($E12&gt;=BY$2,VLOOKUP($E12-BY$2,'data input'!$D$3:$E$130,2,FALSE),0)</f>
        <v>0</v>
      </c>
      <c r="BZ12" s="5">
        <f>IF($E12&gt;=BZ$2,VLOOKUP($E12-BZ$2,'data input'!$D$3:$E$130,2,FALSE),0)</f>
        <v>0</v>
      </c>
      <c r="CA12" s="5">
        <f>IF($E12&gt;=CA$2,VLOOKUP($E12-CA$2,'data input'!$D$3:$E$130,2,FALSE),0)</f>
        <v>0</v>
      </c>
      <c r="CB12" s="5">
        <f>IF($E12&gt;=CB$2,VLOOKUP($E12-CB$2,'data input'!$D$3:$E$130,2,FALSE),0)</f>
        <v>0</v>
      </c>
      <c r="CC12" s="5">
        <f>IF($E12&gt;=CC$2,VLOOKUP($E12-CC$2,'data input'!$D$3:$E$130,2,FALSE),0)</f>
        <v>0</v>
      </c>
      <c r="CD12" s="5">
        <f>IF($E12&gt;=CD$2,VLOOKUP($E12-CD$2,'data input'!$D$3:$E$130,2,FALSE),0)</f>
        <v>0</v>
      </c>
      <c r="CE12" s="5">
        <f>IF($E12&gt;=CE$2,VLOOKUP($E12-CE$2,'data input'!$D$3:$E$130,2,FALSE),0)</f>
        <v>0</v>
      </c>
      <c r="CF12" s="5">
        <f>IF($E12&gt;=CF$2,VLOOKUP($E12-CF$2,'data input'!$D$3:$E$130,2,FALSE),0)</f>
        <v>0</v>
      </c>
      <c r="CG12" s="5">
        <f>IF($E12&gt;=CG$2,VLOOKUP($E12-CG$2,'data input'!$D$3:$E$130,2,FALSE),0)</f>
        <v>0</v>
      </c>
      <c r="CH12" s="5">
        <f>IF($E12&gt;=CH$2,VLOOKUP($E12-CH$2,'data input'!$D$3:$E$130,2,FALSE),0)</f>
        <v>0</v>
      </c>
      <c r="CI12" s="5">
        <f>IF($E12&gt;=CI$2,VLOOKUP($E12-CI$2,'data input'!$D$3:$E$130,2,FALSE),0)</f>
        <v>0</v>
      </c>
      <c r="CJ12" s="5">
        <f>IF($E12&gt;=CJ$2,VLOOKUP($E12-CJ$2,'data input'!$D$3:$E$130,2,FALSE),0)</f>
        <v>0</v>
      </c>
      <c r="CK12" s="5">
        <f>IF($E12&gt;=CK$2,VLOOKUP($E12-CK$2,'data input'!$D$3:$E$130,2,FALSE),0)</f>
        <v>0</v>
      </c>
      <c r="CL12" s="5">
        <f>IF($E12&gt;=CL$2,VLOOKUP($E12-CL$2,'data input'!$D$3:$E$130,2,FALSE),0)</f>
        <v>0</v>
      </c>
      <c r="CM12" s="5">
        <f>IF($E12&gt;=CM$2,VLOOKUP($E12-CM$2,'data input'!$D$3:$E$130,2,FALSE),0)</f>
        <v>0</v>
      </c>
      <c r="CN12" s="5">
        <f>IF($E12&gt;=CN$2,VLOOKUP($E12-CN$2,'data input'!$D$3:$E$130,2,FALSE),0)</f>
        <v>0</v>
      </c>
      <c r="CO12" s="5">
        <f>IF($E12&gt;=CO$2,VLOOKUP($E12-CO$2,'data input'!$D$3:$E$130,2,FALSE),0)</f>
        <v>0</v>
      </c>
      <c r="CP12" s="5">
        <f>IF($E12&gt;=CP$2,VLOOKUP($E12-CP$2,'data input'!$D$3:$E$130,2,FALSE),0)</f>
        <v>0</v>
      </c>
      <c r="CQ12" s="5">
        <f>IF($E12&gt;=CQ$2,VLOOKUP($E12-CQ$2,'data input'!$D$3:$E$130,2,FALSE),0)</f>
        <v>0</v>
      </c>
      <c r="CR12" s="5">
        <f>IF($E12&gt;=CR$2,VLOOKUP($E12-CR$2,'data input'!$D$3:$E$130,2,FALSE),0)</f>
        <v>0</v>
      </c>
      <c r="CS12" s="5">
        <f>IF($E12&gt;=CS$2,VLOOKUP($E12-CS$2,'data input'!$D$3:$E$130,2,FALSE),0)</f>
        <v>0</v>
      </c>
      <c r="CT12" s="5">
        <f>IF($E12&gt;=CT$2,VLOOKUP($E12-CT$2,'data input'!$D$3:$E$130,2,FALSE),0)</f>
        <v>0</v>
      </c>
      <c r="CU12" s="5">
        <f>IF($E12&gt;=CU$2,VLOOKUP($E12-CU$2,'data input'!$D$3:$E$130,2,FALSE),0)</f>
        <v>0</v>
      </c>
      <c r="CV12" s="5">
        <f>IF($E12&gt;=CV$2,VLOOKUP($E12-CV$2,'data input'!$D$3:$E$130,2,FALSE),0)</f>
        <v>0</v>
      </c>
      <c r="CW12" s="5">
        <f>IF($E12&gt;=CW$2,VLOOKUP($E12-CW$2,'data input'!$D$3:$E$130,2,FALSE),0)</f>
        <v>0</v>
      </c>
      <c r="CX12" s="5">
        <f>IF($E12&gt;=CX$2,VLOOKUP($E12-CX$2,'data input'!$D$3:$E$130,2,FALSE),0)</f>
        <v>0</v>
      </c>
      <c r="CY12" s="5">
        <f>IF($E12&gt;=CY$2,VLOOKUP($E12-CY$2,'data input'!$D$3:$E$130,2,FALSE),0)</f>
        <v>0</v>
      </c>
      <c r="CZ12" s="5">
        <f>IF($E12&gt;=CZ$2,VLOOKUP($E12-CZ$2,'data input'!$D$3:$E$130,2,FALSE),0)</f>
        <v>0</v>
      </c>
      <c r="DA12" s="5">
        <f>IF($E12&gt;=DA$2,VLOOKUP($E12-DA$2,'data input'!$D$3:$E$130,2,FALSE),0)</f>
        <v>0</v>
      </c>
      <c r="DB12" s="5">
        <f>IF($E12&gt;=DB$2,VLOOKUP($E12-DB$2,'data input'!$D$3:$E$130,2,FALSE),0)</f>
        <v>0</v>
      </c>
      <c r="DC12" s="5">
        <f>IF($E12&gt;=DC$2,VLOOKUP($E12-DC$2,'data input'!$D$3:$E$130,2,FALSE),0)</f>
        <v>0</v>
      </c>
      <c r="DD12" s="5">
        <f>IF($E12&gt;=DD$2,VLOOKUP($E12-DD$2,'data input'!$D$3:$E$130,2,FALSE),0)</f>
        <v>0</v>
      </c>
      <c r="DE12" s="5">
        <f>IF($E12&gt;=DE$2,VLOOKUP($E12-DE$2,'data input'!$D$3:$E$130,2,FALSE),0)</f>
        <v>0</v>
      </c>
      <c r="DF12" s="5">
        <f>IF($E12&gt;=DF$2,VLOOKUP($E12-DF$2,'data input'!$D$3:$E$130,2,FALSE),0)</f>
        <v>0</v>
      </c>
      <c r="DG12" s="5">
        <f>IF($E12&gt;=DG$2,VLOOKUP($E12-DG$2,'data input'!$D$3:$E$130,2,FALSE),0)</f>
        <v>0</v>
      </c>
      <c r="DH12" s="5">
        <f>IF($E12&gt;=DH$2,VLOOKUP($E12-DH$2,'data input'!$D$3:$E$130,2,FALSE),0)</f>
        <v>0</v>
      </c>
      <c r="DI12" s="5">
        <f>IF($E12&gt;=DI$2,VLOOKUP($E12-DI$2,'data input'!$D$3:$E$130,2,FALSE),0)</f>
        <v>0</v>
      </c>
      <c r="DJ12" s="5">
        <f>IF($E12&gt;=DJ$2,VLOOKUP($E12-DJ$2,'data input'!$D$3:$E$130,2,FALSE),0)</f>
        <v>0</v>
      </c>
      <c r="DK12" s="5">
        <f>IF($E12&gt;=DK$2,VLOOKUP($E12-DK$2,'data input'!$D$3:$E$130,2,FALSE),0)</f>
        <v>0</v>
      </c>
      <c r="DL12" s="5">
        <f>IF($E12&gt;=DL$2,VLOOKUP($E12-DL$2,'data input'!$D$3:$E$130,2,FALSE),0)</f>
        <v>0</v>
      </c>
      <c r="DM12" s="5">
        <f>IF($E12&gt;=DM$2,VLOOKUP($E12-DM$2,'data input'!$D$3:$E$130,2,FALSE),0)</f>
        <v>0</v>
      </c>
      <c r="DN12" s="5">
        <f>IF($E12&gt;=DN$2,VLOOKUP($E12-DN$2,'data input'!$D$3:$E$130,2,FALSE),0)</f>
        <v>0</v>
      </c>
      <c r="DO12" s="5">
        <f>IF($E12&gt;=DO$2,VLOOKUP($E12-DO$2,'data input'!$D$3:$E$130,2,FALSE),0)</f>
        <v>0</v>
      </c>
      <c r="DP12" s="5">
        <f>IF($E12&gt;=DP$2,VLOOKUP($E12-DP$2,'data input'!$D$3:$E$130,2,FALSE),0)</f>
        <v>0</v>
      </c>
      <c r="DQ12" s="5">
        <f>IF($E12&gt;=DQ$2,VLOOKUP($E12-DQ$2,'data input'!$D$3:$E$130,2,FALSE),0)</f>
        <v>0</v>
      </c>
      <c r="DR12" s="5">
        <f>IF($E12&gt;=DR$2,VLOOKUP($E12-DR$2,'data input'!$D$3:$E$130,2,FALSE),0)</f>
        <v>0</v>
      </c>
      <c r="DS12" s="5">
        <f>IF($E12&gt;=DS$2,VLOOKUP($E12-DS$2,'data input'!$D$3:$E$130,2,FALSE),0)</f>
        <v>0</v>
      </c>
      <c r="DT12" s="5">
        <f>IF($E12&gt;=DT$2,VLOOKUP($E12-DT$2,'data input'!$D$3:$E$130,2,FALSE),0)</f>
        <v>0</v>
      </c>
      <c r="DU12" s="5">
        <f>IF($E12&gt;=DU$2,VLOOKUP($E12-DU$2,'data input'!$D$3:$E$130,2,FALSE),0)</f>
        <v>0</v>
      </c>
      <c r="DV12" s="5">
        <f>IF($E12&gt;=DV$2,VLOOKUP($E12-DV$2,'data input'!$D$3:$E$130,2,FALSE),0)</f>
        <v>0</v>
      </c>
      <c r="DW12" s="5">
        <f>IF($E12&gt;=DW$2,VLOOKUP($E12-DW$2,'data input'!$D$3:$E$130,2,FALSE),0)</f>
        <v>0</v>
      </c>
      <c r="DX12" s="5">
        <f>IF($E12&gt;=DX$2,VLOOKUP($E12-DX$2,'data input'!$D$3:$E$130,2,FALSE),0)</f>
        <v>0</v>
      </c>
      <c r="DY12" s="5">
        <f>IF($E12&gt;=DY$2,VLOOKUP($E12-DY$2,'data input'!$D$3:$E$130,2,FALSE),0)</f>
        <v>0</v>
      </c>
      <c r="DZ12" s="5">
        <f>IF($E12&gt;=DZ$2,VLOOKUP($E12-DZ$2,'data input'!$D$3:$E$130,2,FALSE),0)</f>
        <v>0</v>
      </c>
      <c r="EA12" s="5">
        <f>IF($E12&gt;=EA$2,VLOOKUP($E12-EA$2,'data input'!$D$3:$E$130,2,FALSE),0)</f>
        <v>0</v>
      </c>
      <c r="EB12" s="5">
        <f>IF($E12&gt;=EB$2,VLOOKUP($E12-EB$2,'data input'!$D$3:$E$130,2,FALSE),0)</f>
        <v>0</v>
      </c>
      <c r="EC12" s="5">
        <f>IF($E12&gt;=EC$2,VLOOKUP($E12-EC$2,'data input'!$D$3:$E$130,2,FALSE),0)</f>
        <v>0</v>
      </c>
    </row>
    <row r="13" spans="5:133">
      <c r="E13" s="7">
        <f>'data input'!B13</f>
        <v>1888</v>
      </c>
      <c r="F13" s="5">
        <f>IF($E13&gt;=F$2,VLOOKUP($E13-F$2,'data input'!$D$3:$E$130,2,FALSE),0)</f>
        <v>0.98777552734495533</v>
      </c>
      <c r="G13" s="5">
        <f>IF($E13&gt;=G$2,VLOOKUP($E13-G$2,'data input'!$D$3:$E$130,2,FALSE),0)</f>
        <v>0.98996401989972593</v>
      </c>
      <c r="H13" s="5">
        <f>IF($E13&gt;=H$2,VLOOKUP($E13-H$2,'data input'!$D$3:$E$130,2,FALSE),0)</f>
        <v>0.99180246407540384</v>
      </c>
      <c r="I13" s="5">
        <f>IF($E13&gt;=I$2,VLOOKUP($E13-I$2,'data input'!$D$3:$E$130,2,FALSE),0)</f>
        <v>0.99333819120801725</v>
      </c>
      <c r="J13" s="5">
        <f>IF($E13&gt;=J$2,VLOOKUP($E13-J$2,'data input'!$D$3:$E$130,2,FALSE),0)</f>
        <v>0.99461385404593328</v>
      </c>
      <c r="K13" s="5">
        <f>IF($E13&gt;=K$2,VLOOKUP($E13-K$2,'data input'!$D$3:$E$130,2,FALSE),0)</f>
        <v>0.99566755163698739</v>
      </c>
      <c r="L13" s="5">
        <f>IF($E13&gt;=L$2,VLOOKUP($E13-L$2,'data input'!$D$3:$E$130,2,FALSE),0)</f>
        <v>0.99653302619695938</v>
      </c>
      <c r="M13" s="5">
        <f>IF($E13&gt;=M$2,VLOOKUP($E13-M$2,'data input'!$D$3:$E$130,2,FALSE),0)</f>
        <v>0.99723991460873751</v>
      </c>
      <c r="N13" s="5">
        <f>IF($E13&gt;=N$2,VLOOKUP($E13-N$2,'data input'!$D$3:$E$130,2,FALSE),0)</f>
        <v>0.99781403854508677</v>
      </c>
      <c r="O13" s="5">
        <f>IF($E13&gt;=O$2,VLOOKUP($E13-O$2,'data input'!$D$3:$E$130,2,FALSE),0)</f>
        <v>0.99827771888413241</v>
      </c>
      <c r="P13" s="5">
        <f>IF($E13&gt;=P$2,VLOOKUP($E13-P$2,'data input'!$D$3:$E$130,2,FALSE),0)</f>
        <v>0.9986501019683699</v>
      </c>
      <c r="Q13" s="5">
        <f>IF($E13&gt;=Q$2,VLOOKUP($E13-Q$2,'data input'!$D$3:$E$130,2,FALSE),0)</f>
        <v>0</v>
      </c>
      <c r="R13" s="5">
        <f>IF($E13&gt;=R$2,VLOOKUP($E13-R$2,'data input'!$D$3:$E$130,2,FALSE),0)</f>
        <v>0</v>
      </c>
      <c r="S13" s="5">
        <f>IF($E13&gt;=S$2,VLOOKUP($E13-S$2,'data input'!$D$3:$E$130,2,FALSE),0)</f>
        <v>0</v>
      </c>
      <c r="T13" s="5">
        <f>IF($E13&gt;=T$2,VLOOKUP($E13-T$2,'data input'!$D$3:$E$130,2,FALSE),0)</f>
        <v>0</v>
      </c>
      <c r="U13" s="5">
        <f>IF($E13&gt;=U$2,VLOOKUP($E13-U$2,'data input'!$D$3:$E$130,2,FALSE),0)</f>
        <v>0</v>
      </c>
      <c r="V13" s="5">
        <f>IF($E13&gt;=V$2,VLOOKUP($E13-V$2,'data input'!$D$3:$E$130,2,FALSE),0)</f>
        <v>0</v>
      </c>
      <c r="W13" s="5">
        <f>IF($E13&gt;=W$2,VLOOKUP($E13-W$2,'data input'!$D$3:$E$130,2,FALSE),0)</f>
        <v>0</v>
      </c>
      <c r="X13" s="5">
        <f>IF($E13&gt;=X$2,VLOOKUP($E13-X$2,'data input'!$D$3:$E$130,2,FALSE),0)</f>
        <v>0</v>
      </c>
      <c r="Y13" s="5">
        <f>IF($E13&gt;=Y$2,VLOOKUP($E13-Y$2,'data input'!$D$3:$E$130,2,FALSE),0)</f>
        <v>0</v>
      </c>
      <c r="Z13" s="5">
        <f>IF($E13&gt;=Z$2,VLOOKUP($E13-Z$2,'data input'!$D$3:$E$130,2,FALSE),0)</f>
        <v>0</v>
      </c>
      <c r="AA13" s="5">
        <f>IF($E13&gt;=AA$2,VLOOKUP($E13-AA$2,'data input'!$D$3:$E$130,2,FALSE),0)</f>
        <v>0</v>
      </c>
      <c r="AB13" s="5">
        <f>IF($E13&gt;=AB$2,VLOOKUP($E13-AB$2,'data input'!$D$3:$E$130,2,FALSE),0)</f>
        <v>0</v>
      </c>
      <c r="AC13" s="5">
        <f>IF($E13&gt;=AC$2,VLOOKUP($E13-AC$2,'data input'!$D$3:$E$130,2,FALSE),0)</f>
        <v>0</v>
      </c>
      <c r="AD13" s="5">
        <f>IF($E13&gt;=AD$2,VLOOKUP($E13-AD$2,'data input'!$D$3:$E$130,2,FALSE),0)</f>
        <v>0</v>
      </c>
      <c r="AE13" s="5">
        <f>IF($E13&gt;=AE$2,VLOOKUP($E13-AE$2,'data input'!$D$3:$E$130,2,FALSE),0)</f>
        <v>0</v>
      </c>
      <c r="AF13" s="5">
        <f>IF($E13&gt;=AF$2,VLOOKUP($E13-AF$2,'data input'!$D$3:$E$130,2,FALSE),0)</f>
        <v>0</v>
      </c>
      <c r="AG13" s="5">
        <f>IF($E13&gt;=AG$2,VLOOKUP($E13-AG$2,'data input'!$D$3:$E$130,2,FALSE),0)</f>
        <v>0</v>
      </c>
      <c r="AH13" s="5">
        <f>IF($E13&gt;=AH$2,VLOOKUP($E13-AH$2,'data input'!$D$3:$E$130,2,FALSE),0)</f>
        <v>0</v>
      </c>
      <c r="AI13" s="5">
        <f>IF($E13&gt;=AI$2,VLOOKUP($E13-AI$2,'data input'!$D$3:$E$130,2,FALSE),0)</f>
        <v>0</v>
      </c>
      <c r="AJ13" s="5">
        <f>IF($E13&gt;=AJ$2,VLOOKUP($E13-AJ$2,'data input'!$D$3:$E$130,2,FALSE),0)</f>
        <v>0</v>
      </c>
      <c r="AK13" s="5">
        <f>IF($E13&gt;=AK$2,VLOOKUP($E13-AK$2,'data input'!$D$3:$E$130,2,FALSE),0)</f>
        <v>0</v>
      </c>
      <c r="AL13" s="5">
        <f>IF($E13&gt;=AL$2,VLOOKUP($E13-AL$2,'data input'!$D$3:$E$130,2,FALSE),0)</f>
        <v>0</v>
      </c>
      <c r="AM13" s="5">
        <f>IF($E13&gt;=AM$2,VLOOKUP($E13-AM$2,'data input'!$D$3:$E$130,2,FALSE),0)</f>
        <v>0</v>
      </c>
      <c r="AN13" s="5">
        <f>IF($E13&gt;=AN$2,VLOOKUP($E13-AN$2,'data input'!$D$3:$E$130,2,FALSE),0)</f>
        <v>0</v>
      </c>
      <c r="AO13" s="5">
        <f>IF($E13&gt;=AO$2,VLOOKUP($E13-AO$2,'data input'!$D$3:$E$130,2,FALSE),0)</f>
        <v>0</v>
      </c>
      <c r="AP13" s="5">
        <f>IF($E13&gt;=AP$2,VLOOKUP($E13-AP$2,'data input'!$D$3:$E$130,2,FALSE),0)</f>
        <v>0</v>
      </c>
      <c r="AQ13" s="5">
        <f>IF($E13&gt;=AQ$2,VLOOKUP($E13-AQ$2,'data input'!$D$3:$E$130,2,FALSE),0)</f>
        <v>0</v>
      </c>
      <c r="AR13" s="5">
        <f>IF($E13&gt;=AR$2,VLOOKUP($E13-AR$2,'data input'!$D$3:$E$130,2,FALSE),0)</f>
        <v>0</v>
      </c>
      <c r="AS13" s="5">
        <f>IF($E13&gt;=AS$2,VLOOKUP($E13-AS$2,'data input'!$D$3:$E$130,2,FALSE),0)</f>
        <v>0</v>
      </c>
      <c r="AT13" s="5">
        <f>IF($E13&gt;=AT$2,VLOOKUP($E13-AT$2,'data input'!$D$3:$E$130,2,FALSE),0)</f>
        <v>0</v>
      </c>
      <c r="AU13" s="5">
        <f>IF($E13&gt;=AU$2,VLOOKUP($E13-AU$2,'data input'!$D$3:$E$130,2,FALSE),0)</f>
        <v>0</v>
      </c>
      <c r="AV13" s="5">
        <f>IF($E13&gt;=AV$2,VLOOKUP($E13-AV$2,'data input'!$D$3:$E$130,2,FALSE),0)</f>
        <v>0</v>
      </c>
      <c r="AW13" s="5">
        <f>IF($E13&gt;=AW$2,VLOOKUP($E13-AW$2,'data input'!$D$3:$E$130,2,FALSE),0)</f>
        <v>0</v>
      </c>
      <c r="AX13" s="5">
        <f>IF($E13&gt;=AX$2,VLOOKUP($E13-AX$2,'data input'!$D$3:$E$130,2,FALSE),0)</f>
        <v>0</v>
      </c>
      <c r="AY13" s="5">
        <f>IF($E13&gt;=AY$2,VLOOKUP($E13-AY$2,'data input'!$D$3:$E$130,2,FALSE),0)</f>
        <v>0</v>
      </c>
      <c r="AZ13" s="5">
        <f>IF($E13&gt;=AZ$2,VLOOKUP($E13-AZ$2,'data input'!$D$3:$E$130,2,FALSE),0)</f>
        <v>0</v>
      </c>
      <c r="BA13" s="5">
        <f>IF($E13&gt;=BA$2,VLOOKUP($E13-BA$2,'data input'!$D$3:$E$130,2,FALSE),0)</f>
        <v>0</v>
      </c>
      <c r="BB13" s="5">
        <f>IF($E13&gt;=BB$2,VLOOKUP($E13-BB$2,'data input'!$D$3:$E$130,2,FALSE),0)</f>
        <v>0</v>
      </c>
      <c r="BC13" s="5">
        <f>IF($E13&gt;=BC$2,VLOOKUP($E13-BC$2,'data input'!$D$3:$E$130,2,FALSE),0)</f>
        <v>0</v>
      </c>
      <c r="BD13" s="5">
        <f>IF($E13&gt;=BD$2,VLOOKUP($E13-BD$2,'data input'!$D$3:$E$130,2,FALSE),0)</f>
        <v>0</v>
      </c>
      <c r="BE13" s="5">
        <f>IF($E13&gt;=BE$2,VLOOKUP($E13-BE$2,'data input'!$D$3:$E$130,2,FALSE),0)</f>
        <v>0</v>
      </c>
      <c r="BF13" s="5">
        <f>IF($E13&gt;=BF$2,VLOOKUP($E13-BF$2,'data input'!$D$3:$E$130,2,FALSE),0)</f>
        <v>0</v>
      </c>
      <c r="BG13" s="5">
        <f>IF($E13&gt;=BG$2,VLOOKUP($E13-BG$2,'data input'!$D$3:$E$130,2,FALSE),0)</f>
        <v>0</v>
      </c>
      <c r="BH13" s="5">
        <f>IF($E13&gt;=BH$2,VLOOKUP($E13-BH$2,'data input'!$D$3:$E$130,2,FALSE),0)</f>
        <v>0</v>
      </c>
      <c r="BI13" s="5">
        <f>IF($E13&gt;=BI$2,VLOOKUP($E13-BI$2,'data input'!$D$3:$E$130,2,FALSE),0)</f>
        <v>0</v>
      </c>
      <c r="BJ13" s="5">
        <f>IF($E13&gt;=BJ$2,VLOOKUP($E13-BJ$2,'data input'!$D$3:$E$130,2,FALSE),0)</f>
        <v>0</v>
      </c>
      <c r="BK13" s="5">
        <f>IF($E13&gt;=BK$2,VLOOKUP($E13-BK$2,'data input'!$D$3:$E$130,2,FALSE),0)</f>
        <v>0</v>
      </c>
      <c r="BL13" s="5">
        <f>IF($E13&gt;=BL$2,VLOOKUP($E13-BL$2,'data input'!$D$3:$E$130,2,FALSE),0)</f>
        <v>0</v>
      </c>
      <c r="BM13" s="5">
        <f>IF($E13&gt;=BM$2,VLOOKUP($E13-BM$2,'data input'!$D$3:$E$130,2,FALSE),0)</f>
        <v>0</v>
      </c>
      <c r="BN13" s="5">
        <f>IF($E13&gt;=BN$2,VLOOKUP($E13-BN$2,'data input'!$D$3:$E$130,2,FALSE),0)</f>
        <v>0</v>
      </c>
      <c r="BO13" s="5">
        <f>IF($E13&gt;=BO$2,VLOOKUP($E13-BO$2,'data input'!$D$3:$E$130,2,FALSE),0)</f>
        <v>0</v>
      </c>
      <c r="BP13" s="5">
        <f>IF($E13&gt;=BP$2,VLOOKUP($E13-BP$2,'data input'!$D$3:$E$130,2,FALSE),0)</f>
        <v>0</v>
      </c>
      <c r="BQ13" s="5">
        <f>IF($E13&gt;=BQ$2,VLOOKUP($E13-BQ$2,'data input'!$D$3:$E$130,2,FALSE),0)</f>
        <v>0</v>
      </c>
      <c r="BR13" s="5">
        <f>IF($E13&gt;=BR$2,VLOOKUP($E13-BR$2,'data input'!$D$3:$E$130,2,FALSE),0)</f>
        <v>0</v>
      </c>
      <c r="BS13" s="5">
        <f>IF($E13&gt;=BS$2,VLOOKUP($E13-BS$2,'data input'!$D$3:$E$130,2,FALSE),0)</f>
        <v>0</v>
      </c>
      <c r="BT13" s="5">
        <f>IF($E13&gt;=BT$2,VLOOKUP($E13-BT$2,'data input'!$D$3:$E$130,2,FALSE),0)</f>
        <v>0</v>
      </c>
      <c r="BU13" s="5">
        <f>IF($E13&gt;=BU$2,VLOOKUP($E13-BU$2,'data input'!$D$3:$E$130,2,FALSE),0)</f>
        <v>0</v>
      </c>
      <c r="BV13" s="5">
        <f>IF($E13&gt;=BV$2,VLOOKUP($E13-BV$2,'data input'!$D$3:$E$130,2,FALSE),0)</f>
        <v>0</v>
      </c>
      <c r="BW13" s="5">
        <f>IF($E13&gt;=BW$2,VLOOKUP($E13-BW$2,'data input'!$D$3:$E$130,2,FALSE),0)</f>
        <v>0</v>
      </c>
      <c r="BX13" s="5">
        <f>IF($E13&gt;=BX$2,VLOOKUP($E13-BX$2,'data input'!$D$3:$E$130,2,FALSE),0)</f>
        <v>0</v>
      </c>
      <c r="BY13" s="5">
        <f>IF($E13&gt;=BY$2,VLOOKUP($E13-BY$2,'data input'!$D$3:$E$130,2,FALSE),0)</f>
        <v>0</v>
      </c>
      <c r="BZ13" s="5">
        <f>IF($E13&gt;=BZ$2,VLOOKUP($E13-BZ$2,'data input'!$D$3:$E$130,2,FALSE),0)</f>
        <v>0</v>
      </c>
      <c r="CA13" s="5">
        <f>IF($E13&gt;=CA$2,VLOOKUP($E13-CA$2,'data input'!$D$3:$E$130,2,FALSE),0)</f>
        <v>0</v>
      </c>
      <c r="CB13" s="5">
        <f>IF($E13&gt;=CB$2,VLOOKUP($E13-CB$2,'data input'!$D$3:$E$130,2,FALSE),0)</f>
        <v>0</v>
      </c>
      <c r="CC13" s="5">
        <f>IF($E13&gt;=CC$2,VLOOKUP($E13-CC$2,'data input'!$D$3:$E$130,2,FALSE),0)</f>
        <v>0</v>
      </c>
      <c r="CD13" s="5">
        <f>IF($E13&gt;=CD$2,VLOOKUP($E13-CD$2,'data input'!$D$3:$E$130,2,FALSE),0)</f>
        <v>0</v>
      </c>
      <c r="CE13" s="5">
        <f>IF($E13&gt;=CE$2,VLOOKUP($E13-CE$2,'data input'!$D$3:$E$130,2,FALSE),0)</f>
        <v>0</v>
      </c>
      <c r="CF13" s="5">
        <f>IF($E13&gt;=CF$2,VLOOKUP($E13-CF$2,'data input'!$D$3:$E$130,2,FALSE),0)</f>
        <v>0</v>
      </c>
      <c r="CG13" s="5">
        <f>IF($E13&gt;=CG$2,VLOOKUP($E13-CG$2,'data input'!$D$3:$E$130,2,FALSE),0)</f>
        <v>0</v>
      </c>
      <c r="CH13" s="5">
        <f>IF($E13&gt;=CH$2,VLOOKUP($E13-CH$2,'data input'!$D$3:$E$130,2,FALSE),0)</f>
        <v>0</v>
      </c>
      <c r="CI13" s="5">
        <f>IF($E13&gt;=CI$2,VLOOKUP($E13-CI$2,'data input'!$D$3:$E$130,2,FALSE),0)</f>
        <v>0</v>
      </c>
      <c r="CJ13" s="5">
        <f>IF($E13&gt;=CJ$2,VLOOKUP($E13-CJ$2,'data input'!$D$3:$E$130,2,FALSE),0)</f>
        <v>0</v>
      </c>
      <c r="CK13" s="5">
        <f>IF($E13&gt;=CK$2,VLOOKUP($E13-CK$2,'data input'!$D$3:$E$130,2,FALSE),0)</f>
        <v>0</v>
      </c>
      <c r="CL13" s="5">
        <f>IF($E13&gt;=CL$2,VLOOKUP($E13-CL$2,'data input'!$D$3:$E$130,2,FALSE),0)</f>
        <v>0</v>
      </c>
      <c r="CM13" s="5">
        <f>IF($E13&gt;=CM$2,VLOOKUP($E13-CM$2,'data input'!$D$3:$E$130,2,FALSE),0)</f>
        <v>0</v>
      </c>
      <c r="CN13" s="5">
        <f>IF($E13&gt;=CN$2,VLOOKUP($E13-CN$2,'data input'!$D$3:$E$130,2,FALSE),0)</f>
        <v>0</v>
      </c>
      <c r="CO13" s="5">
        <f>IF($E13&gt;=CO$2,VLOOKUP($E13-CO$2,'data input'!$D$3:$E$130,2,FALSE),0)</f>
        <v>0</v>
      </c>
      <c r="CP13" s="5">
        <f>IF($E13&gt;=CP$2,VLOOKUP($E13-CP$2,'data input'!$D$3:$E$130,2,FALSE),0)</f>
        <v>0</v>
      </c>
      <c r="CQ13" s="5">
        <f>IF($E13&gt;=CQ$2,VLOOKUP($E13-CQ$2,'data input'!$D$3:$E$130,2,FALSE),0)</f>
        <v>0</v>
      </c>
      <c r="CR13" s="5">
        <f>IF($E13&gt;=CR$2,VLOOKUP($E13-CR$2,'data input'!$D$3:$E$130,2,FALSE),0)</f>
        <v>0</v>
      </c>
      <c r="CS13" s="5">
        <f>IF($E13&gt;=CS$2,VLOOKUP($E13-CS$2,'data input'!$D$3:$E$130,2,FALSE),0)</f>
        <v>0</v>
      </c>
      <c r="CT13" s="5">
        <f>IF($E13&gt;=CT$2,VLOOKUP($E13-CT$2,'data input'!$D$3:$E$130,2,FALSE),0)</f>
        <v>0</v>
      </c>
      <c r="CU13" s="5">
        <f>IF($E13&gt;=CU$2,VLOOKUP($E13-CU$2,'data input'!$D$3:$E$130,2,FALSE),0)</f>
        <v>0</v>
      </c>
      <c r="CV13" s="5">
        <f>IF($E13&gt;=CV$2,VLOOKUP($E13-CV$2,'data input'!$D$3:$E$130,2,FALSE),0)</f>
        <v>0</v>
      </c>
      <c r="CW13" s="5">
        <f>IF($E13&gt;=CW$2,VLOOKUP($E13-CW$2,'data input'!$D$3:$E$130,2,FALSE),0)</f>
        <v>0</v>
      </c>
      <c r="CX13" s="5">
        <f>IF($E13&gt;=CX$2,VLOOKUP($E13-CX$2,'data input'!$D$3:$E$130,2,FALSE),0)</f>
        <v>0</v>
      </c>
      <c r="CY13" s="5">
        <f>IF($E13&gt;=CY$2,VLOOKUP($E13-CY$2,'data input'!$D$3:$E$130,2,FALSE),0)</f>
        <v>0</v>
      </c>
      <c r="CZ13" s="5">
        <f>IF($E13&gt;=CZ$2,VLOOKUP($E13-CZ$2,'data input'!$D$3:$E$130,2,FALSE),0)</f>
        <v>0</v>
      </c>
      <c r="DA13" s="5">
        <f>IF($E13&gt;=DA$2,VLOOKUP($E13-DA$2,'data input'!$D$3:$E$130,2,FALSE),0)</f>
        <v>0</v>
      </c>
      <c r="DB13" s="5">
        <f>IF($E13&gt;=DB$2,VLOOKUP($E13-DB$2,'data input'!$D$3:$E$130,2,FALSE),0)</f>
        <v>0</v>
      </c>
      <c r="DC13" s="5">
        <f>IF($E13&gt;=DC$2,VLOOKUP($E13-DC$2,'data input'!$D$3:$E$130,2,FALSE),0)</f>
        <v>0</v>
      </c>
      <c r="DD13" s="5">
        <f>IF($E13&gt;=DD$2,VLOOKUP($E13-DD$2,'data input'!$D$3:$E$130,2,FALSE),0)</f>
        <v>0</v>
      </c>
      <c r="DE13" s="5">
        <f>IF($E13&gt;=DE$2,VLOOKUP($E13-DE$2,'data input'!$D$3:$E$130,2,FALSE),0)</f>
        <v>0</v>
      </c>
      <c r="DF13" s="5">
        <f>IF($E13&gt;=DF$2,VLOOKUP($E13-DF$2,'data input'!$D$3:$E$130,2,FALSE),0)</f>
        <v>0</v>
      </c>
      <c r="DG13" s="5">
        <f>IF($E13&gt;=DG$2,VLOOKUP($E13-DG$2,'data input'!$D$3:$E$130,2,FALSE),0)</f>
        <v>0</v>
      </c>
      <c r="DH13" s="5">
        <f>IF($E13&gt;=DH$2,VLOOKUP($E13-DH$2,'data input'!$D$3:$E$130,2,FALSE),0)</f>
        <v>0</v>
      </c>
      <c r="DI13" s="5">
        <f>IF($E13&gt;=DI$2,VLOOKUP($E13-DI$2,'data input'!$D$3:$E$130,2,FALSE),0)</f>
        <v>0</v>
      </c>
      <c r="DJ13" s="5">
        <f>IF($E13&gt;=DJ$2,VLOOKUP($E13-DJ$2,'data input'!$D$3:$E$130,2,FALSE),0)</f>
        <v>0</v>
      </c>
      <c r="DK13" s="5">
        <f>IF($E13&gt;=DK$2,VLOOKUP($E13-DK$2,'data input'!$D$3:$E$130,2,FALSE),0)</f>
        <v>0</v>
      </c>
      <c r="DL13" s="5">
        <f>IF($E13&gt;=DL$2,VLOOKUP($E13-DL$2,'data input'!$D$3:$E$130,2,FALSE),0)</f>
        <v>0</v>
      </c>
      <c r="DM13" s="5">
        <f>IF($E13&gt;=DM$2,VLOOKUP($E13-DM$2,'data input'!$D$3:$E$130,2,FALSE),0)</f>
        <v>0</v>
      </c>
      <c r="DN13" s="5">
        <f>IF($E13&gt;=DN$2,VLOOKUP($E13-DN$2,'data input'!$D$3:$E$130,2,FALSE),0)</f>
        <v>0</v>
      </c>
      <c r="DO13" s="5">
        <f>IF($E13&gt;=DO$2,VLOOKUP($E13-DO$2,'data input'!$D$3:$E$130,2,FALSE),0)</f>
        <v>0</v>
      </c>
      <c r="DP13" s="5">
        <f>IF($E13&gt;=DP$2,VLOOKUP($E13-DP$2,'data input'!$D$3:$E$130,2,FALSE),0)</f>
        <v>0</v>
      </c>
      <c r="DQ13" s="5">
        <f>IF($E13&gt;=DQ$2,VLOOKUP($E13-DQ$2,'data input'!$D$3:$E$130,2,FALSE),0)</f>
        <v>0</v>
      </c>
      <c r="DR13" s="5">
        <f>IF($E13&gt;=DR$2,VLOOKUP($E13-DR$2,'data input'!$D$3:$E$130,2,FALSE),0)</f>
        <v>0</v>
      </c>
      <c r="DS13" s="5">
        <f>IF($E13&gt;=DS$2,VLOOKUP($E13-DS$2,'data input'!$D$3:$E$130,2,FALSE),0)</f>
        <v>0</v>
      </c>
      <c r="DT13" s="5">
        <f>IF($E13&gt;=DT$2,VLOOKUP($E13-DT$2,'data input'!$D$3:$E$130,2,FALSE),0)</f>
        <v>0</v>
      </c>
      <c r="DU13" s="5">
        <f>IF($E13&gt;=DU$2,VLOOKUP($E13-DU$2,'data input'!$D$3:$E$130,2,FALSE),0)</f>
        <v>0</v>
      </c>
      <c r="DV13" s="5">
        <f>IF($E13&gt;=DV$2,VLOOKUP($E13-DV$2,'data input'!$D$3:$E$130,2,FALSE),0)</f>
        <v>0</v>
      </c>
      <c r="DW13" s="5">
        <f>IF($E13&gt;=DW$2,VLOOKUP($E13-DW$2,'data input'!$D$3:$E$130,2,FALSE),0)</f>
        <v>0</v>
      </c>
      <c r="DX13" s="5">
        <f>IF($E13&gt;=DX$2,VLOOKUP($E13-DX$2,'data input'!$D$3:$E$130,2,FALSE),0)</f>
        <v>0</v>
      </c>
      <c r="DY13" s="5">
        <f>IF($E13&gt;=DY$2,VLOOKUP($E13-DY$2,'data input'!$D$3:$E$130,2,FALSE),0)</f>
        <v>0</v>
      </c>
      <c r="DZ13" s="5">
        <f>IF($E13&gt;=DZ$2,VLOOKUP($E13-DZ$2,'data input'!$D$3:$E$130,2,FALSE),0)</f>
        <v>0</v>
      </c>
      <c r="EA13" s="5">
        <f>IF($E13&gt;=EA$2,VLOOKUP($E13-EA$2,'data input'!$D$3:$E$130,2,FALSE),0)</f>
        <v>0</v>
      </c>
      <c r="EB13" s="5">
        <f>IF($E13&gt;=EB$2,VLOOKUP($E13-EB$2,'data input'!$D$3:$E$130,2,FALSE),0)</f>
        <v>0</v>
      </c>
      <c r="EC13" s="5">
        <f>IF($E13&gt;=EC$2,VLOOKUP($E13-EC$2,'data input'!$D$3:$E$130,2,FALSE),0)</f>
        <v>0</v>
      </c>
    </row>
    <row r="14" spans="5:133">
      <c r="E14" s="7">
        <f>'data input'!B14</f>
        <v>1889</v>
      </c>
      <c r="F14" s="5">
        <f>IF($E14&gt;=F$2,VLOOKUP($E14-F$2,'data input'!$D$3:$E$130,2,FALSE),0)</f>
        <v>0.98518494180739014</v>
      </c>
      <c r="G14" s="5">
        <f>IF($E14&gt;=G$2,VLOOKUP($E14-G$2,'data input'!$D$3:$E$130,2,FALSE),0)</f>
        <v>0.98777552734495533</v>
      </c>
      <c r="H14" s="5">
        <f>IF($E14&gt;=H$2,VLOOKUP($E14-H$2,'data input'!$D$3:$E$130,2,FALSE),0)</f>
        <v>0.98996401989972593</v>
      </c>
      <c r="I14" s="5">
        <f>IF($E14&gt;=I$2,VLOOKUP($E14-I$2,'data input'!$D$3:$E$130,2,FALSE),0)</f>
        <v>0.99180246407540384</v>
      </c>
      <c r="J14" s="5">
        <f>IF($E14&gt;=J$2,VLOOKUP($E14-J$2,'data input'!$D$3:$E$130,2,FALSE),0)</f>
        <v>0.99333819120801725</v>
      </c>
      <c r="K14" s="5">
        <f>IF($E14&gt;=K$2,VLOOKUP($E14-K$2,'data input'!$D$3:$E$130,2,FALSE),0)</f>
        <v>0.99461385404593328</v>
      </c>
      <c r="L14" s="5">
        <f>IF($E14&gt;=L$2,VLOOKUP($E14-L$2,'data input'!$D$3:$E$130,2,FALSE),0)</f>
        <v>0.99566755163698739</v>
      </c>
      <c r="M14" s="5">
        <f>IF($E14&gt;=M$2,VLOOKUP($E14-M$2,'data input'!$D$3:$E$130,2,FALSE),0)</f>
        <v>0.99653302619695938</v>
      </c>
      <c r="N14" s="5">
        <f>IF($E14&gt;=N$2,VLOOKUP($E14-N$2,'data input'!$D$3:$E$130,2,FALSE),0)</f>
        <v>0.99723991460873751</v>
      </c>
      <c r="O14" s="5">
        <f>IF($E14&gt;=O$2,VLOOKUP($E14-O$2,'data input'!$D$3:$E$130,2,FALSE),0)</f>
        <v>0.99781403854508677</v>
      </c>
      <c r="P14" s="5">
        <f>IF($E14&gt;=P$2,VLOOKUP($E14-P$2,'data input'!$D$3:$E$130,2,FALSE),0)</f>
        <v>0.99827771888413241</v>
      </c>
      <c r="Q14" s="5">
        <f>IF($E14&gt;=Q$2,VLOOKUP($E14-Q$2,'data input'!$D$3:$E$130,2,FALSE),0)</f>
        <v>0.9986501019683699</v>
      </c>
      <c r="R14" s="5">
        <f>IF($E14&gt;=R$2,VLOOKUP($E14-R$2,'data input'!$D$3:$E$130,2,FALSE),0)</f>
        <v>0</v>
      </c>
      <c r="S14" s="5">
        <f>IF($E14&gt;=S$2,VLOOKUP($E14-S$2,'data input'!$D$3:$E$130,2,FALSE),0)</f>
        <v>0</v>
      </c>
      <c r="T14" s="5">
        <f>IF($E14&gt;=T$2,VLOOKUP($E14-T$2,'data input'!$D$3:$E$130,2,FALSE),0)</f>
        <v>0</v>
      </c>
      <c r="U14" s="5">
        <f>IF($E14&gt;=U$2,VLOOKUP($E14-U$2,'data input'!$D$3:$E$130,2,FALSE),0)</f>
        <v>0</v>
      </c>
      <c r="V14" s="5">
        <f>IF($E14&gt;=V$2,VLOOKUP($E14-V$2,'data input'!$D$3:$E$130,2,FALSE),0)</f>
        <v>0</v>
      </c>
      <c r="W14" s="5">
        <f>IF($E14&gt;=W$2,VLOOKUP($E14-W$2,'data input'!$D$3:$E$130,2,FALSE),0)</f>
        <v>0</v>
      </c>
      <c r="X14" s="5">
        <f>IF($E14&gt;=X$2,VLOOKUP($E14-X$2,'data input'!$D$3:$E$130,2,FALSE),0)</f>
        <v>0</v>
      </c>
      <c r="Y14" s="5">
        <f>IF($E14&gt;=Y$2,VLOOKUP($E14-Y$2,'data input'!$D$3:$E$130,2,FALSE),0)</f>
        <v>0</v>
      </c>
      <c r="Z14" s="5">
        <f>IF($E14&gt;=Z$2,VLOOKUP($E14-Z$2,'data input'!$D$3:$E$130,2,FALSE),0)</f>
        <v>0</v>
      </c>
      <c r="AA14" s="5">
        <f>IF($E14&gt;=AA$2,VLOOKUP($E14-AA$2,'data input'!$D$3:$E$130,2,FALSE),0)</f>
        <v>0</v>
      </c>
      <c r="AB14" s="5">
        <f>IF($E14&gt;=AB$2,VLOOKUP($E14-AB$2,'data input'!$D$3:$E$130,2,FALSE),0)</f>
        <v>0</v>
      </c>
      <c r="AC14" s="5">
        <f>IF($E14&gt;=AC$2,VLOOKUP($E14-AC$2,'data input'!$D$3:$E$130,2,FALSE),0)</f>
        <v>0</v>
      </c>
      <c r="AD14" s="5">
        <f>IF($E14&gt;=AD$2,VLOOKUP($E14-AD$2,'data input'!$D$3:$E$130,2,FALSE),0)</f>
        <v>0</v>
      </c>
      <c r="AE14" s="5">
        <f>IF($E14&gt;=AE$2,VLOOKUP($E14-AE$2,'data input'!$D$3:$E$130,2,FALSE),0)</f>
        <v>0</v>
      </c>
      <c r="AF14" s="5">
        <f>IF($E14&gt;=AF$2,VLOOKUP($E14-AF$2,'data input'!$D$3:$E$130,2,FALSE),0)</f>
        <v>0</v>
      </c>
      <c r="AG14" s="5">
        <f>IF($E14&gt;=AG$2,VLOOKUP($E14-AG$2,'data input'!$D$3:$E$130,2,FALSE),0)</f>
        <v>0</v>
      </c>
      <c r="AH14" s="5">
        <f>IF($E14&gt;=AH$2,VLOOKUP($E14-AH$2,'data input'!$D$3:$E$130,2,FALSE),0)</f>
        <v>0</v>
      </c>
      <c r="AI14" s="5">
        <f>IF($E14&gt;=AI$2,VLOOKUP($E14-AI$2,'data input'!$D$3:$E$130,2,FALSE),0)</f>
        <v>0</v>
      </c>
      <c r="AJ14" s="5">
        <f>IF($E14&gt;=AJ$2,VLOOKUP($E14-AJ$2,'data input'!$D$3:$E$130,2,FALSE),0)</f>
        <v>0</v>
      </c>
      <c r="AK14" s="5">
        <f>IF($E14&gt;=AK$2,VLOOKUP($E14-AK$2,'data input'!$D$3:$E$130,2,FALSE),0)</f>
        <v>0</v>
      </c>
      <c r="AL14" s="5">
        <f>IF($E14&gt;=AL$2,VLOOKUP($E14-AL$2,'data input'!$D$3:$E$130,2,FALSE),0)</f>
        <v>0</v>
      </c>
      <c r="AM14" s="5">
        <f>IF($E14&gt;=AM$2,VLOOKUP($E14-AM$2,'data input'!$D$3:$E$130,2,FALSE),0)</f>
        <v>0</v>
      </c>
      <c r="AN14" s="5">
        <f>IF($E14&gt;=AN$2,VLOOKUP($E14-AN$2,'data input'!$D$3:$E$130,2,FALSE),0)</f>
        <v>0</v>
      </c>
      <c r="AO14" s="5">
        <f>IF($E14&gt;=AO$2,VLOOKUP($E14-AO$2,'data input'!$D$3:$E$130,2,FALSE),0)</f>
        <v>0</v>
      </c>
      <c r="AP14" s="5">
        <f>IF($E14&gt;=AP$2,VLOOKUP($E14-AP$2,'data input'!$D$3:$E$130,2,FALSE),0)</f>
        <v>0</v>
      </c>
      <c r="AQ14" s="5">
        <f>IF($E14&gt;=AQ$2,VLOOKUP($E14-AQ$2,'data input'!$D$3:$E$130,2,FALSE),0)</f>
        <v>0</v>
      </c>
      <c r="AR14" s="5">
        <f>IF($E14&gt;=AR$2,VLOOKUP($E14-AR$2,'data input'!$D$3:$E$130,2,FALSE),0)</f>
        <v>0</v>
      </c>
      <c r="AS14" s="5">
        <f>IF($E14&gt;=AS$2,VLOOKUP($E14-AS$2,'data input'!$D$3:$E$130,2,FALSE),0)</f>
        <v>0</v>
      </c>
      <c r="AT14" s="5">
        <f>IF($E14&gt;=AT$2,VLOOKUP($E14-AT$2,'data input'!$D$3:$E$130,2,FALSE),0)</f>
        <v>0</v>
      </c>
      <c r="AU14" s="5">
        <f>IF($E14&gt;=AU$2,VLOOKUP($E14-AU$2,'data input'!$D$3:$E$130,2,FALSE),0)</f>
        <v>0</v>
      </c>
      <c r="AV14" s="5">
        <f>IF($E14&gt;=AV$2,VLOOKUP($E14-AV$2,'data input'!$D$3:$E$130,2,FALSE),0)</f>
        <v>0</v>
      </c>
      <c r="AW14" s="5">
        <f>IF($E14&gt;=AW$2,VLOOKUP($E14-AW$2,'data input'!$D$3:$E$130,2,FALSE),0)</f>
        <v>0</v>
      </c>
      <c r="AX14" s="5">
        <f>IF($E14&gt;=AX$2,VLOOKUP($E14-AX$2,'data input'!$D$3:$E$130,2,FALSE),0)</f>
        <v>0</v>
      </c>
      <c r="AY14" s="5">
        <f>IF($E14&gt;=AY$2,VLOOKUP($E14-AY$2,'data input'!$D$3:$E$130,2,FALSE),0)</f>
        <v>0</v>
      </c>
      <c r="AZ14" s="5">
        <f>IF($E14&gt;=AZ$2,VLOOKUP($E14-AZ$2,'data input'!$D$3:$E$130,2,FALSE),0)</f>
        <v>0</v>
      </c>
      <c r="BA14" s="5">
        <f>IF($E14&gt;=BA$2,VLOOKUP($E14-BA$2,'data input'!$D$3:$E$130,2,FALSE),0)</f>
        <v>0</v>
      </c>
      <c r="BB14" s="5">
        <f>IF($E14&gt;=BB$2,VLOOKUP($E14-BB$2,'data input'!$D$3:$E$130,2,FALSE),0)</f>
        <v>0</v>
      </c>
      <c r="BC14" s="5">
        <f>IF($E14&gt;=BC$2,VLOOKUP($E14-BC$2,'data input'!$D$3:$E$130,2,FALSE),0)</f>
        <v>0</v>
      </c>
      <c r="BD14" s="5">
        <f>IF($E14&gt;=BD$2,VLOOKUP($E14-BD$2,'data input'!$D$3:$E$130,2,FALSE),0)</f>
        <v>0</v>
      </c>
      <c r="BE14" s="5">
        <f>IF($E14&gt;=BE$2,VLOOKUP($E14-BE$2,'data input'!$D$3:$E$130,2,FALSE),0)</f>
        <v>0</v>
      </c>
      <c r="BF14" s="5">
        <f>IF($E14&gt;=BF$2,VLOOKUP($E14-BF$2,'data input'!$D$3:$E$130,2,FALSE),0)</f>
        <v>0</v>
      </c>
      <c r="BG14" s="5">
        <f>IF($E14&gt;=BG$2,VLOOKUP($E14-BG$2,'data input'!$D$3:$E$130,2,FALSE),0)</f>
        <v>0</v>
      </c>
      <c r="BH14" s="5">
        <f>IF($E14&gt;=BH$2,VLOOKUP($E14-BH$2,'data input'!$D$3:$E$130,2,FALSE),0)</f>
        <v>0</v>
      </c>
      <c r="BI14" s="5">
        <f>IF($E14&gt;=BI$2,VLOOKUP($E14-BI$2,'data input'!$D$3:$E$130,2,FALSE),0)</f>
        <v>0</v>
      </c>
      <c r="BJ14" s="5">
        <f>IF($E14&gt;=BJ$2,VLOOKUP($E14-BJ$2,'data input'!$D$3:$E$130,2,FALSE),0)</f>
        <v>0</v>
      </c>
      <c r="BK14" s="5">
        <f>IF($E14&gt;=BK$2,VLOOKUP($E14-BK$2,'data input'!$D$3:$E$130,2,FALSE),0)</f>
        <v>0</v>
      </c>
      <c r="BL14" s="5">
        <f>IF($E14&gt;=BL$2,VLOOKUP($E14-BL$2,'data input'!$D$3:$E$130,2,FALSE),0)</f>
        <v>0</v>
      </c>
      <c r="BM14" s="5">
        <f>IF($E14&gt;=BM$2,VLOOKUP($E14-BM$2,'data input'!$D$3:$E$130,2,FALSE),0)</f>
        <v>0</v>
      </c>
      <c r="BN14" s="5">
        <f>IF($E14&gt;=BN$2,VLOOKUP($E14-BN$2,'data input'!$D$3:$E$130,2,FALSE),0)</f>
        <v>0</v>
      </c>
      <c r="BO14" s="5">
        <f>IF($E14&gt;=BO$2,VLOOKUP($E14-BO$2,'data input'!$D$3:$E$130,2,FALSE),0)</f>
        <v>0</v>
      </c>
      <c r="BP14" s="5">
        <f>IF($E14&gt;=BP$2,VLOOKUP($E14-BP$2,'data input'!$D$3:$E$130,2,FALSE),0)</f>
        <v>0</v>
      </c>
      <c r="BQ14" s="5">
        <f>IF($E14&gt;=BQ$2,VLOOKUP($E14-BQ$2,'data input'!$D$3:$E$130,2,FALSE),0)</f>
        <v>0</v>
      </c>
      <c r="BR14" s="5">
        <f>IF($E14&gt;=BR$2,VLOOKUP($E14-BR$2,'data input'!$D$3:$E$130,2,FALSE),0)</f>
        <v>0</v>
      </c>
      <c r="BS14" s="5">
        <f>IF($E14&gt;=BS$2,VLOOKUP($E14-BS$2,'data input'!$D$3:$E$130,2,FALSE),0)</f>
        <v>0</v>
      </c>
      <c r="BT14" s="5">
        <f>IF($E14&gt;=BT$2,VLOOKUP($E14-BT$2,'data input'!$D$3:$E$130,2,FALSE),0)</f>
        <v>0</v>
      </c>
      <c r="BU14" s="5">
        <f>IF($E14&gt;=BU$2,VLOOKUP($E14-BU$2,'data input'!$D$3:$E$130,2,FALSE),0)</f>
        <v>0</v>
      </c>
      <c r="BV14" s="5">
        <f>IF($E14&gt;=BV$2,VLOOKUP($E14-BV$2,'data input'!$D$3:$E$130,2,FALSE),0)</f>
        <v>0</v>
      </c>
      <c r="BW14" s="5">
        <f>IF($E14&gt;=BW$2,VLOOKUP($E14-BW$2,'data input'!$D$3:$E$130,2,FALSE),0)</f>
        <v>0</v>
      </c>
      <c r="BX14" s="5">
        <f>IF($E14&gt;=BX$2,VLOOKUP($E14-BX$2,'data input'!$D$3:$E$130,2,FALSE),0)</f>
        <v>0</v>
      </c>
      <c r="BY14" s="5">
        <f>IF($E14&gt;=BY$2,VLOOKUP($E14-BY$2,'data input'!$D$3:$E$130,2,FALSE),0)</f>
        <v>0</v>
      </c>
      <c r="BZ14" s="5">
        <f>IF($E14&gt;=BZ$2,VLOOKUP($E14-BZ$2,'data input'!$D$3:$E$130,2,FALSE),0)</f>
        <v>0</v>
      </c>
      <c r="CA14" s="5">
        <f>IF($E14&gt;=CA$2,VLOOKUP($E14-CA$2,'data input'!$D$3:$E$130,2,FALSE),0)</f>
        <v>0</v>
      </c>
      <c r="CB14" s="5">
        <f>IF($E14&gt;=CB$2,VLOOKUP($E14-CB$2,'data input'!$D$3:$E$130,2,FALSE),0)</f>
        <v>0</v>
      </c>
      <c r="CC14" s="5">
        <f>IF($E14&gt;=CC$2,VLOOKUP($E14-CC$2,'data input'!$D$3:$E$130,2,FALSE),0)</f>
        <v>0</v>
      </c>
      <c r="CD14" s="5">
        <f>IF($E14&gt;=CD$2,VLOOKUP($E14-CD$2,'data input'!$D$3:$E$130,2,FALSE),0)</f>
        <v>0</v>
      </c>
      <c r="CE14" s="5">
        <f>IF($E14&gt;=CE$2,VLOOKUP($E14-CE$2,'data input'!$D$3:$E$130,2,FALSE),0)</f>
        <v>0</v>
      </c>
      <c r="CF14" s="5">
        <f>IF($E14&gt;=CF$2,VLOOKUP($E14-CF$2,'data input'!$D$3:$E$130,2,FALSE),0)</f>
        <v>0</v>
      </c>
      <c r="CG14" s="5">
        <f>IF($E14&gt;=CG$2,VLOOKUP($E14-CG$2,'data input'!$D$3:$E$130,2,FALSE),0)</f>
        <v>0</v>
      </c>
      <c r="CH14" s="5">
        <f>IF($E14&gt;=CH$2,VLOOKUP($E14-CH$2,'data input'!$D$3:$E$130,2,FALSE),0)</f>
        <v>0</v>
      </c>
      <c r="CI14" s="5">
        <f>IF($E14&gt;=CI$2,VLOOKUP($E14-CI$2,'data input'!$D$3:$E$130,2,FALSE),0)</f>
        <v>0</v>
      </c>
      <c r="CJ14" s="5">
        <f>IF($E14&gt;=CJ$2,VLOOKUP($E14-CJ$2,'data input'!$D$3:$E$130,2,FALSE),0)</f>
        <v>0</v>
      </c>
      <c r="CK14" s="5">
        <f>IF($E14&gt;=CK$2,VLOOKUP($E14-CK$2,'data input'!$D$3:$E$130,2,FALSE),0)</f>
        <v>0</v>
      </c>
      <c r="CL14" s="5">
        <f>IF($E14&gt;=CL$2,VLOOKUP($E14-CL$2,'data input'!$D$3:$E$130,2,FALSE),0)</f>
        <v>0</v>
      </c>
      <c r="CM14" s="5">
        <f>IF($E14&gt;=CM$2,VLOOKUP($E14-CM$2,'data input'!$D$3:$E$130,2,FALSE),0)</f>
        <v>0</v>
      </c>
      <c r="CN14" s="5">
        <f>IF($E14&gt;=CN$2,VLOOKUP($E14-CN$2,'data input'!$D$3:$E$130,2,FALSE),0)</f>
        <v>0</v>
      </c>
      <c r="CO14" s="5">
        <f>IF($E14&gt;=CO$2,VLOOKUP($E14-CO$2,'data input'!$D$3:$E$130,2,FALSE),0)</f>
        <v>0</v>
      </c>
      <c r="CP14" s="5">
        <f>IF($E14&gt;=CP$2,VLOOKUP($E14-CP$2,'data input'!$D$3:$E$130,2,FALSE),0)</f>
        <v>0</v>
      </c>
      <c r="CQ14" s="5">
        <f>IF($E14&gt;=CQ$2,VLOOKUP($E14-CQ$2,'data input'!$D$3:$E$130,2,FALSE),0)</f>
        <v>0</v>
      </c>
      <c r="CR14" s="5">
        <f>IF($E14&gt;=CR$2,VLOOKUP($E14-CR$2,'data input'!$D$3:$E$130,2,FALSE),0)</f>
        <v>0</v>
      </c>
      <c r="CS14" s="5">
        <f>IF($E14&gt;=CS$2,VLOOKUP($E14-CS$2,'data input'!$D$3:$E$130,2,FALSE),0)</f>
        <v>0</v>
      </c>
      <c r="CT14" s="5">
        <f>IF($E14&gt;=CT$2,VLOOKUP($E14-CT$2,'data input'!$D$3:$E$130,2,FALSE),0)</f>
        <v>0</v>
      </c>
      <c r="CU14" s="5">
        <f>IF($E14&gt;=CU$2,VLOOKUP($E14-CU$2,'data input'!$D$3:$E$130,2,FALSE),0)</f>
        <v>0</v>
      </c>
      <c r="CV14" s="5">
        <f>IF($E14&gt;=CV$2,VLOOKUP($E14-CV$2,'data input'!$D$3:$E$130,2,FALSE),0)</f>
        <v>0</v>
      </c>
      <c r="CW14" s="5">
        <f>IF($E14&gt;=CW$2,VLOOKUP($E14-CW$2,'data input'!$D$3:$E$130,2,FALSE),0)</f>
        <v>0</v>
      </c>
      <c r="CX14" s="5">
        <f>IF($E14&gt;=CX$2,VLOOKUP($E14-CX$2,'data input'!$D$3:$E$130,2,FALSE),0)</f>
        <v>0</v>
      </c>
      <c r="CY14" s="5">
        <f>IF($E14&gt;=CY$2,VLOOKUP($E14-CY$2,'data input'!$D$3:$E$130,2,FALSE),0)</f>
        <v>0</v>
      </c>
      <c r="CZ14" s="5">
        <f>IF($E14&gt;=CZ$2,VLOOKUP($E14-CZ$2,'data input'!$D$3:$E$130,2,FALSE),0)</f>
        <v>0</v>
      </c>
      <c r="DA14" s="5">
        <f>IF($E14&gt;=DA$2,VLOOKUP($E14-DA$2,'data input'!$D$3:$E$130,2,FALSE),0)</f>
        <v>0</v>
      </c>
      <c r="DB14" s="5">
        <f>IF($E14&gt;=DB$2,VLOOKUP($E14-DB$2,'data input'!$D$3:$E$130,2,FALSE),0)</f>
        <v>0</v>
      </c>
      <c r="DC14" s="5">
        <f>IF($E14&gt;=DC$2,VLOOKUP($E14-DC$2,'data input'!$D$3:$E$130,2,FALSE),0)</f>
        <v>0</v>
      </c>
      <c r="DD14" s="5">
        <f>IF($E14&gt;=DD$2,VLOOKUP($E14-DD$2,'data input'!$D$3:$E$130,2,FALSE),0)</f>
        <v>0</v>
      </c>
      <c r="DE14" s="5">
        <f>IF($E14&gt;=DE$2,VLOOKUP($E14-DE$2,'data input'!$D$3:$E$130,2,FALSE),0)</f>
        <v>0</v>
      </c>
      <c r="DF14" s="5">
        <f>IF($E14&gt;=DF$2,VLOOKUP($E14-DF$2,'data input'!$D$3:$E$130,2,FALSE),0)</f>
        <v>0</v>
      </c>
      <c r="DG14" s="5">
        <f>IF($E14&gt;=DG$2,VLOOKUP($E14-DG$2,'data input'!$D$3:$E$130,2,FALSE),0)</f>
        <v>0</v>
      </c>
      <c r="DH14" s="5">
        <f>IF($E14&gt;=DH$2,VLOOKUP($E14-DH$2,'data input'!$D$3:$E$130,2,FALSE),0)</f>
        <v>0</v>
      </c>
      <c r="DI14" s="5">
        <f>IF($E14&gt;=DI$2,VLOOKUP($E14-DI$2,'data input'!$D$3:$E$130,2,FALSE),0)</f>
        <v>0</v>
      </c>
      <c r="DJ14" s="5">
        <f>IF($E14&gt;=DJ$2,VLOOKUP($E14-DJ$2,'data input'!$D$3:$E$130,2,FALSE),0)</f>
        <v>0</v>
      </c>
      <c r="DK14" s="5">
        <f>IF($E14&gt;=DK$2,VLOOKUP($E14-DK$2,'data input'!$D$3:$E$130,2,FALSE),0)</f>
        <v>0</v>
      </c>
      <c r="DL14" s="5">
        <f>IF($E14&gt;=DL$2,VLOOKUP($E14-DL$2,'data input'!$D$3:$E$130,2,FALSE),0)</f>
        <v>0</v>
      </c>
      <c r="DM14" s="5">
        <f>IF($E14&gt;=DM$2,VLOOKUP($E14-DM$2,'data input'!$D$3:$E$130,2,FALSE),0)</f>
        <v>0</v>
      </c>
      <c r="DN14" s="5">
        <f>IF($E14&gt;=DN$2,VLOOKUP($E14-DN$2,'data input'!$D$3:$E$130,2,FALSE),0)</f>
        <v>0</v>
      </c>
      <c r="DO14" s="5">
        <f>IF($E14&gt;=DO$2,VLOOKUP($E14-DO$2,'data input'!$D$3:$E$130,2,FALSE),0)</f>
        <v>0</v>
      </c>
      <c r="DP14" s="5">
        <f>IF($E14&gt;=DP$2,VLOOKUP($E14-DP$2,'data input'!$D$3:$E$130,2,FALSE),0)</f>
        <v>0</v>
      </c>
      <c r="DQ14" s="5">
        <f>IF($E14&gt;=DQ$2,VLOOKUP($E14-DQ$2,'data input'!$D$3:$E$130,2,FALSE),0)</f>
        <v>0</v>
      </c>
      <c r="DR14" s="5">
        <f>IF($E14&gt;=DR$2,VLOOKUP($E14-DR$2,'data input'!$D$3:$E$130,2,FALSE),0)</f>
        <v>0</v>
      </c>
      <c r="DS14" s="5">
        <f>IF($E14&gt;=DS$2,VLOOKUP($E14-DS$2,'data input'!$D$3:$E$130,2,FALSE),0)</f>
        <v>0</v>
      </c>
      <c r="DT14" s="5">
        <f>IF($E14&gt;=DT$2,VLOOKUP($E14-DT$2,'data input'!$D$3:$E$130,2,FALSE),0)</f>
        <v>0</v>
      </c>
      <c r="DU14" s="5">
        <f>IF($E14&gt;=DU$2,VLOOKUP($E14-DU$2,'data input'!$D$3:$E$130,2,FALSE),0)</f>
        <v>0</v>
      </c>
      <c r="DV14" s="5">
        <f>IF($E14&gt;=DV$2,VLOOKUP($E14-DV$2,'data input'!$D$3:$E$130,2,FALSE),0)</f>
        <v>0</v>
      </c>
      <c r="DW14" s="5">
        <f>IF($E14&gt;=DW$2,VLOOKUP($E14-DW$2,'data input'!$D$3:$E$130,2,FALSE),0)</f>
        <v>0</v>
      </c>
      <c r="DX14" s="5">
        <f>IF($E14&gt;=DX$2,VLOOKUP($E14-DX$2,'data input'!$D$3:$E$130,2,FALSE),0)</f>
        <v>0</v>
      </c>
      <c r="DY14" s="5">
        <f>IF($E14&gt;=DY$2,VLOOKUP($E14-DY$2,'data input'!$D$3:$E$130,2,FALSE),0)</f>
        <v>0</v>
      </c>
      <c r="DZ14" s="5">
        <f>IF($E14&gt;=DZ$2,VLOOKUP($E14-DZ$2,'data input'!$D$3:$E$130,2,FALSE),0)</f>
        <v>0</v>
      </c>
      <c r="EA14" s="5">
        <f>IF($E14&gt;=EA$2,VLOOKUP($E14-EA$2,'data input'!$D$3:$E$130,2,FALSE),0)</f>
        <v>0</v>
      </c>
      <c r="EB14" s="5">
        <f>IF($E14&gt;=EB$2,VLOOKUP($E14-EB$2,'data input'!$D$3:$E$130,2,FALSE),0)</f>
        <v>0</v>
      </c>
      <c r="EC14" s="5">
        <f>IF($E14&gt;=EC$2,VLOOKUP($E14-EC$2,'data input'!$D$3:$E$130,2,FALSE),0)</f>
        <v>0</v>
      </c>
    </row>
    <row r="15" spans="5:133">
      <c r="E15" s="7">
        <f>'data input'!B15</f>
        <v>1890</v>
      </c>
      <c r="F15" s="5">
        <f>IF($E15&gt;=F$2,VLOOKUP($E15-F$2,'data input'!$D$3:$E$130,2,FALSE),0)</f>
        <v>0.98213557943718344</v>
      </c>
      <c r="G15" s="5">
        <f>IF($E15&gt;=G$2,VLOOKUP($E15-G$2,'data input'!$D$3:$E$130,2,FALSE),0)</f>
        <v>0.98518494180739014</v>
      </c>
      <c r="H15" s="5">
        <f>IF($E15&gt;=H$2,VLOOKUP($E15-H$2,'data input'!$D$3:$E$130,2,FALSE),0)</f>
        <v>0.98777552734495533</v>
      </c>
      <c r="I15" s="5">
        <f>IF($E15&gt;=I$2,VLOOKUP($E15-I$2,'data input'!$D$3:$E$130,2,FALSE),0)</f>
        <v>0.98996401989972593</v>
      </c>
      <c r="J15" s="5">
        <f>IF($E15&gt;=J$2,VLOOKUP($E15-J$2,'data input'!$D$3:$E$130,2,FALSE),0)</f>
        <v>0.99180246407540384</v>
      </c>
      <c r="K15" s="5">
        <f>IF($E15&gt;=K$2,VLOOKUP($E15-K$2,'data input'!$D$3:$E$130,2,FALSE),0)</f>
        <v>0.99333819120801725</v>
      </c>
      <c r="L15" s="5">
        <f>IF($E15&gt;=L$2,VLOOKUP($E15-L$2,'data input'!$D$3:$E$130,2,FALSE),0)</f>
        <v>0.99461385404593328</v>
      </c>
      <c r="M15" s="5">
        <f>IF($E15&gt;=M$2,VLOOKUP($E15-M$2,'data input'!$D$3:$E$130,2,FALSE),0)</f>
        <v>0.99566755163698739</v>
      </c>
      <c r="N15" s="5">
        <f>IF($E15&gt;=N$2,VLOOKUP($E15-N$2,'data input'!$D$3:$E$130,2,FALSE),0)</f>
        <v>0.99653302619695938</v>
      </c>
      <c r="O15" s="5">
        <f>IF($E15&gt;=O$2,VLOOKUP($E15-O$2,'data input'!$D$3:$E$130,2,FALSE),0)</f>
        <v>0.99723991460873751</v>
      </c>
      <c r="P15" s="5">
        <f>IF($E15&gt;=P$2,VLOOKUP($E15-P$2,'data input'!$D$3:$E$130,2,FALSE),0)</f>
        <v>0.99781403854508677</v>
      </c>
      <c r="Q15" s="5">
        <f>IF($E15&gt;=Q$2,VLOOKUP($E15-Q$2,'data input'!$D$3:$E$130,2,FALSE),0)</f>
        <v>0.99827771888413241</v>
      </c>
      <c r="R15" s="5">
        <f>IF($E15&gt;=R$2,VLOOKUP($E15-R$2,'data input'!$D$3:$E$130,2,FALSE),0)</f>
        <v>0.9986501019683699</v>
      </c>
      <c r="S15" s="5">
        <f>IF($E15&gt;=S$2,VLOOKUP($E15-S$2,'data input'!$D$3:$E$130,2,FALSE),0)</f>
        <v>0</v>
      </c>
      <c r="T15" s="5">
        <f>IF($E15&gt;=T$2,VLOOKUP($E15-T$2,'data input'!$D$3:$E$130,2,FALSE),0)</f>
        <v>0</v>
      </c>
      <c r="U15" s="5">
        <f>IF($E15&gt;=U$2,VLOOKUP($E15-U$2,'data input'!$D$3:$E$130,2,FALSE),0)</f>
        <v>0</v>
      </c>
      <c r="V15" s="5">
        <f>IF($E15&gt;=V$2,VLOOKUP($E15-V$2,'data input'!$D$3:$E$130,2,FALSE),0)</f>
        <v>0</v>
      </c>
      <c r="W15" s="5">
        <f>IF($E15&gt;=W$2,VLOOKUP($E15-W$2,'data input'!$D$3:$E$130,2,FALSE),0)</f>
        <v>0</v>
      </c>
      <c r="X15" s="5">
        <f>IF($E15&gt;=X$2,VLOOKUP($E15-X$2,'data input'!$D$3:$E$130,2,FALSE),0)</f>
        <v>0</v>
      </c>
      <c r="Y15" s="5">
        <f>IF($E15&gt;=Y$2,VLOOKUP($E15-Y$2,'data input'!$D$3:$E$130,2,FALSE),0)</f>
        <v>0</v>
      </c>
      <c r="Z15" s="5">
        <f>IF($E15&gt;=Z$2,VLOOKUP($E15-Z$2,'data input'!$D$3:$E$130,2,FALSE),0)</f>
        <v>0</v>
      </c>
      <c r="AA15" s="5">
        <f>IF($E15&gt;=AA$2,VLOOKUP($E15-AA$2,'data input'!$D$3:$E$130,2,FALSE),0)</f>
        <v>0</v>
      </c>
      <c r="AB15" s="5">
        <f>IF($E15&gt;=AB$2,VLOOKUP($E15-AB$2,'data input'!$D$3:$E$130,2,FALSE),0)</f>
        <v>0</v>
      </c>
      <c r="AC15" s="5">
        <f>IF($E15&gt;=AC$2,VLOOKUP($E15-AC$2,'data input'!$D$3:$E$130,2,FALSE),0)</f>
        <v>0</v>
      </c>
      <c r="AD15" s="5">
        <f>IF($E15&gt;=AD$2,VLOOKUP($E15-AD$2,'data input'!$D$3:$E$130,2,FALSE),0)</f>
        <v>0</v>
      </c>
      <c r="AE15" s="5">
        <f>IF($E15&gt;=AE$2,VLOOKUP($E15-AE$2,'data input'!$D$3:$E$130,2,FALSE),0)</f>
        <v>0</v>
      </c>
      <c r="AF15" s="5">
        <f>IF($E15&gt;=AF$2,VLOOKUP($E15-AF$2,'data input'!$D$3:$E$130,2,FALSE),0)</f>
        <v>0</v>
      </c>
      <c r="AG15" s="5">
        <f>IF($E15&gt;=AG$2,VLOOKUP($E15-AG$2,'data input'!$D$3:$E$130,2,FALSE),0)</f>
        <v>0</v>
      </c>
      <c r="AH15" s="5">
        <f>IF($E15&gt;=AH$2,VLOOKUP($E15-AH$2,'data input'!$D$3:$E$130,2,FALSE),0)</f>
        <v>0</v>
      </c>
      <c r="AI15" s="5">
        <f>IF($E15&gt;=AI$2,VLOOKUP($E15-AI$2,'data input'!$D$3:$E$130,2,FALSE),0)</f>
        <v>0</v>
      </c>
      <c r="AJ15" s="5">
        <f>IF($E15&gt;=AJ$2,VLOOKUP($E15-AJ$2,'data input'!$D$3:$E$130,2,FALSE),0)</f>
        <v>0</v>
      </c>
      <c r="AK15" s="5">
        <f>IF($E15&gt;=AK$2,VLOOKUP($E15-AK$2,'data input'!$D$3:$E$130,2,FALSE),0)</f>
        <v>0</v>
      </c>
      <c r="AL15" s="5">
        <f>IF($E15&gt;=AL$2,VLOOKUP($E15-AL$2,'data input'!$D$3:$E$130,2,FALSE),0)</f>
        <v>0</v>
      </c>
      <c r="AM15" s="5">
        <f>IF($E15&gt;=AM$2,VLOOKUP($E15-AM$2,'data input'!$D$3:$E$130,2,FALSE),0)</f>
        <v>0</v>
      </c>
      <c r="AN15" s="5">
        <f>IF($E15&gt;=AN$2,VLOOKUP($E15-AN$2,'data input'!$D$3:$E$130,2,FALSE),0)</f>
        <v>0</v>
      </c>
      <c r="AO15" s="5">
        <f>IF($E15&gt;=AO$2,VLOOKUP($E15-AO$2,'data input'!$D$3:$E$130,2,FALSE),0)</f>
        <v>0</v>
      </c>
      <c r="AP15" s="5">
        <f>IF($E15&gt;=AP$2,VLOOKUP($E15-AP$2,'data input'!$D$3:$E$130,2,FALSE),0)</f>
        <v>0</v>
      </c>
      <c r="AQ15" s="5">
        <f>IF($E15&gt;=AQ$2,VLOOKUP($E15-AQ$2,'data input'!$D$3:$E$130,2,FALSE),0)</f>
        <v>0</v>
      </c>
      <c r="AR15" s="5">
        <f>IF($E15&gt;=AR$2,VLOOKUP($E15-AR$2,'data input'!$D$3:$E$130,2,FALSE),0)</f>
        <v>0</v>
      </c>
      <c r="AS15" s="5">
        <f>IF($E15&gt;=AS$2,VLOOKUP($E15-AS$2,'data input'!$D$3:$E$130,2,FALSE),0)</f>
        <v>0</v>
      </c>
      <c r="AT15" s="5">
        <f>IF($E15&gt;=AT$2,VLOOKUP($E15-AT$2,'data input'!$D$3:$E$130,2,FALSE),0)</f>
        <v>0</v>
      </c>
      <c r="AU15" s="5">
        <f>IF($E15&gt;=AU$2,VLOOKUP($E15-AU$2,'data input'!$D$3:$E$130,2,FALSE),0)</f>
        <v>0</v>
      </c>
      <c r="AV15" s="5">
        <f>IF($E15&gt;=AV$2,VLOOKUP($E15-AV$2,'data input'!$D$3:$E$130,2,FALSE),0)</f>
        <v>0</v>
      </c>
      <c r="AW15" s="5">
        <f>IF($E15&gt;=AW$2,VLOOKUP($E15-AW$2,'data input'!$D$3:$E$130,2,FALSE),0)</f>
        <v>0</v>
      </c>
      <c r="AX15" s="5">
        <f>IF($E15&gt;=AX$2,VLOOKUP($E15-AX$2,'data input'!$D$3:$E$130,2,FALSE),0)</f>
        <v>0</v>
      </c>
      <c r="AY15" s="5">
        <f>IF($E15&gt;=AY$2,VLOOKUP($E15-AY$2,'data input'!$D$3:$E$130,2,FALSE),0)</f>
        <v>0</v>
      </c>
      <c r="AZ15" s="5">
        <f>IF($E15&gt;=AZ$2,VLOOKUP($E15-AZ$2,'data input'!$D$3:$E$130,2,FALSE),0)</f>
        <v>0</v>
      </c>
      <c r="BA15" s="5">
        <f>IF($E15&gt;=BA$2,VLOOKUP($E15-BA$2,'data input'!$D$3:$E$130,2,FALSE),0)</f>
        <v>0</v>
      </c>
      <c r="BB15" s="5">
        <f>IF($E15&gt;=BB$2,VLOOKUP($E15-BB$2,'data input'!$D$3:$E$130,2,FALSE),0)</f>
        <v>0</v>
      </c>
      <c r="BC15" s="5">
        <f>IF($E15&gt;=BC$2,VLOOKUP($E15-BC$2,'data input'!$D$3:$E$130,2,FALSE),0)</f>
        <v>0</v>
      </c>
      <c r="BD15" s="5">
        <f>IF($E15&gt;=BD$2,VLOOKUP($E15-BD$2,'data input'!$D$3:$E$130,2,FALSE),0)</f>
        <v>0</v>
      </c>
      <c r="BE15" s="5">
        <f>IF($E15&gt;=BE$2,VLOOKUP($E15-BE$2,'data input'!$D$3:$E$130,2,FALSE),0)</f>
        <v>0</v>
      </c>
      <c r="BF15" s="5">
        <f>IF($E15&gt;=BF$2,VLOOKUP($E15-BF$2,'data input'!$D$3:$E$130,2,FALSE),0)</f>
        <v>0</v>
      </c>
      <c r="BG15" s="5">
        <f>IF($E15&gt;=BG$2,VLOOKUP($E15-BG$2,'data input'!$D$3:$E$130,2,FALSE),0)</f>
        <v>0</v>
      </c>
      <c r="BH15" s="5">
        <f>IF($E15&gt;=BH$2,VLOOKUP($E15-BH$2,'data input'!$D$3:$E$130,2,FALSE),0)</f>
        <v>0</v>
      </c>
      <c r="BI15" s="5">
        <f>IF($E15&gt;=BI$2,VLOOKUP($E15-BI$2,'data input'!$D$3:$E$130,2,FALSE),0)</f>
        <v>0</v>
      </c>
      <c r="BJ15" s="5">
        <f>IF($E15&gt;=BJ$2,VLOOKUP($E15-BJ$2,'data input'!$D$3:$E$130,2,FALSE),0)</f>
        <v>0</v>
      </c>
      <c r="BK15" s="5">
        <f>IF($E15&gt;=BK$2,VLOOKUP($E15-BK$2,'data input'!$D$3:$E$130,2,FALSE),0)</f>
        <v>0</v>
      </c>
      <c r="BL15" s="5">
        <f>IF($E15&gt;=BL$2,VLOOKUP($E15-BL$2,'data input'!$D$3:$E$130,2,FALSE),0)</f>
        <v>0</v>
      </c>
      <c r="BM15" s="5">
        <f>IF($E15&gt;=BM$2,VLOOKUP($E15-BM$2,'data input'!$D$3:$E$130,2,FALSE),0)</f>
        <v>0</v>
      </c>
      <c r="BN15" s="5">
        <f>IF($E15&gt;=BN$2,VLOOKUP($E15-BN$2,'data input'!$D$3:$E$130,2,FALSE),0)</f>
        <v>0</v>
      </c>
      <c r="BO15" s="5">
        <f>IF($E15&gt;=BO$2,VLOOKUP($E15-BO$2,'data input'!$D$3:$E$130,2,FALSE),0)</f>
        <v>0</v>
      </c>
      <c r="BP15" s="5">
        <f>IF($E15&gt;=BP$2,VLOOKUP($E15-BP$2,'data input'!$D$3:$E$130,2,FALSE),0)</f>
        <v>0</v>
      </c>
      <c r="BQ15" s="5">
        <f>IF($E15&gt;=BQ$2,VLOOKUP($E15-BQ$2,'data input'!$D$3:$E$130,2,FALSE),0)</f>
        <v>0</v>
      </c>
      <c r="BR15" s="5">
        <f>IF($E15&gt;=BR$2,VLOOKUP($E15-BR$2,'data input'!$D$3:$E$130,2,FALSE),0)</f>
        <v>0</v>
      </c>
      <c r="BS15" s="5">
        <f>IF($E15&gt;=BS$2,VLOOKUP($E15-BS$2,'data input'!$D$3:$E$130,2,FALSE),0)</f>
        <v>0</v>
      </c>
      <c r="BT15" s="5">
        <f>IF($E15&gt;=BT$2,VLOOKUP($E15-BT$2,'data input'!$D$3:$E$130,2,FALSE),0)</f>
        <v>0</v>
      </c>
      <c r="BU15" s="5">
        <f>IF($E15&gt;=BU$2,VLOOKUP($E15-BU$2,'data input'!$D$3:$E$130,2,FALSE),0)</f>
        <v>0</v>
      </c>
      <c r="BV15" s="5">
        <f>IF($E15&gt;=BV$2,VLOOKUP($E15-BV$2,'data input'!$D$3:$E$130,2,FALSE),0)</f>
        <v>0</v>
      </c>
      <c r="BW15" s="5">
        <f>IF($E15&gt;=BW$2,VLOOKUP($E15-BW$2,'data input'!$D$3:$E$130,2,FALSE),0)</f>
        <v>0</v>
      </c>
      <c r="BX15" s="5">
        <f>IF($E15&gt;=BX$2,VLOOKUP($E15-BX$2,'data input'!$D$3:$E$130,2,FALSE),0)</f>
        <v>0</v>
      </c>
      <c r="BY15" s="5">
        <f>IF($E15&gt;=BY$2,VLOOKUP($E15-BY$2,'data input'!$D$3:$E$130,2,FALSE),0)</f>
        <v>0</v>
      </c>
      <c r="BZ15" s="5">
        <f>IF($E15&gt;=BZ$2,VLOOKUP($E15-BZ$2,'data input'!$D$3:$E$130,2,FALSE),0)</f>
        <v>0</v>
      </c>
      <c r="CA15" s="5">
        <f>IF($E15&gt;=CA$2,VLOOKUP($E15-CA$2,'data input'!$D$3:$E$130,2,FALSE),0)</f>
        <v>0</v>
      </c>
      <c r="CB15" s="5">
        <f>IF($E15&gt;=CB$2,VLOOKUP($E15-CB$2,'data input'!$D$3:$E$130,2,FALSE),0)</f>
        <v>0</v>
      </c>
      <c r="CC15" s="5">
        <f>IF($E15&gt;=CC$2,VLOOKUP($E15-CC$2,'data input'!$D$3:$E$130,2,FALSE),0)</f>
        <v>0</v>
      </c>
      <c r="CD15" s="5">
        <f>IF($E15&gt;=CD$2,VLOOKUP($E15-CD$2,'data input'!$D$3:$E$130,2,FALSE),0)</f>
        <v>0</v>
      </c>
      <c r="CE15" s="5">
        <f>IF($E15&gt;=CE$2,VLOOKUP($E15-CE$2,'data input'!$D$3:$E$130,2,FALSE),0)</f>
        <v>0</v>
      </c>
      <c r="CF15" s="5">
        <f>IF($E15&gt;=CF$2,VLOOKUP($E15-CF$2,'data input'!$D$3:$E$130,2,FALSE),0)</f>
        <v>0</v>
      </c>
      <c r="CG15" s="5">
        <f>IF($E15&gt;=CG$2,VLOOKUP($E15-CG$2,'data input'!$D$3:$E$130,2,FALSE),0)</f>
        <v>0</v>
      </c>
      <c r="CH15" s="5">
        <f>IF($E15&gt;=CH$2,VLOOKUP($E15-CH$2,'data input'!$D$3:$E$130,2,FALSE),0)</f>
        <v>0</v>
      </c>
      <c r="CI15" s="5">
        <f>IF($E15&gt;=CI$2,VLOOKUP($E15-CI$2,'data input'!$D$3:$E$130,2,FALSE),0)</f>
        <v>0</v>
      </c>
      <c r="CJ15" s="5">
        <f>IF($E15&gt;=CJ$2,VLOOKUP($E15-CJ$2,'data input'!$D$3:$E$130,2,FALSE),0)</f>
        <v>0</v>
      </c>
      <c r="CK15" s="5">
        <f>IF($E15&gt;=CK$2,VLOOKUP($E15-CK$2,'data input'!$D$3:$E$130,2,FALSE),0)</f>
        <v>0</v>
      </c>
      <c r="CL15" s="5">
        <f>IF($E15&gt;=CL$2,VLOOKUP($E15-CL$2,'data input'!$D$3:$E$130,2,FALSE),0)</f>
        <v>0</v>
      </c>
      <c r="CM15" s="5">
        <f>IF($E15&gt;=CM$2,VLOOKUP($E15-CM$2,'data input'!$D$3:$E$130,2,FALSE),0)</f>
        <v>0</v>
      </c>
      <c r="CN15" s="5">
        <f>IF($E15&gt;=CN$2,VLOOKUP($E15-CN$2,'data input'!$D$3:$E$130,2,FALSE),0)</f>
        <v>0</v>
      </c>
      <c r="CO15" s="5">
        <f>IF($E15&gt;=CO$2,VLOOKUP($E15-CO$2,'data input'!$D$3:$E$130,2,FALSE),0)</f>
        <v>0</v>
      </c>
      <c r="CP15" s="5">
        <f>IF($E15&gt;=CP$2,VLOOKUP($E15-CP$2,'data input'!$D$3:$E$130,2,FALSE),0)</f>
        <v>0</v>
      </c>
      <c r="CQ15" s="5">
        <f>IF($E15&gt;=CQ$2,VLOOKUP($E15-CQ$2,'data input'!$D$3:$E$130,2,FALSE),0)</f>
        <v>0</v>
      </c>
      <c r="CR15" s="5">
        <f>IF($E15&gt;=CR$2,VLOOKUP($E15-CR$2,'data input'!$D$3:$E$130,2,FALSE),0)</f>
        <v>0</v>
      </c>
      <c r="CS15" s="5">
        <f>IF($E15&gt;=CS$2,VLOOKUP($E15-CS$2,'data input'!$D$3:$E$130,2,FALSE),0)</f>
        <v>0</v>
      </c>
      <c r="CT15" s="5">
        <f>IF($E15&gt;=CT$2,VLOOKUP($E15-CT$2,'data input'!$D$3:$E$130,2,FALSE),0)</f>
        <v>0</v>
      </c>
      <c r="CU15" s="5">
        <f>IF($E15&gt;=CU$2,VLOOKUP($E15-CU$2,'data input'!$D$3:$E$130,2,FALSE),0)</f>
        <v>0</v>
      </c>
      <c r="CV15" s="5">
        <f>IF($E15&gt;=CV$2,VLOOKUP($E15-CV$2,'data input'!$D$3:$E$130,2,FALSE),0)</f>
        <v>0</v>
      </c>
      <c r="CW15" s="5">
        <f>IF($E15&gt;=CW$2,VLOOKUP($E15-CW$2,'data input'!$D$3:$E$130,2,FALSE),0)</f>
        <v>0</v>
      </c>
      <c r="CX15" s="5">
        <f>IF($E15&gt;=CX$2,VLOOKUP($E15-CX$2,'data input'!$D$3:$E$130,2,FALSE),0)</f>
        <v>0</v>
      </c>
      <c r="CY15" s="5">
        <f>IF($E15&gt;=CY$2,VLOOKUP($E15-CY$2,'data input'!$D$3:$E$130,2,FALSE),0)</f>
        <v>0</v>
      </c>
      <c r="CZ15" s="5">
        <f>IF($E15&gt;=CZ$2,VLOOKUP($E15-CZ$2,'data input'!$D$3:$E$130,2,FALSE),0)</f>
        <v>0</v>
      </c>
      <c r="DA15" s="5">
        <f>IF($E15&gt;=DA$2,VLOOKUP($E15-DA$2,'data input'!$D$3:$E$130,2,FALSE),0)</f>
        <v>0</v>
      </c>
      <c r="DB15" s="5">
        <f>IF($E15&gt;=DB$2,VLOOKUP($E15-DB$2,'data input'!$D$3:$E$130,2,FALSE),0)</f>
        <v>0</v>
      </c>
      <c r="DC15" s="5">
        <f>IF($E15&gt;=DC$2,VLOOKUP($E15-DC$2,'data input'!$D$3:$E$130,2,FALSE),0)</f>
        <v>0</v>
      </c>
      <c r="DD15" s="5">
        <f>IF($E15&gt;=DD$2,VLOOKUP($E15-DD$2,'data input'!$D$3:$E$130,2,FALSE),0)</f>
        <v>0</v>
      </c>
      <c r="DE15" s="5">
        <f>IF($E15&gt;=DE$2,VLOOKUP($E15-DE$2,'data input'!$D$3:$E$130,2,FALSE),0)</f>
        <v>0</v>
      </c>
      <c r="DF15" s="5">
        <f>IF($E15&gt;=DF$2,VLOOKUP($E15-DF$2,'data input'!$D$3:$E$130,2,FALSE),0)</f>
        <v>0</v>
      </c>
      <c r="DG15" s="5">
        <f>IF($E15&gt;=DG$2,VLOOKUP($E15-DG$2,'data input'!$D$3:$E$130,2,FALSE),0)</f>
        <v>0</v>
      </c>
      <c r="DH15" s="5">
        <f>IF($E15&gt;=DH$2,VLOOKUP($E15-DH$2,'data input'!$D$3:$E$130,2,FALSE),0)</f>
        <v>0</v>
      </c>
      <c r="DI15" s="5">
        <f>IF($E15&gt;=DI$2,VLOOKUP($E15-DI$2,'data input'!$D$3:$E$130,2,FALSE),0)</f>
        <v>0</v>
      </c>
      <c r="DJ15" s="5">
        <f>IF($E15&gt;=DJ$2,VLOOKUP($E15-DJ$2,'data input'!$D$3:$E$130,2,FALSE),0)</f>
        <v>0</v>
      </c>
      <c r="DK15" s="5">
        <f>IF($E15&gt;=DK$2,VLOOKUP($E15-DK$2,'data input'!$D$3:$E$130,2,FALSE),0)</f>
        <v>0</v>
      </c>
      <c r="DL15" s="5">
        <f>IF($E15&gt;=DL$2,VLOOKUP($E15-DL$2,'data input'!$D$3:$E$130,2,FALSE),0)</f>
        <v>0</v>
      </c>
      <c r="DM15" s="5">
        <f>IF($E15&gt;=DM$2,VLOOKUP($E15-DM$2,'data input'!$D$3:$E$130,2,FALSE),0)</f>
        <v>0</v>
      </c>
      <c r="DN15" s="5">
        <f>IF($E15&gt;=DN$2,VLOOKUP($E15-DN$2,'data input'!$D$3:$E$130,2,FALSE),0)</f>
        <v>0</v>
      </c>
      <c r="DO15" s="5">
        <f>IF($E15&gt;=DO$2,VLOOKUP($E15-DO$2,'data input'!$D$3:$E$130,2,FALSE),0)</f>
        <v>0</v>
      </c>
      <c r="DP15" s="5">
        <f>IF($E15&gt;=DP$2,VLOOKUP($E15-DP$2,'data input'!$D$3:$E$130,2,FALSE),0)</f>
        <v>0</v>
      </c>
      <c r="DQ15" s="5">
        <f>IF($E15&gt;=DQ$2,VLOOKUP($E15-DQ$2,'data input'!$D$3:$E$130,2,FALSE),0)</f>
        <v>0</v>
      </c>
      <c r="DR15" s="5">
        <f>IF($E15&gt;=DR$2,VLOOKUP($E15-DR$2,'data input'!$D$3:$E$130,2,FALSE),0)</f>
        <v>0</v>
      </c>
      <c r="DS15" s="5">
        <f>IF($E15&gt;=DS$2,VLOOKUP($E15-DS$2,'data input'!$D$3:$E$130,2,FALSE),0)</f>
        <v>0</v>
      </c>
      <c r="DT15" s="5">
        <f>IF($E15&gt;=DT$2,VLOOKUP($E15-DT$2,'data input'!$D$3:$E$130,2,FALSE),0)</f>
        <v>0</v>
      </c>
      <c r="DU15" s="5">
        <f>IF($E15&gt;=DU$2,VLOOKUP($E15-DU$2,'data input'!$D$3:$E$130,2,FALSE),0)</f>
        <v>0</v>
      </c>
      <c r="DV15" s="5">
        <f>IF($E15&gt;=DV$2,VLOOKUP($E15-DV$2,'data input'!$D$3:$E$130,2,FALSE),0)</f>
        <v>0</v>
      </c>
      <c r="DW15" s="5">
        <f>IF($E15&gt;=DW$2,VLOOKUP($E15-DW$2,'data input'!$D$3:$E$130,2,FALSE),0)</f>
        <v>0</v>
      </c>
      <c r="DX15" s="5">
        <f>IF($E15&gt;=DX$2,VLOOKUP($E15-DX$2,'data input'!$D$3:$E$130,2,FALSE),0)</f>
        <v>0</v>
      </c>
      <c r="DY15" s="5">
        <f>IF($E15&gt;=DY$2,VLOOKUP($E15-DY$2,'data input'!$D$3:$E$130,2,FALSE),0)</f>
        <v>0</v>
      </c>
      <c r="DZ15" s="5">
        <f>IF($E15&gt;=DZ$2,VLOOKUP($E15-DZ$2,'data input'!$D$3:$E$130,2,FALSE),0)</f>
        <v>0</v>
      </c>
      <c r="EA15" s="5">
        <f>IF($E15&gt;=EA$2,VLOOKUP($E15-EA$2,'data input'!$D$3:$E$130,2,FALSE),0)</f>
        <v>0</v>
      </c>
      <c r="EB15" s="5">
        <f>IF($E15&gt;=EB$2,VLOOKUP($E15-EB$2,'data input'!$D$3:$E$130,2,FALSE),0)</f>
        <v>0</v>
      </c>
      <c r="EC15" s="5">
        <f>IF($E15&gt;=EC$2,VLOOKUP($E15-EC$2,'data input'!$D$3:$E$130,2,FALSE),0)</f>
        <v>0</v>
      </c>
    </row>
    <row r="16" spans="5:133">
      <c r="E16" s="7">
        <f>'data input'!B16</f>
        <v>1891</v>
      </c>
      <c r="F16" s="5">
        <f>IF($E16&gt;=F$2,VLOOKUP($E16-F$2,'data input'!$D$3:$E$130,2,FALSE),0)</f>
        <v>0.97856631788584703</v>
      </c>
      <c r="G16" s="5">
        <f>IF($E16&gt;=G$2,VLOOKUP($E16-G$2,'data input'!$D$3:$E$130,2,FALSE),0)</f>
        <v>0.98213557943718344</v>
      </c>
      <c r="H16" s="5">
        <f>IF($E16&gt;=H$2,VLOOKUP($E16-H$2,'data input'!$D$3:$E$130,2,FALSE),0)</f>
        <v>0.98518494180739014</v>
      </c>
      <c r="I16" s="5">
        <f>IF($E16&gt;=I$2,VLOOKUP($E16-I$2,'data input'!$D$3:$E$130,2,FALSE),0)</f>
        <v>0.98777552734495533</v>
      </c>
      <c r="J16" s="5">
        <f>IF($E16&gt;=J$2,VLOOKUP($E16-J$2,'data input'!$D$3:$E$130,2,FALSE),0)</f>
        <v>0.98996401989972593</v>
      </c>
      <c r="K16" s="5">
        <f>IF($E16&gt;=K$2,VLOOKUP($E16-K$2,'data input'!$D$3:$E$130,2,FALSE),0)</f>
        <v>0.99180246407540384</v>
      </c>
      <c r="L16" s="5">
        <f>IF($E16&gt;=L$2,VLOOKUP($E16-L$2,'data input'!$D$3:$E$130,2,FALSE),0)</f>
        <v>0.99333819120801725</v>
      </c>
      <c r="M16" s="5">
        <f>IF($E16&gt;=M$2,VLOOKUP($E16-M$2,'data input'!$D$3:$E$130,2,FALSE),0)</f>
        <v>0.99461385404593328</v>
      </c>
      <c r="N16" s="5">
        <f>IF($E16&gt;=N$2,VLOOKUP($E16-N$2,'data input'!$D$3:$E$130,2,FALSE),0)</f>
        <v>0.99566755163698739</v>
      </c>
      <c r="O16" s="5">
        <f>IF($E16&gt;=O$2,VLOOKUP($E16-O$2,'data input'!$D$3:$E$130,2,FALSE),0)</f>
        <v>0.99653302619695938</v>
      </c>
      <c r="P16" s="5">
        <f>IF($E16&gt;=P$2,VLOOKUP($E16-P$2,'data input'!$D$3:$E$130,2,FALSE),0)</f>
        <v>0.99723991460873751</v>
      </c>
      <c r="Q16" s="5">
        <f>IF($E16&gt;=Q$2,VLOOKUP($E16-Q$2,'data input'!$D$3:$E$130,2,FALSE),0)</f>
        <v>0.99781403854508677</v>
      </c>
      <c r="R16" s="5">
        <f>IF($E16&gt;=R$2,VLOOKUP($E16-R$2,'data input'!$D$3:$E$130,2,FALSE),0)</f>
        <v>0.99827771888413241</v>
      </c>
      <c r="S16" s="5">
        <f>IF($E16&gt;=S$2,VLOOKUP($E16-S$2,'data input'!$D$3:$E$130,2,FALSE),0)</f>
        <v>0.9986501019683699</v>
      </c>
      <c r="T16" s="5">
        <f>IF($E16&gt;=T$2,VLOOKUP($E16-T$2,'data input'!$D$3:$E$130,2,FALSE),0)</f>
        <v>0</v>
      </c>
      <c r="U16" s="5">
        <f>IF($E16&gt;=U$2,VLOOKUP($E16-U$2,'data input'!$D$3:$E$130,2,FALSE),0)</f>
        <v>0</v>
      </c>
      <c r="V16" s="5">
        <f>IF($E16&gt;=V$2,VLOOKUP($E16-V$2,'data input'!$D$3:$E$130,2,FALSE),0)</f>
        <v>0</v>
      </c>
      <c r="W16" s="5">
        <f>IF($E16&gt;=W$2,VLOOKUP($E16-W$2,'data input'!$D$3:$E$130,2,FALSE),0)</f>
        <v>0</v>
      </c>
      <c r="X16" s="5">
        <f>IF($E16&gt;=X$2,VLOOKUP($E16-X$2,'data input'!$D$3:$E$130,2,FALSE),0)</f>
        <v>0</v>
      </c>
      <c r="Y16" s="5">
        <f>IF($E16&gt;=Y$2,VLOOKUP($E16-Y$2,'data input'!$D$3:$E$130,2,FALSE),0)</f>
        <v>0</v>
      </c>
      <c r="Z16" s="5">
        <f>IF($E16&gt;=Z$2,VLOOKUP($E16-Z$2,'data input'!$D$3:$E$130,2,FALSE),0)</f>
        <v>0</v>
      </c>
      <c r="AA16" s="5">
        <f>IF($E16&gt;=AA$2,VLOOKUP($E16-AA$2,'data input'!$D$3:$E$130,2,FALSE),0)</f>
        <v>0</v>
      </c>
      <c r="AB16" s="5">
        <f>IF($E16&gt;=AB$2,VLOOKUP($E16-AB$2,'data input'!$D$3:$E$130,2,FALSE),0)</f>
        <v>0</v>
      </c>
      <c r="AC16" s="5">
        <f>IF($E16&gt;=AC$2,VLOOKUP($E16-AC$2,'data input'!$D$3:$E$130,2,FALSE),0)</f>
        <v>0</v>
      </c>
      <c r="AD16" s="5">
        <f>IF($E16&gt;=AD$2,VLOOKUP($E16-AD$2,'data input'!$D$3:$E$130,2,FALSE),0)</f>
        <v>0</v>
      </c>
      <c r="AE16" s="5">
        <f>IF($E16&gt;=AE$2,VLOOKUP($E16-AE$2,'data input'!$D$3:$E$130,2,FALSE),0)</f>
        <v>0</v>
      </c>
      <c r="AF16" s="5">
        <f>IF($E16&gt;=AF$2,VLOOKUP($E16-AF$2,'data input'!$D$3:$E$130,2,FALSE),0)</f>
        <v>0</v>
      </c>
      <c r="AG16" s="5">
        <f>IF($E16&gt;=AG$2,VLOOKUP($E16-AG$2,'data input'!$D$3:$E$130,2,FALSE),0)</f>
        <v>0</v>
      </c>
      <c r="AH16" s="5">
        <f>IF($E16&gt;=AH$2,VLOOKUP($E16-AH$2,'data input'!$D$3:$E$130,2,FALSE),0)</f>
        <v>0</v>
      </c>
      <c r="AI16" s="5">
        <f>IF($E16&gt;=AI$2,VLOOKUP($E16-AI$2,'data input'!$D$3:$E$130,2,FALSE),0)</f>
        <v>0</v>
      </c>
      <c r="AJ16" s="5">
        <f>IF($E16&gt;=AJ$2,VLOOKUP($E16-AJ$2,'data input'!$D$3:$E$130,2,FALSE),0)</f>
        <v>0</v>
      </c>
      <c r="AK16" s="5">
        <f>IF($E16&gt;=AK$2,VLOOKUP($E16-AK$2,'data input'!$D$3:$E$130,2,FALSE),0)</f>
        <v>0</v>
      </c>
      <c r="AL16" s="5">
        <f>IF($E16&gt;=AL$2,VLOOKUP($E16-AL$2,'data input'!$D$3:$E$130,2,FALSE),0)</f>
        <v>0</v>
      </c>
      <c r="AM16" s="5">
        <f>IF($E16&gt;=AM$2,VLOOKUP($E16-AM$2,'data input'!$D$3:$E$130,2,FALSE),0)</f>
        <v>0</v>
      </c>
      <c r="AN16" s="5">
        <f>IF($E16&gt;=AN$2,VLOOKUP($E16-AN$2,'data input'!$D$3:$E$130,2,FALSE),0)</f>
        <v>0</v>
      </c>
      <c r="AO16" s="5">
        <f>IF($E16&gt;=AO$2,VLOOKUP($E16-AO$2,'data input'!$D$3:$E$130,2,FALSE),0)</f>
        <v>0</v>
      </c>
      <c r="AP16" s="5">
        <f>IF($E16&gt;=AP$2,VLOOKUP($E16-AP$2,'data input'!$D$3:$E$130,2,FALSE),0)</f>
        <v>0</v>
      </c>
      <c r="AQ16" s="5">
        <f>IF($E16&gt;=AQ$2,VLOOKUP($E16-AQ$2,'data input'!$D$3:$E$130,2,FALSE),0)</f>
        <v>0</v>
      </c>
      <c r="AR16" s="5">
        <f>IF($E16&gt;=AR$2,VLOOKUP($E16-AR$2,'data input'!$D$3:$E$130,2,FALSE),0)</f>
        <v>0</v>
      </c>
      <c r="AS16" s="5">
        <f>IF($E16&gt;=AS$2,VLOOKUP($E16-AS$2,'data input'!$D$3:$E$130,2,FALSE),0)</f>
        <v>0</v>
      </c>
      <c r="AT16" s="5">
        <f>IF($E16&gt;=AT$2,VLOOKUP($E16-AT$2,'data input'!$D$3:$E$130,2,FALSE),0)</f>
        <v>0</v>
      </c>
      <c r="AU16" s="5">
        <f>IF($E16&gt;=AU$2,VLOOKUP($E16-AU$2,'data input'!$D$3:$E$130,2,FALSE),0)</f>
        <v>0</v>
      </c>
      <c r="AV16" s="5">
        <f>IF($E16&gt;=AV$2,VLOOKUP($E16-AV$2,'data input'!$D$3:$E$130,2,FALSE),0)</f>
        <v>0</v>
      </c>
      <c r="AW16" s="5">
        <f>IF($E16&gt;=AW$2,VLOOKUP($E16-AW$2,'data input'!$D$3:$E$130,2,FALSE),0)</f>
        <v>0</v>
      </c>
      <c r="AX16" s="5">
        <f>IF($E16&gt;=AX$2,VLOOKUP($E16-AX$2,'data input'!$D$3:$E$130,2,FALSE),0)</f>
        <v>0</v>
      </c>
      <c r="AY16" s="5">
        <f>IF($E16&gt;=AY$2,VLOOKUP($E16-AY$2,'data input'!$D$3:$E$130,2,FALSE),0)</f>
        <v>0</v>
      </c>
      <c r="AZ16" s="5">
        <f>IF($E16&gt;=AZ$2,VLOOKUP($E16-AZ$2,'data input'!$D$3:$E$130,2,FALSE),0)</f>
        <v>0</v>
      </c>
      <c r="BA16" s="5">
        <f>IF($E16&gt;=BA$2,VLOOKUP($E16-BA$2,'data input'!$D$3:$E$130,2,FALSE),0)</f>
        <v>0</v>
      </c>
      <c r="BB16" s="5">
        <f>IF($E16&gt;=BB$2,VLOOKUP($E16-BB$2,'data input'!$D$3:$E$130,2,FALSE),0)</f>
        <v>0</v>
      </c>
      <c r="BC16" s="5">
        <f>IF($E16&gt;=BC$2,VLOOKUP($E16-BC$2,'data input'!$D$3:$E$130,2,FALSE),0)</f>
        <v>0</v>
      </c>
      <c r="BD16" s="5">
        <f>IF($E16&gt;=BD$2,VLOOKUP($E16-BD$2,'data input'!$D$3:$E$130,2,FALSE),0)</f>
        <v>0</v>
      </c>
      <c r="BE16" s="5">
        <f>IF($E16&gt;=BE$2,VLOOKUP($E16-BE$2,'data input'!$D$3:$E$130,2,FALSE),0)</f>
        <v>0</v>
      </c>
      <c r="BF16" s="5">
        <f>IF($E16&gt;=BF$2,VLOOKUP($E16-BF$2,'data input'!$D$3:$E$130,2,FALSE),0)</f>
        <v>0</v>
      </c>
      <c r="BG16" s="5">
        <f>IF($E16&gt;=BG$2,VLOOKUP($E16-BG$2,'data input'!$D$3:$E$130,2,FALSE),0)</f>
        <v>0</v>
      </c>
      <c r="BH16" s="5">
        <f>IF($E16&gt;=BH$2,VLOOKUP($E16-BH$2,'data input'!$D$3:$E$130,2,FALSE),0)</f>
        <v>0</v>
      </c>
      <c r="BI16" s="5">
        <f>IF($E16&gt;=BI$2,VLOOKUP($E16-BI$2,'data input'!$D$3:$E$130,2,FALSE),0)</f>
        <v>0</v>
      </c>
      <c r="BJ16" s="5">
        <f>IF($E16&gt;=BJ$2,VLOOKUP($E16-BJ$2,'data input'!$D$3:$E$130,2,FALSE),0)</f>
        <v>0</v>
      </c>
      <c r="BK16" s="5">
        <f>IF($E16&gt;=BK$2,VLOOKUP($E16-BK$2,'data input'!$D$3:$E$130,2,FALSE),0)</f>
        <v>0</v>
      </c>
      <c r="BL16" s="5">
        <f>IF($E16&gt;=BL$2,VLOOKUP($E16-BL$2,'data input'!$D$3:$E$130,2,FALSE),0)</f>
        <v>0</v>
      </c>
      <c r="BM16" s="5">
        <f>IF($E16&gt;=BM$2,VLOOKUP($E16-BM$2,'data input'!$D$3:$E$130,2,FALSE),0)</f>
        <v>0</v>
      </c>
      <c r="BN16" s="5">
        <f>IF($E16&gt;=BN$2,VLOOKUP($E16-BN$2,'data input'!$D$3:$E$130,2,FALSE),0)</f>
        <v>0</v>
      </c>
      <c r="BO16" s="5">
        <f>IF($E16&gt;=BO$2,VLOOKUP($E16-BO$2,'data input'!$D$3:$E$130,2,FALSE),0)</f>
        <v>0</v>
      </c>
      <c r="BP16" s="5">
        <f>IF($E16&gt;=BP$2,VLOOKUP($E16-BP$2,'data input'!$D$3:$E$130,2,FALSE),0)</f>
        <v>0</v>
      </c>
      <c r="BQ16" s="5">
        <f>IF($E16&gt;=BQ$2,VLOOKUP($E16-BQ$2,'data input'!$D$3:$E$130,2,FALSE),0)</f>
        <v>0</v>
      </c>
      <c r="BR16" s="5">
        <f>IF($E16&gt;=BR$2,VLOOKUP($E16-BR$2,'data input'!$D$3:$E$130,2,FALSE),0)</f>
        <v>0</v>
      </c>
      <c r="BS16" s="5">
        <f>IF($E16&gt;=BS$2,VLOOKUP($E16-BS$2,'data input'!$D$3:$E$130,2,FALSE),0)</f>
        <v>0</v>
      </c>
      <c r="BT16" s="5">
        <f>IF($E16&gt;=BT$2,VLOOKUP($E16-BT$2,'data input'!$D$3:$E$130,2,FALSE),0)</f>
        <v>0</v>
      </c>
      <c r="BU16" s="5">
        <f>IF($E16&gt;=BU$2,VLOOKUP($E16-BU$2,'data input'!$D$3:$E$130,2,FALSE),0)</f>
        <v>0</v>
      </c>
      <c r="BV16" s="5">
        <f>IF($E16&gt;=BV$2,VLOOKUP($E16-BV$2,'data input'!$D$3:$E$130,2,FALSE),0)</f>
        <v>0</v>
      </c>
      <c r="BW16" s="5">
        <f>IF($E16&gt;=BW$2,VLOOKUP($E16-BW$2,'data input'!$D$3:$E$130,2,FALSE),0)</f>
        <v>0</v>
      </c>
      <c r="BX16" s="5">
        <f>IF($E16&gt;=BX$2,VLOOKUP($E16-BX$2,'data input'!$D$3:$E$130,2,FALSE),0)</f>
        <v>0</v>
      </c>
      <c r="BY16" s="5">
        <f>IF($E16&gt;=BY$2,VLOOKUP($E16-BY$2,'data input'!$D$3:$E$130,2,FALSE),0)</f>
        <v>0</v>
      </c>
      <c r="BZ16" s="5">
        <f>IF($E16&gt;=BZ$2,VLOOKUP($E16-BZ$2,'data input'!$D$3:$E$130,2,FALSE),0)</f>
        <v>0</v>
      </c>
      <c r="CA16" s="5">
        <f>IF($E16&gt;=CA$2,VLOOKUP($E16-CA$2,'data input'!$D$3:$E$130,2,FALSE),0)</f>
        <v>0</v>
      </c>
      <c r="CB16" s="5">
        <f>IF($E16&gt;=CB$2,VLOOKUP($E16-CB$2,'data input'!$D$3:$E$130,2,FALSE),0)</f>
        <v>0</v>
      </c>
      <c r="CC16" s="5">
        <f>IF($E16&gt;=CC$2,VLOOKUP($E16-CC$2,'data input'!$D$3:$E$130,2,FALSE),0)</f>
        <v>0</v>
      </c>
      <c r="CD16" s="5">
        <f>IF($E16&gt;=CD$2,VLOOKUP($E16-CD$2,'data input'!$D$3:$E$130,2,FALSE),0)</f>
        <v>0</v>
      </c>
      <c r="CE16" s="5">
        <f>IF($E16&gt;=CE$2,VLOOKUP($E16-CE$2,'data input'!$D$3:$E$130,2,FALSE),0)</f>
        <v>0</v>
      </c>
      <c r="CF16" s="5">
        <f>IF($E16&gt;=CF$2,VLOOKUP($E16-CF$2,'data input'!$D$3:$E$130,2,FALSE),0)</f>
        <v>0</v>
      </c>
      <c r="CG16" s="5">
        <f>IF($E16&gt;=CG$2,VLOOKUP($E16-CG$2,'data input'!$D$3:$E$130,2,FALSE),0)</f>
        <v>0</v>
      </c>
      <c r="CH16" s="5">
        <f>IF($E16&gt;=CH$2,VLOOKUP($E16-CH$2,'data input'!$D$3:$E$130,2,FALSE),0)</f>
        <v>0</v>
      </c>
      <c r="CI16" s="5">
        <f>IF($E16&gt;=CI$2,VLOOKUP($E16-CI$2,'data input'!$D$3:$E$130,2,FALSE),0)</f>
        <v>0</v>
      </c>
      <c r="CJ16" s="5">
        <f>IF($E16&gt;=CJ$2,VLOOKUP($E16-CJ$2,'data input'!$D$3:$E$130,2,FALSE),0)</f>
        <v>0</v>
      </c>
      <c r="CK16" s="5">
        <f>IF($E16&gt;=CK$2,VLOOKUP($E16-CK$2,'data input'!$D$3:$E$130,2,FALSE),0)</f>
        <v>0</v>
      </c>
      <c r="CL16" s="5">
        <f>IF($E16&gt;=CL$2,VLOOKUP($E16-CL$2,'data input'!$D$3:$E$130,2,FALSE),0)</f>
        <v>0</v>
      </c>
      <c r="CM16" s="5">
        <f>IF($E16&gt;=CM$2,VLOOKUP($E16-CM$2,'data input'!$D$3:$E$130,2,FALSE),0)</f>
        <v>0</v>
      </c>
      <c r="CN16" s="5">
        <f>IF($E16&gt;=CN$2,VLOOKUP($E16-CN$2,'data input'!$D$3:$E$130,2,FALSE),0)</f>
        <v>0</v>
      </c>
      <c r="CO16" s="5">
        <f>IF($E16&gt;=CO$2,VLOOKUP($E16-CO$2,'data input'!$D$3:$E$130,2,FALSE),0)</f>
        <v>0</v>
      </c>
      <c r="CP16" s="5">
        <f>IF($E16&gt;=CP$2,VLOOKUP($E16-CP$2,'data input'!$D$3:$E$130,2,FALSE),0)</f>
        <v>0</v>
      </c>
      <c r="CQ16" s="5">
        <f>IF($E16&gt;=CQ$2,VLOOKUP($E16-CQ$2,'data input'!$D$3:$E$130,2,FALSE),0)</f>
        <v>0</v>
      </c>
      <c r="CR16" s="5">
        <f>IF($E16&gt;=CR$2,VLOOKUP($E16-CR$2,'data input'!$D$3:$E$130,2,FALSE),0)</f>
        <v>0</v>
      </c>
      <c r="CS16" s="5">
        <f>IF($E16&gt;=CS$2,VLOOKUP($E16-CS$2,'data input'!$D$3:$E$130,2,FALSE),0)</f>
        <v>0</v>
      </c>
      <c r="CT16" s="5">
        <f>IF($E16&gt;=CT$2,VLOOKUP($E16-CT$2,'data input'!$D$3:$E$130,2,FALSE),0)</f>
        <v>0</v>
      </c>
      <c r="CU16" s="5">
        <f>IF($E16&gt;=CU$2,VLOOKUP($E16-CU$2,'data input'!$D$3:$E$130,2,FALSE),0)</f>
        <v>0</v>
      </c>
      <c r="CV16" s="5">
        <f>IF($E16&gt;=CV$2,VLOOKUP($E16-CV$2,'data input'!$D$3:$E$130,2,FALSE),0)</f>
        <v>0</v>
      </c>
      <c r="CW16" s="5">
        <f>IF($E16&gt;=CW$2,VLOOKUP($E16-CW$2,'data input'!$D$3:$E$130,2,FALSE),0)</f>
        <v>0</v>
      </c>
      <c r="CX16" s="5">
        <f>IF($E16&gt;=CX$2,VLOOKUP($E16-CX$2,'data input'!$D$3:$E$130,2,FALSE),0)</f>
        <v>0</v>
      </c>
      <c r="CY16" s="5">
        <f>IF($E16&gt;=CY$2,VLOOKUP($E16-CY$2,'data input'!$D$3:$E$130,2,FALSE),0)</f>
        <v>0</v>
      </c>
      <c r="CZ16" s="5">
        <f>IF($E16&gt;=CZ$2,VLOOKUP($E16-CZ$2,'data input'!$D$3:$E$130,2,FALSE),0)</f>
        <v>0</v>
      </c>
      <c r="DA16" s="5">
        <f>IF($E16&gt;=DA$2,VLOOKUP($E16-DA$2,'data input'!$D$3:$E$130,2,FALSE),0)</f>
        <v>0</v>
      </c>
      <c r="DB16" s="5">
        <f>IF($E16&gt;=DB$2,VLOOKUP($E16-DB$2,'data input'!$D$3:$E$130,2,FALSE),0)</f>
        <v>0</v>
      </c>
      <c r="DC16" s="5">
        <f>IF($E16&gt;=DC$2,VLOOKUP($E16-DC$2,'data input'!$D$3:$E$130,2,FALSE),0)</f>
        <v>0</v>
      </c>
      <c r="DD16" s="5">
        <f>IF($E16&gt;=DD$2,VLOOKUP($E16-DD$2,'data input'!$D$3:$E$130,2,FALSE),0)</f>
        <v>0</v>
      </c>
      <c r="DE16" s="5">
        <f>IF($E16&gt;=DE$2,VLOOKUP($E16-DE$2,'data input'!$D$3:$E$130,2,FALSE),0)</f>
        <v>0</v>
      </c>
      <c r="DF16" s="5">
        <f>IF($E16&gt;=DF$2,VLOOKUP($E16-DF$2,'data input'!$D$3:$E$130,2,FALSE),0)</f>
        <v>0</v>
      </c>
      <c r="DG16" s="5">
        <f>IF($E16&gt;=DG$2,VLOOKUP($E16-DG$2,'data input'!$D$3:$E$130,2,FALSE),0)</f>
        <v>0</v>
      </c>
      <c r="DH16" s="5">
        <f>IF($E16&gt;=DH$2,VLOOKUP($E16-DH$2,'data input'!$D$3:$E$130,2,FALSE),0)</f>
        <v>0</v>
      </c>
      <c r="DI16" s="5">
        <f>IF($E16&gt;=DI$2,VLOOKUP($E16-DI$2,'data input'!$D$3:$E$130,2,FALSE),0)</f>
        <v>0</v>
      </c>
      <c r="DJ16" s="5">
        <f>IF($E16&gt;=DJ$2,VLOOKUP($E16-DJ$2,'data input'!$D$3:$E$130,2,FALSE),0)</f>
        <v>0</v>
      </c>
      <c r="DK16" s="5">
        <f>IF($E16&gt;=DK$2,VLOOKUP($E16-DK$2,'data input'!$D$3:$E$130,2,FALSE),0)</f>
        <v>0</v>
      </c>
      <c r="DL16" s="5">
        <f>IF($E16&gt;=DL$2,VLOOKUP($E16-DL$2,'data input'!$D$3:$E$130,2,FALSE),0)</f>
        <v>0</v>
      </c>
      <c r="DM16" s="5">
        <f>IF($E16&gt;=DM$2,VLOOKUP($E16-DM$2,'data input'!$D$3:$E$130,2,FALSE),0)</f>
        <v>0</v>
      </c>
      <c r="DN16" s="5">
        <f>IF($E16&gt;=DN$2,VLOOKUP($E16-DN$2,'data input'!$D$3:$E$130,2,FALSE),0)</f>
        <v>0</v>
      </c>
      <c r="DO16" s="5">
        <f>IF($E16&gt;=DO$2,VLOOKUP($E16-DO$2,'data input'!$D$3:$E$130,2,FALSE),0)</f>
        <v>0</v>
      </c>
      <c r="DP16" s="5">
        <f>IF($E16&gt;=DP$2,VLOOKUP($E16-DP$2,'data input'!$D$3:$E$130,2,FALSE),0)</f>
        <v>0</v>
      </c>
      <c r="DQ16" s="5">
        <f>IF($E16&gt;=DQ$2,VLOOKUP($E16-DQ$2,'data input'!$D$3:$E$130,2,FALSE),0)</f>
        <v>0</v>
      </c>
      <c r="DR16" s="5">
        <f>IF($E16&gt;=DR$2,VLOOKUP($E16-DR$2,'data input'!$D$3:$E$130,2,FALSE),0)</f>
        <v>0</v>
      </c>
      <c r="DS16" s="5">
        <f>IF($E16&gt;=DS$2,VLOOKUP($E16-DS$2,'data input'!$D$3:$E$130,2,FALSE),0)</f>
        <v>0</v>
      </c>
      <c r="DT16" s="5">
        <f>IF($E16&gt;=DT$2,VLOOKUP($E16-DT$2,'data input'!$D$3:$E$130,2,FALSE),0)</f>
        <v>0</v>
      </c>
      <c r="DU16" s="5">
        <f>IF($E16&gt;=DU$2,VLOOKUP($E16-DU$2,'data input'!$D$3:$E$130,2,FALSE),0)</f>
        <v>0</v>
      </c>
      <c r="DV16" s="5">
        <f>IF($E16&gt;=DV$2,VLOOKUP($E16-DV$2,'data input'!$D$3:$E$130,2,FALSE),0)</f>
        <v>0</v>
      </c>
      <c r="DW16" s="5">
        <f>IF($E16&gt;=DW$2,VLOOKUP($E16-DW$2,'data input'!$D$3:$E$130,2,FALSE),0)</f>
        <v>0</v>
      </c>
      <c r="DX16" s="5">
        <f>IF($E16&gt;=DX$2,VLOOKUP($E16-DX$2,'data input'!$D$3:$E$130,2,FALSE),0)</f>
        <v>0</v>
      </c>
      <c r="DY16" s="5">
        <f>IF($E16&gt;=DY$2,VLOOKUP($E16-DY$2,'data input'!$D$3:$E$130,2,FALSE),0)</f>
        <v>0</v>
      </c>
      <c r="DZ16" s="5">
        <f>IF($E16&gt;=DZ$2,VLOOKUP($E16-DZ$2,'data input'!$D$3:$E$130,2,FALSE),0)</f>
        <v>0</v>
      </c>
      <c r="EA16" s="5">
        <f>IF($E16&gt;=EA$2,VLOOKUP($E16-EA$2,'data input'!$D$3:$E$130,2,FALSE),0)</f>
        <v>0</v>
      </c>
      <c r="EB16" s="5">
        <f>IF($E16&gt;=EB$2,VLOOKUP($E16-EB$2,'data input'!$D$3:$E$130,2,FALSE),0)</f>
        <v>0</v>
      </c>
      <c r="EC16" s="5">
        <f>IF($E16&gt;=EC$2,VLOOKUP($E16-EC$2,'data input'!$D$3:$E$130,2,FALSE),0)</f>
        <v>0</v>
      </c>
    </row>
    <row r="17" spans="5:133">
      <c r="E17" s="7">
        <f>'data input'!B17</f>
        <v>1892</v>
      </c>
      <c r="F17" s="5">
        <f>IF($E17&gt;=F$2,VLOOKUP($E17-F$2,'data input'!$D$3:$E$130,2,FALSE),0)</f>
        <v>0.97441194047836144</v>
      </c>
      <c r="G17" s="5">
        <f>IF($E17&gt;=G$2,VLOOKUP($E17-G$2,'data input'!$D$3:$E$130,2,FALSE),0)</f>
        <v>0.97856631788584703</v>
      </c>
      <c r="H17" s="5">
        <f>IF($E17&gt;=H$2,VLOOKUP($E17-H$2,'data input'!$D$3:$E$130,2,FALSE),0)</f>
        <v>0.98213557943718344</v>
      </c>
      <c r="I17" s="5">
        <f>IF($E17&gt;=I$2,VLOOKUP($E17-I$2,'data input'!$D$3:$E$130,2,FALSE),0)</f>
        <v>0.98518494180739014</v>
      </c>
      <c r="J17" s="5">
        <f>IF($E17&gt;=J$2,VLOOKUP($E17-J$2,'data input'!$D$3:$E$130,2,FALSE),0)</f>
        <v>0.98777552734495533</v>
      </c>
      <c r="K17" s="5">
        <f>IF($E17&gt;=K$2,VLOOKUP($E17-K$2,'data input'!$D$3:$E$130,2,FALSE),0)</f>
        <v>0.98996401989972593</v>
      </c>
      <c r="L17" s="5">
        <f>IF($E17&gt;=L$2,VLOOKUP($E17-L$2,'data input'!$D$3:$E$130,2,FALSE),0)</f>
        <v>0.99180246407540384</v>
      </c>
      <c r="M17" s="5">
        <f>IF($E17&gt;=M$2,VLOOKUP($E17-M$2,'data input'!$D$3:$E$130,2,FALSE),0)</f>
        <v>0.99333819120801725</v>
      </c>
      <c r="N17" s="5">
        <f>IF($E17&gt;=N$2,VLOOKUP($E17-N$2,'data input'!$D$3:$E$130,2,FALSE),0)</f>
        <v>0.99461385404593328</v>
      </c>
      <c r="O17" s="5">
        <f>IF($E17&gt;=O$2,VLOOKUP($E17-O$2,'data input'!$D$3:$E$130,2,FALSE),0)</f>
        <v>0.99566755163698739</v>
      </c>
      <c r="P17" s="5">
        <f>IF($E17&gt;=P$2,VLOOKUP($E17-P$2,'data input'!$D$3:$E$130,2,FALSE),0)</f>
        <v>0.99653302619695938</v>
      </c>
      <c r="Q17" s="5">
        <f>IF($E17&gt;=Q$2,VLOOKUP($E17-Q$2,'data input'!$D$3:$E$130,2,FALSE),0)</f>
        <v>0.99723991460873751</v>
      </c>
      <c r="R17" s="5">
        <f>IF($E17&gt;=R$2,VLOOKUP($E17-R$2,'data input'!$D$3:$E$130,2,FALSE),0)</f>
        <v>0.99781403854508677</v>
      </c>
      <c r="S17" s="5">
        <f>IF($E17&gt;=S$2,VLOOKUP($E17-S$2,'data input'!$D$3:$E$130,2,FALSE),0)</f>
        <v>0.99827771888413241</v>
      </c>
      <c r="T17" s="5">
        <f>IF($E17&gt;=T$2,VLOOKUP($E17-T$2,'data input'!$D$3:$E$130,2,FALSE),0)</f>
        <v>0.9986501019683699</v>
      </c>
      <c r="U17" s="5">
        <f>IF($E17&gt;=U$2,VLOOKUP($E17-U$2,'data input'!$D$3:$E$130,2,FALSE),0)</f>
        <v>0</v>
      </c>
      <c r="V17" s="5">
        <f>IF($E17&gt;=V$2,VLOOKUP($E17-V$2,'data input'!$D$3:$E$130,2,FALSE),0)</f>
        <v>0</v>
      </c>
      <c r="W17" s="5">
        <f>IF($E17&gt;=W$2,VLOOKUP($E17-W$2,'data input'!$D$3:$E$130,2,FALSE),0)</f>
        <v>0</v>
      </c>
      <c r="X17" s="5">
        <f>IF($E17&gt;=X$2,VLOOKUP($E17-X$2,'data input'!$D$3:$E$130,2,FALSE),0)</f>
        <v>0</v>
      </c>
      <c r="Y17" s="5">
        <f>IF($E17&gt;=Y$2,VLOOKUP($E17-Y$2,'data input'!$D$3:$E$130,2,FALSE),0)</f>
        <v>0</v>
      </c>
      <c r="Z17" s="5">
        <f>IF($E17&gt;=Z$2,VLOOKUP($E17-Z$2,'data input'!$D$3:$E$130,2,FALSE),0)</f>
        <v>0</v>
      </c>
      <c r="AA17" s="5">
        <f>IF($E17&gt;=AA$2,VLOOKUP($E17-AA$2,'data input'!$D$3:$E$130,2,FALSE),0)</f>
        <v>0</v>
      </c>
      <c r="AB17" s="5">
        <f>IF($E17&gt;=AB$2,VLOOKUP($E17-AB$2,'data input'!$D$3:$E$130,2,FALSE),0)</f>
        <v>0</v>
      </c>
      <c r="AC17" s="5">
        <f>IF($E17&gt;=AC$2,VLOOKUP($E17-AC$2,'data input'!$D$3:$E$130,2,FALSE),0)</f>
        <v>0</v>
      </c>
      <c r="AD17" s="5">
        <f>IF($E17&gt;=AD$2,VLOOKUP($E17-AD$2,'data input'!$D$3:$E$130,2,FALSE),0)</f>
        <v>0</v>
      </c>
      <c r="AE17" s="5">
        <f>IF($E17&gt;=AE$2,VLOOKUP($E17-AE$2,'data input'!$D$3:$E$130,2,FALSE),0)</f>
        <v>0</v>
      </c>
      <c r="AF17" s="5">
        <f>IF($E17&gt;=AF$2,VLOOKUP($E17-AF$2,'data input'!$D$3:$E$130,2,FALSE),0)</f>
        <v>0</v>
      </c>
      <c r="AG17" s="5">
        <f>IF($E17&gt;=AG$2,VLOOKUP($E17-AG$2,'data input'!$D$3:$E$130,2,FALSE),0)</f>
        <v>0</v>
      </c>
      <c r="AH17" s="5">
        <f>IF($E17&gt;=AH$2,VLOOKUP($E17-AH$2,'data input'!$D$3:$E$130,2,FALSE),0)</f>
        <v>0</v>
      </c>
      <c r="AI17" s="5">
        <f>IF($E17&gt;=AI$2,VLOOKUP($E17-AI$2,'data input'!$D$3:$E$130,2,FALSE),0)</f>
        <v>0</v>
      </c>
      <c r="AJ17" s="5">
        <f>IF($E17&gt;=AJ$2,VLOOKUP($E17-AJ$2,'data input'!$D$3:$E$130,2,FALSE),0)</f>
        <v>0</v>
      </c>
      <c r="AK17" s="5">
        <f>IF($E17&gt;=AK$2,VLOOKUP($E17-AK$2,'data input'!$D$3:$E$130,2,FALSE),0)</f>
        <v>0</v>
      </c>
      <c r="AL17" s="5">
        <f>IF($E17&gt;=AL$2,VLOOKUP($E17-AL$2,'data input'!$D$3:$E$130,2,FALSE),0)</f>
        <v>0</v>
      </c>
      <c r="AM17" s="5">
        <f>IF($E17&gt;=AM$2,VLOOKUP($E17-AM$2,'data input'!$D$3:$E$130,2,FALSE),0)</f>
        <v>0</v>
      </c>
      <c r="AN17" s="5">
        <f>IF($E17&gt;=AN$2,VLOOKUP($E17-AN$2,'data input'!$D$3:$E$130,2,FALSE),0)</f>
        <v>0</v>
      </c>
      <c r="AO17" s="5">
        <f>IF($E17&gt;=AO$2,VLOOKUP($E17-AO$2,'data input'!$D$3:$E$130,2,FALSE),0)</f>
        <v>0</v>
      </c>
      <c r="AP17" s="5">
        <f>IF($E17&gt;=AP$2,VLOOKUP($E17-AP$2,'data input'!$D$3:$E$130,2,FALSE),0)</f>
        <v>0</v>
      </c>
      <c r="AQ17" s="5">
        <f>IF($E17&gt;=AQ$2,VLOOKUP($E17-AQ$2,'data input'!$D$3:$E$130,2,FALSE),0)</f>
        <v>0</v>
      </c>
      <c r="AR17" s="5">
        <f>IF($E17&gt;=AR$2,VLOOKUP($E17-AR$2,'data input'!$D$3:$E$130,2,FALSE),0)</f>
        <v>0</v>
      </c>
      <c r="AS17" s="5">
        <f>IF($E17&gt;=AS$2,VLOOKUP($E17-AS$2,'data input'!$D$3:$E$130,2,FALSE),0)</f>
        <v>0</v>
      </c>
      <c r="AT17" s="5">
        <f>IF($E17&gt;=AT$2,VLOOKUP($E17-AT$2,'data input'!$D$3:$E$130,2,FALSE),0)</f>
        <v>0</v>
      </c>
      <c r="AU17" s="5">
        <f>IF($E17&gt;=AU$2,VLOOKUP($E17-AU$2,'data input'!$D$3:$E$130,2,FALSE),0)</f>
        <v>0</v>
      </c>
      <c r="AV17" s="5">
        <f>IF($E17&gt;=AV$2,VLOOKUP($E17-AV$2,'data input'!$D$3:$E$130,2,FALSE),0)</f>
        <v>0</v>
      </c>
      <c r="AW17" s="5">
        <f>IF($E17&gt;=AW$2,VLOOKUP($E17-AW$2,'data input'!$D$3:$E$130,2,FALSE),0)</f>
        <v>0</v>
      </c>
      <c r="AX17" s="5">
        <f>IF($E17&gt;=AX$2,VLOOKUP($E17-AX$2,'data input'!$D$3:$E$130,2,FALSE),0)</f>
        <v>0</v>
      </c>
      <c r="AY17" s="5">
        <f>IF($E17&gt;=AY$2,VLOOKUP($E17-AY$2,'data input'!$D$3:$E$130,2,FALSE),0)</f>
        <v>0</v>
      </c>
      <c r="AZ17" s="5">
        <f>IF($E17&gt;=AZ$2,VLOOKUP($E17-AZ$2,'data input'!$D$3:$E$130,2,FALSE),0)</f>
        <v>0</v>
      </c>
      <c r="BA17" s="5">
        <f>IF($E17&gt;=BA$2,VLOOKUP($E17-BA$2,'data input'!$D$3:$E$130,2,FALSE),0)</f>
        <v>0</v>
      </c>
      <c r="BB17" s="5">
        <f>IF($E17&gt;=BB$2,VLOOKUP($E17-BB$2,'data input'!$D$3:$E$130,2,FALSE),0)</f>
        <v>0</v>
      </c>
      <c r="BC17" s="5">
        <f>IF($E17&gt;=BC$2,VLOOKUP($E17-BC$2,'data input'!$D$3:$E$130,2,FALSE),0)</f>
        <v>0</v>
      </c>
      <c r="BD17" s="5">
        <f>IF($E17&gt;=BD$2,VLOOKUP($E17-BD$2,'data input'!$D$3:$E$130,2,FALSE),0)</f>
        <v>0</v>
      </c>
      <c r="BE17" s="5">
        <f>IF($E17&gt;=BE$2,VLOOKUP($E17-BE$2,'data input'!$D$3:$E$130,2,FALSE),0)</f>
        <v>0</v>
      </c>
      <c r="BF17" s="5">
        <f>IF($E17&gt;=BF$2,VLOOKUP($E17-BF$2,'data input'!$D$3:$E$130,2,FALSE),0)</f>
        <v>0</v>
      </c>
      <c r="BG17" s="5">
        <f>IF($E17&gt;=BG$2,VLOOKUP($E17-BG$2,'data input'!$D$3:$E$130,2,FALSE),0)</f>
        <v>0</v>
      </c>
      <c r="BH17" s="5">
        <f>IF($E17&gt;=BH$2,VLOOKUP($E17-BH$2,'data input'!$D$3:$E$130,2,FALSE),0)</f>
        <v>0</v>
      </c>
      <c r="BI17" s="5">
        <f>IF($E17&gt;=BI$2,VLOOKUP($E17-BI$2,'data input'!$D$3:$E$130,2,FALSE),0)</f>
        <v>0</v>
      </c>
      <c r="BJ17" s="5">
        <f>IF($E17&gt;=BJ$2,VLOOKUP($E17-BJ$2,'data input'!$D$3:$E$130,2,FALSE),0)</f>
        <v>0</v>
      </c>
      <c r="BK17" s="5">
        <f>IF($E17&gt;=BK$2,VLOOKUP($E17-BK$2,'data input'!$D$3:$E$130,2,FALSE),0)</f>
        <v>0</v>
      </c>
      <c r="BL17" s="5">
        <f>IF($E17&gt;=BL$2,VLOOKUP($E17-BL$2,'data input'!$D$3:$E$130,2,FALSE),0)</f>
        <v>0</v>
      </c>
      <c r="BM17" s="5">
        <f>IF($E17&gt;=BM$2,VLOOKUP($E17-BM$2,'data input'!$D$3:$E$130,2,FALSE),0)</f>
        <v>0</v>
      </c>
      <c r="BN17" s="5">
        <f>IF($E17&gt;=BN$2,VLOOKUP($E17-BN$2,'data input'!$D$3:$E$130,2,FALSE),0)</f>
        <v>0</v>
      </c>
      <c r="BO17" s="5">
        <f>IF($E17&gt;=BO$2,VLOOKUP($E17-BO$2,'data input'!$D$3:$E$130,2,FALSE),0)</f>
        <v>0</v>
      </c>
      <c r="BP17" s="5">
        <f>IF($E17&gt;=BP$2,VLOOKUP($E17-BP$2,'data input'!$D$3:$E$130,2,FALSE),0)</f>
        <v>0</v>
      </c>
      <c r="BQ17" s="5">
        <f>IF($E17&gt;=BQ$2,VLOOKUP($E17-BQ$2,'data input'!$D$3:$E$130,2,FALSE),0)</f>
        <v>0</v>
      </c>
      <c r="BR17" s="5">
        <f>IF($E17&gt;=BR$2,VLOOKUP($E17-BR$2,'data input'!$D$3:$E$130,2,FALSE),0)</f>
        <v>0</v>
      </c>
      <c r="BS17" s="5">
        <f>IF($E17&gt;=BS$2,VLOOKUP($E17-BS$2,'data input'!$D$3:$E$130,2,FALSE),0)</f>
        <v>0</v>
      </c>
      <c r="BT17" s="5">
        <f>IF($E17&gt;=BT$2,VLOOKUP($E17-BT$2,'data input'!$D$3:$E$130,2,FALSE),0)</f>
        <v>0</v>
      </c>
      <c r="BU17" s="5">
        <f>IF($E17&gt;=BU$2,VLOOKUP($E17-BU$2,'data input'!$D$3:$E$130,2,FALSE),0)</f>
        <v>0</v>
      </c>
      <c r="BV17" s="5">
        <f>IF($E17&gt;=BV$2,VLOOKUP($E17-BV$2,'data input'!$D$3:$E$130,2,FALSE),0)</f>
        <v>0</v>
      </c>
      <c r="BW17" s="5">
        <f>IF($E17&gt;=BW$2,VLOOKUP($E17-BW$2,'data input'!$D$3:$E$130,2,FALSE),0)</f>
        <v>0</v>
      </c>
      <c r="BX17" s="5">
        <f>IF($E17&gt;=BX$2,VLOOKUP($E17-BX$2,'data input'!$D$3:$E$130,2,FALSE),0)</f>
        <v>0</v>
      </c>
      <c r="BY17" s="5">
        <f>IF($E17&gt;=BY$2,VLOOKUP($E17-BY$2,'data input'!$D$3:$E$130,2,FALSE),0)</f>
        <v>0</v>
      </c>
      <c r="BZ17" s="5">
        <f>IF($E17&gt;=BZ$2,VLOOKUP($E17-BZ$2,'data input'!$D$3:$E$130,2,FALSE),0)</f>
        <v>0</v>
      </c>
      <c r="CA17" s="5">
        <f>IF($E17&gt;=CA$2,VLOOKUP($E17-CA$2,'data input'!$D$3:$E$130,2,FALSE),0)</f>
        <v>0</v>
      </c>
      <c r="CB17" s="5">
        <f>IF($E17&gt;=CB$2,VLOOKUP($E17-CB$2,'data input'!$D$3:$E$130,2,FALSE),0)</f>
        <v>0</v>
      </c>
      <c r="CC17" s="5">
        <f>IF($E17&gt;=CC$2,VLOOKUP($E17-CC$2,'data input'!$D$3:$E$130,2,FALSE),0)</f>
        <v>0</v>
      </c>
      <c r="CD17" s="5">
        <f>IF($E17&gt;=CD$2,VLOOKUP($E17-CD$2,'data input'!$D$3:$E$130,2,FALSE),0)</f>
        <v>0</v>
      </c>
      <c r="CE17" s="5">
        <f>IF($E17&gt;=CE$2,VLOOKUP($E17-CE$2,'data input'!$D$3:$E$130,2,FALSE),0)</f>
        <v>0</v>
      </c>
      <c r="CF17" s="5">
        <f>IF($E17&gt;=CF$2,VLOOKUP($E17-CF$2,'data input'!$D$3:$E$130,2,FALSE),0)</f>
        <v>0</v>
      </c>
      <c r="CG17" s="5">
        <f>IF($E17&gt;=CG$2,VLOOKUP($E17-CG$2,'data input'!$D$3:$E$130,2,FALSE),0)</f>
        <v>0</v>
      </c>
      <c r="CH17" s="5">
        <f>IF($E17&gt;=CH$2,VLOOKUP($E17-CH$2,'data input'!$D$3:$E$130,2,FALSE),0)</f>
        <v>0</v>
      </c>
      <c r="CI17" s="5">
        <f>IF($E17&gt;=CI$2,VLOOKUP($E17-CI$2,'data input'!$D$3:$E$130,2,FALSE),0)</f>
        <v>0</v>
      </c>
      <c r="CJ17" s="5">
        <f>IF($E17&gt;=CJ$2,VLOOKUP($E17-CJ$2,'data input'!$D$3:$E$130,2,FALSE),0)</f>
        <v>0</v>
      </c>
      <c r="CK17" s="5">
        <f>IF($E17&gt;=CK$2,VLOOKUP($E17-CK$2,'data input'!$D$3:$E$130,2,FALSE),0)</f>
        <v>0</v>
      </c>
      <c r="CL17" s="5">
        <f>IF($E17&gt;=CL$2,VLOOKUP($E17-CL$2,'data input'!$D$3:$E$130,2,FALSE),0)</f>
        <v>0</v>
      </c>
      <c r="CM17" s="5">
        <f>IF($E17&gt;=CM$2,VLOOKUP($E17-CM$2,'data input'!$D$3:$E$130,2,FALSE),0)</f>
        <v>0</v>
      </c>
      <c r="CN17" s="5">
        <f>IF($E17&gt;=CN$2,VLOOKUP($E17-CN$2,'data input'!$D$3:$E$130,2,FALSE),0)</f>
        <v>0</v>
      </c>
      <c r="CO17" s="5">
        <f>IF($E17&gt;=CO$2,VLOOKUP($E17-CO$2,'data input'!$D$3:$E$130,2,FALSE),0)</f>
        <v>0</v>
      </c>
      <c r="CP17" s="5">
        <f>IF($E17&gt;=CP$2,VLOOKUP($E17-CP$2,'data input'!$D$3:$E$130,2,FALSE),0)</f>
        <v>0</v>
      </c>
      <c r="CQ17" s="5">
        <f>IF($E17&gt;=CQ$2,VLOOKUP($E17-CQ$2,'data input'!$D$3:$E$130,2,FALSE),0)</f>
        <v>0</v>
      </c>
      <c r="CR17" s="5">
        <f>IF($E17&gt;=CR$2,VLOOKUP($E17-CR$2,'data input'!$D$3:$E$130,2,FALSE),0)</f>
        <v>0</v>
      </c>
      <c r="CS17" s="5">
        <f>IF($E17&gt;=CS$2,VLOOKUP($E17-CS$2,'data input'!$D$3:$E$130,2,FALSE),0)</f>
        <v>0</v>
      </c>
      <c r="CT17" s="5">
        <f>IF($E17&gt;=CT$2,VLOOKUP($E17-CT$2,'data input'!$D$3:$E$130,2,FALSE),0)</f>
        <v>0</v>
      </c>
      <c r="CU17" s="5">
        <f>IF($E17&gt;=CU$2,VLOOKUP($E17-CU$2,'data input'!$D$3:$E$130,2,FALSE),0)</f>
        <v>0</v>
      </c>
      <c r="CV17" s="5">
        <f>IF($E17&gt;=CV$2,VLOOKUP($E17-CV$2,'data input'!$D$3:$E$130,2,FALSE),0)</f>
        <v>0</v>
      </c>
      <c r="CW17" s="5">
        <f>IF($E17&gt;=CW$2,VLOOKUP($E17-CW$2,'data input'!$D$3:$E$130,2,FALSE),0)</f>
        <v>0</v>
      </c>
      <c r="CX17" s="5">
        <f>IF($E17&gt;=CX$2,VLOOKUP($E17-CX$2,'data input'!$D$3:$E$130,2,FALSE),0)</f>
        <v>0</v>
      </c>
      <c r="CY17" s="5">
        <f>IF($E17&gt;=CY$2,VLOOKUP($E17-CY$2,'data input'!$D$3:$E$130,2,FALSE),0)</f>
        <v>0</v>
      </c>
      <c r="CZ17" s="5">
        <f>IF($E17&gt;=CZ$2,VLOOKUP($E17-CZ$2,'data input'!$D$3:$E$130,2,FALSE),0)</f>
        <v>0</v>
      </c>
      <c r="DA17" s="5">
        <f>IF($E17&gt;=DA$2,VLOOKUP($E17-DA$2,'data input'!$D$3:$E$130,2,FALSE),0)</f>
        <v>0</v>
      </c>
      <c r="DB17" s="5">
        <f>IF($E17&gt;=DB$2,VLOOKUP($E17-DB$2,'data input'!$D$3:$E$130,2,FALSE),0)</f>
        <v>0</v>
      </c>
      <c r="DC17" s="5">
        <f>IF($E17&gt;=DC$2,VLOOKUP($E17-DC$2,'data input'!$D$3:$E$130,2,FALSE),0)</f>
        <v>0</v>
      </c>
      <c r="DD17" s="5">
        <f>IF($E17&gt;=DD$2,VLOOKUP($E17-DD$2,'data input'!$D$3:$E$130,2,FALSE),0)</f>
        <v>0</v>
      </c>
      <c r="DE17" s="5">
        <f>IF($E17&gt;=DE$2,VLOOKUP($E17-DE$2,'data input'!$D$3:$E$130,2,FALSE),0)</f>
        <v>0</v>
      </c>
      <c r="DF17" s="5">
        <f>IF($E17&gt;=DF$2,VLOOKUP($E17-DF$2,'data input'!$D$3:$E$130,2,FALSE),0)</f>
        <v>0</v>
      </c>
      <c r="DG17" s="5">
        <f>IF($E17&gt;=DG$2,VLOOKUP($E17-DG$2,'data input'!$D$3:$E$130,2,FALSE),0)</f>
        <v>0</v>
      </c>
      <c r="DH17" s="5">
        <f>IF($E17&gt;=DH$2,VLOOKUP($E17-DH$2,'data input'!$D$3:$E$130,2,FALSE),0)</f>
        <v>0</v>
      </c>
      <c r="DI17" s="5">
        <f>IF($E17&gt;=DI$2,VLOOKUP($E17-DI$2,'data input'!$D$3:$E$130,2,FALSE),0)</f>
        <v>0</v>
      </c>
      <c r="DJ17" s="5">
        <f>IF($E17&gt;=DJ$2,VLOOKUP($E17-DJ$2,'data input'!$D$3:$E$130,2,FALSE),0)</f>
        <v>0</v>
      </c>
      <c r="DK17" s="5">
        <f>IF($E17&gt;=DK$2,VLOOKUP($E17-DK$2,'data input'!$D$3:$E$130,2,FALSE),0)</f>
        <v>0</v>
      </c>
      <c r="DL17" s="5">
        <f>IF($E17&gt;=DL$2,VLOOKUP($E17-DL$2,'data input'!$D$3:$E$130,2,FALSE),0)</f>
        <v>0</v>
      </c>
      <c r="DM17" s="5">
        <f>IF($E17&gt;=DM$2,VLOOKUP($E17-DM$2,'data input'!$D$3:$E$130,2,FALSE),0)</f>
        <v>0</v>
      </c>
      <c r="DN17" s="5">
        <f>IF($E17&gt;=DN$2,VLOOKUP($E17-DN$2,'data input'!$D$3:$E$130,2,FALSE),0)</f>
        <v>0</v>
      </c>
      <c r="DO17" s="5">
        <f>IF($E17&gt;=DO$2,VLOOKUP($E17-DO$2,'data input'!$D$3:$E$130,2,FALSE),0)</f>
        <v>0</v>
      </c>
      <c r="DP17" s="5">
        <f>IF($E17&gt;=DP$2,VLOOKUP($E17-DP$2,'data input'!$D$3:$E$130,2,FALSE),0)</f>
        <v>0</v>
      </c>
      <c r="DQ17" s="5">
        <f>IF($E17&gt;=DQ$2,VLOOKUP($E17-DQ$2,'data input'!$D$3:$E$130,2,FALSE),0)</f>
        <v>0</v>
      </c>
      <c r="DR17" s="5">
        <f>IF($E17&gt;=DR$2,VLOOKUP($E17-DR$2,'data input'!$D$3:$E$130,2,FALSE),0)</f>
        <v>0</v>
      </c>
      <c r="DS17" s="5">
        <f>IF($E17&gt;=DS$2,VLOOKUP($E17-DS$2,'data input'!$D$3:$E$130,2,FALSE),0)</f>
        <v>0</v>
      </c>
      <c r="DT17" s="5">
        <f>IF($E17&gt;=DT$2,VLOOKUP($E17-DT$2,'data input'!$D$3:$E$130,2,FALSE),0)</f>
        <v>0</v>
      </c>
      <c r="DU17" s="5">
        <f>IF($E17&gt;=DU$2,VLOOKUP($E17-DU$2,'data input'!$D$3:$E$130,2,FALSE),0)</f>
        <v>0</v>
      </c>
      <c r="DV17" s="5">
        <f>IF($E17&gt;=DV$2,VLOOKUP($E17-DV$2,'data input'!$D$3:$E$130,2,FALSE),0)</f>
        <v>0</v>
      </c>
      <c r="DW17" s="5">
        <f>IF($E17&gt;=DW$2,VLOOKUP($E17-DW$2,'data input'!$D$3:$E$130,2,FALSE),0)</f>
        <v>0</v>
      </c>
      <c r="DX17" s="5">
        <f>IF($E17&gt;=DX$2,VLOOKUP($E17-DX$2,'data input'!$D$3:$E$130,2,FALSE),0)</f>
        <v>0</v>
      </c>
      <c r="DY17" s="5">
        <f>IF($E17&gt;=DY$2,VLOOKUP($E17-DY$2,'data input'!$D$3:$E$130,2,FALSE),0)</f>
        <v>0</v>
      </c>
      <c r="DZ17" s="5">
        <f>IF($E17&gt;=DZ$2,VLOOKUP($E17-DZ$2,'data input'!$D$3:$E$130,2,FALSE),0)</f>
        <v>0</v>
      </c>
      <c r="EA17" s="5">
        <f>IF($E17&gt;=EA$2,VLOOKUP($E17-EA$2,'data input'!$D$3:$E$130,2,FALSE),0)</f>
        <v>0</v>
      </c>
      <c r="EB17" s="5">
        <f>IF($E17&gt;=EB$2,VLOOKUP($E17-EB$2,'data input'!$D$3:$E$130,2,FALSE),0)</f>
        <v>0</v>
      </c>
      <c r="EC17" s="5">
        <f>IF($E17&gt;=EC$2,VLOOKUP($E17-EC$2,'data input'!$D$3:$E$130,2,FALSE),0)</f>
        <v>0</v>
      </c>
    </row>
    <row r="18" spans="5:133">
      <c r="E18" s="7">
        <f>'data input'!B18</f>
        <v>1893</v>
      </c>
      <c r="F18" s="5">
        <f>IF($E18&gt;=F$2,VLOOKUP($E18-F$2,'data input'!$D$3:$E$130,2,FALSE),0)</f>
        <v>0.96960363823473861</v>
      </c>
      <c r="G18" s="5">
        <f>IF($E18&gt;=G$2,VLOOKUP($E18-G$2,'data input'!$D$3:$E$130,2,FALSE),0)</f>
        <v>0.97441194047836144</v>
      </c>
      <c r="H18" s="5">
        <f>IF($E18&gt;=H$2,VLOOKUP($E18-H$2,'data input'!$D$3:$E$130,2,FALSE),0)</f>
        <v>0.97856631788584703</v>
      </c>
      <c r="I18" s="5">
        <f>IF($E18&gt;=I$2,VLOOKUP($E18-I$2,'data input'!$D$3:$E$130,2,FALSE),0)</f>
        <v>0.98213557943718344</v>
      </c>
      <c r="J18" s="5">
        <f>IF($E18&gt;=J$2,VLOOKUP($E18-J$2,'data input'!$D$3:$E$130,2,FALSE),0)</f>
        <v>0.98518494180739014</v>
      </c>
      <c r="K18" s="5">
        <f>IF($E18&gt;=K$2,VLOOKUP($E18-K$2,'data input'!$D$3:$E$130,2,FALSE),0)</f>
        <v>0.98777552734495533</v>
      </c>
      <c r="L18" s="5">
        <f>IF($E18&gt;=L$2,VLOOKUP($E18-L$2,'data input'!$D$3:$E$130,2,FALSE),0)</f>
        <v>0.98996401989972593</v>
      </c>
      <c r="M18" s="5">
        <f>IF($E18&gt;=M$2,VLOOKUP($E18-M$2,'data input'!$D$3:$E$130,2,FALSE),0)</f>
        <v>0.99180246407540384</v>
      </c>
      <c r="N18" s="5">
        <f>IF($E18&gt;=N$2,VLOOKUP($E18-N$2,'data input'!$D$3:$E$130,2,FALSE),0)</f>
        <v>0.99333819120801725</v>
      </c>
      <c r="O18" s="5">
        <f>IF($E18&gt;=O$2,VLOOKUP($E18-O$2,'data input'!$D$3:$E$130,2,FALSE),0)</f>
        <v>0.99461385404593328</v>
      </c>
      <c r="P18" s="5">
        <f>IF($E18&gt;=P$2,VLOOKUP($E18-P$2,'data input'!$D$3:$E$130,2,FALSE),0)</f>
        <v>0.99566755163698739</v>
      </c>
      <c r="Q18" s="5">
        <f>IF($E18&gt;=Q$2,VLOOKUP($E18-Q$2,'data input'!$D$3:$E$130,2,FALSE),0)</f>
        <v>0.99653302619695938</v>
      </c>
      <c r="R18" s="5">
        <f>IF($E18&gt;=R$2,VLOOKUP($E18-R$2,'data input'!$D$3:$E$130,2,FALSE),0)</f>
        <v>0.99723991460873751</v>
      </c>
      <c r="S18" s="5">
        <f>IF($E18&gt;=S$2,VLOOKUP($E18-S$2,'data input'!$D$3:$E$130,2,FALSE),0)</f>
        <v>0.99781403854508677</v>
      </c>
      <c r="T18" s="5">
        <f>IF($E18&gt;=T$2,VLOOKUP($E18-T$2,'data input'!$D$3:$E$130,2,FALSE),0)</f>
        <v>0.99827771888413241</v>
      </c>
      <c r="U18" s="5">
        <f>IF($E18&gt;=U$2,VLOOKUP($E18-U$2,'data input'!$D$3:$E$130,2,FALSE),0)</f>
        <v>0.9986501019683699</v>
      </c>
      <c r="V18" s="5">
        <f>IF($E18&gt;=V$2,VLOOKUP($E18-V$2,'data input'!$D$3:$E$130,2,FALSE),0)</f>
        <v>0</v>
      </c>
      <c r="W18" s="5">
        <f>IF($E18&gt;=W$2,VLOOKUP($E18-W$2,'data input'!$D$3:$E$130,2,FALSE),0)</f>
        <v>0</v>
      </c>
      <c r="X18" s="5">
        <f>IF($E18&gt;=X$2,VLOOKUP($E18-X$2,'data input'!$D$3:$E$130,2,FALSE),0)</f>
        <v>0</v>
      </c>
      <c r="Y18" s="5">
        <f>IF($E18&gt;=Y$2,VLOOKUP($E18-Y$2,'data input'!$D$3:$E$130,2,FALSE),0)</f>
        <v>0</v>
      </c>
      <c r="Z18" s="5">
        <f>IF($E18&gt;=Z$2,VLOOKUP($E18-Z$2,'data input'!$D$3:$E$130,2,FALSE),0)</f>
        <v>0</v>
      </c>
      <c r="AA18" s="5">
        <f>IF($E18&gt;=AA$2,VLOOKUP($E18-AA$2,'data input'!$D$3:$E$130,2,FALSE),0)</f>
        <v>0</v>
      </c>
      <c r="AB18" s="5">
        <f>IF($E18&gt;=AB$2,VLOOKUP($E18-AB$2,'data input'!$D$3:$E$130,2,FALSE),0)</f>
        <v>0</v>
      </c>
      <c r="AC18" s="5">
        <f>IF($E18&gt;=AC$2,VLOOKUP($E18-AC$2,'data input'!$D$3:$E$130,2,FALSE),0)</f>
        <v>0</v>
      </c>
      <c r="AD18" s="5">
        <f>IF($E18&gt;=AD$2,VLOOKUP($E18-AD$2,'data input'!$D$3:$E$130,2,FALSE),0)</f>
        <v>0</v>
      </c>
      <c r="AE18" s="5">
        <f>IF($E18&gt;=AE$2,VLOOKUP($E18-AE$2,'data input'!$D$3:$E$130,2,FALSE),0)</f>
        <v>0</v>
      </c>
      <c r="AF18" s="5">
        <f>IF($E18&gt;=AF$2,VLOOKUP($E18-AF$2,'data input'!$D$3:$E$130,2,FALSE),0)</f>
        <v>0</v>
      </c>
      <c r="AG18" s="5">
        <f>IF($E18&gt;=AG$2,VLOOKUP($E18-AG$2,'data input'!$D$3:$E$130,2,FALSE),0)</f>
        <v>0</v>
      </c>
      <c r="AH18" s="5">
        <f>IF($E18&gt;=AH$2,VLOOKUP($E18-AH$2,'data input'!$D$3:$E$130,2,FALSE),0)</f>
        <v>0</v>
      </c>
      <c r="AI18" s="5">
        <f>IF($E18&gt;=AI$2,VLOOKUP($E18-AI$2,'data input'!$D$3:$E$130,2,FALSE),0)</f>
        <v>0</v>
      </c>
      <c r="AJ18" s="5">
        <f>IF($E18&gt;=AJ$2,VLOOKUP($E18-AJ$2,'data input'!$D$3:$E$130,2,FALSE),0)</f>
        <v>0</v>
      </c>
      <c r="AK18" s="5">
        <f>IF($E18&gt;=AK$2,VLOOKUP($E18-AK$2,'data input'!$D$3:$E$130,2,FALSE),0)</f>
        <v>0</v>
      </c>
      <c r="AL18" s="5">
        <f>IF($E18&gt;=AL$2,VLOOKUP($E18-AL$2,'data input'!$D$3:$E$130,2,FALSE),0)</f>
        <v>0</v>
      </c>
      <c r="AM18" s="5">
        <f>IF($E18&gt;=AM$2,VLOOKUP($E18-AM$2,'data input'!$D$3:$E$130,2,FALSE),0)</f>
        <v>0</v>
      </c>
      <c r="AN18" s="5">
        <f>IF($E18&gt;=AN$2,VLOOKUP($E18-AN$2,'data input'!$D$3:$E$130,2,FALSE),0)</f>
        <v>0</v>
      </c>
      <c r="AO18" s="5">
        <f>IF($E18&gt;=AO$2,VLOOKUP($E18-AO$2,'data input'!$D$3:$E$130,2,FALSE),0)</f>
        <v>0</v>
      </c>
      <c r="AP18" s="5">
        <f>IF($E18&gt;=AP$2,VLOOKUP($E18-AP$2,'data input'!$D$3:$E$130,2,FALSE),0)</f>
        <v>0</v>
      </c>
      <c r="AQ18" s="5">
        <f>IF($E18&gt;=AQ$2,VLOOKUP($E18-AQ$2,'data input'!$D$3:$E$130,2,FALSE),0)</f>
        <v>0</v>
      </c>
      <c r="AR18" s="5">
        <f>IF($E18&gt;=AR$2,VLOOKUP($E18-AR$2,'data input'!$D$3:$E$130,2,FALSE),0)</f>
        <v>0</v>
      </c>
      <c r="AS18" s="5">
        <f>IF($E18&gt;=AS$2,VLOOKUP($E18-AS$2,'data input'!$D$3:$E$130,2,FALSE),0)</f>
        <v>0</v>
      </c>
      <c r="AT18" s="5">
        <f>IF($E18&gt;=AT$2,VLOOKUP($E18-AT$2,'data input'!$D$3:$E$130,2,FALSE),0)</f>
        <v>0</v>
      </c>
      <c r="AU18" s="5">
        <f>IF($E18&gt;=AU$2,VLOOKUP($E18-AU$2,'data input'!$D$3:$E$130,2,FALSE),0)</f>
        <v>0</v>
      </c>
      <c r="AV18" s="5">
        <f>IF($E18&gt;=AV$2,VLOOKUP($E18-AV$2,'data input'!$D$3:$E$130,2,FALSE),0)</f>
        <v>0</v>
      </c>
      <c r="AW18" s="5">
        <f>IF($E18&gt;=AW$2,VLOOKUP($E18-AW$2,'data input'!$D$3:$E$130,2,FALSE),0)</f>
        <v>0</v>
      </c>
      <c r="AX18" s="5">
        <f>IF($E18&gt;=AX$2,VLOOKUP($E18-AX$2,'data input'!$D$3:$E$130,2,FALSE),0)</f>
        <v>0</v>
      </c>
      <c r="AY18" s="5">
        <f>IF($E18&gt;=AY$2,VLOOKUP($E18-AY$2,'data input'!$D$3:$E$130,2,FALSE),0)</f>
        <v>0</v>
      </c>
      <c r="AZ18" s="5">
        <f>IF($E18&gt;=AZ$2,VLOOKUP($E18-AZ$2,'data input'!$D$3:$E$130,2,FALSE),0)</f>
        <v>0</v>
      </c>
      <c r="BA18" s="5">
        <f>IF($E18&gt;=BA$2,VLOOKUP($E18-BA$2,'data input'!$D$3:$E$130,2,FALSE),0)</f>
        <v>0</v>
      </c>
      <c r="BB18" s="5">
        <f>IF($E18&gt;=BB$2,VLOOKUP($E18-BB$2,'data input'!$D$3:$E$130,2,FALSE),0)</f>
        <v>0</v>
      </c>
      <c r="BC18" s="5">
        <f>IF($E18&gt;=BC$2,VLOOKUP($E18-BC$2,'data input'!$D$3:$E$130,2,FALSE),0)</f>
        <v>0</v>
      </c>
      <c r="BD18" s="5">
        <f>IF($E18&gt;=BD$2,VLOOKUP($E18-BD$2,'data input'!$D$3:$E$130,2,FALSE),0)</f>
        <v>0</v>
      </c>
      <c r="BE18" s="5">
        <f>IF($E18&gt;=BE$2,VLOOKUP($E18-BE$2,'data input'!$D$3:$E$130,2,FALSE),0)</f>
        <v>0</v>
      </c>
      <c r="BF18" s="5">
        <f>IF($E18&gt;=BF$2,VLOOKUP($E18-BF$2,'data input'!$D$3:$E$130,2,FALSE),0)</f>
        <v>0</v>
      </c>
      <c r="BG18" s="5">
        <f>IF($E18&gt;=BG$2,VLOOKUP($E18-BG$2,'data input'!$D$3:$E$130,2,FALSE),0)</f>
        <v>0</v>
      </c>
      <c r="BH18" s="5">
        <f>IF($E18&gt;=BH$2,VLOOKUP($E18-BH$2,'data input'!$D$3:$E$130,2,FALSE),0)</f>
        <v>0</v>
      </c>
      <c r="BI18" s="5">
        <f>IF($E18&gt;=BI$2,VLOOKUP($E18-BI$2,'data input'!$D$3:$E$130,2,FALSE),0)</f>
        <v>0</v>
      </c>
      <c r="BJ18" s="5">
        <f>IF($E18&gt;=BJ$2,VLOOKUP($E18-BJ$2,'data input'!$D$3:$E$130,2,FALSE),0)</f>
        <v>0</v>
      </c>
      <c r="BK18" s="5">
        <f>IF($E18&gt;=BK$2,VLOOKUP($E18-BK$2,'data input'!$D$3:$E$130,2,FALSE),0)</f>
        <v>0</v>
      </c>
      <c r="BL18" s="5">
        <f>IF($E18&gt;=BL$2,VLOOKUP($E18-BL$2,'data input'!$D$3:$E$130,2,FALSE),0)</f>
        <v>0</v>
      </c>
      <c r="BM18" s="5">
        <f>IF($E18&gt;=BM$2,VLOOKUP($E18-BM$2,'data input'!$D$3:$E$130,2,FALSE),0)</f>
        <v>0</v>
      </c>
      <c r="BN18" s="5">
        <f>IF($E18&gt;=BN$2,VLOOKUP($E18-BN$2,'data input'!$D$3:$E$130,2,FALSE),0)</f>
        <v>0</v>
      </c>
      <c r="BO18" s="5">
        <f>IF($E18&gt;=BO$2,VLOOKUP($E18-BO$2,'data input'!$D$3:$E$130,2,FALSE),0)</f>
        <v>0</v>
      </c>
      <c r="BP18" s="5">
        <f>IF($E18&gt;=BP$2,VLOOKUP($E18-BP$2,'data input'!$D$3:$E$130,2,FALSE),0)</f>
        <v>0</v>
      </c>
      <c r="BQ18" s="5">
        <f>IF($E18&gt;=BQ$2,VLOOKUP($E18-BQ$2,'data input'!$D$3:$E$130,2,FALSE),0)</f>
        <v>0</v>
      </c>
      <c r="BR18" s="5">
        <f>IF($E18&gt;=BR$2,VLOOKUP($E18-BR$2,'data input'!$D$3:$E$130,2,FALSE),0)</f>
        <v>0</v>
      </c>
      <c r="BS18" s="5">
        <f>IF($E18&gt;=BS$2,VLOOKUP($E18-BS$2,'data input'!$D$3:$E$130,2,FALSE),0)</f>
        <v>0</v>
      </c>
      <c r="BT18" s="5">
        <f>IF($E18&gt;=BT$2,VLOOKUP($E18-BT$2,'data input'!$D$3:$E$130,2,FALSE),0)</f>
        <v>0</v>
      </c>
      <c r="BU18" s="5">
        <f>IF($E18&gt;=BU$2,VLOOKUP($E18-BU$2,'data input'!$D$3:$E$130,2,FALSE),0)</f>
        <v>0</v>
      </c>
      <c r="BV18" s="5">
        <f>IF($E18&gt;=BV$2,VLOOKUP($E18-BV$2,'data input'!$D$3:$E$130,2,FALSE),0)</f>
        <v>0</v>
      </c>
      <c r="BW18" s="5">
        <f>IF($E18&gt;=BW$2,VLOOKUP($E18-BW$2,'data input'!$D$3:$E$130,2,FALSE),0)</f>
        <v>0</v>
      </c>
      <c r="BX18" s="5">
        <f>IF($E18&gt;=BX$2,VLOOKUP($E18-BX$2,'data input'!$D$3:$E$130,2,FALSE),0)</f>
        <v>0</v>
      </c>
      <c r="BY18" s="5">
        <f>IF($E18&gt;=BY$2,VLOOKUP($E18-BY$2,'data input'!$D$3:$E$130,2,FALSE),0)</f>
        <v>0</v>
      </c>
      <c r="BZ18" s="5">
        <f>IF($E18&gt;=BZ$2,VLOOKUP($E18-BZ$2,'data input'!$D$3:$E$130,2,FALSE),0)</f>
        <v>0</v>
      </c>
      <c r="CA18" s="5">
        <f>IF($E18&gt;=CA$2,VLOOKUP($E18-CA$2,'data input'!$D$3:$E$130,2,FALSE),0)</f>
        <v>0</v>
      </c>
      <c r="CB18" s="5">
        <f>IF($E18&gt;=CB$2,VLOOKUP($E18-CB$2,'data input'!$D$3:$E$130,2,FALSE),0)</f>
        <v>0</v>
      </c>
      <c r="CC18" s="5">
        <f>IF($E18&gt;=CC$2,VLOOKUP($E18-CC$2,'data input'!$D$3:$E$130,2,FALSE),0)</f>
        <v>0</v>
      </c>
      <c r="CD18" s="5">
        <f>IF($E18&gt;=CD$2,VLOOKUP($E18-CD$2,'data input'!$D$3:$E$130,2,FALSE),0)</f>
        <v>0</v>
      </c>
      <c r="CE18" s="5">
        <f>IF($E18&gt;=CE$2,VLOOKUP($E18-CE$2,'data input'!$D$3:$E$130,2,FALSE),0)</f>
        <v>0</v>
      </c>
      <c r="CF18" s="5">
        <f>IF($E18&gt;=CF$2,VLOOKUP($E18-CF$2,'data input'!$D$3:$E$130,2,FALSE),0)</f>
        <v>0</v>
      </c>
      <c r="CG18" s="5">
        <f>IF($E18&gt;=CG$2,VLOOKUP($E18-CG$2,'data input'!$D$3:$E$130,2,FALSE),0)</f>
        <v>0</v>
      </c>
      <c r="CH18" s="5">
        <f>IF($E18&gt;=CH$2,VLOOKUP($E18-CH$2,'data input'!$D$3:$E$130,2,FALSE),0)</f>
        <v>0</v>
      </c>
      <c r="CI18" s="5">
        <f>IF($E18&gt;=CI$2,VLOOKUP($E18-CI$2,'data input'!$D$3:$E$130,2,FALSE),0)</f>
        <v>0</v>
      </c>
      <c r="CJ18" s="5">
        <f>IF($E18&gt;=CJ$2,VLOOKUP($E18-CJ$2,'data input'!$D$3:$E$130,2,FALSE),0)</f>
        <v>0</v>
      </c>
      <c r="CK18" s="5">
        <f>IF($E18&gt;=CK$2,VLOOKUP($E18-CK$2,'data input'!$D$3:$E$130,2,FALSE),0)</f>
        <v>0</v>
      </c>
      <c r="CL18" s="5">
        <f>IF($E18&gt;=CL$2,VLOOKUP($E18-CL$2,'data input'!$D$3:$E$130,2,FALSE),0)</f>
        <v>0</v>
      </c>
      <c r="CM18" s="5">
        <f>IF($E18&gt;=CM$2,VLOOKUP($E18-CM$2,'data input'!$D$3:$E$130,2,FALSE),0)</f>
        <v>0</v>
      </c>
      <c r="CN18" s="5">
        <f>IF($E18&gt;=CN$2,VLOOKUP($E18-CN$2,'data input'!$D$3:$E$130,2,FALSE),0)</f>
        <v>0</v>
      </c>
      <c r="CO18" s="5">
        <f>IF($E18&gt;=CO$2,VLOOKUP($E18-CO$2,'data input'!$D$3:$E$130,2,FALSE),0)</f>
        <v>0</v>
      </c>
      <c r="CP18" s="5">
        <f>IF($E18&gt;=CP$2,VLOOKUP($E18-CP$2,'data input'!$D$3:$E$130,2,FALSE),0)</f>
        <v>0</v>
      </c>
      <c r="CQ18" s="5">
        <f>IF($E18&gt;=CQ$2,VLOOKUP($E18-CQ$2,'data input'!$D$3:$E$130,2,FALSE),0)</f>
        <v>0</v>
      </c>
      <c r="CR18" s="5">
        <f>IF($E18&gt;=CR$2,VLOOKUP($E18-CR$2,'data input'!$D$3:$E$130,2,FALSE),0)</f>
        <v>0</v>
      </c>
      <c r="CS18" s="5">
        <f>IF($E18&gt;=CS$2,VLOOKUP($E18-CS$2,'data input'!$D$3:$E$130,2,FALSE),0)</f>
        <v>0</v>
      </c>
      <c r="CT18" s="5">
        <f>IF($E18&gt;=CT$2,VLOOKUP($E18-CT$2,'data input'!$D$3:$E$130,2,FALSE),0)</f>
        <v>0</v>
      </c>
      <c r="CU18" s="5">
        <f>IF($E18&gt;=CU$2,VLOOKUP($E18-CU$2,'data input'!$D$3:$E$130,2,FALSE),0)</f>
        <v>0</v>
      </c>
      <c r="CV18" s="5">
        <f>IF($E18&gt;=CV$2,VLOOKUP($E18-CV$2,'data input'!$D$3:$E$130,2,FALSE),0)</f>
        <v>0</v>
      </c>
      <c r="CW18" s="5">
        <f>IF($E18&gt;=CW$2,VLOOKUP($E18-CW$2,'data input'!$D$3:$E$130,2,FALSE),0)</f>
        <v>0</v>
      </c>
      <c r="CX18" s="5">
        <f>IF($E18&gt;=CX$2,VLOOKUP($E18-CX$2,'data input'!$D$3:$E$130,2,FALSE),0)</f>
        <v>0</v>
      </c>
      <c r="CY18" s="5">
        <f>IF($E18&gt;=CY$2,VLOOKUP($E18-CY$2,'data input'!$D$3:$E$130,2,FALSE),0)</f>
        <v>0</v>
      </c>
      <c r="CZ18" s="5">
        <f>IF($E18&gt;=CZ$2,VLOOKUP($E18-CZ$2,'data input'!$D$3:$E$130,2,FALSE),0)</f>
        <v>0</v>
      </c>
      <c r="DA18" s="5">
        <f>IF($E18&gt;=DA$2,VLOOKUP($E18-DA$2,'data input'!$D$3:$E$130,2,FALSE),0)</f>
        <v>0</v>
      </c>
      <c r="DB18" s="5">
        <f>IF($E18&gt;=DB$2,VLOOKUP($E18-DB$2,'data input'!$D$3:$E$130,2,FALSE),0)</f>
        <v>0</v>
      </c>
      <c r="DC18" s="5">
        <f>IF($E18&gt;=DC$2,VLOOKUP($E18-DC$2,'data input'!$D$3:$E$130,2,FALSE),0)</f>
        <v>0</v>
      </c>
      <c r="DD18" s="5">
        <f>IF($E18&gt;=DD$2,VLOOKUP($E18-DD$2,'data input'!$D$3:$E$130,2,FALSE),0)</f>
        <v>0</v>
      </c>
      <c r="DE18" s="5">
        <f>IF($E18&gt;=DE$2,VLOOKUP($E18-DE$2,'data input'!$D$3:$E$130,2,FALSE),0)</f>
        <v>0</v>
      </c>
      <c r="DF18" s="5">
        <f>IF($E18&gt;=DF$2,VLOOKUP($E18-DF$2,'data input'!$D$3:$E$130,2,FALSE),0)</f>
        <v>0</v>
      </c>
      <c r="DG18" s="5">
        <f>IF($E18&gt;=DG$2,VLOOKUP($E18-DG$2,'data input'!$D$3:$E$130,2,FALSE),0)</f>
        <v>0</v>
      </c>
      <c r="DH18" s="5">
        <f>IF($E18&gt;=DH$2,VLOOKUP($E18-DH$2,'data input'!$D$3:$E$130,2,FALSE),0)</f>
        <v>0</v>
      </c>
      <c r="DI18" s="5">
        <f>IF($E18&gt;=DI$2,VLOOKUP($E18-DI$2,'data input'!$D$3:$E$130,2,FALSE),0)</f>
        <v>0</v>
      </c>
      <c r="DJ18" s="5">
        <f>IF($E18&gt;=DJ$2,VLOOKUP($E18-DJ$2,'data input'!$D$3:$E$130,2,FALSE),0)</f>
        <v>0</v>
      </c>
      <c r="DK18" s="5">
        <f>IF($E18&gt;=DK$2,VLOOKUP($E18-DK$2,'data input'!$D$3:$E$130,2,FALSE),0)</f>
        <v>0</v>
      </c>
      <c r="DL18" s="5">
        <f>IF($E18&gt;=DL$2,VLOOKUP($E18-DL$2,'data input'!$D$3:$E$130,2,FALSE),0)</f>
        <v>0</v>
      </c>
      <c r="DM18" s="5">
        <f>IF($E18&gt;=DM$2,VLOOKUP($E18-DM$2,'data input'!$D$3:$E$130,2,FALSE),0)</f>
        <v>0</v>
      </c>
      <c r="DN18" s="5">
        <f>IF($E18&gt;=DN$2,VLOOKUP($E18-DN$2,'data input'!$D$3:$E$130,2,FALSE),0)</f>
        <v>0</v>
      </c>
      <c r="DO18" s="5">
        <f>IF($E18&gt;=DO$2,VLOOKUP($E18-DO$2,'data input'!$D$3:$E$130,2,FALSE),0)</f>
        <v>0</v>
      </c>
      <c r="DP18" s="5">
        <f>IF($E18&gt;=DP$2,VLOOKUP($E18-DP$2,'data input'!$D$3:$E$130,2,FALSE),0)</f>
        <v>0</v>
      </c>
      <c r="DQ18" s="5">
        <f>IF($E18&gt;=DQ$2,VLOOKUP($E18-DQ$2,'data input'!$D$3:$E$130,2,FALSE),0)</f>
        <v>0</v>
      </c>
      <c r="DR18" s="5">
        <f>IF($E18&gt;=DR$2,VLOOKUP($E18-DR$2,'data input'!$D$3:$E$130,2,FALSE),0)</f>
        <v>0</v>
      </c>
      <c r="DS18" s="5">
        <f>IF($E18&gt;=DS$2,VLOOKUP($E18-DS$2,'data input'!$D$3:$E$130,2,FALSE),0)</f>
        <v>0</v>
      </c>
      <c r="DT18" s="5">
        <f>IF($E18&gt;=DT$2,VLOOKUP($E18-DT$2,'data input'!$D$3:$E$130,2,FALSE),0)</f>
        <v>0</v>
      </c>
      <c r="DU18" s="5">
        <f>IF($E18&gt;=DU$2,VLOOKUP($E18-DU$2,'data input'!$D$3:$E$130,2,FALSE),0)</f>
        <v>0</v>
      </c>
      <c r="DV18" s="5">
        <f>IF($E18&gt;=DV$2,VLOOKUP($E18-DV$2,'data input'!$D$3:$E$130,2,FALSE),0)</f>
        <v>0</v>
      </c>
      <c r="DW18" s="5">
        <f>IF($E18&gt;=DW$2,VLOOKUP($E18-DW$2,'data input'!$D$3:$E$130,2,FALSE),0)</f>
        <v>0</v>
      </c>
      <c r="DX18" s="5">
        <f>IF($E18&gt;=DX$2,VLOOKUP($E18-DX$2,'data input'!$D$3:$E$130,2,FALSE),0)</f>
        <v>0</v>
      </c>
      <c r="DY18" s="5">
        <f>IF($E18&gt;=DY$2,VLOOKUP($E18-DY$2,'data input'!$D$3:$E$130,2,FALSE),0)</f>
        <v>0</v>
      </c>
      <c r="DZ18" s="5">
        <f>IF($E18&gt;=DZ$2,VLOOKUP($E18-DZ$2,'data input'!$D$3:$E$130,2,FALSE),0)</f>
        <v>0</v>
      </c>
      <c r="EA18" s="5">
        <f>IF($E18&gt;=EA$2,VLOOKUP($E18-EA$2,'data input'!$D$3:$E$130,2,FALSE),0)</f>
        <v>0</v>
      </c>
      <c r="EB18" s="5">
        <f>IF($E18&gt;=EB$2,VLOOKUP($E18-EB$2,'data input'!$D$3:$E$130,2,FALSE),0)</f>
        <v>0</v>
      </c>
      <c r="EC18" s="5">
        <f>IF($E18&gt;=EC$2,VLOOKUP($E18-EC$2,'data input'!$D$3:$E$130,2,FALSE),0)</f>
        <v>0</v>
      </c>
    </row>
    <row r="19" spans="5:133">
      <c r="E19" s="7">
        <f>'data input'!B19</f>
        <v>1894</v>
      </c>
      <c r="F19" s="5">
        <f>IF($E19&gt;=F$2,VLOOKUP($E19-F$2,'data input'!$D$3:$E$130,2,FALSE),0)</f>
        <v>0.96406968088707423</v>
      </c>
      <c r="G19" s="5">
        <f>IF($E19&gt;=G$2,VLOOKUP($E19-G$2,'data input'!$D$3:$E$130,2,FALSE),0)</f>
        <v>0.96960363823473861</v>
      </c>
      <c r="H19" s="5">
        <f>IF($E19&gt;=H$2,VLOOKUP($E19-H$2,'data input'!$D$3:$E$130,2,FALSE),0)</f>
        <v>0.97441194047836144</v>
      </c>
      <c r="I19" s="5">
        <f>IF($E19&gt;=I$2,VLOOKUP($E19-I$2,'data input'!$D$3:$E$130,2,FALSE),0)</f>
        <v>0.97856631788584703</v>
      </c>
      <c r="J19" s="5">
        <f>IF($E19&gt;=J$2,VLOOKUP($E19-J$2,'data input'!$D$3:$E$130,2,FALSE),0)</f>
        <v>0.98213557943718344</v>
      </c>
      <c r="K19" s="5">
        <f>IF($E19&gt;=K$2,VLOOKUP($E19-K$2,'data input'!$D$3:$E$130,2,FALSE),0)</f>
        <v>0.98518494180739014</v>
      </c>
      <c r="L19" s="5">
        <f>IF($E19&gt;=L$2,VLOOKUP($E19-L$2,'data input'!$D$3:$E$130,2,FALSE),0)</f>
        <v>0.98777552734495533</v>
      </c>
      <c r="M19" s="5">
        <f>IF($E19&gt;=M$2,VLOOKUP($E19-M$2,'data input'!$D$3:$E$130,2,FALSE),0)</f>
        <v>0.98996401989972593</v>
      </c>
      <c r="N19" s="5">
        <f>IF($E19&gt;=N$2,VLOOKUP($E19-N$2,'data input'!$D$3:$E$130,2,FALSE),0)</f>
        <v>0.99180246407540384</v>
      </c>
      <c r="O19" s="5">
        <f>IF($E19&gt;=O$2,VLOOKUP($E19-O$2,'data input'!$D$3:$E$130,2,FALSE),0)</f>
        <v>0.99333819120801725</v>
      </c>
      <c r="P19" s="5">
        <f>IF($E19&gt;=P$2,VLOOKUP($E19-P$2,'data input'!$D$3:$E$130,2,FALSE),0)</f>
        <v>0.99461385404593328</v>
      </c>
      <c r="Q19" s="5">
        <f>IF($E19&gt;=Q$2,VLOOKUP($E19-Q$2,'data input'!$D$3:$E$130,2,FALSE),0)</f>
        <v>0.99566755163698739</v>
      </c>
      <c r="R19" s="5">
        <f>IF($E19&gt;=R$2,VLOOKUP($E19-R$2,'data input'!$D$3:$E$130,2,FALSE),0)</f>
        <v>0.99653302619695938</v>
      </c>
      <c r="S19" s="5">
        <f>IF($E19&gt;=S$2,VLOOKUP($E19-S$2,'data input'!$D$3:$E$130,2,FALSE),0)</f>
        <v>0.99723991460873751</v>
      </c>
      <c r="T19" s="5">
        <f>IF($E19&gt;=T$2,VLOOKUP($E19-T$2,'data input'!$D$3:$E$130,2,FALSE),0)</f>
        <v>0.99781403854508677</v>
      </c>
      <c r="U19" s="5">
        <f>IF($E19&gt;=U$2,VLOOKUP($E19-U$2,'data input'!$D$3:$E$130,2,FALSE),0)</f>
        <v>0.99827771888413241</v>
      </c>
      <c r="V19" s="5">
        <f>IF($E19&gt;=V$2,VLOOKUP($E19-V$2,'data input'!$D$3:$E$130,2,FALSE),0)</f>
        <v>0.9986501019683699</v>
      </c>
      <c r="W19" s="5">
        <f>IF($E19&gt;=W$2,VLOOKUP($E19-W$2,'data input'!$D$3:$E$130,2,FALSE),0)</f>
        <v>0</v>
      </c>
      <c r="X19" s="5">
        <f>IF($E19&gt;=X$2,VLOOKUP($E19-X$2,'data input'!$D$3:$E$130,2,FALSE),0)</f>
        <v>0</v>
      </c>
      <c r="Y19" s="5">
        <f>IF($E19&gt;=Y$2,VLOOKUP($E19-Y$2,'data input'!$D$3:$E$130,2,FALSE),0)</f>
        <v>0</v>
      </c>
      <c r="Z19" s="5">
        <f>IF($E19&gt;=Z$2,VLOOKUP($E19-Z$2,'data input'!$D$3:$E$130,2,FALSE),0)</f>
        <v>0</v>
      </c>
      <c r="AA19" s="5">
        <f>IF($E19&gt;=AA$2,VLOOKUP($E19-AA$2,'data input'!$D$3:$E$130,2,FALSE),0)</f>
        <v>0</v>
      </c>
      <c r="AB19" s="5">
        <f>IF($E19&gt;=AB$2,VLOOKUP($E19-AB$2,'data input'!$D$3:$E$130,2,FALSE),0)</f>
        <v>0</v>
      </c>
      <c r="AC19" s="5">
        <f>IF($E19&gt;=AC$2,VLOOKUP($E19-AC$2,'data input'!$D$3:$E$130,2,FALSE),0)</f>
        <v>0</v>
      </c>
      <c r="AD19" s="5">
        <f>IF($E19&gt;=AD$2,VLOOKUP($E19-AD$2,'data input'!$D$3:$E$130,2,FALSE),0)</f>
        <v>0</v>
      </c>
      <c r="AE19" s="5">
        <f>IF($E19&gt;=AE$2,VLOOKUP($E19-AE$2,'data input'!$D$3:$E$130,2,FALSE),0)</f>
        <v>0</v>
      </c>
      <c r="AF19" s="5">
        <f>IF($E19&gt;=AF$2,VLOOKUP($E19-AF$2,'data input'!$D$3:$E$130,2,FALSE),0)</f>
        <v>0</v>
      </c>
      <c r="AG19" s="5">
        <f>IF($E19&gt;=AG$2,VLOOKUP($E19-AG$2,'data input'!$D$3:$E$130,2,FALSE),0)</f>
        <v>0</v>
      </c>
      <c r="AH19" s="5">
        <f>IF($E19&gt;=AH$2,VLOOKUP($E19-AH$2,'data input'!$D$3:$E$130,2,FALSE),0)</f>
        <v>0</v>
      </c>
      <c r="AI19" s="5">
        <f>IF($E19&gt;=AI$2,VLOOKUP($E19-AI$2,'data input'!$D$3:$E$130,2,FALSE),0)</f>
        <v>0</v>
      </c>
      <c r="AJ19" s="5">
        <f>IF($E19&gt;=AJ$2,VLOOKUP($E19-AJ$2,'data input'!$D$3:$E$130,2,FALSE),0)</f>
        <v>0</v>
      </c>
      <c r="AK19" s="5">
        <f>IF($E19&gt;=AK$2,VLOOKUP($E19-AK$2,'data input'!$D$3:$E$130,2,FALSE),0)</f>
        <v>0</v>
      </c>
      <c r="AL19" s="5">
        <f>IF($E19&gt;=AL$2,VLOOKUP($E19-AL$2,'data input'!$D$3:$E$130,2,FALSE),0)</f>
        <v>0</v>
      </c>
      <c r="AM19" s="5">
        <f>IF($E19&gt;=AM$2,VLOOKUP($E19-AM$2,'data input'!$D$3:$E$130,2,FALSE),0)</f>
        <v>0</v>
      </c>
      <c r="AN19" s="5">
        <f>IF($E19&gt;=AN$2,VLOOKUP($E19-AN$2,'data input'!$D$3:$E$130,2,FALSE),0)</f>
        <v>0</v>
      </c>
      <c r="AO19" s="5">
        <f>IF($E19&gt;=AO$2,VLOOKUP($E19-AO$2,'data input'!$D$3:$E$130,2,FALSE),0)</f>
        <v>0</v>
      </c>
      <c r="AP19" s="5">
        <f>IF($E19&gt;=AP$2,VLOOKUP($E19-AP$2,'data input'!$D$3:$E$130,2,FALSE),0)</f>
        <v>0</v>
      </c>
      <c r="AQ19" s="5">
        <f>IF($E19&gt;=AQ$2,VLOOKUP($E19-AQ$2,'data input'!$D$3:$E$130,2,FALSE),0)</f>
        <v>0</v>
      </c>
      <c r="AR19" s="5">
        <f>IF($E19&gt;=AR$2,VLOOKUP($E19-AR$2,'data input'!$D$3:$E$130,2,FALSE),0)</f>
        <v>0</v>
      </c>
      <c r="AS19" s="5">
        <f>IF($E19&gt;=AS$2,VLOOKUP($E19-AS$2,'data input'!$D$3:$E$130,2,FALSE),0)</f>
        <v>0</v>
      </c>
      <c r="AT19" s="5">
        <f>IF($E19&gt;=AT$2,VLOOKUP($E19-AT$2,'data input'!$D$3:$E$130,2,FALSE),0)</f>
        <v>0</v>
      </c>
      <c r="AU19" s="5">
        <f>IF($E19&gt;=AU$2,VLOOKUP($E19-AU$2,'data input'!$D$3:$E$130,2,FALSE),0)</f>
        <v>0</v>
      </c>
      <c r="AV19" s="5">
        <f>IF($E19&gt;=AV$2,VLOOKUP($E19-AV$2,'data input'!$D$3:$E$130,2,FALSE),0)</f>
        <v>0</v>
      </c>
      <c r="AW19" s="5">
        <f>IF($E19&gt;=AW$2,VLOOKUP($E19-AW$2,'data input'!$D$3:$E$130,2,FALSE),0)</f>
        <v>0</v>
      </c>
      <c r="AX19" s="5">
        <f>IF($E19&gt;=AX$2,VLOOKUP($E19-AX$2,'data input'!$D$3:$E$130,2,FALSE),0)</f>
        <v>0</v>
      </c>
      <c r="AY19" s="5">
        <f>IF($E19&gt;=AY$2,VLOOKUP($E19-AY$2,'data input'!$D$3:$E$130,2,FALSE),0)</f>
        <v>0</v>
      </c>
      <c r="AZ19" s="5">
        <f>IF($E19&gt;=AZ$2,VLOOKUP($E19-AZ$2,'data input'!$D$3:$E$130,2,FALSE),0)</f>
        <v>0</v>
      </c>
      <c r="BA19" s="5">
        <f>IF($E19&gt;=BA$2,VLOOKUP($E19-BA$2,'data input'!$D$3:$E$130,2,FALSE),0)</f>
        <v>0</v>
      </c>
      <c r="BB19" s="5">
        <f>IF($E19&gt;=BB$2,VLOOKUP($E19-BB$2,'data input'!$D$3:$E$130,2,FALSE),0)</f>
        <v>0</v>
      </c>
      <c r="BC19" s="5">
        <f>IF($E19&gt;=BC$2,VLOOKUP($E19-BC$2,'data input'!$D$3:$E$130,2,FALSE),0)</f>
        <v>0</v>
      </c>
      <c r="BD19" s="5">
        <f>IF($E19&gt;=BD$2,VLOOKUP($E19-BD$2,'data input'!$D$3:$E$130,2,FALSE),0)</f>
        <v>0</v>
      </c>
      <c r="BE19" s="5">
        <f>IF($E19&gt;=BE$2,VLOOKUP($E19-BE$2,'data input'!$D$3:$E$130,2,FALSE),0)</f>
        <v>0</v>
      </c>
      <c r="BF19" s="5">
        <f>IF($E19&gt;=BF$2,VLOOKUP($E19-BF$2,'data input'!$D$3:$E$130,2,FALSE),0)</f>
        <v>0</v>
      </c>
      <c r="BG19" s="5">
        <f>IF($E19&gt;=BG$2,VLOOKUP($E19-BG$2,'data input'!$D$3:$E$130,2,FALSE),0)</f>
        <v>0</v>
      </c>
      <c r="BH19" s="5">
        <f>IF($E19&gt;=BH$2,VLOOKUP($E19-BH$2,'data input'!$D$3:$E$130,2,FALSE),0)</f>
        <v>0</v>
      </c>
      <c r="BI19" s="5">
        <f>IF($E19&gt;=BI$2,VLOOKUP($E19-BI$2,'data input'!$D$3:$E$130,2,FALSE),0)</f>
        <v>0</v>
      </c>
      <c r="BJ19" s="5">
        <f>IF($E19&gt;=BJ$2,VLOOKUP($E19-BJ$2,'data input'!$D$3:$E$130,2,FALSE),0)</f>
        <v>0</v>
      </c>
      <c r="BK19" s="5">
        <f>IF($E19&gt;=BK$2,VLOOKUP($E19-BK$2,'data input'!$D$3:$E$130,2,FALSE),0)</f>
        <v>0</v>
      </c>
      <c r="BL19" s="5">
        <f>IF($E19&gt;=BL$2,VLOOKUP($E19-BL$2,'data input'!$D$3:$E$130,2,FALSE),0)</f>
        <v>0</v>
      </c>
      <c r="BM19" s="5">
        <f>IF($E19&gt;=BM$2,VLOOKUP($E19-BM$2,'data input'!$D$3:$E$130,2,FALSE),0)</f>
        <v>0</v>
      </c>
      <c r="BN19" s="5">
        <f>IF($E19&gt;=BN$2,VLOOKUP($E19-BN$2,'data input'!$D$3:$E$130,2,FALSE),0)</f>
        <v>0</v>
      </c>
      <c r="BO19" s="5">
        <f>IF($E19&gt;=BO$2,VLOOKUP($E19-BO$2,'data input'!$D$3:$E$130,2,FALSE),0)</f>
        <v>0</v>
      </c>
      <c r="BP19" s="5">
        <f>IF($E19&gt;=BP$2,VLOOKUP($E19-BP$2,'data input'!$D$3:$E$130,2,FALSE),0)</f>
        <v>0</v>
      </c>
      <c r="BQ19" s="5">
        <f>IF($E19&gt;=BQ$2,VLOOKUP($E19-BQ$2,'data input'!$D$3:$E$130,2,FALSE),0)</f>
        <v>0</v>
      </c>
      <c r="BR19" s="5">
        <f>IF($E19&gt;=BR$2,VLOOKUP($E19-BR$2,'data input'!$D$3:$E$130,2,FALSE),0)</f>
        <v>0</v>
      </c>
      <c r="BS19" s="5">
        <f>IF($E19&gt;=BS$2,VLOOKUP($E19-BS$2,'data input'!$D$3:$E$130,2,FALSE),0)</f>
        <v>0</v>
      </c>
      <c r="BT19" s="5">
        <f>IF($E19&gt;=BT$2,VLOOKUP($E19-BT$2,'data input'!$D$3:$E$130,2,FALSE),0)</f>
        <v>0</v>
      </c>
      <c r="BU19" s="5">
        <f>IF($E19&gt;=BU$2,VLOOKUP($E19-BU$2,'data input'!$D$3:$E$130,2,FALSE),0)</f>
        <v>0</v>
      </c>
      <c r="BV19" s="5">
        <f>IF($E19&gt;=BV$2,VLOOKUP($E19-BV$2,'data input'!$D$3:$E$130,2,FALSE),0)</f>
        <v>0</v>
      </c>
      <c r="BW19" s="5">
        <f>IF($E19&gt;=BW$2,VLOOKUP($E19-BW$2,'data input'!$D$3:$E$130,2,FALSE),0)</f>
        <v>0</v>
      </c>
      <c r="BX19" s="5">
        <f>IF($E19&gt;=BX$2,VLOOKUP($E19-BX$2,'data input'!$D$3:$E$130,2,FALSE),0)</f>
        <v>0</v>
      </c>
      <c r="BY19" s="5">
        <f>IF($E19&gt;=BY$2,VLOOKUP($E19-BY$2,'data input'!$D$3:$E$130,2,FALSE),0)</f>
        <v>0</v>
      </c>
      <c r="BZ19" s="5">
        <f>IF($E19&gt;=BZ$2,VLOOKUP($E19-BZ$2,'data input'!$D$3:$E$130,2,FALSE),0)</f>
        <v>0</v>
      </c>
      <c r="CA19" s="5">
        <f>IF($E19&gt;=CA$2,VLOOKUP($E19-CA$2,'data input'!$D$3:$E$130,2,FALSE),0)</f>
        <v>0</v>
      </c>
      <c r="CB19" s="5">
        <f>IF($E19&gt;=CB$2,VLOOKUP($E19-CB$2,'data input'!$D$3:$E$130,2,FALSE),0)</f>
        <v>0</v>
      </c>
      <c r="CC19" s="5">
        <f>IF($E19&gt;=CC$2,VLOOKUP($E19-CC$2,'data input'!$D$3:$E$130,2,FALSE),0)</f>
        <v>0</v>
      </c>
      <c r="CD19" s="5">
        <f>IF($E19&gt;=CD$2,VLOOKUP($E19-CD$2,'data input'!$D$3:$E$130,2,FALSE),0)</f>
        <v>0</v>
      </c>
      <c r="CE19" s="5">
        <f>IF($E19&gt;=CE$2,VLOOKUP($E19-CE$2,'data input'!$D$3:$E$130,2,FALSE),0)</f>
        <v>0</v>
      </c>
      <c r="CF19" s="5">
        <f>IF($E19&gt;=CF$2,VLOOKUP($E19-CF$2,'data input'!$D$3:$E$130,2,FALSE),0)</f>
        <v>0</v>
      </c>
      <c r="CG19" s="5">
        <f>IF($E19&gt;=CG$2,VLOOKUP($E19-CG$2,'data input'!$D$3:$E$130,2,FALSE),0)</f>
        <v>0</v>
      </c>
      <c r="CH19" s="5">
        <f>IF($E19&gt;=CH$2,VLOOKUP($E19-CH$2,'data input'!$D$3:$E$130,2,FALSE),0)</f>
        <v>0</v>
      </c>
      <c r="CI19" s="5">
        <f>IF($E19&gt;=CI$2,VLOOKUP($E19-CI$2,'data input'!$D$3:$E$130,2,FALSE),0)</f>
        <v>0</v>
      </c>
      <c r="CJ19" s="5">
        <f>IF($E19&gt;=CJ$2,VLOOKUP($E19-CJ$2,'data input'!$D$3:$E$130,2,FALSE),0)</f>
        <v>0</v>
      </c>
      <c r="CK19" s="5">
        <f>IF($E19&gt;=CK$2,VLOOKUP($E19-CK$2,'data input'!$D$3:$E$130,2,FALSE),0)</f>
        <v>0</v>
      </c>
      <c r="CL19" s="5">
        <f>IF($E19&gt;=CL$2,VLOOKUP($E19-CL$2,'data input'!$D$3:$E$130,2,FALSE),0)</f>
        <v>0</v>
      </c>
      <c r="CM19" s="5">
        <f>IF($E19&gt;=CM$2,VLOOKUP($E19-CM$2,'data input'!$D$3:$E$130,2,FALSE),0)</f>
        <v>0</v>
      </c>
      <c r="CN19" s="5">
        <f>IF($E19&gt;=CN$2,VLOOKUP($E19-CN$2,'data input'!$D$3:$E$130,2,FALSE),0)</f>
        <v>0</v>
      </c>
      <c r="CO19" s="5">
        <f>IF($E19&gt;=CO$2,VLOOKUP($E19-CO$2,'data input'!$D$3:$E$130,2,FALSE),0)</f>
        <v>0</v>
      </c>
      <c r="CP19" s="5">
        <f>IF($E19&gt;=CP$2,VLOOKUP($E19-CP$2,'data input'!$D$3:$E$130,2,FALSE),0)</f>
        <v>0</v>
      </c>
      <c r="CQ19" s="5">
        <f>IF($E19&gt;=CQ$2,VLOOKUP($E19-CQ$2,'data input'!$D$3:$E$130,2,FALSE),0)</f>
        <v>0</v>
      </c>
      <c r="CR19" s="5">
        <f>IF($E19&gt;=CR$2,VLOOKUP($E19-CR$2,'data input'!$D$3:$E$130,2,FALSE),0)</f>
        <v>0</v>
      </c>
      <c r="CS19" s="5">
        <f>IF($E19&gt;=CS$2,VLOOKUP($E19-CS$2,'data input'!$D$3:$E$130,2,FALSE),0)</f>
        <v>0</v>
      </c>
      <c r="CT19" s="5">
        <f>IF($E19&gt;=CT$2,VLOOKUP($E19-CT$2,'data input'!$D$3:$E$130,2,FALSE),0)</f>
        <v>0</v>
      </c>
      <c r="CU19" s="5">
        <f>IF($E19&gt;=CU$2,VLOOKUP($E19-CU$2,'data input'!$D$3:$E$130,2,FALSE),0)</f>
        <v>0</v>
      </c>
      <c r="CV19" s="5">
        <f>IF($E19&gt;=CV$2,VLOOKUP($E19-CV$2,'data input'!$D$3:$E$130,2,FALSE),0)</f>
        <v>0</v>
      </c>
      <c r="CW19" s="5">
        <f>IF($E19&gt;=CW$2,VLOOKUP($E19-CW$2,'data input'!$D$3:$E$130,2,FALSE),0)</f>
        <v>0</v>
      </c>
      <c r="CX19" s="5">
        <f>IF($E19&gt;=CX$2,VLOOKUP($E19-CX$2,'data input'!$D$3:$E$130,2,FALSE),0)</f>
        <v>0</v>
      </c>
      <c r="CY19" s="5">
        <f>IF($E19&gt;=CY$2,VLOOKUP($E19-CY$2,'data input'!$D$3:$E$130,2,FALSE),0)</f>
        <v>0</v>
      </c>
      <c r="CZ19" s="5">
        <f>IF($E19&gt;=CZ$2,VLOOKUP($E19-CZ$2,'data input'!$D$3:$E$130,2,FALSE),0)</f>
        <v>0</v>
      </c>
      <c r="DA19" s="5">
        <f>IF($E19&gt;=DA$2,VLOOKUP($E19-DA$2,'data input'!$D$3:$E$130,2,FALSE),0)</f>
        <v>0</v>
      </c>
      <c r="DB19" s="5">
        <f>IF($E19&gt;=DB$2,VLOOKUP($E19-DB$2,'data input'!$D$3:$E$130,2,FALSE),0)</f>
        <v>0</v>
      </c>
      <c r="DC19" s="5">
        <f>IF($E19&gt;=DC$2,VLOOKUP($E19-DC$2,'data input'!$D$3:$E$130,2,FALSE),0)</f>
        <v>0</v>
      </c>
      <c r="DD19" s="5">
        <f>IF($E19&gt;=DD$2,VLOOKUP($E19-DD$2,'data input'!$D$3:$E$130,2,FALSE),0)</f>
        <v>0</v>
      </c>
      <c r="DE19" s="5">
        <f>IF($E19&gt;=DE$2,VLOOKUP($E19-DE$2,'data input'!$D$3:$E$130,2,FALSE),0)</f>
        <v>0</v>
      </c>
      <c r="DF19" s="5">
        <f>IF($E19&gt;=DF$2,VLOOKUP($E19-DF$2,'data input'!$D$3:$E$130,2,FALSE),0)</f>
        <v>0</v>
      </c>
      <c r="DG19" s="5">
        <f>IF($E19&gt;=DG$2,VLOOKUP($E19-DG$2,'data input'!$D$3:$E$130,2,FALSE),0)</f>
        <v>0</v>
      </c>
      <c r="DH19" s="5">
        <f>IF($E19&gt;=DH$2,VLOOKUP($E19-DH$2,'data input'!$D$3:$E$130,2,FALSE),0)</f>
        <v>0</v>
      </c>
      <c r="DI19" s="5">
        <f>IF($E19&gt;=DI$2,VLOOKUP($E19-DI$2,'data input'!$D$3:$E$130,2,FALSE),0)</f>
        <v>0</v>
      </c>
      <c r="DJ19" s="5">
        <f>IF($E19&gt;=DJ$2,VLOOKUP($E19-DJ$2,'data input'!$D$3:$E$130,2,FALSE),0)</f>
        <v>0</v>
      </c>
      <c r="DK19" s="5">
        <f>IF($E19&gt;=DK$2,VLOOKUP($E19-DK$2,'data input'!$D$3:$E$130,2,FALSE),0)</f>
        <v>0</v>
      </c>
      <c r="DL19" s="5">
        <f>IF($E19&gt;=DL$2,VLOOKUP($E19-DL$2,'data input'!$D$3:$E$130,2,FALSE),0)</f>
        <v>0</v>
      </c>
      <c r="DM19" s="5">
        <f>IF($E19&gt;=DM$2,VLOOKUP($E19-DM$2,'data input'!$D$3:$E$130,2,FALSE),0)</f>
        <v>0</v>
      </c>
      <c r="DN19" s="5">
        <f>IF($E19&gt;=DN$2,VLOOKUP($E19-DN$2,'data input'!$D$3:$E$130,2,FALSE),0)</f>
        <v>0</v>
      </c>
      <c r="DO19" s="5">
        <f>IF($E19&gt;=DO$2,VLOOKUP($E19-DO$2,'data input'!$D$3:$E$130,2,FALSE),0)</f>
        <v>0</v>
      </c>
      <c r="DP19" s="5">
        <f>IF($E19&gt;=DP$2,VLOOKUP($E19-DP$2,'data input'!$D$3:$E$130,2,FALSE),0)</f>
        <v>0</v>
      </c>
      <c r="DQ19" s="5">
        <f>IF($E19&gt;=DQ$2,VLOOKUP($E19-DQ$2,'data input'!$D$3:$E$130,2,FALSE),0)</f>
        <v>0</v>
      </c>
      <c r="DR19" s="5">
        <f>IF($E19&gt;=DR$2,VLOOKUP($E19-DR$2,'data input'!$D$3:$E$130,2,FALSE),0)</f>
        <v>0</v>
      </c>
      <c r="DS19" s="5">
        <f>IF($E19&gt;=DS$2,VLOOKUP($E19-DS$2,'data input'!$D$3:$E$130,2,FALSE),0)</f>
        <v>0</v>
      </c>
      <c r="DT19" s="5">
        <f>IF($E19&gt;=DT$2,VLOOKUP($E19-DT$2,'data input'!$D$3:$E$130,2,FALSE),0)</f>
        <v>0</v>
      </c>
      <c r="DU19" s="5">
        <f>IF($E19&gt;=DU$2,VLOOKUP($E19-DU$2,'data input'!$D$3:$E$130,2,FALSE),0)</f>
        <v>0</v>
      </c>
      <c r="DV19" s="5">
        <f>IF($E19&gt;=DV$2,VLOOKUP($E19-DV$2,'data input'!$D$3:$E$130,2,FALSE),0)</f>
        <v>0</v>
      </c>
      <c r="DW19" s="5">
        <f>IF($E19&gt;=DW$2,VLOOKUP($E19-DW$2,'data input'!$D$3:$E$130,2,FALSE),0)</f>
        <v>0</v>
      </c>
      <c r="DX19" s="5">
        <f>IF($E19&gt;=DX$2,VLOOKUP($E19-DX$2,'data input'!$D$3:$E$130,2,FALSE),0)</f>
        <v>0</v>
      </c>
      <c r="DY19" s="5">
        <f>IF($E19&gt;=DY$2,VLOOKUP($E19-DY$2,'data input'!$D$3:$E$130,2,FALSE),0)</f>
        <v>0</v>
      </c>
      <c r="DZ19" s="5">
        <f>IF($E19&gt;=DZ$2,VLOOKUP($E19-DZ$2,'data input'!$D$3:$E$130,2,FALSE),0)</f>
        <v>0</v>
      </c>
      <c r="EA19" s="5">
        <f>IF($E19&gt;=EA$2,VLOOKUP($E19-EA$2,'data input'!$D$3:$E$130,2,FALSE),0)</f>
        <v>0</v>
      </c>
      <c r="EB19" s="5">
        <f>IF($E19&gt;=EB$2,VLOOKUP($E19-EB$2,'data input'!$D$3:$E$130,2,FALSE),0)</f>
        <v>0</v>
      </c>
      <c r="EC19" s="5">
        <f>IF($E19&gt;=EC$2,VLOOKUP($E19-EC$2,'data input'!$D$3:$E$130,2,FALSE),0)</f>
        <v>0</v>
      </c>
    </row>
    <row r="20" spans="5:133">
      <c r="E20" s="7">
        <f>'data input'!B20</f>
        <v>1895</v>
      </c>
      <c r="F20" s="5">
        <f>IF($E20&gt;=F$2,VLOOKUP($E20-F$2,'data input'!$D$3:$E$130,2,FALSE),0)</f>
        <v>0.95773626374204757</v>
      </c>
      <c r="G20" s="5">
        <f>IF($E20&gt;=G$2,VLOOKUP($E20-G$2,'data input'!$D$3:$E$130,2,FALSE),0)</f>
        <v>0.96406968088707423</v>
      </c>
      <c r="H20" s="5">
        <f>IF($E20&gt;=H$2,VLOOKUP($E20-H$2,'data input'!$D$3:$E$130,2,FALSE),0)</f>
        <v>0.96960363823473861</v>
      </c>
      <c r="I20" s="5">
        <f>IF($E20&gt;=I$2,VLOOKUP($E20-I$2,'data input'!$D$3:$E$130,2,FALSE),0)</f>
        <v>0.97441194047836144</v>
      </c>
      <c r="J20" s="5">
        <f>IF($E20&gt;=J$2,VLOOKUP($E20-J$2,'data input'!$D$3:$E$130,2,FALSE),0)</f>
        <v>0.97856631788584703</v>
      </c>
      <c r="K20" s="5">
        <f>IF($E20&gt;=K$2,VLOOKUP($E20-K$2,'data input'!$D$3:$E$130,2,FALSE),0)</f>
        <v>0.98213557943718344</v>
      </c>
      <c r="L20" s="5">
        <f>IF($E20&gt;=L$2,VLOOKUP($E20-L$2,'data input'!$D$3:$E$130,2,FALSE),0)</f>
        <v>0.98518494180739014</v>
      </c>
      <c r="M20" s="5">
        <f>IF($E20&gt;=M$2,VLOOKUP($E20-M$2,'data input'!$D$3:$E$130,2,FALSE),0)</f>
        <v>0.98777552734495533</v>
      </c>
      <c r="N20" s="5">
        <f>IF($E20&gt;=N$2,VLOOKUP($E20-N$2,'data input'!$D$3:$E$130,2,FALSE),0)</f>
        <v>0.98996401989972593</v>
      </c>
      <c r="O20" s="5">
        <f>IF($E20&gt;=O$2,VLOOKUP($E20-O$2,'data input'!$D$3:$E$130,2,FALSE),0)</f>
        <v>0.99180246407540384</v>
      </c>
      <c r="P20" s="5">
        <f>IF($E20&gt;=P$2,VLOOKUP($E20-P$2,'data input'!$D$3:$E$130,2,FALSE),0)</f>
        <v>0.99333819120801725</v>
      </c>
      <c r="Q20" s="5">
        <f>IF($E20&gt;=Q$2,VLOOKUP($E20-Q$2,'data input'!$D$3:$E$130,2,FALSE),0)</f>
        <v>0.99461385404593328</v>
      </c>
      <c r="R20" s="5">
        <f>IF($E20&gt;=R$2,VLOOKUP($E20-R$2,'data input'!$D$3:$E$130,2,FALSE),0)</f>
        <v>0.99566755163698739</v>
      </c>
      <c r="S20" s="5">
        <f>IF($E20&gt;=S$2,VLOOKUP($E20-S$2,'data input'!$D$3:$E$130,2,FALSE),0)</f>
        <v>0.99653302619695938</v>
      </c>
      <c r="T20" s="5">
        <f>IF($E20&gt;=T$2,VLOOKUP($E20-T$2,'data input'!$D$3:$E$130,2,FALSE),0)</f>
        <v>0.99723991460873751</v>
      </c>
      <c r="U20" s="5">
        <f>IF($E20&gt;=U$2,VLOOKUP($E20-U$2,'data input'!$D$3:$E$130,2,FALSE),0)</f>
        <v>0.99781403854508677</v>
      </c>
      <c r="V20" s="5">
        <f>IF($E20&gt;=V$2,VLOOKUP($E20-V$2,'data input'!$D$3:$E$130,2,FALSE),0)</f>
        <v>0.99827771888413241</v>
      </c>
      <c r="W20" s="5">
        <f>IF($E20&gt;=W$2,VLOOKUP($E20-W$2,'data input'!$D$3:$E$130,2,FALSE),0)</f>
        <v>0.9986501019683699</v>
      </c>
      <c r="X20" s="5">
        <f>IF($E20&gt;=X$2,VLOOKUP($E20-X$2,'data input'!$D$3:$E$130,2,FALSE),0)</f>
        <v>0</v>
      </c>
      <c r="Y20" s="5">
        <f>IF($E20&gt;=Y$2,VLOOKUP($E20-Y$2,'data input'!$D$3:$E$130,2,FALSE),0)</f>
        <v>0</v>
      </c>
      <c r="Z20" s="5">
        <f>IF($E20&gt;=Z$2,VLOOKUP($E20-Z$2,'data input'!$D$3:$E$130,2,FALSE),0)</f>
        <v>0</v>
      </c>
      <c r="AA20" s="5">
        <f>IF($E20&gt;=AA$2,VLOOKUP($E20-AA$2,'data input'!$D$3:$E$130,2,FALSE),0)</f>
        <v>0</v>
      </c>
      <c r="AB20" s="5">
        <f>IF($E20&gt;=AB$2,VLOOKUP($E20-AB$2,'data input'!$D$3:$E$130,2,FALSE),0)</f>
        <v>0</v>
      </c>
      <c r="AC20" s="5">
        <f>IF($E20&gt;=AC$2,VLOOKUP($E20-AC$2,'data input'!$D$3:$E$130,2,FALSE),0)</f>
        <v>0</v>
      </c>
      <c r="AD20" s="5">
        <f>IF($E20&gt;=AD$2,VLOOKUP($E20-AD$2,'data input'!$D$3:$E$130,2,FALSE),0)</f>
        <v>0</v>
      </c>
      <c r="AE20" s="5">
        <f>IF($E20&gt;=AE$2,VLOOKUP($E20-AE$2,'data input'!$D$3:$E$130,2,FALSE),0)</f>
        <v>0</v>
      </c>
      <c r="AF20" s="5">
        <f>IF($E20&gt;=AF$2,VLOOKUP($E20-AF$2,'data input'!$D$3:$E$130,2,FALSE),0)</f>
        <v>0</v>
      </c>
      <c r="AG20" s="5">
        <f>IF($E20&gt;=AG$2,VLOOKUP($E20-AG$2,'data input'!$D$3:$E$130,2,FALSE),0)</f>
        <v>0</v>
      </c>
      <c r="AH20" s="5">
        <f>IF($E20&gt;=AH$2,VLOOKUP($E20-AH$2,'data input'!$D$3:$E$130,2,FALSE),0)</f>
        <v>0</v>
      </c>
      <c r="AI20" s="5">
        <f>IF($E20&gt;=AI$2,VLOOKUP($E20-AI$2,'data input'!$D$3:$E$130,2,FALSE),0)</f>
        <v>0</v>
      </c>
      <c r="AJ20" s="5">
        <f>IF($E20&gt;=AJ$2,VLOOKUP($E20-AJ$2,'data input'!$D$3:$E$130,2,FALSE),0)</f>
        <v>0</v>
      </c>
      <c r="AK20" s="5">
        <f>IF($E20&gt;=AK$2,VLOOKUP($E20-AK$2,'data input'!$D$3:$E$130,2,FALSE),0)</f>
        <v>0</v>
      </c>
      <c r="AL20" s="5">
        <f>IF($E20&gt;=AL$2,VLOOKUP($E20-AL$2,'data input'!$D$3:$E$130,2,FALSE),0)</f>
        <v>0</v>
      </c>
      <c r="AM20" s="5">
        <f>IF($E20&gt;=AM$2,VLOOKUP($E20-AM$2,'data input'!$D$3:$E$130,2,FALSE),0)</f>
        <v>0</v>
      </c>
      <c r="AN20" s="5">
        <f>IF($E20&gt;=AN$2,VLOOKUP($E20-AN$2,'data input'!$D$3:$E$130,2,FALSE),0)</f>
        <v>0</v>
      </c>
      <c r="AO20" s="5">
        <f>IF($E20&gt;=AO$2,VLOOKUP($E20-AO$2,'data input'!$D$3:$E$130,2,FALSE),0)</f>
        <v>0</v>
      </c>
      <c r="AP20" s="5">
        <f>IF($E20&gt;=AP$2,VLOOKUP($E20-AP$2,'data input'!$D$3:$E$130,2,FALSE),0)</f>
        <v>0</v>
      </c>
      <c r="AQ20" s="5">
        <f>IF($E20&gt;=AQ$2,VLOOKUP($E20-AQ$2,'data input'!$D$3:$E$130,2,FALSE),0)</f>
        <v>0</v>
      </c>
      <c r="AR20" s="5">
        <f>IF($E20&gt;=AR$2,VLOOKUP($E20-AR$2,'data input'!$D$3:$E$130,2,FALSE),0)</f>
        <v>0</v>
      </c>
      <c r="AS20" s="5">
        <f>IF($E20&gt;=AS$2,VLOOKUP($E20-AS$2,'data input'!$D$3:$E$130,2,FALSE),0)</f>
        <v>0</v>
      </c>
      <c r="AT20" s="5">
        <f>IF($E20&gt;=AT$2,VLOOKUP($E20-AT$2,'data input'!$D$3:$E$130,2,FALSE),0)</f>
        <v>0</v>
      </c>
      <c r="AU20" s="5">
        <f>IF($E20&gt;=AU$2,VLOOKUP($E20-AU$2,'data input'!$D$3:$E$130,2,FALSE),0)</f>
        <v>0</v>
      </c>
      <c r="AV20" s="5">
        <f>IF($E20&gt;=AV$2,VLOOKUP($E20-AV$2,'data input'!$D$3:$E$130,2,FALSE),0)</f>
        <v>0</v>
      </c>
      <c r="AW20" s="5">
        <f>IF($E20&gt;=AW$2,VLOOKUP($E20-AW$2,'data input'!$D$3:$E$130,2,FALSE),0)</f>
        <v>0</v>
      </c>
      <c r="AX20" s="5">
        <f>IF($E20&gt;=AX$2,VLOOKUP($E20-AX$2,'data input'!$D$3:$E$130,2,FALSE),0)</f>
        <v>0</v>
      </c>
      <c r="AY20" s="5">
        <f>IF($E20&gt;=AY$2,VLOOKUP($E20-AY$2,'data input'!$D$3:$E$130,2,FALSE),0)</f>
        <v>0</v>
      </c>
      <c r="AZ20" s="5">
        <f>IF($E20&gt;=AZ$2,VLOOKUP($E20-AZ$2,'data input'!$D$3:$E$130,2,FALSE),0)</f>
        <v>0</v>
      </c>
      <c r="BA20" s="5">
        <f>IF($E20&gt;=BA$2,VLOOKUP($E20-BA$2,'data input'!$D$3:$E$130,2,FALSE),0)</f>
        <v>0</v>
      </c>
      <c r="BB20" s="5">
        <f>IF($E20&gt;=BB$2,VLOOKUP($E20-BB$2,'data input'!$D$3:$E$130,2,FALSE),0)</f>
        <v>0</v>
      </c>
      <c r="BC20" s="5">
        <f>IF($E20&gt;=BC$2,VLOOKUP($E20-BC$2,'data input'!$D$3:$E$130,2,FALSE),0)</f>
        <v>0</v>
      </c>
      <c r="BD20" s="5">
        <f>IF($E20&gt;=BD$2,VLOOKUP($E20-BD$2,'data input'!$D$3:$E$130,2,FALSE),0)</f>
        <v>0</v>
      </c>
      <c r="BE20" s="5">
        <f>IF($E20&gt;=BE$2,VLOOKUP($E20-BE$2,'data input'!$D$3:$E$130,2,FALSE),0)</f>
        <v>0</v>
      </c>
      <c r="BF20" s="5">
        <f>IF($E20&gt;=BF$2,VLOOKUP($E20-BF$2,'data input'!$D$3:$E$130,2,FALSE),0)</f>
        <v>0</v>
      </c>
      <c r="BG20" s="5">
        <f>IF($E20&gt;=BG$2,VLOOKUP($E20-BG$2,'data input'!$D$3:$E$130,2,FALSE),0)</f>
        <v>0</v>
      </c>
      <c r="BH20" s="5">
        <f>IF($E20&gt;=BH$2,VLOOKUP($E20-BH$2,'data input'!$D$3:$E$130,2,FALSE),0)</f>
        <v>0</v>
      </c>
      <c r="BI20" s="5">
        <f>IF($E20&gt;=BI$2,VLOOKUP($E20-BI$2,'data input'!$D$3:$E$130,2,FALSE),0)</f>
        <v>0</v>
      </c>
      <c r="BJ20" s="5">
        <f>IF($E20&gt;=BJ$2,VLOOKUP($E20-BJ$2,'data input'!$D$3:$E$130,2,FALSE),0)</f>
        <v>0</v>
      </c>
      <c r="BK20" s="5">
        <f>IF($E20&gt;=BK$2,VLOOKUP($E20-BK$2,'data input'!$D$3:$E$130,2,FALSE),0)</f>
        <v>0</v>
      </c>
      <c r="BL20" s="5">
        <f>IF($E20&gt;=BL$2,VLOOKUP($E20-BL$2,'data input'!$D$3:$E$130,2,FALSE),0)</f>
        <v>0</v>
      </c>
      <c r="BM20" s="5">
        <f>IF($E20&gt;=BM$2,VLOOKUP($E20-BM$2,'data input'!$D$3:$E$130,2,FALSE),0)</f>
        <v>0</v>
      </c>
      <c r="BN20" s="5">
        <f>IF($E20&gt;=BN$2,VLOOKUP($E20-BN$2,'data input'!$D$3:$E$130,2,FALSE),0)</f>
        <v>0</v>
      </c>
      <c r="BO20" s="5">
        <f>IF($E20&gt;=BO$2,VLOOKUP($E20-BO$2,'data input'!$D$3:$E$130,2,FALSE),0)</f>
        <v>0</v>
      </c>
      <c r="BP20" s="5">
        <f>IF($E20&gt;=BP$2,VLOOKUP($E20-BP$2,'data input'!$D$3:$E$130,2,FALSE),0)</f>
        <v>0</v>
      </c>
      <c r="BQ20" s="5">
        <f>IF($E20&gt;=BQ$2,VLOOKUP($E20-BQ$2,'data input'!$D$3:$E$130,2,FALSE),0)</f>
        <v>0</v>
      </c>
      <c r="BR20" s="5">
        <f>IF($E20&gt;=BR$2,VLOOKUP($E20-BR$2,'data input'!$D$3:$E$130,2,FALSE),0)</f>
        <v>0</v>
      </c>
      <c r="BS20" s="5">
        <f>IF($E20&gt;=BS$2,VLOOKUP($E20-BS$2,'data input'!$D$3:$E$130,2,FALSE),0)</f>
        <v>0</v>
      </c>
      <c r="BT20" s="5">
        <f>IF($E20&gt;=BT$2,VLOOKUP($E20-BT$2,'data input'!$D$3:$E$130,2,FALSE),0)</f>
        <v>0</v>
      </c>
      <c r="BU20" s="5">
        <f>IF($E20&gt;=BU$2,VLOOKUP($E20-BU$2,'data input'!$D$3:$E$130,2,FALSE),0)</f>
        <v>0</v>
      </c>
      <c r="BV20" s="5">
        <f>IF($E20&gt;=BV$2,VLOOKUP($E20-BV$2,'data input'!$D$3:$E$130,2,FALSE),0)</f>
        <v>0</v>
      </c>
      <c r="BW20" s="5">
        <f>IF($E20&gt;=BW$2,VLOOKUP($E20-BW$2,'data input'!$D$3:$E$130,2,FALSE),0)</f>
        <v>0</v>
      </c>
      <c r="BX20" s="5">
        <f>IF($E20&gt;=BX$2,VLOOKUP($E20-BX$2,'data input'!$D$3:$E$130,2,FALSE),0)</f>
        <v>0</v>
      </c>
      <c r="BY20" s="5">
        <f>IF($E20&gt;=BY$2,VLOOKUP($E20-BY$2,'data input'!$D$3:$E$130,2,FALSE),0)</f>
        <v>0</v>
      </c>
      <c r="BZ20" s="5">
        <f>IF($E20&gt;=BZ$2,VLOOKUP($E20-BZ$2,'data input'!$D$3:$E$130,2,FALSE),0)</f>
        <v>0</v>
      </c>
      <c r="CA20" s="5">
        <f>IF($E20&gt;=CA$2,VLOOKUP($E20-CA$2,'data input'!$D$3:$E$130,2,FALSE),0)</f>
        <v>0</v>
      </c>
      <c r="CB20" s="5">
        <f>IF($E20&gt;=CB$2,VLOOKUP($E20-CB$2,'data input'!$D$3:$E$130,2,FALSE),0)</f>
        <v>0</v>
      </c>
      <c r="CC20" s="5">
        <f>IF($E20&gt;=CC$2,VLOOKUP($E20-CC$2,'data input'!$D$3:$E$130,2,FALSE),0)</f>
        <v>0</v>
      </c>
      <c r="CD20" s="5">
        <f>IF($E20&gt;=CD$2,VLOOKUP($E20-CD$2,'data input'!$D$3:$E$130,2,FALSE),0)</f>
        <v>0</v>
      </c>
      <c r="CE20" s="5">
        <f>IF($E20&gt;=CE$2,VLOOKUP($E20-CE$2,'data input'!$D$3:$E$130,2,FALSE),0)</f>
        <v>0</v>
      </c>
      <c r="CF20" s="5">
        <f>IF($E20&gt;=CF$2,VLOOKUP($E20-CF$2,'data input'!$D$3:$E$130,2,FALSE),0)</f>
        <v>0</v>
      </c>
      <c r="CG20" s="5">
        <f>IF($E20&gt;=CG$2,VLOOKUP($E20-CG$2,'data input'!$D$3:$E$130,2,FALSE),0)</f>
        <v>0</v>
      </c>
      <c r="CH20" s="5">
        <f>IF($E20&gt;=CH$2,VLOOKUP($E20-CH$2,'data input'!$D$3:$E$130,2,FALSE),0)</f>
        <v>0</v>
      </c>
      <c r="CI20" s="5">
        <f>IF($E20&gt;=CI$2,VLOOKUP($E20-CI$2,'data input'!$D$3:$E$130,2,FALSE),0)</f>
        <v>0</v>
      </c>
      <c r="CJ20" s="5">
        <f>IF($E20&gt;=CJ$2,VLOOKUP($E20-CJ$2,'data input'!$D$3:$E$130,2,FALSE),0)</f>
        <v>0</v>
      </c>
      <c r="CK20" s="5">
        <f>IF($E20&gt;=CK$2,VLOOKUP($E20-CK$2,'data input'!$D$3:$E$130,2,FALSE),0)</f>
        <v>0</v>
      </c>
      <c r="CL20" s="5">
        <f>IF($E20&gt;=CL$2,VLOOKUP($E20-CL$2,'data input'!$D$3:$E$130,2,FALSE),0)</f>
        <v>0</v>
      </c>
      <c r="CM20" s="5">
        <f>IF($E20&gt;=CM$2,VLOOKUP($E20-CM$2,'data input'!$D$3:$E$130,2,FALSE),0)</f>
        <v>0</v>
      </c>
      <c r="CN20" s="5">
        <f>IF($E20&gt;=CN$2,VLOOKUP($E20-CN$2,'data input'!$D$3:$E$130,2,FALSE),0)</f>
        <v>0</v>
      </c>
      <c r="CO20" s="5">
        <f>IF($E20&gt;=CO$2,VLOOKUP($E20-CO$2,'data input'!$D$3:$E$130,2,FALSE),0)</f>
        <v>0</v>
      </c>
      <c r="CP20" s="5">
        <f>IF($E20&gt;=CP$2,VLOOKUP($E20-CP$2,'data input'!$D$3:$E$130,2,FALSE),0)</f>
        <v>0</v>
      </c>
      <c r="CQ20" s="5">
        <f>IF($E20&gt;=CQ$2,VLOOKUP($E20-CQ$2,'data input'!$D$3:$E$130,2,FALSE),0)</f>
        <v>0</v>
      </c>
      <c r="CR20" s="5">
        <f>IF($E20&gt;=CR$2,VLOOKUP($E20-CR$2,'data input'!$D$3:$E$130,2,FALSE),0)</f>
        <v>0</v>
      </c>
      <c r="CS20" s="5">
        <f>IF($E20&gt;=CS$2,VLOOKUP($E20-CS$2,'data input'!$D$3:$E$130,2,FALSE),0)</f>
        <v>0</v>
      </c>
      <c r="CT20" s="5">
        <f>IF($E20&gt;=CT$2,VLOOKUP($E20-CT$2,'data input'!$D$3:$E$130,2,FALSE),0)</f>
        <v>0</v>
      </c>
      <c r="CU20" s="5">
        <f>IF($E20&gt;=CU$2,VLOOKUP($E20-CU$2,'data input'!$D$3:$E$130,2,FALSE),0)</f>
        <v>0</v>
      </c>
      <c r="CV20" s="5">
        <f>IF($E20&gt;=CV$2,VLOOKUP($E20-CV$2,'data input'!$D$3:$E$130,2,FALSE),0)</f>
        <v>0</v>
      </c>
      <c r="CW20" s="5">
        <f>IF($E20&gt;=CW$2,VLOOKUP($E20-CW$2,'data input'!$D$3:$E$130,2,FALSE),0)</f>
        <v>0</v>
      </c>
      <c r="CX20" s="5">
        <f>IF($E20&gt;=CX$2,VLOOKUP($E20-CX$2,'data input'!$D$3:$E$130,2,FALSE),0)</f>
        <v>0</v>
      </c>
      <c r="CY20" s="5">
        <f>IF($E20&gt;=CY$2,VLOOKUP($E20-CY$2,'data input'!$D$3:$E$130,2,FALSE),0)</f>
        <v>0</v>
      </c>
      <c r="CZ20" s="5">
        <f>IF($E20&gt;=CZ$2,VLOOKUP($E20-CZ$2,'data input'!$D$3:$E$130,2,FALSE),0)</f>
        <v>0</v>
      </c>
      <c r="DA20" s="5">
        <f>IF($E20&gt;=DA$2,VLOOKUP($E20-DA$2,'data input'!$D$3:$E$130,2,FALSE),0)</f>
        <v>0</v>
      </c>
      <c r="DB20" s="5">
        <f>IF($E20&gt;=DB$2,VLOOKUP($E20-DB$2,'data input'!$D$3:$E$130,2,FALSE),0)</f>
        <v>0</v>
      </c>
      <c r="DC20" s="5">
        <f>IF($E20&gt;=DC$2,VLOOKUP($E20-DC$2,'data input'!$D$3:$E$130,2,FALSE),0)</f>
        <v>0</v>
      </c>
      <c r="DD20" s="5">
        <f>IF($E20&gt;=DD$2,VLOOKUP($E20-DD$2,'data input'!$D$3:$E$130,2,FALSE),0)</f>
        <v>0</v>
      </c>
      <c r="DE20" s="5">
        <f>IF($E20&gt;=DE$2,VLOOKUP($E20-DE$2,'data input'!$D$3:$E$130,2,FALSE),0)</f>
        <v>0</v>
      </c>
      <c r="DF20" s="5">
        <f>IF($E20&gt;=DF$2,VLOOKUP($E20-DF$2,'data input'!$D$3:$E$130,2,FALSE),0)</f>
        <v>0</v>
      </c>
      <c r="DG20" s="5">
        <f>IF($E20&gt;=DG$2,VLOOKUP($E20-DG$2,'data input'!$D$3:$E$130,2,FALSE),0)</f>
        <v>0</v>
      </c>
      <c r="DH20" s="5">
        <f>IF($E20&gt;=DH$2,VLOOKUP($E20-DH$2,'data input'!$D$3:$E$130,2,FALSE),0)</f>
        <v>0</v>
      </c>
      <c r="DI20" s="5">
        <f>IF($E20&gt;=DI$2,VLOOKUP($E20-DI$2,'data input'!$D$3:$E$130,2,FALSE),0)</f>
        <v>0</v>
      </c>
      <c r="DJ20" s="5">
        <f>IF($E20&gt;=DJ$2,VLOOKUP($E20-DJ$2,'data input'!$D$3:$E$130,2,FALSE),0)</f>
        <v>0</v>
      </c>
      <c r="DK20" s="5">
        <f>IF($E20&gt;=DK$2,VLOOKUP($E20-DK$2,'data input'!$D$3:$E$130,2,FALSE),0)</f>
        <v>0</v>
      </c>
      <c r="DL20" s="5">
        <f>IF($E20&gt;=DL$2,VLOOKUP($E20-DL$2,'data input'!$D$3:$E$130,2,FALSE),0)</f>
        <v>0</v>
      </c>
      <c r="DM20" s="5">
        <f>IF($E20&gt;=DM$2,VLOOKUP($E20-DM$2,'data input'!$D$3:$E$130,2,FALSE),0)</f>
        <v>0</v>
      </c>
      <c r="DN20" s="5">
        <f>IF($E20&gt;=DN$2,VLOOKUP($E20-DN$2,'data input'!$D$3:$E$130,2,FALSE),0)</f>
        <v>0</v>
      </c>
      <c r="DO20" s="5">
        <f>IF($E20&gt;=DO$2,VLOOKUP($E20-DO$2,'data input'!$D$3:$E$130,2,FALSE),0)</f>
        <v>0</v>
      </c>
      <c r="DP20" s="5">
        <f>IF($E20&gt;=DP$2,VLOOKUP($E20-DP$2,'data input'!$D$3:$E$130,2,FALSE),0)</f>
        <v>0</v>
      </c>
      <c r="DQ20" s="5">
        <f>IF($E20&gt;=DQ$2,VLOOKUP($E20-DQ$2,'data input'!$D$3:$E$130,2,FALSE),0)</f>
        <v>0</v>
      </c>
      <c r="DR20" s="5">
        <f>IF($E20&gt;=DR$2,VLOOKUP($E20-DR$2,'data input'!$D$3:$E$130,2,FALSE),0)</f>
        <v>0</v>
      </c>
      <c r="DS20" s="5">
        <f>IF($E20&gt;=DS$2,VLOOKUP($E20-DS$2,'data input'!$D$3:$E$130,2,FALSE),0)</f>
        <v>0</v>
      </c>
      <c r="DT20" s="5">
        <f>IF($E20&gt;=DT$2,VLOOKUP($E20-DT$2,'data input'!$D$3:$E$130,2,FALSE),0)</f>
        <v>0</v>
      </c>
      <c r="DU20" s="5">
        <f>IF($E20&gt;=DU$2,VLOOKUP($E20-DU$2,'data input'!$D$3:$E$130,2,FALSE),0)</f>
        <v>0</v>
      </c>
      <c r="DV20" s="5">
        <f>IF($E20&gt;=DV$2,VLOOKUP($E20-DV$2,'data input'!$D$3:$E$130,2,FALSE),0)</f>
        <v>0</v>
      </c>
      <c r="DW20" s="5">
        <f>IF($E20&gt;=DW$2,VLOOKUP($E20-DW$2,'data input'!$D$3:$E$130,2,FALSE),0)</f>
        <v>0</v>
      </c>
      <c r="DX20" s="5">
        <f>IF($E20&gt;=DX$2,VLOOKUP($E20-DX$2,'data input'!$D$3:$E$130,2,FALSE),0)</f>
        <v>0</v>
      </c>
      <c r="DY20" s="5">
        <f>IF($E20&gt;=DY$2,VLOOKUP($E20-DY$2,'data input'!$D$3:$E$130,2,FALSE),0)</f>
        <v>0</v>
      </c>
      <c r="DZ20" s="5">
        <f>IF($E20&gt;=DZ$2,VLOOKUP($E20-DZ$2,'data input'!$D$3:$E$130,2,FALSE),0)</f>
        <v>0</v>
      </c>
      <c r="EA20" s="5">
        <f>IF($E20&gt;=EA$2,VLOOKUP($E20-EA$2,'data input'!$D$3:$E$130,2,FALSE),0)</f>
        <v>0</v>
      </c>
      <c r="EB20" s="5">
        <f>IF($E20&gt;=EB$2,VLOOKUP($E20-EB$2,'data input'!$D$3:$E$130,2,FALSE),0)</f>
        <v>0</v>
      </c>
      <c r="EC20" s="5">
        <f>IF($E20&gt;=EC$2,VLOOKUP($E20-EC$2,'data input'!$D$3:$E$130,2,FALSE),0)</f>
        <v>0</v>
      </c>
    </row>
    <row r="21" spans="5:133">
      <c r="E21" s="7">
        <f>'data input'!B21</f>
        <v>1896</v>
      </c>
      <c r="F21" s="5">
        <f>IF($E21&gt;=F$2,VLOOKUP($E21-F$2,'data input'!$D$3:$E$130,2,FALSE),0)</f>
        <v>0.9505285319663519</v>
      </c>
      <c r="G21" s="5">
        <f>IF($E21&gt;=G$2,VLOOKUP($E21-G$2,'data input'!$D$3:$E$130,2,FALSE),0)</f>
        <v>0.95773626374204757</v>
      </c>
      <c r="H21" s="5">
        <f>IF($E21&gt;=H$2,VLOOKUP($E21-H$2,'data input'!$D$3:$E$130,2,FALSE),0)</f>
        <v>0.96406968088707423</v>
      </c>
      <c r="I21" s="5">
        <f>IF($E21&gt;=I$2,VLOOKUP($E21-I$2,'data input'!$D$3:$E$130,2,FALSE),0)</f>
        <v>0.96960363823473861</v>
      </c>
      <c r="J21" s="5">
        <f>IF($E21&gt;=J$2,VLOOKUP($E21-J$2,'data input'!$D$3:$E$130,2,FALSE),0)</f>
        <v>0.97441194047836144</v>
      </c>
      <c r="K21" s="5">
        <f>IF($E21&gt;=K$2,VLOOKUP($E21-K$2,'data input'!$D$3:$E$130,2,FALSE),0)</f>
        <v>0.97856631788584703</v>
      </c>
      <c r="L21" s="5">
        <f>IF($E21&gt;=L$2,VLOOKUP($E21-L$2,'data input'!$D$3:$E$130,2,FALSE),0)</f>
        <v>0.98213557943718344</v>
      </c>
      <c r="M21" s="5">
        <f>IF($E21&gt;=M$2,VLOOKUP($E21-M$2,'data input'!$D$3:$E$130,2,FALSE),0)</f>
        <v>0.98518494180739014</v>
      </c>
      <c r="N21" s="5">
        <f>IF($E21&gt;=N$2,VLOOKUP($E21-N$2,'data input'!$D$3:$E$130,2,FALSE),0)</f>
        <v>0.98777552734495533</v>
      </c>
      <c r="O21" s="5">
        <f>IF($E21&gt;=O$2,VLOOKUP($E21-O$2,'data input'!$D$3:$E$130,2,FALSE),0)</f>
        <v>0.98996401989972593</v>
      </c>
      <c r="P21" s="5">
        <f>IF($E21&gt;=P$2,VLOOKUP($E21-P$2,'data input'!$D$3:$E$130,2,FALSE),0)</f>
        <v>0.99180246407540384</v>
      </c>
      <c r="Q21" s="5">
        <f>IF($E21&gt;=Q$2,VLOOKUP($E21-Q$2,'data input'!$D$3:$E$130,2,FALSE),0)</f>
        <v>0.99333819120801725</v>
      </c>
      <c r="R21" s="5">
        <f>IF($E21&gt;=R$2,VLOOKUP($E21-R$2,'data input'!$D$3:$E$130,2,FALSE),0)</f>
        <v>0.99461385404593328</v>
      </c>
      <c r="S21" s="5">
        <f>IF($E21&gt;=S$2,VLOOKUP($E21-S$2,'data input'!$D$3:$E$130,2,FALSE),0)</f>
        <v>0.99566755163698739</v>
      </c>
      <c r="T21" s="5">
        <f>IF($E21&gt;=T$2,VLOOKUP($E21-T$2,'data input'!$D$3:$E$130,2,FALSE),0)</f>
        <v>0.99653302619695938</v>
      </c>
      <c r="U21" s="5">
        <f>IF($E21&gt;=U$2,VLOOKUP($E21-U$2,'data input'!$D$3:$E$130,2,FALSE),0)</f>
        <v>0.99723991460873751</v>
      </c>
      <c r="V21" s="5">
        <f>IF($E21&gt;=V$2,VLOOKUP($E21-V$2,'data input'!$D$3:$E$130,2,FALSE),0)</f>
        <v>0.99781403854508677</v>
      </c>
      <c r="W21" s="5">
        <f>IF($E21&gt;=W$2,VLOOKUP($E21-W$2,'data input'!$D$3:$E$130,2,FALSE),0)</f>
        <v>0.99827771888413241</v>
      </c>
      <c r="X21" s="5">
        <f>IF($E21&gt;=X$2,VLOOKUP($E21-X$2,'data input'!$D$3:$E$130,2,FALSE),0)</f>
        <v>0.9986501019683699</v>
      </c>
      <c r="Y21" s="5">
        <f>IF($E21&gt;=Y$2,VLOOKUP($E21-Y$2,'data input'!$D$3:$E$130,2,FALSE),0)</f>
        <v>0</v>
      </c>
      <c r="Z21" s="5">
        <f>IF($E21&gt;=Z$2,VLOOKUP($E21-Z$2,'data input'!$D$3:$E$130,2,FALSE),0)</f>
        <v>0</v>
      </c>
      <c r="AA21" s="5">
        <f>IF($E21&gt;=AA$2,VLOOKUP($E21-AA$2,'data input'!$D$3:$E$130,2,FALSE),0)</f>
        <v>0</v>
      </c>
      <c r="AB21" s="5">
        <f>IF($E21&gt;=AB$2,VLOOKUP($E21-AB$2,'data input'!$D$3:$E$130,2,FALSE),0)</f>
        <v>0</v>
      </c>
      <c r="AC21" s="5">
        <f>IF($E21&gt;=AC$2,VLOOKUP($E21-AC$2,'data input'!$D$3:$E$130,2,FALSE),0)</f>
        <v>0</v>
      </c>
      <c r="AD21" s="5">
        <f>IF($E21&gt;=AD$2,VLOOKUP($E21-AD$2,'data input'!$D$3:$E$130,2,FALSE),0)</f>
        <v>0</v>
      </c>
      <c r="AE21" s="5">
        <f>IF($E21&gt;=AE$2,VLOOKUP($E21-AE$2,'data input'!$D$3:$E$130,2,FALSE),0)</f>
        <v>0</v>
      </c>
      <c r="AF21" s="5">
        <f>IF($E21&gt;=AF$2,VLOOKUP($E21-AF$2,'data input'!$D$3:$E$130,2,FALSE),0)</f>
        <v>0</v>
      </c>
      <c r="AG21" s="5">
        <f>IF($E21&gt;=AG$2,VLOOKUP($E21-AG$2,'data input'!$D$3:$E$130,2,FALSE),0)</f>
        <v>0</v>
      </c>
      <c r="AH21" s="5">
        <f>IF($E21&gt;=AH$2,VLOOKUP($E21-AH$2,'data input'!$D$3:$E$130,2,FALSE),0)</f>
        <v>0</v>
      </c>
      <c r="AI21" s="5">
        <f>IF($E21&gt;=AI$2,VLOOKUP($E21-AI$2,'data input'!$D$3:$E$130,2,FALSE),0)</f>
        <v>0</v>
      </c>
      <c r="AJ21" s="5">
        <f>IF($E21&gt;=AJ$2,VLOOKUP($E21-AJ$2,'data input'!$D$3:$E$130,2,FALSE),0)</f>
        <v>0</v>
      </c>
      <c r="AK21" s="5">
        <f>IF($E21&gt;=AK$2,VLOOKUP($E21-AK$2,'data input'!$D$3:$E$130,2,FALSE),0)</f>
        <v>0</v>
      </c>
      <c r="AL21" s="5">
        <f>IF($E21&gt;=AL$2,VLOOKUP($E21-AL$2,'data input'!$D$3:$E$130,2,FALSE),0)</f>
        <v>0</v>
      </c>
      <c r="AM21" s="5">
        <f>IF($E21&gt;=AM$2,VLOOKUP($E21-AM$2,'data input'!$D$3:$E$130,2,FALSE),0)</f>
        <v>0</v>
      </c>
      <c r="AN21" s="5">
        <f>IF($E21&gt;=AN$2,VLOOKUP($E21-AN$2,'data input'!$D$3:$E$130,2,FALSE),0)</f>
        <v>0</v>
      </c>
      <c r="AO21" s="5">
        <f>IF($E21&gt;=AO$2,VLOOKUP($E21-AO$2,'data input'!$D$3:$E$130,2,FALSE),0)</f>
        <v>0</v>
      </c>
      <c r="AP21" s="5">
        <f>IF($E21&gt;=AP$2,VLOOKUP($E21-AP$2,'data input'!$D$3:$E$130,2,FALSE),0)</f>
        <v>0</v>
      </c>
      <c r="AQ21" s="5">
        <f>IF($E21&gt;=AQ$2,VLOOKUP($E21-AQ$2,'data input'!$D$3:$E$130,2,FALSE),0)</f>
        <v>0</v>
      </c>
      <c r="AR21" s="5">
        <f>IF($E21&gt;=AR$2,VLOOKUP($E21-AR$2,'data input'!$D$3:$E$130,2,FALSE),0)</f>
        <v>0</v>
      </c>
      <c r="AS21" s="5">
        <f>IF($E21&gt;=AS$2,VLOOKUP($E21-AS$2,'data input'!$D$3:$E$130,2,FALSE),0)</f>
        <v>0</v>
      </c>
      <c r="AT21" s="5">
        <f>IF($E21&gt;=AT$2,VLOOKUP($E21-AT$2,'data input'!$D$3:$E$130,2,FALSE),0)</f>
        <v>0</v>
      </c>
      <c r="AU21" s="5">
        <f>IF($E21&gt;=AU$2,VLOOKUP($E21-AU$2,'data input'!$D$3:$E$130,2,FALSE),0)</f>
        <v>0</v>
      </c>
      <c r="AV21" s="5">
        <f>IF($E21&gt;=AV$2,VLOOKUP($E21-AV$2,'data input'!$D$3:$E$130,2,FALSE),0)</f>
        <v>0</v>
      </c>
      <c r="AW21" s="5">
        <f>IF($E21&gt;=AW$2,VLOOKUP($E21-AW$2,'data input'!$D$3:$E$130,2,FALSE),0)</f>
        <v>0</v>
      </c>
      <c r="AX21" s="5">
        <f>IF($E21&gt;=AX$2,VLOOKUP($E21-AX$2,'data input'!$D$3:$E$130,2,FALSE),0)</f>
        <v>0</v>
      </c>
      <c r="AY21" s="5">
        <f>IF($E21&gt;=AY$2,VLOOKUP($E21-AY$2,'data input'!$D$3:$E$130,2,FALSE),0)</f>
        <v>0</v>
      </c>
      <c r="AZ21" s="5">
        <f>IF($E21&gt;=AZ$2,VLOOKUP($E21-AZ$2,'data input'!$D$3:$E$130,2,FALSE),0)</f>
        <v>0</v>
      </c>
      <c r="BA21" s="5">
        <f>IF($E21&gt;=BA$2,VLOOKUP($E21-BA$2,'data input'!$D$3:$E$130,2,FALSE),0)</f>
        <v>0</v>
      </c>
      <c r="BB21" s="5">
        <f>IF($E21&gt;=BB$2,VLOOKUP($E21-BB$2,'data input'!$D$3:$E$130,2,FALSE),0)</f>
        <v>0</v>
      </c>
      <c r="BC21" s="5">
        <f>IF($E21&gt;=BC$2,VLOOKUP($E21-BC$2,'data input'!$D$3:$E$130,2,FALSE),0)</f>
        <v>0</v>
      </c>
      <c r="BD21" s="5">
        <f>IF($E21&gt;=BD$2,VLOOKUP($E21-BD$2,'data input'!$D$3:$E$130,2,FALSE),0)</f>
        <v>0</v>
      </c>
      <c r="BE21" s="5">
        <f>IF($E21&gt;=BE$2,VLOOKUP($E21-BE$2,'data input'!$D$3:$E$130,2,FALSE),0)</f>
        <v>0</v>
      </c>
      <c r="BF21" s="5">
        <f>IF($E21&gt;=BF$2,VLOOKUP($E21-BF$2,'data input'!$D$3:$E$130,2,FALSE),0)</f>
        <v>0</v>
      </c>
      <c r="BG21" s="5">
        <f>IF($E21&gt;=BG$2,VLOOKUP($E21-BG$2,'data input'!$D$3:$E$130,2,FALSE),0)</f>
        <v>0</v>
      </c>
      <c r="BH21" s="5">
        <f>IF($E21&gt;=BH$2,VLOOKUP($E21-BH$2,'data input'!$D$3:$E$130,2,FALSE),0)</f>
        <v>0</v>
      </c>
      <c r="BI21" s="5">
        <f>IF($E21&gt;=BI$2,VLOOKUP($E21-BI$2,'data input'!$D$3:$E$130,2,FALSE),0)</f>
        <v>0</v>
      </c>
      <c r="BJ21" s="5">
        <f>IF($E21&gt;=BJ$2,VLOOKUP($E21-BJ$2,'data input'!$D$3:$E$130,2,FALSE),0)</f>
        <v>0</v>
      </c>
      <c r="BK21" s="5">
        <f>IF($E21&gt;=BK$2,VLOOKUP($E21-BK$2,'data input'!$D$3:$E$130,2,FALSE),0)</f>
        <v>0</v>
      </c>
      <c r="BL21" s="5">
        <f>IF($E21&gt;=BL$2,VLOOKUP($E21-BL$2,'data input'!$D$3:$E$130,2,FALSE),0)</f>
        <v>0</v>
      </c>
      <c r="BM21" s="5">
        <f>IF($E21&gt;=BM$2,VLOOKUP($E21-BM$2,'data input'!$D$3:$E$130,2,FALSE),0)</f>
        <v>0</v>
      </c>
      <c r="BN21" s="5">
        <f>IF($E21&gt;=BN$2,VLOOKUP($E21-BN$2,'data input'!$D$3:$E$130,2,FALSE),0)</f>
        <v>0</v>
      </c>
      <c r="BO21" s="5">
        <f>IF($E21&gt;=BO$2,VLOOKUP($E21-BO$2,'data input'!$D$3:$E$130,2,FALSE),0)</f>
        <v>0</v>
      </c>
      <c r="BP21" s="5">
        <f>IF($E21&gt;=BP$2,VLOOKUP($E21-BP$2,'data input'!$D$3:$E$130,2,FALSE),0)</f>
        <v>0</v>
      </c>
      <c r="BQ21" s="5">
        <f>IF($E21&gt;=BQ$2,VLOOKUP($E21-BQ$2,'data input'!$D$3:$E$130,2,FALSE),0)</f>
        <v>0</v>
      </c>
      <c r="BR21" s="5">
        <f>IF($E21&gt;=BR$2,VLOOKUP($E21-BR$2,'data input'!$D$3:$E$130,2,FALSE),0)</f>
        <v>0</v>
      </c>
      <c r="BS21" s="5">
        <f>IF($E21&gt;=BS$2,VLOOKUP($E21-BS$2,'data input'!$D$3:$E$130,2,FALSE),0)</f>
        <v>0</v>
      </c>
      <c r="BT21" s="5">
        <f>IF($E21&gt;=BT$2,VLOOKUP($E21-BT$2,'data input'!$D$3:$E$130,2,FALSE),0)</f>
        <v>0</v>
      </c>
      <c r="BU21" s="5">
        <f>IF($E21&gt;=BU$2,VLOOKUP($E21-BU$2,'data input'!$D$3:$E$130,2,FALSE),0)</f>
        <v>0</v>
      </c>
      <c r="BV21" s="5">
        <f>IF($E21&gt;=BV$2,VLOOKUP($E21-BV$2,'data input'!$D$3:$E$130,2,FALSE),0)</f>
        <v>0</v>
      </c>
      <c r="BW21" s="5">
        <f>IF($E21&gt;=BW$2,VLOOKUP($E21-BW$2,'data input'!$D$3:$E$130,2,FALSE),0)</f>
        <v>0</v>
      </c>
      <c r="BX21" s="5">
        <f>IF($E21&gt;=BX$2,VLOOKUP($E21-BX$2,'data input'!$D$3:$E$130,2,FALSE),0)</f>
        <v>0</v>
      </c>
      <c r="BY21" s="5">
        <f>IF($E21&gt;=BY$2,VLOOKUP($E21-BY$2,'data input'!$D$3:$E$130,2,FALSE),0)</f>
        <v>0</v>
      </c>
      <c r="BZ21" s="5">
        <f>IF($E21&gt;=BZ$2,VLOOKUP($E21-BZ$2,'data input'!$D$3:$E$130,2,FALSE),0)</f>
        <v>0</v>
      </c>
      <c r="CA21" s="5">
        <f>IF($E21&gt;=CA$2,VLOOKUP($E21-CA$2,'data input'!$D$3:$E$130,2,FALSE),0)</f>
        <v>0</v>
      </c>
      <c r="CB21" s="5">
        <f>IF($E21&gt;=CB$2,VLOOKUP($E21-CB$2,'data input'!$D$3:$E$130,2,FALSE),0)</f>
        <v>0</v>
      </c>
      <c r="CC21" s="5">
        <f>IF($E21&gt;=CC$2,VLOOKUP($E21-CC$2,'data input'!$D$3:$E$130,2,FALSE),0)</f>
        <v>0</v>
      </c>
      <c r="CD21" s="5">
        <f>IF($E21&gt;=CD$2,VLOOKUP($E21-CD$2,'data input'!$D$3:$E$130,2,FALSE),0)</f>
        <v>0</v>
      </c>
      <c r="CE21" s="5">
        <f>IF($E21&gt;=CE$2,VLOOKUP($E21-CE$2,'data input'!$D$3:$E$130,2,FALSE),0)</f>
        <v>0</v>
      </c>
      <c r="CF21" s="5">
        <f>IF($E21&gt;=CF$2,VLOOKUP($E21-CF$2,'data input'!$D$3:$E$130,2,FALSE),0)</f>
        <v>0</v>
      </c>
      <c r="CG21" s="5">
        <f>IF($E21&gt;=CG$2,VLOOKUP($E21-CG$2,'data input'!$D$3:$E$130,2,FALSE),0)</f>
        <v>0</v>
      </c>
      <c r="CH21" s="5">
        <f>IF($E21&gt;=CH$2,VLOOKUP($E21-CH$2,'data input'!$D$3:$E$130,2,FALSE),0)</f>
        <v>0</v>
      </c>
      <c r="CI21" s="5">
        <f>IF($E21&gt;=CI$2,VLOOKUP($E21-CI$2,'data input'!$D$3:$E$130,2,FALSE),0)</f>
        <v>0</v>
      </c>
      <c r="CJ21" s="5">
        <f>IF($E21&gt;=CJ$2,VLOOKUP($E21-CJ$2,'data input'!$D$3:$E$130,2,FALSE),0)</f>
        <v>0</v>
      </c>
      <c r="CK21" s="5">
        <f>IF($E21&gt;=CK$2,VLOOKUP($E21-CK$2,'data input'!$D$3:$E$130,2,FALSE),0)</f>
        <v>0</v>
      </c>
      <c r="CL21" s="5">
        <f>IF($E21&gt;=CL$2,VLOOKUP($E21-CL$2,'data input'!$D$3:$E$130,2,FALSE),0)</f>
        <v>0</v>
      </c>
      <c r="CM21" s="5">
        <f>IF($E21&gt;=CM$2,VLOOKUP($E21-CM$2,'data input'!$D$3:$E$130,2,FALSE),0)</f>
        <v>0</v>
      </c>
      <c r="CN21" s="5">
        <f>IF($E21&gt;=CN$2,VLOOKUP($E21-CN$2,'data input'!$D$3:$E$130,2,FALSE),0)</f>
        <v>0</v>
      </c>
      <c r="CO21" s="5">
        <f>IF($E21&gt;=CO$2,VLOOKUP($E21-CO$2,'data input'!$D$3:$E$130,2,FALSE),0)</f>
        <v>0</v>
      </c>
      <c r="CP21" s="5">
        <f>IF($E21&gt;=CP$2,VLOOKUP($E21-CP$2,'data input'!$D$3:$E$130,2,FALSE),0)</f>
        <v>0</v>
      </c>
      <c r="CQ21" s="5">
        <f>IF($E21&gt;=CQ$2,VLOOKUP($E21-CQ$2,'data input'!$D$3:$E$130,2,FALSE),0)</f>
        <v>0</v>
      </c>
      <c r="CR21" s="5">
        <f>IF($E21&gt;=CR$2,VLOOKUP($E21-CR$2,'data input'!$D$3:$E$130,2,FALSE),0)</f>
        <v>0</v>
      </c>
      <c r="CS21" s="5">
        <f>IF($E21&gt;=CS$2,VLOOKUP($E21-CS$2,'data input'!$D$3:$E$130,2,FALSE),0)</f>
        <v>0</v>
      </c>
      <c r="CT21" s="5">
        <f>IF($E21&gt;=CT$2,VLOOKUP($E21-CT$2,'data input'!$D$3:$E$130,2,FALSE),0)</f>
        <v>0</v>
      </c>
      <c r="CU21" s="5">
        <f>IF($E21&gt;=CU$2,VLOOKUP($E21-CU$2,'data input'!$D$3:$E$130,2,FALSE),0)</f>
        <v>0</v>
      </c>
      <c r="CV21" s="5">
        <f>IF($E21&gt;=CV$2,VLOOKUP($E21-CV$2,'data input'!$D$3:$E$130,2,FALSE),0)</f>
        <v>0</v>
      </c>
      <c r="CW21" s="5">
        <f>IF($E21&gt;=CW$2,VLOOKUP($E21-CW$2,'data input'!$D$3:$E$130,2,FALSE),0)</f>
        <v>0</v>
      </c>
      <c r="CX21" s="5">
        <f>IF($E21&gt;=CX$2,VLOOKUP($E21-CX$2,'data input'!$D$3:$E$130,2,FALSE),0)</f>
        <v>0</v>
      </c>
      <c r="CY21" s="5">
        <f>IF($E21&gt;=CY$2,VLOOKUP($E21-CY$2,'data input'!$D$3:$E$130,2,FALSE),0)</f>
        <v>0</v>
      </c>
      <c r="CZ21" s="5">
        <f>IF($E21&gt;=CZ$2,VLOOKUP($E21-CZ$2,'data input'!$D$3:$E$130,2,FALSE),0)</f>
        <v>0</v>
      </c>
      <c r="DA21" s="5">
        <f>IF($E21&gt;=DA$2,VLOOKUP($E21-DA$2,'data input'!$D$3:$E$130,2,FALSE),0)</f>
        <v>0</v>
      </c>
      <c r="DB21" s="5">
        <f>IF($E21&gt;=DB$2,VLOOKUP($E21-DB$2,'data input'!$D$3:$E$130,2,FALSE),0)</f>
        <v>0</v>
      </c>
      <c r="DC21" s="5">
        <f>IF($E21&gt;=DC$2,VLOOKUP($E21-DC$2,'data input'!$D$3:$E$130,2,FALSE),0)</f>
        <v>0</v>
      </c>
      <c r="DD21" s="5">
        <f>IF($E21&gt;=DD$2,VLOOKUP($E21-DD$2,'data input'!$D$3:$E$130,2,FALSE),0)</f>
        <v>0</v>
      </c>
      <c r="DE21" s="5">
        <f>IF($E21&gt;=DE$2,VLOOKUP($E21-DE$2,'data input'!$D$3:$E$130,2,FALSE),0)</f>
        <v>0</v>
      </c>
      <c r="DF21" s="5">
        <f>IF($E21&gt;=DF$2,VLOOKUP($E21-DF$2,'data input'!$D$3:$E$130,2,FALSE),0)</f>
        <v>0</v>
      </c>
      <c r="DG21" s="5">
        <f>IF($E21&gt;=DG$2,VLOOKUP($E21-DG$2,'data input'!$D$3:$E$130,2,FALSE),0)</f>
        <v>0</v>
      </c>
      <c r="DH21" s="5">
        <f>IF($E21&gt;=DH$2,VLOOKUP($E21-DH$2,'data input'!$D$3:$E$130,2,FALSE),0)</f>
        <v>0</v>
      </c>
      <c r="DI21" s="5">
        <f>IF($E21&gt;=DI$2,VLOOKUP($E21-DI$2,'data input'!$D$3:$E$130,2,FALSE),0)</f>
        <v>0</v>
      </c>
      <c r="DJ21" s="5">
        <f>IF($E21&gt;=DJ$2,VLOOKUP($E21-DJ$2,'data input'!$D$3:$E$130,2,FALSE),0)</f>
        <v>0</v>
      </c>
      <c r="DK21" s="5">
        <f>IF($E21&gt;=DK$2,VLOOKUP($E21-DK$2,'data input'!$D$3:$E$130,2,FALSE),0)</f>
        <v>0</v>
      </c>
      <c r="DL21" s="5">
        <f>IF($E21&gt;=DL$2,VLOOKUP($E21-DL$2,'data input'!$D$3:$E$130,2,FALSE),0)</f>
        <v>0</v>
      </c>
      <c r="DM21" s="5">
        <f>IF($E21&gt;=DM$2,VLOOKUP($E21-DM$2,'data input'!$D$3:$E$130,2,FALSE),0)</f>
        <v>0</v>
      </c>
      <c r="DN21" s="5">
        <f>IF($E21&gt;=DN$2,VLOOKUP($E21-DN$2,'data input'!$D$3:$E$130,2,FALSE),0)</f>
        <v>0</v>
      </c>
      <c r="DO21" s="5">
        <f>IF($E21&gt;=DO$2,VLOOKUP($E21-DO$2,'data input'!$D$3:$E$130,2,FALSE),0)</f>
        <v>0</v>
      </c>
      <c r="DP21" s="5">
        <f>IF($E21&gt;=DP$2,VLOOKUP($E21-DP$2,'data input'!$D$3:$E$130,2,FALSE),0)</f>
        <v>0</v>
      </c>
      <c r="DQ21" s="5">
        <f>IF($E21&gt;=DQ$2,VLOOKUP($E21-DQ$2,'data input'!$D$3:$E$130,2,FALSE),0)</f>
        <v>0</v>
      </c>
      <c r="DR21" s="5">
        <f>IF($E21&gt;=DR$2,VLOOKUP($E21-DR$2,'data input'!$D$3:$E$130,2,FALSE),0)</f>
        <v>0</v>
      </c>
      <c r="DS21" s="5">
        <f>IF($E21&gt;=DS$2,VLOOKUP($E21-DS$2,'data input'!$D$3:$E$130,2,FALSE),0)</f>
        <v>0</v>
      </c>
      <c r="DT21" s="5">
        <f>IF($E21&gt;=DT$2,VLOOKUP($E21-DT$2,'data input'!$D$3:$E$130,2,FALSE),0)</f>
        <v>0</v>
      </c>
      <c r="DU21" s="5">
        <f>IF($E21&gt;=DU$2,VLOOKUP($E21-DU$2,'data input'!$D$3:$E$130,2,FALSE),0)</f>
        <v>0</v>
      </c>
      <c r="DV21" s="5">
        <f>IF($E21&gt;=DV$2,VLOOKUP($E21-DV$2,'data input'!$D$3:$E$130,2,FALSE),0)</f>
        <v>0</v>
      </c>
      <c r="DW21" s="5">
        <f>IF($E21&gt;=DW$2,VLOOKUP($E21-DW$2,'data input'!$D$3:$E$130,2,FALSE),0)</f>
        <v>0</v>
      </c>
      <c r="DX21" s="5">
        <f>IF($E21&gt;=DX$2,VLOOKUP($E21-DX$2,'data input'!$D$3:$E$130,2,FALSE),0)</f>
        <v>0</v>
      </c>
      <c r="DY21" s="5">
        <f>IF($E21&gt;=DY$2,VLOOKUP($E21-DY$2,'data input'!$D$3:$E$130,2,FALSE),0)</f>
        <v>0</v>
      </c>
      <c r="DZ21" s="5">
        <f>IF($E21&gt;=DZ$2,VLOOKUP($E21-DZ$2,'data input'!$D$3:$E$130,2,FALSE),0)</f>
        <v>0</v>
      </c>
      <c r="EA21" s="5">
        <f>IF($E21&gt;=EA$2,VLOOKUP($E21-EA$2,'data input'!$D$3:$E$130,2,FALSE),0)</f>
        <v>0</v>
      </c>
      <c r="EB21" s="5">
        <f>IF($E21&gt;=EB$2,VLOOKUP($E21-EB$2,'data input'!$D$3:$E$130,2,FALSE),0)</f>
        <v>0</v>
      </c>
      <c r="EC21" s="5">
        <f>IF($E21&gt;=EC$2,VLOOKUP($E21-EC$2,'data input'!$D$3:$E$130,2,FALSE),0)</f>
        <v>0</v>
      </c>
    </row>
    <row r="22" spans="5:133">
      <c r="E22" s="7">
        <f>'data input'!B22</f>
        <v>1897</v>
      </c>
      <c r="F22" s="5">
        <f>IF($E22&gt;=F$2,VLOOKUP($E22-F$2,'data input'!$D$3:$E$130,2,FALSE),0)</f>
        <v>0.94237177772384684</v>
      </c>
      <c r="G22" s="5">
        <f>IF($E22&gt;=G$2,VLOOKUP($E22-G$2,'data input'!$D$3:$E$130,2,FALSE),0)</f>
        <v>0.9505285319663519</v>
      </c>
      <c r="H22" s="5">
        <f>IF($E22&gt;=H$2,VLOOKUP($E22-H$2,'data input'!$D$3:$E$130,2,FALSE),0)</f>
        <v>0.95773626374204757</v>
      </c>
      <c r="I22" s="5">
        <f>IF($E22&gt;=I$2,VLOOKUP($E22-I$2,'data input'!$D$3:$E$130,2,FALSE),0)</f>
        <v>0.96406968088707423</v>
      </c>
      <c r="J22" s="5">
        <f>IF($E22&gt;=J$2,VLOOKUP($E22-J$2,'data input'!$D$3:$E$130,2,FALSE),0)</f>
        <v>0.96960363823473861</v>
      </c>
      <c r="K22" s="5">
        <f>IF($E22&gt;=K$2,VLOOKUP($E22-K$2,'data input'!$D$3:$E$130,2,FALSE),0)</f>
        <v>0.97441194047836144</v>
      </c>
      <c r="L22" s="5">
        <f>IF($E22&gt;=L$2,VLOOKUP($E22-L$2,'data input'!$D$3:$E$130,2,FALSE),0)</f>
        <v>0.97856631788584703</v>
      </c>
      <c r="M22" s="5">
        <f>IF($E22&gt;=M$2,VLOOKUP($E22-M$2,'data input'!$D$3:$E$130,2,FALSE),0)</f>
        <v>0.98213557943718344</v>
      </c>
      <c r="N22" s="5">
        <f>IF($E22&gt;=N$2,VLOOKUP($E22-N$2,'data input'!$D$3:$E$130,2,FALSE),0)</f>
        <v>0.98518494180739014</v>
      </c>
      <c r="O22" s="5">
        <f>IF($E22&gt;=O$2,VLOOKUP($E22-O$2,'data input'!$D$3:$E$130,2,FALSE),0)</f>
        <v>0.98777552734495533</v>
      </c>
      <c r="P22" s="5">
        <f>IF($E22&gt;=P$2,VLOOKUP($E22-P$2,'data input'!$D$3:$E$130,2,FALSE),0)</f>
        <v>0.98996401989972593</v>
      </c>
      <c r="Q22" s="5">
        <f>IF($E22&gt;=Q$2,VLOOKUP($E22-Q$2,'data input'!$D$3:$E$130,2,FALSE),0)</f>
        <v>0.99180246407540384</v>
      </c>
      <c r="R22" s="5">
        <f>IF($E22&gt;=R$2,VLOOKUP($E22-R$2,'data input'!$D$3:$E$130,2,FALSE),0)</f>
        <v>0.99333819120801725</v>
      </c>
      <c r="S22" s="5">
        <f>IF($E22&gt;=S$2,VLOOKUP($E22-S$2,'data input'!$D$3:$E$130,2,FALSE),0)</f>
        <v>0.99461385404593328</v>
      </c>
      <c r="T22" s="5">
        <f>IF($E22&gt;=T$2,VLOOKUP($E22-T$2,'data input'!$D$3:$E$130,2,FALSE),0)</f>
        <v>0.99566755163698739</v>
      </c>
      <c r="U22" s="5">
        <f>IF($E22&gt;=U$2,VLOOKUP($E22-U$2,'data input'!$D$3:$E$130,2,FALSE),0)</f>
        <v>0.99653302619695938</v>
      </c>
      <c r="V22" s="5">
        <f>IF($E22&gt;=V$2,VLOOKUP($E22-V$2,'data input'!$D$3:$E$130,2,FALSE),0)</f>
        <v>0.99723991460873751</v>
      </c>
      <c r="W22" s="5">
        <f>IF($E22&gt;=W$2,VLOOKUP($E22-W$2,'data input'!$D$3:$E$130,2,FALSE),0)</f>
        <v>0.99781403854508677</v>
      </c>
      <c r="X22" s="5">
        <f>IF($E22&gt;=X$2,VLOOKUP($E22-X$2,'data input'!$D$3:$E$130,2,FALSE),0)</f>
        <v>0.99827771888413241</v>
      </c>
      <c r="Y22" s="5">
        <f>IF($E22&gt;=Y$2,VLOOKUP($E22-Y$2,'data input'!$D$3:$E$130,2,FALSE),0)</f>
        <v>0.9986501019683699</v>
      </c>
      <c r="Z22" s="5">
        <f>IF($E22&gt;=Z$2,VLOOKUP($E22-Z$2,'data input'!$D$3:$E$130,2,FALSE),0)</f>
        <v>0</v>
      </c>
      <c r="AA22" s="5">
        <f>IF($E22&gt;=AA$2,VLOOKUP($E22-AA$2,'data input'!$D$3:$E$130,2,FALSE),0)</f>
        <v>0</v>
      </c>
      <c r="AB22" s="5">
        <f>IF($E22&gt;=AB$2,VLOOKUP($E22-AB$2,'data input'!$D$3:$E$130,2,FALSE),0)</f>
        <v>0</v>
      </c>
      <c r="AC22" s="5">
        <f>IF($E22&gt;=AC$2,VLOOKUP($E22-AC$2,'data input'!$D$3:$E$130,2,FALSE),0)</f>
        <v>0</v>
      </c>
      <c r="AD22" s="5">
        <f>IF($E22&gt;=AD$2,VLOOKUP($E22-AD$2,'data input'!$D$3:$E$130,2,FALSE),0)</f>
        <v>0</v>
      </c>
      <c r="AE22" s="5">
        <f>IF($E22&gt;=AE$2,VLOOKUP($E22-AE$2,'data input'!$D$3:$E$130,2,FALSE),0)</f>
        <v>0</v>
      </c>
      <c r="AF22" s="5">
        <f>IF($E22&gt;=AF$2,VLOOKUP($E22-AF$2,'data input'!$D$3:$E$130,2,FALSE),0)</f>
        <v>0</v>
      </c>
      <c r="AG22" s="5">
        <f>IF($E22&gt;=AG$2,VLOOKUP($E22-AG$2,'data input'!$D$3:$E$130,2,FALSE),0)</f>
        <v>0</v>
      </c>
      <c r="AH22" s="5">
        <f>IF($E22&gt;=AH$2,VLOOKUP($E22-AH$2,'data input'!$D$3:$E$130,2,FALSE),0)</f>
        <v>0</v>
      </c>
      <c r="AI22" s="5">
        <f>IF($E22&gt;=AI$2,VLOOKUP($E22-AI$2,'data input'!$D$3:$E$130,2,FALSE),0)</f>
        <v>0</v>
      </c>
      <c r="AJ22" s="5">
        <f>IF($E22&gt;=AJ$2,VLOOKUP($E22-AJ$2,'data input'!$D$3:$E$130,2,FALSE),0)</f>
        <v>0</v>
      </c>
      <c r="AK22" s="5">
        <f>IF($E22&gt;=AK$2,VLOOKUP($E22-AK$2,'data input'!$D$3:$E$130,2,FALSE),0)</f>
        <v>0</v>
      </c>
      <c r="AL22" s="5">
        <f>IF($E22&gt;=AL$2,VLOOKUP($E22-AL$2,'data input'!$D$3:$E$130,2,FALSE),0)</f>
        <v>0</v>
      </c>
      <c r="AM22" s="5">
        <f>IF($E22&gt;=AM$2,VLOOKUP($E22-AM$2,'data input'!$D$3:$E$130,2,FALSE),0)</f>
        <v>0</v>
      </c>
      <c r="AN22" s="5">
        <f>IF($E22&gt;=AN$2,VLOOKUP($E22-AN$2,'data input'!$D$3:$E$130,2,FALSE),0)</f>
        <v>0</v>
      </c>
      <c r="AO22" s="5">
        <f>IF($E22&gt;=AO$2,VLOOKUP($E22-AO$2,'data input'!$D$3:$E$130,2,FALSE),0)</f>
        <v>0</v>
      </c>
      <c r="AP22" s="5">
        <f>IF($E22&gt;=AP$2,VLOOKUP($E22-AP$2,'data input'!$D$3:$E$130,2,FALSE),0)</f>
        <v>0</v>
      </c>
      <c r="AQ22" s="5">
        <f>IF($E22&gt;=AQ$2,VLOOKUP($E22-AQ$2,'data input'!$D$3:$E$130,2,FALSE),0)</f>
        <v>0</v>
      </c>
      <c r="AR22" s="5">
        <f>IF($E22&gt;=AR$2,VLOOKUP($E22-AR$2,'data input'!$D$3:$E$130,2,FALSE),0)</f>
        <v>0</v>
      </c>
      <c r="AS22" s="5">
        <f>IF($E22&gt;=AS$2,VLOOKUP($E22-AS$2,'data input'!$D$3:$E$130,2,FALSE),0)</f>
        <v>0</v>
      </c>
      <c r="AT22" s="5">
        <f>IF($E22&gt;=AT$2,VLOOKUP($E22-AT$2,'data input'!$D$3:$E$130,2,FALSE),0)</f>
        <v>0</v>
      </c>
      <c r="AU22" s="5">
        <f>IF($E22&gt;=AU$2,VLOOKUP($E22-AU$2,'data input'!$D$3:$E$130,2,FALSE),0)</f>
        <v>0</v>
      </c>
      <c r="AV22" s="5">
        <f>IF($E22&gt;=AV$2,VLOOKUP($E22-AV$2,'data input'!$D$3:$E$130,2,FALSE),0)</f>
        <v>0</v>
      </c>
      <c r="AW22" s="5">
        <f>IF($E22&gt;=AW$2,VLOOKUP($E22-AW$2,'data input'!$D$3:$E$130,2,FALSE),0)</f>
        <v>0</v>
      </c>
      <c r="AX22" s="5">
        <f>IF($E22&gt;=AX$2,VLOOKUP($E22-AX$2,'data input'!$D$3:$E$130,2,FALSE),0)</f>
        <v>0</v>
      </c>
      <c r="AY22" s="5">
        <f>IF($E22&gt;=AY$2,VLOOKUP($E22-AY$2,'data input'!$D$3:$E$130,2,FALSE),0)</f>
        <v>0</v>
      </c>
      <c r="AZ22" s="5">
        <f>IF($E22&gt;=AZ$2,VLOOKUP($E22-AZ$2,'data input'!$D$3:$E$130,2,FALSE),0)</f>
        <v>0</v>
      </c>
      <c r="BA22" s="5">
        <f>IF($E22&gt;=BA$2,VLOOKUP($E22-BA$2,'data input'!$D$3:$E$130,2,FALSE),0)</f>
        <v>0</v>
      </c>
      <c r="BB22" s="5">
        <f>IF($E22&gt;=BB$2,VLOOKUP($E22-BB$2,'data input'!$D$3:$E$130,2,FALSE),0)</f>
        <v>0</v>
      </c>
      <c r="BC22" s="5">
        <f>IF($E22&gt;=BC$2,VLOOKUP($E22-BC$2,'data input'!$D$3:$E$130,2,FALSE),0)</f>
        <v>0</v>
      </c>
      <c r="BD22" s="5">
        <f>IF($E22&gt;=BD$2,VLOOKUP($E22-BD$2,'data input'!$D$3:$E$130,2,FALSE),0)</f>
        <v>0</v>
      </c>
      <c r="BE22" s="5">
        <f>IF($E22&gt;=BE$2,VLOOKUP($E22-BE$2,'data input'!$D$3:$E$130,2,FALSE),0)</f>
        <v>0</v>
      </c>
      <c r="BF22" s="5">
        <f>IF($E22&gt;=BF$2,VLOOKUP($E22-BF$2,'data input'!$D$3:$E$130,2,FALSE),0)</f>
        <v>0</v>
      </c>
      <c r="BG22" s="5">
        <f>IF($E22&gt;=BG$2,VLOOKUP($E22-BG$2,'data input'!$D$3:$E$130,2,FALSE),0)</f>
        <v>0</v>
      </c>
      <c r="BH22" s="5">
        <f>IF($E22&gt;=BH$2,VLOOKUP($E22-BH$2,'data input'!$D$3:$E$130,2,FALSE),0)</f>
        <v>0</v>
      </c>
      <c r="BI22" s="5">
        <f>IF($E22&gt;=BI$2,VLOOKUP($E22-BI$2,'data input'!$D$3:$E$130,2,FALSE),0)</f>
        <v>0</v>
      </c>
      <c r="BJ22" s="5">
        <f>IF($E22&gt;=BJ$2,VLOOKUP($E22-BJ$2,'data input'!$D$3:$E$130,2,FALSE),0)</f>
        <v>0</v>
      </c>
      <c r="BK22" s="5">
        <f>IF($E22&gt;=BK$2,VLOOKUP($E22-BK$2,'data input'!$D$3:$E$130,2,FALSE),0)</f>
        <v>0</v>
      </c>
      <c r="BL22" s="5">
        <f>IF($E22&gt;=BL$2,VLOOKUP($E22-BL$2,'data input'!$D$3:$E$130,2,FALSE),0)</f>
        <v>0</v>
      </c>
      <c r="BM22" s="5">
        <f>IF($E22&gt;=BM$2,VLOOKUP($E22-BM$2,'data input'!$D$3:$E$130,2,FALSE),0)</f>
        <v>0</v>
      </c>
      <c r="BN22" s="5">
        <f>IF($E22&gt;=BN$2,VLOOKUP($E22-BN$2,'data input'!$D$3:$E$130,2,FALSE),0)</f>
        <v>0</v>
      </c>
      <c r="BO22" s="5">
        <f>IF($E22&gt;=BO$2,VLOOKUP($E22-BO$2,'data input'!$D$3:$E$130,2,FALSE),0)</f>
        <v>0</v>
      </c>
      <c r="BP22" s="5">
        <f>IF($E22&gt;=BP$2,VLOOKUP($E22-BP$2,'data input'!$D$3:$E$130,2,FALSE),0)</f>
        <v>0</v>
      </c>
      <c r="BQ22" s="5">
        <f>IF($E22&gt;=BQ$2,VLOOKUP($E22-BQ$2,'data input'!$D$3:$E$130,2,FALSE),0)</f>
        <v>0</v>
      </c>
      <c r="BR22" s="5">
        <f>IF($E22&gt;=BR$2,VLOOKUP($E22-BR$2,'data input'!$D$3:$E$130,2,FALSE),0)</f>
        <v>0</v>
      </c>
      <c r="BS22" s="5">
        <f>IF($E22&gt;=BS$2,VLOOKUP($E22-BS$2,'data input'!$D$3:$E$130,2,FALSE),0)</f>
        <v>0</v>
      </c>
      <c r="BT22" s="5">
        <f>IF($E22&gt;=BT$2,VLOOKUP($E22-BT$2,'data input'!$D$3:$E$130,2,FALSE),0)</f>
        <v>0</v>
      </c>
      <c r="BU22" s="5">
        <f>IF($E22&gt;=BU$2,VLOOKUP($E22-BU$2,'data input'!$D$3:$E$130,2,FALSE),0)</f>
        <v>0</v>
      </c>
      <c r="BV22" s="5">
        <f>IF($E22&gt;=BV$2,VLOOKUP($E22-BV$2,'data input'!$D$3:$E$130,2,FALSE),0)</f>
        <v>0</v>
      </c>
      <c r="BW22" s="5">
        <f>IF($E22&gt;=BW$2,VLOOKUP($E22-BW$2,'data input'!$D$3:$E$130,2,FALSE),0)</f>
        <v>0</v>
      </c>
      <c r="BX22" s="5">
        <f>IF($E22&gt;=BX$2,VLOOKUP($E22-BX$2,'data input'!$D$3:$E$130,2,FALSE),0)</f>
        <v>0</v>
      </c>
      <c r="BY22" s="5">
        <f>IF($E22&gt;=BY$2,VLOOKUP($E22-BY$2,'data input'!$D$3:$E$130,2,FALSE),0)</f>
        <v>0</v>
      </c>
      <c r="BZ22" s="5">
        <f>IF($E22&gt;=BZ$2,VLOOKUP($E22-BZ$2,'data input'!$D$3:$E$130,2,FALSE),0)</f>
        <v>0</v>
      </c>
      <c r="CA22" s="5">
        <f>IF($E22&gt;=CA$2,VLOOKUP($E22-CA$2,'data input'!$D$3:$E$130,2,FALSE),0)</f>
        <v>0</v>
      </c>
      <c r="CB22" s="5">
        <f>IF($E22&gt;=CB$2,VLOOKUP($E22-CB$2,'data input'!$D$3:$E$130,2,FALSE),0)</f>
        <v>0</v>
      </c>
      <c r="CC22" s="5">
        <f>IF($E22&gt;=CC$2,VLOOKUP($E22-CC$2,'data input'!$D$3:$E$130,2,FALSE),0)</f>
        <v>0</v>
      </c>
      <c r="CD22" s="5">
        <f>IF($E22&gt;=CD$2,VLOOKUP($E22-CD$2,'data input'!$D$3:$E$130,2,FALSE),0)</f>
        <v>0</v>
      </c>
      <c r="CE22" s="5">
        <f>IF($E22&gt;=CE$2,VLOOKUP($E22-CE$2,'data input'!$D$3:$E$130,2,FALSE),0)</f>
        <v>0</v>
      </c>
      <c r="CF22" s="5">
        <f>IF($E22&gt;=CF$2,VLOOKUP($E22-CF$2,'data input'!$D$3:$E$130,2,FALSE),0)</f>
        <v>0</v>
      </c>
      <c r="CG22" s="5">
        <f>IF($E22&gt;=CG$2,VLOOKUP($E22-CG$2,'data input'!$D$3:$E$130,2,FALSE),0)</f>
        <v>0</v>
      </c>
      <c r="CH22" s="5">
        <f>IF($E22&gt;=CH$2,VLOOKUP($E22-CH$2,'data input'!$D$3:$E$130,2,FALSE),0)</f>
        <v>0</v>
      </c>
      <c r="CI22" s="5">
        <f>IF($E22&gt;=CI$2,VLOOKUP($E22-CI$2,'data input'!$D$3:$E$130,2,FALSE),0)</f>
        <v>0</v>
      </c>
      <c r="CJ22" s="5">
        <f>IF($E22&gt;=CJ$2,VLOOKUP($E22-CJ$2,'data input'!$D$3:$E$130,2,FALSE),0)</f>
        <v>0</v>
      </c>
      <c r="CK22" s="5">
        <f>IF($E22&gt;=CK$2,VLOOKUP($E22-CK$2,'data input'!$D$3:$E$130,2,FALSE),0)</f>
        <v>0</v>
      </c>
      <c r="CL22" s="5">
        <f>IF($E22&gt;=CL$2,VLOOKUP($E22-CL$2,'data input'!$D$3:$E$130,2,FALSE),0)</f>
        <v>0</v>
      </c>
      <c r="CM22" s="5">
        <f>IF($E22&gt;=CM$2,VLOOKUP($E22-CM$2,'data input'!$D$3:$E$130,2,FALSE),0)</f>
        <v>0</v>
      </c>
      <c r="CN22" s="5">
        <f>IF($E22&gt;=CN$2,VLOOKUP($E22-CN$2,'data input'!$D$3:$E$130,2,FALSE),0)</f>
        <v>0</v>
      </c>
      <c r="CO22" s="5">
        <f>IF($E22&gt;=CO$2,VLOOKUP($E22-CO$2,'data input'!$D$3:$E$130,2,FALSE),0)</f>
        <v>0</v>
      </c>
      <c r="CP22" s="5">
        <f>IF($E22&gt;=CP$2,VLOOKUP($E22-CP$2,'data input'!$D$3:$E$130,2,FALSE),0)</f>
        <v>0</v>
      </c>
      <c r="CQ22" s="5">
        <f>IF($E22&gt;=CQ$2,VLOOKUP($E22-CQ$2,'data input'!$D$3:$E$130,2,FALSE),0)</f>
        <v>0</v>
      </c>
      <c r="CR22" s="5">
        <f>IF($E22&gt;=CR$2,VLOOKUP($E22-CR$2,'data input'!$D$3:$E$130,2,FALSE),0)</f>
        <v>0</v>
      </c>
      <c r="CS22" s="5">
        <f>IF($E22&gt;=CS$2,VLOOKUP($E22-CS$2,'data input'!$D$3:$E$130,2,FALSE),0)</f>
        <v>0</v>
      </c>
      <c r="CT22" s="5">
        <f>IF($E22&gt;=CT$2,VLOOKUP($E22-CT$2,'data input'!$D$3:$E$130,2,FALSE),0)</f>
        <v>0</v>
      </c>
      <c r="CU22" s="5">
        <f>IF($E22&gt;=CU$2,VLOOKUP($E22-CU$2,'data input'!$D$3:$E$130,2,FALSE),0)</f>
        <v>0</v>
      </c>
      <c r="CV22" s="5">
        <f>IF($E22&gt;=CV$2,VLOOKUP($E22-CV$2,'data input'!$D$3:$E$130,2,FALSE),0)</f>
        <v>0</v>
      </c>
      <c r="CW22" s="5">
        <f>IF($E22&gt;=CW$2,VLOOKUP($E22-CW$2,'data input'!$D$3:$E$130,2,FALSE),0)</f>
        <v>0</v>
      </c>
      <c r="CX22" s="5">
        <f>IF($E22&gt;=CX$2,VLOOKUP($E22-CX$2,'data input'!$D$3:$E$130,2,FALSE),0)</f>
        <v>0</v>
      </c>
      <c r="CY22" s="5">
        <f>IF($E22&gt;=CY$2,VLOOKUP($E22-CY$2,'data input'!$D$3:$E$130,2,FALSE),0)</f>
        <v>0</v>
      </c>
      <c r="CZ22" s="5">
        <f>IF($E22&gt;=CZ$2,VLOOKUP($E22-CZ$2,'data input'!$D$3:$E$130,2,FALSE),0)</f>
        <v>0</v>
      </c>
      <c r="DA22" s="5">
        <f>IF($E22&gt;=DA$2,VLOOKUP($E22-DA$2,'data input'!$D$3:$E$130,2,FALSE),0)</f>
        <v>0</v>
      </c>
      <c r="DB22" s="5">
        <f>IF($E22&gt;=DB$2,VLOOKUP($E22-DB$2,'data input'!$D$3:$E$130,2,FALSE),0)</f>
        <v>0</v>
      </c>
      <c r="DC22" s="5">
        <f>IF($E22&gt;=DC$2,VLOOKUP($E22-DC$2,'data input'!$D$3:$E$130,2,FALSE),0)</f>
        <v>0</v>
      </c>
      <c r="DD22" s="5">
        <f>IF($E22&gt;=DD$2,VLOOKUP($E22-DD$2,'data input'!$D$3:$E$130,2,FALSE),0)</f>
        <v>0</v>
      </c>
      <c r="DE22" s="5">
        <f>IF($E22&gt;=DE$2,VLOOKUP($E22-DE$2,'data input'!$D$3:$E$130,2,FALSE),0)</f>
        <v>0</v>
      </c>
      <c r="DF22" s="5">
        <f>IF($E22&gt;=DF$2,VLOOKUP($E22-DF$2,'data input'!$D$3:$E$130,2,FALSE),0)</f>
        <v>0</v>
      </c>
      <c r="DG22" s="5">
        <f>IF($E22&gt;=DG$2,VLOOKUP($E22-DG$2,'data input'!$D$3:$E$130,2,FALSE),0)</f>
        <v>0</v>
      </c>
      <c r="DH22" s="5">
        <f>IF($E22&gt;=DH$2,VLOOKUP($E22-DH$2,'data input'!$D$3:$E$130,2,FALSE),0)</f>
        <v>0</v>
      </c>
      <c r="DI22" s="5">
        <f>IF($E22&gt;=DI$2,VLOOKUP($E22-DI$2,'data input'!$D$3:$E$130,2,FALSE),0)</f>
        <v>0</v>
      </c>
      <c r="DJ22" s="5">
        <f>IF($E22&gt;=DJ$2,VLOOKUP($E22-DJ$2,'data input'!$D$3:$E$130,2,FALSE),0)</f>
        <v>0</v>
      </c>
      <c r="DK22" s="5">
        <f>IF($E22&gt;=DK$2,VLOOKUP($E22-DK$2,'data input'!$D$3:$E$130,2,FALSE),0)</f>
        <v>0</v>
      </c>
      <c r="DL22" s="5">
        <f>IF($E22&gt;=DL$2,VLOOKUP($E22-DL$2,'data input'!$D$3:$E$130,2,FALSE),0)</f>
        <v>0</v>
      </c>
      <c r="DM22" s="5">
        <f>IF($E22&gt;=DM$2,VLOOKUP($E22-DM$2,'data input'!$D$3:$E$130,2,FALSE),0)</f>
        <v>0</v>
      </c>
      <c r="DN22" s="5">
        <f>IF($E22&gt;=DN$2,VLOOKUP($E22-DN$2,'data input'!$D$3:$E$130,2,FALSE),0)</f>
        <v>0</v>
      </c>
      <c r="DO22" s="5">
        <f>IF($E22&gt;=DO$2,VLOOKUP($E22-DO$2,'data input'!$D$3:$E$130,2,FALSE),0)</f>
        <v>0</v>
      </c>
      <c r="DP22" s="5">
        <f>IF($E22&gt;=DP$2,VLOOKUP($E22-DP$2,'data input'!$D$3:$E$130,2,FALSE),0)</f>
        <v>0</v>
      </c>
      <c r="DQ22" s="5">
        <f>IF($E22&gt;=DQ$2,VLOOKUP($E22-DQ$2,'data input'!$D$3:$E$130,2,FALSE),0)</f>
        <v>0</v>
      </c>
      <c r="DR22" s="5">
        <f>IF($E22&gt;=DR$2,VLOOKUP($E22-DR$2,'data input'!$D$3:$E$130,2,FALSE),0)</f>
        <v>0</v>
      </c>
      <c r="DS22" s="5">
        <f>IF($E22&gt;=DS$2,VLOOKUP($E22-DS$2,'data input'!$D$3:$E$130,2,FALSE),0)</f>
        <v>0</v>
      </c>
      <c r="DT22" s="5">
        <f>IF($E22&gt;=DT$2,VLOOKUP($E22-DT$2,'data input'!$D$3:$E$130,2,FALSE),0)</f>
        <v>0</v>
      </c>
      <c r="DU22" s="5">
        <f>IF($E22&gt;=DU$2,VLOOKUP($E22-DU$2,'data input'!$D$3:$E$130,2,FALSE),0)</f>
        <v>0</v>
      </c>
      <c r="DV22" s="5">
        <f>IF($E22&gt;=DV$2,VLOOKUP($E22-DV$2,'data input'!$D$3:$E$130,2,FALSE),0)</f>
        <v>0</v>
      </c>
      <c r="DW22" s="5">
        <f>IF($E22&gt;=DW$2,VLOOKUP($E22-DW$2,'data input'!$D$3:$E$130,2,FALSE),0)</f>
        <v>0</v>
      </c>
      <c r="DX22" s="5">
        <f>IF($E22&gt;=DX$2,VLOOKUP($E22-DX$2,'data input'!$D$3:$E$130,2,FALSE),0)</f>
        <v>0</v>
      </c>
      <c r="DY22" s="5">
        <f>IF($E22&gt;=DY$2,VLOOKUP($E22-DY$2,'data input'!$D$3:$E$130,2,FALSE),0)</f>
        <v>0</v>
      </c>
      <c r="DZ22" s="5">
        <f>IF($E22&gt;=DZ$2,VLOOKUP($E22-DZ$2,'data input'!$D$3:$E$130,2,FALSE),0)</f>
        <v>0</v>
      </c>
      <c r="EA22" s="5">
        <f>IF($E22&gt;=EA$2,VLOOKUP($E22-EA$2,'data input'!$D$3:$E$130,2,FALSE),0)</f>
        <v>0</v>
      </c>
      <c r="EB22" s="5">
        <f>IF($E22&gt;=EB$2,VLOOKUP($E22-EB$2,'data input'!$D$3:$E$130,2,FALSE),0)</f>
        <v>0</v>
      </c>
      <c r="EC22" s="5">
        <f>IF($E22&gt;=EC$2,VLOOKUP($E22-EC$2,'data input'!$D$3:$E$130,2,FALSE),0)</f>
        <v>0</v>
      </c>
    </row>
    <row r="23" spans="5:133">
      <c r="E23" s="7">
        <f>'data input'!B23</f>
        <v>1898</v>
      </c>
      <c r="F23" s="5">
        <f>IF($E23&gt;=F$2,VLOOKUP($E23-F$2,'data input'!$D$3:$E$130,2,FALSE),0)</f>
        <v>0.93319279873114191</v>
      </c>
      <c r="G23" s="5">
        <f>IF($E23&gt;=G$2,VLOOKUP($E23-G$2,'data input'!$D$3:$E$130,2,FALSE),0)</f>
        <v>0.94237177772384684</v>
      </c>
      <c r="H23" s="5">
        <f>IF($E23&gt;=H$2,VLOOKUP($E23-H$2,'data input'!$D$3:$E$130,2,FALSE),0)</f>
        <v>0.9505285319663519</v>
      </c>
      <c r="I23" s="5">
        <f>IF($E23&gt;=I$2,VLOOKUP($E23-I$2,'data input'!$D$3:$E$130,2,FALSE),0)</f>
        <v>0.95773626374204757</v>
      </c>
      <c r="J23" s="5">
        <f>IF($E23&gt;=J$2,VLOOKUP($E23-J$2,'data input'!$D$3:$E$130,2,FALSE),0)</f>
        <v>0.96406968088707423</v>
      </c>
      <c r="K23" s="5">
        <f>IF($E23&gt;=K$2,VLOOKUP($E23-K$2,'data input'!$D$3:$E$130,2,FALSE),0)</f>
        <v>0.96960363823473861</v>
      </c>
      <c r="L23" s="5">
        <f>IF($E23&gt;=L$2,VLOOKUP($E23-L$2,'data input'!$D$3:$E$130,2,FALSE),0)</f>
        <v>0.97441194047836144</v>
      </c>
      <c r="M23" s="5">
        <f>IF($E23&gt;=M$2,VLOOKUP($E23-M$2,'data input'!$D$3:$E$130,2,FALSE),0)</f>
        <v>0.97856631788584703</v>
      </c>
      <c r="N23" s="5">
        <f>IF($E23&gt;=N$2,VLOOKUP($E23-N$2,'data input'!$D$3:$E$130,2,FALSE),0)</f>
        <v>0.98213557943718344</v>
      </c>
      <c r="O23" s="5">
        <f>IF($E23&gt;=O$2,VLOOKUP($E23-O$2,'data input'!$D$3:$E$130,2,FALSE),0)</f>
        <v>0.98518494180739014</v>
      </c>
      <c r="P23" s="5">
        <f>IF($E23&gt;=P$2,VLOOKUP($E23-P$2,'data input'!$D$3:$E$130,2,FALSE),0)</f>
        <v>0.98777552734495533</v>
      </c>
      <c r="Q23" s="5">
        <f>IF($E23&gt;=Q$2,VLOOKUP($E23-Q$2,'data input'!$D$3:$E$130,2,FALSE),0)</f>
        <v>0.98996401989972593</v>
      </c>
      <c r="R23" s="5">
        <f>IF($E23&gt;=R$2,VLOOKUP($E23-R$2,'data input'!$D$3:$E$130,2,FALSE),0)</f>
        <v>0.99180246407540384</v>
      </c>
      <c r="S23" s="5">
        <f>IF($E23&gt;=S$2,VLOOKUP($E23-S$2,'data input'!$D$3:$E$130,2,FALSE),0)</f>
        <v>0.99333819120801725</v>
      </c>
      <c r="T23" s="5">
        <f>IF($E23&gt;=T$2,VLOOKUP($E23-T$2,'data input'!$D$3:$E$130,2,FALSE),0)</f>
        <v>0.99461385404593328</v>
      </c>
      <c r="U23" s="5">
        <f>IF($E23&gt;=U$2,VLOOKUP($E23-U$2,'data input'!$D$3:$E$130,2,FALSE),0)</f>
        <v>0.99566755163698739</v>
      </c>
      <c r="V23" s="5">
        <f>IF($E23&gt;=V$2,VLOOKUP($E23-V$2,'data input'!$D$3:$E$130,2,FALSE),0)</f>
        <v>0.99653302619695938</v>
      </c>
      <c r="W23" s="5">
        <f>IF($E23&gt;=W$2,VLOOKUP($E23-W$2,'data input'!$D$3:$E$130,2,FALSE),0)</f>
        <v>0.99723991460873751</v>
      </c>
      <c r="X23" s="5">
        <f>IF($E23&gt;=X$2,VLOOKUP($E23-X$2,'data input'!$D$3:$E$130,2,FALSE),0)</f>
        <v>0.99781403854508677</v>
      </c>
      <c r="Y23" s="5">
        <f>IF($E23&gt;=Y$2,VLOOKUP($E23-Y$2,'data input'!$D$3:$E$130,2,FALSE),0)</f>
        <v>0.99827771888413241</v>
      </c>
      <c r="Z23" s="5">
        <f>IF($E23&gt;=Z$2,VLOOKUP($E23-Z$2,'data input'!$D$3:$E$130,2,FALSE),0)</f>
        <v>0.9986501019683699</v>
      </c>
      <c r="AA23" s="5">
        <f>IF($E23&gt;=AA$2,VLOOKUP($E23-AA$2,'data input'!$D$3:$E$130,2,FALSE),0)</f>
        <v>0</v>
      </c>
      <c r="AB23" s="5">
        <f>IF($E23&gt;=AB$2,VLOOKUP($E23-AB$2,'data input'!$D$3:$E$130,2,FALSE),0)</f>
        <v>0</v>
      </c>
      <c r="AC23" s="5">
        <f>IF($E23&gt;=AC$2,VLOOKUP($E23-AC$2,'data input'!$D$3:$E$130,2,FALSE),0)</f>
        <v>0</v>
      </c>
      <c r="AD23" s="5">
        <f>IF($E23&gt;=AD$2,VLOOKUP($E23-AD$2,'data input'!$D$3:$E$130,2,FALSE),0)</f>
        <v>0</v>
      </c>
      <c r="AE23" s="5">
        <f>IF($E23&gt;=AE$2,VLOOKUP($E23-AE$2,'data input'!$D$3:$E$130,2,FALSE),0)</f>
        <v>0</v>
      </c>
      <c r="AF23" s="5">
        <f>IF($E23&gt;=AF$2,VLOOKUP($E23-AF$2,'data input'!$D$3:$E$130,2,FALSE),0)</f>
        <v>0</v>
      </c>
      <c r="AG23" s="5">
        <f>IF($E23&gt;=AG$2,VLOOKUP($E23-AG$2,'data input'!$D$3:$E$130,2,FALSE),0)</f>
        <v>0</v>
      </c>
      <c r="AH23" s="5">
        <f>IF($E23&gt;=AH$2,VLOOKUP($E23-AH$2,'data input'!$D$3:$E$130,2,FALSE),0)</f>
        <v>0</v>
      </c>
      <c r="AI23" s="5">
        <f>IF($E23&gt;=AI$2,VLOOKUP($E23-AI$2,'data input'!$D$3:$E$130,2,FALSE),0)</f>
        <v>0</v>
      </c>
      <c r="AJ23" s="5">
        <f>IF($E23&gt;=AJ$2,VLOOKUP($E23-AJ$2,'data input'!$D$3:$E$130,2,FALSE),0)</f>
        <v>0</v>
      </c>
      <c r="AK23" s="5">
        <f>IF($E23&gt;=AK$2,VLOOKUP($E23-AK$2,'data input'!$D$3:$E$130,2,FALSE),0)</f>
        <v>0</v>
      </c>
      <c r="AL23" s="5">
        <f>IF($E23&gt;=AL$2,VLOOKUP($E23-AL$2,'data input'!$D$3:$E$130,2,FALSE),0)</f>
        <v>0</v>
      </c>
      <c r="AM23" s="5">
        <f>IF($E23&gt;=AM$2,VLOOKUP($E23-AM$2,'data input'!$D$3:$E$130,2,FALSE),0)</f>
        <v>0</v>
      </c>
      <c r="AN23" s="5">
        <f>IF($E23&gt;=AN$2,VLOOKUP($E23-AN$2,'data input'!$D$3:$E$130,2,FALSE),0)</f>
        <v>0</v>
      </c>
      <c r="AO23" s="5">
        <f>IF($E23&gt;=AO$2,VLOOKUP($E23-AO$2,'data input'!$D$3:$E$130,2,FALSE),0)</f>
        <v>0</v>
      </c>
      <c r="AP23" s="5">
        <f>IF($E23&gt;=AP$2,VLOOKUP($E23-AP$2,'data input'!$D$3:$E$130,2,FALSE),0)</f>
        <v>0</v>
      </c>
      <c r="AQ23" s="5">
        <f>IF($E23&gt;=AQ$2,VLOOKUP($E23-AQ$2,'data input'!$D$3:$E$130,2,FALSE),0)</f>
        <v>0</v>
      </c>
      <c r="AR23" s="5">
        <f>IF($E23&gt;=AR$2,VLOOKUP($E23-AR$2,'data input'!$D$3:$E$130,2,FALSE),0)</f>
        <v>0</v>
      </c>
      <c r="AS23" s="5">
        <f>IF($E23&gt;=AS$2,VLOOKUP($E23-AS$2,'data input'!$D$3:$E$130,2,FALSE),0)</f>
        <v>0</v>
      </c>
      <c r="AT23" s="5">
        <f>IF($E23&gt;=AT$2,VLOOKUP($E23-AT$2,'data input'!$D$3:$E$130,2,FALSE),0)</f>
        <v>0</v>
      </c>
      <c r="AU23" s="5">
        <f>IF($E23&gt;=AU$2,VLOOKUP($E23-AU$2,'data input'!$D$3:$E$130,2,FALSE),0)</f>
        <v>0</v>
      </c>
      <c r="AV23" s="5">
        <f>IF($E23&gt;=AV$2,VLOOKUP($E23-AV$2,'data input'!$D$3:$E$130,2,FALSE),0)</f>
        <v>0</v>
      </c>
      <c r="AW23" s="5">
        <f>IF($E23&gt;=AW$2,VLOOKUP($E23-AW$2,'data input'!$D$3:$E$130,2,FALSE),0)</f>
        <v>0</v>
      </c>
      <c r="AX23" s="5">
        <f>IF($E23&gt;=AX$2,VLOOKUP($E23-AX$2,'data input'!$D$3:$E$130,2,FALSE),0)</f>
        <v>0</v>
      </c>
      <c r="AY23" s="5">
        <f>IF($E23&gt;=AY$2,VLOOKUP($E23-AY$2,'data input'!$D$3:$E$130,2,FALSE),0)</f>
        <v>0</v>
      </c>
      <c r="AZ23" s="5">
        <f>IF($E23&gt;=AZ$2,VLOOKUP($E23-AZ$2,'data input'!$D$3:$E$130,2,FALSE),0)</f>
        <v>0</v>
      </c>
      <c r="BA23" s="5">
        <f>IF($E23&gt;=BA$2,VLOOKUP($E23-BA$2,'data input'!$D$3:$E$130,2,FALSE),0)</f>
        <v>0</v>
      </c>
      <c r="BB23" s="5">
        <f>IF($E23&gt;=BB$2,VLOOKUP($E23-BB$2,'data input'!$D$3:$E$130,2,FALSE),0)</f>
        <v>0</v>
      </c>
      <c r="BC23" s="5">
        <f>IF($E23&gt;=BC$2,VLOOKUP($E23-BC$2,'data input'!$D$3:$E$130,2,FALSE),0)</f>
        <v>0</v>
      </c>
      <c r="BD23" s="5">
        <f>IF($E23&gt;=BD$2,VLOOKUP($E23-BD$2,'data input'!$D$3:$E$130,2,FALSE),0)</f>
        <v>0</v>
      </c>
      <c r="BE23" s="5">
        <f>IF($E23&gt;=BE$2,VLOOKUP($E23-BE$2,'data input'!$D$3:$E$130,2,FALSE),0)</f>
        <v>0</v>
      </c>
      <c r="BF23" s="5">
        <f>IF($E23&gt;=BF$2,VLOOKUP($E23-BF$2,'data input'!$D$3:$E$130,2,FALSE),0)</f>
        <v>0</v>
      </c>
      <c r="BG23" s="5">
        <f>IF($E23&gt;=BG$2,VLOOKUP($E23-BG$2,'data input'!$D$3:$E$130,2,FALSE),0)</f>
        <v>0</v>
      </c>
      <c r="BH23" s="5">
        <f>IF($E23&gt;=BH$2,VLOOKUP($E23-BH$2,'data input'!$D$3:$E$130,2,FALSE),0)</f>
        <v>0</v>
      </c>
      <c r="BI23" s="5">
        <f>IF($E23&gt;=BI$2,VLOOKUP($E23-BI$2,'data input'!$D$3:$E$130,2,FALSE),0)</f>
        <v>0</v>
      </c>
      <c r="BJ23" s="5">
        <f>IF($E23&gt;=BJ$2,VLOOKUP($E23-BJ$2,'data input'!$D$3:$E$130,2,FALSE),0)</f>
        <v>0</v>
      </c>
      <c r="BK23" s="5">
        <f>IF($E23&gt;=BK$2,VLOOKUP($E23-BK$2,'data input'!$D$3:$E$130,2,FALSE),0)</f>
        <v>0</v>
      </c>
      <c r="BL23" s="5">
        <f>IF($E23&gt;=BL$2,VLOOKUP($E23-BL$2,'data input'!$D$3:$E$130,2,FALSE),0)</f>
        <v>0</v>
      </c>
      <c r="BM23" s="5">
        <f>IF($E23&gt;=BM$2,VLOOKUP($E23-BM$2,'data input'!$D$3:$E$130,2,FALSE),0)</f>
        <v>0</v>
      </c>
      <c r="BN23" s="5">
        <f>IF($E23&gt;=BN$2,VLOOKUP($E23-BN$2,'data input'!$D$3:$E$130,2,FALSE),0)</f>
        <v>0</v>
      </c>
      <c r="BO23" s="5">
        <f>IF($E23&gt;=BO$2,VLOOKUP($E23-BO$2,'data input'!$D$3:$E$130,2,FALSE),0)</f>
        <v>0</v>
      </c>
      <c r="BP23" s="5">
        <f>IF($E23&gt;=BP$2,VLOOKUP($E23-BP$2,'data input'!$D$3:$E$130,2,FALSE),0)</f>
        <v>0</v>
      </c>
      <c r="BQ23" s="5">
        <f>IF($E23&gt;=BQ$2,VLOOKUP($E23-BQ$2,'data input'!$D$3:$E$130,2,FALSE),0)</f>
        <v>0</v>
      </c>
      <c r="BR23" s="5">
        <f>IF($E23&gt;=BR$2,VLOOKUP($E23-BR$2,'data input'!$D$3:$E$130,2,FALSE),0)</f>
        <v>0</v>
      </c>
      <c r="BS23" s="5">
        <f>IF($E23&gt;=BS$2,VLOOKUP($E23-BS$2,'data input'!$D$3:$E$130,2,FALSE),0)</f>
        <v>0</v>
      </c>
      <c r="BT23" s="5">
        <f>IF($E23&gt;=BT$2,VLOOKUP($E23-BT$2,'data input'!$D$3:$E$130,2,FALSE),0)</f>
        <v>0</v>
      </c>
      <c r="BU23" s="5">
        <f>IF($E23&gt;=BU$2,VLOOKUP($E23-BU$2,'data input'!$D$3:$E$130,2,FALSE),0)</f>
        <v>0</v>
      </c>
      <c r="BV23" s="5">
        <f>IF($E23&gt;=BV$2,VLOOKUP($E23-BV$2,'data input'!$D$3:$E$130,2,FALSE),0)</f>
        <v>0</v>
      </c>
      <c r="BW23" s="5">
        <f>IF($E23&gt;=BW$2,VLOOKUP($E23-BW$2,'data input'!$D$3:$E$130,2,FALSE),0)</f>
        <v>0</v>
      </c>
      <c r="BX23" s="5">
        <f>IF($E23&gt;=BX$2,VLOOKUP($E23-BX$2,'data input'!$D$3:$E$130,2,FALSE),0)</f>
        <v>0</v>
      </c>
      <c r="BY23" s="5">
        <f>IF($E23&gt;=BY$2,VLOOKUP($E23-BY$2,'data input'!$D$3:$E$130,2,FALSE),0)</f>
        <v>0</v>
      </c>
      <c r="BZ23" s="5">
        <f>IF($E23&gt;=BZ$2,VLOOKUP($E23-BZ$2,'data input'!$D$3:$E$130,2,FALSE),0)</f>
        <v>0</v>
      </c>
      <c r="CA23" s="5">
        <f>IF($E23&gt;=CA$2,VLOOKUP($E23-CA$2,'data input'!$D$3:$E$130,2,FALSE),0)</f>
        <v>0</v>
      </c>
      <c r="CB23" s="5">
        <f>IF($E23&gt;=CB$2,VLOOKUP($E23-CB$2,'data input'!$D$3:$E$130,2,FALSE),0)</f>
        <v>0</v>
      </c>
      <c r="CC23" s="5">
        <f>IF($E23&gt;=CC$2,VLOOKUP($E23-CC$2,'data input'!$D$3:$E$130,2,FALSE),0)</f>
        <v>0</v>
      </c>
      <c r="CD23" s="5">
        <f>IF($E23&gt;=CD$2,VLOOKUP($E23-CD$2,'data input'!$D$3:$E$130,2,FALSE),0)</f>
        <v>0</v>
      </c>
      <c r="CE23" s="5">
        <f>IF($E23&gt;=CE$2,VLOOKUP($E23-CE$2,'data input'!$D$3:$E$130,2,FALSE),0)</f>
        <v>0</v>
      </c>
      <c r="CF23" s="5">
        <f>IF($E23&gt;=CF$2,VLOOKUP($E23-CF$2,'data input'!$D$3:$E$130,2,FALSE),0)</f>
        <v>0</v>
      </c>
      <c r="CG23" s="5">
        <f>IF($E23&gt;=CG$2,VLOOKUP($E23-CG$2,'data input'!$D$3:$E$130,2,FALSE),0)</f>
        <v>0</v>
      </c>
      <c r="CH23" s="5">
        <f>IF($E23&gt;=CH$2,VLOOKUP($E23-CH$2,'data input'!$D$3:$E$130,2,FALSE),0)</f>
        <v>0</v>
      </c>
      <c r="CI23" s="5">
        <f>IF($E23&gt;=CI$2,VLOOKUP($E23-CI$2,'data input'!$D$3:$E$130,2,FALSE),0)</f>
        <v>0</v>
      </c>
      <c r="CJ23" s="5">
        <f>IF($E23&gt;=CJ$2,VLOOKUP($E23-CJ$2,'data input'!$D$3:$E$130,2,FALSE),0)</f>
        <v>0</v>
      </c>
      <c r="CK23" s="5">
        <f>IF($E23&gt;=CK$2,VLOOKUP($E23-CK$2,'data input'!$D$3:$E$130,2,FALSE),0)</f>
        <v>0</v>
      </c>
      <c r="CL23" s="5">
        <f>IF($E23&gt;=CL$2,VLOOKUP($E23-CL$2,'data input'!$D$3:$E$130,2,FALSE),0)</f>
        <v>0</v>
      </c>
      <c r="CM23" s="5">
        <f>IF($E23&gt;=CM$2,VLOOKUP($E23-CM$2,'data input'!$D$3:$E$130,2,FALSE),0)</f>
        <v>0</v>
      </c>
      <c r="CN23" s="5">
        <f>IF($E23&gt;=CN$2,VLOOKUP($E23-CN$2,'data input'!$D$3:$E$130,2,FALSE),0)</f>
        <v>0</v>
      </c>
      <c r="CO23" s="5">
        <f>IF($E23&gt;=CO$2,VLOOKUP($E23-CO$2,'data input'!$D$3:$E$130,2,FALSE),0)</f>
        <v>0</v>
      </c>
      <c r="CP23" s="5">
        <f>IF($E23&gt;=CP$2,VLOOKUP($E23-CP$2,'data input'!$D$3:$E$130,2,FALSE),0)</f>
        <v>0</v>
      </c>
      <c r="CQ23" s="5">
        <f>IF($E23&gt;=CQ$2,VLOOKUP($E23-CQ$2,'data input'!$D$3:$E$130,2,FALSE),0)</f>
        <v>0</v>
      </c>
      <c r="CR23" s="5">
        <f>IF($E23&gt;=CR$2,VLOOKUP($E23-CR$2,'data input'!$D$3:$E$130,2,FALSE),0)</f>
        <v>0</v>
      </c>
      <c r="CS23" s="5">
        <f>IF($E23&gt;=CS$2,VLOOKUP($E23-CS$2,'data input'!$D$3:$E$130,2,FALSE),0)</f>
        <v>0</v>
      </c>
      <c r="CT23" s="5">
        <f>IF($E23&gt;=CT$2,VLOOKUP($E23-CT$2,'data input'!$D$3:$E$130,2,FALSE),0)</f>
        <v>0</v>
      </c>
      <c r="CU23" s="5">
        <f>IF($E23&gt;=CU$2,VLOOKUP($E23-CU$2,'data input'!$D$3:$E$130,2,FALSE),0)</f>
        <v>0</v>
      </c>
      <c r="CV23" s="5">
        <f>IF($E23&gt;=CV$2,VLOOKUP($E23-CV$2,'data input'!$D$3:$E$130,2,FALSE),0)</f>
        <v>0</v>
      </c>
      <c r="CW23" s="5">
        <f>IF($E23&gt;=CW$2,VLOOKUP($E23-CW$2,'data input'!$D$3:$E$130,2,FALSE),0)</f>
        <v>0</v>
      </c>
      <c r="CX23" s="5">
        <f>IF($E23&gt;=CX$2,VLOOKUP($E23-CX$2,'data input'!$D$3:$E$130,2,FALSE),0)</f>
        <v>0</v>
      </c>
      <c r="CY23" s="5">
        <f>IF($E23&gt;=CY$2,VLOOKUP($E23-CY$2,'data input'!$D$3:$E$130,2,FALSE),0)</f>
        <v>0</v>
      </c>
      <c r="CZ23" s="5">
        <f>IF($E23&gt;=CZ$2,VLOOKUP($E23-CZ$2,'data input'!$D$3:$E$130,2,FALSE),0)</f>
        <v>0</v>
      </c>
      <c r="DA23" s="5">
        <f>IF($E23&gt;=DA$2,VLOOKUP($E23-DA$2,'data input'!$D$3:$E$130,2,FALSE),0)</f>
        <v>0</v>
      </c>
      <c r="DB23" s="5">
        <f>IF($E23&gt;=DB$2,VLOOKUP($E23-DB$2,'data input'!$D$3:$E$130,2,FALSE),0)</f>
        <v>0</v>
      </c>
      <c r="DC23" s="5">
        <f>IF($E23&gt;=DC$2,VLOOKUP($E23-DC$2,'data input'!$D$3:$E$130,2,FALSE),0)</f>
        <v>0</v>
      </c>
      <c r="DD23" s="5">
        <f>IF($E23&gt;=DD$2,VLOOKUP($E23-DD$2,'data input'!$D$3:$E$130,2,FALSE),0)</f>
        <v>0</v>
      </c>
      <c r="DE23" s="5">
        <f>IF($E23&gt;=DE$2,VLOOKUP($E23-DE$2,'data input'!$D$3:$E$130,2,FALSE),0)</f>
        <v>0</v>
      </c>
      <c r="DF23" s="5">
        <f>IF($E23&gt;=DF$2,VLOOKUP($E23-DF$2,'data input'!$D$3:$E$130,2,FALSE),0)</f>
        <v>0</v>
      </c>
      <c r="DG23" s="5">
        <f>IF($E23&gt;=DG$2,VLOOKUP($E23-DG$2,'data input'!$D$3:$E$130,2,FALSE),0)</f>
        <v>0</v>
      </c>
      <c r="DH23" s="5">
        <f>IF($E23&gt;=DH$2,VLOOKUP($E23-DH$2,'data input'!$D$3:$E$130,2,FALSE),0)</f>
        <v>0</v>
      </c>
      <c r="DI23" s="5">
        <f>IF($E23&gt;=DI$2,VLOOKUP($E23-DI$2,'data input'!$D$3:$E$130,2,FALSE),0)</f>
        <v>0</v>
      </c>
      <c r="DJ23" s="5">
        <f>IF($E23&gt;=DJ$2,VLOOKUP($E23-DJ$2,'data input'!$D$3:$E$130,2,FALSE),0)</f>
        <v>0</v>
      </c>
      <c r="DK23" s="5">
        <f>IF($E23&gt;=DK$2,VLOOKUP($E23-DK$2,'data input'!$D$3:$E$130,2,FALSE),0)</f>
        <v>0</v>
      </c>
      <c r="DL23" s="5">
        <f>IF($E23&gt;=DL$2,VLOOKUP($E23-DL$2,'data input'!$D$3:$E$130,2,FALSE),0)</f>
        <v>0</v>
      </c>
      <c r="DM23" s="5">
        <f>IF($E23&gt;=DM$2,VLOOKUP($E23-DM$2,'data input'!$D$3:$E$130,2,FALSE),0)</f>
        <v>0</v>
      </c>
      <c r="DN23" s="5">
        <f>IF($E23&gt;=DN$2,VLOOKUP($E23-DN$2,'data input'!$D$3:$E$130,2,FALSE),0)</f>
        <v>0</v>
      </c>
      <c r="DO23" s="5">
        <f>IF($E23&gt;=DO$2,VLOOKUP($E23-DO$2,'data input'!$D$3:$E$130,2,FALSE),0)</f>
        <v>0</v>
      </c>
      <c r="DP23" s="5">
        <f>IF($E23&gt;=DP$2,VLOOKUP($E23-DP$2,'data input'!$D$3:$E$130,2,FALSE),0)</f>
        <v>0</v>
      </c>
      <c r="DQ23" s="5">
        <f>IF($E23&gt;=DQ$2,VLOOKUP($E23-DQ$2,'data input'!$D$3:$E$130,2,FALSE),0)</f>
        <v>0</v>
      </c>
      <c r="DR23" s="5">
        <f>IF($E23&gt;=DR$2,VLOOKUP($E23-DR$2,'data input'!$D$3:$E$130,2,FALSE),0)</f>
        <v>0</v>
      </c>
      <c r="DS23" s="5">
        <f>IF($E23&gt;=DS$2,VLOOKUP($E23-DS$2,'data input'!$D$3:$E$130,2,FALSE),0)</f>
        <v>0</v>
      </c>
      <c r="DT23" s="5">
        <f>IF($E23&gt;=DT$2,VLOOKUP($E23-DT$2,'data input'!$D$3:$E$130,2,FALSE),0)</f>
        <v>0</v>
      </c>
      <c r="DU23" s="5">
        <f>IF($E23&gt;=DU$2,VLOOKUP($E23-DU$2,'data input'!$D$3:$E$130,2,FALSE),0)</f>
        <v>0</v>
      </c>
      <c r="DV23" s="5">
        <f>IF($E23&gt;=DV$2,VLOOKUP($E23-DV$2,'data input'!$D$3:$E$130,2,FALSE),0)</f>
        <v>0</v>
      </c>
      <c r="DW23" s="5">
        <f>IF($E23&gt;=DW$2,VLOOKUP($E23-DW$2,'data input'!$D$3:$E$130,2,FALSE),0)</f>
        <v>0</v>
      </c>
      <c r="DX23" s="5">
        <f>IF($E23&gt;=DX$2,VLOOKUP($E23-DX$2,'data input'!$D$3:$E$130,2,FALSE),0)</f>
        <v>0</v>
      </c>
      <c r="DY23" s="5">
        <f>IF($E23&gt;=DY$2,VLOOKUP($E23-DY$2,'data input'!$D$3:$E$130,2,FALSE),0)</f>
        <v>0</v>
      </c>
      <c r="DZ23" s="5">
        <f>IF($E23&gt;=DZ$2,VLOOKUP($E23-DZ$2,'data input'!$D$3:$E$130,2,FALSE),0)</f>
        <v>0</v>
      </c>
      <c r="EA23" s="5">
        <f>IF($E23&gt;=EA$2,VLOOKUP($E23-EA$2,'data input'!$D$3:$E$130,2,FALSE),0)</f>
        <v>0</v>
      </c>
      <c r="EB23" s="5">
        <f>IF($E23&gt;=EB$2,VLOOKUP($E23-EB$2,'data input'!$D$3:$E$130,2,FALSE),0)</f>
        <v>0</v>
      </c>
      <c r="EC23" s="5">
        <f>IF($E23&gt;=EC$2,VLOOKUP($E23-EC$2,'data input'!$D$3:$E$130,2,FALSE),0)</f>
        <v>0</v>
      </c>
    </row>
    <row r="24" spans="5:133">
      <c r="E24" s="7">
        <f>'data input'!B24</f>
        <v>1899</v>
      </c>
      <c r="F24" s="5">
        <f>IF($E24&gt;=F$2,VLOOKUP($E24-F$2,'data input'!$D$3:$E$130,2,FALSE),0)</f>
        <v>0.92292139944792817</v>
      </c>
      <c r="G24" s="5">
        <f>IF($E24&gt;=G$2,VLOOKUP($E24-G$2,'data input'!$D$3:$E$130,2,FALSE),0)</f>
        <v>0.93319279873114191</v>
      </c>
      <c r="H24" s="5">
        <f>IF($E24&gt;=H$2,VLOOKUP($E24-H$2,'data input'!$D$3:$E$130,2,FALSE),0)</f>
        <v>0.94237177772384684</v>
      </c>
      <c r="I24" s="5">
        <f>IF($E24&gt;=I$2,VLOOKUP($E24-I$2,'data input'!$D$3:$E$130,2,FALSE),0)</f>
        <v>0.9505285319663519</v>
      </c>
      <c r="J24" s="5">
        <f>IF($E24&gt;=J$2,VLOOKUP($E24-J$2,'data input'!$D$3:$E$130,2,FALSE),0)</f>
        <v>0.95773626374204757</v>
      </c>
      <c r="K24" s="5">
        <f>IF($E24&gt;=K$2,VLOOKUP($E24-K$2,'data input'!$D$3:$E$130,2,FALSE),0)</f>
        <v>0.96406968088707423</v>
      </c>
      <c r="L24" s="5">
        <f>IF($E24&gt;=L$2,VLOOKUP($E24-L$2,'data input'!$D$3:$E$130,2,FALSE),0)</f>
        <v>0.96960363823473861</v>
      </c>
      <c r="M24" s="5">
        <f>IF($E24&gt;=M$2,VLOOKUP($E24-M$2,'data input'!$D$3:$E$130,2,FALSE),0)</f>
        <v>0.97441194047836144</v>
      </c>
      <c r="N24" s="5">
        <f>IF($E24&gt;=N$2,VLOOKUP($E24-N$2,'data input'!$D$3:$E$130,2,FALSE),0)</f>
        <v>0.97856631788584703</v>
      </c>
      <c r="O24" s="5">
        <f>IF($E24&gt;=O$2,VLOOKUP($E24-O$2,'data input'!$D$3:$E$130,2,FALSE),0)</f>
        <v>0.98213557943718344</v>
      </c>
      <c r="P24" s="5">
        <f>IF($E24&gt;=P$2,VLOOKUP($E24-P$2,'data input'!$D$3:$E$130,2,FALSE),0)</f>
        <v>0.98518494180739014</v>
      </c>
      <c r="Q24" s="5">
        <f>IF($E24&gt;=Q$2,VLOOKUP($E24-Q$2,'data input'!$D$3:$E$130,2,FALSE),0)</f>
        <v>0.98777552734495533</v>
      </c>
      <c r="R24" s="5">
        <f>IF($E24&gt;=R$2,VLOOKUP($E24-R$2,'data input'!$D$3:$E$130,2,FALSE),0)</f>
        <v>0.98996401989972593</v>
      </c>
      <c r="S24" s="5">
        <f>IF($E24&gt;=S$2,VLOOKUP($E24-S$2,'data input'!$D$3:$E$130,2,FALSE),0)</f>
        <v>0.99180246407540384</v>
      </c>
      <c r="T24" s="5">
        <f>IF($E24&gt;=T$2,VLOOKUP($E24-T$2,'data input'!$D$3:$E$130,2,FALSE),0)</f>
        <v>0.99333819120801725</v>
      </c>
      <c r="U24" s="5">
        <f>IF($E24&gt;=U$2,VLOOKUP($E24-U$2,'data input'!$D$3:$E$130,2,FALSE),0)</f>
        <v>0.99461385404593328</v>
      </c>
      <c r="V24" s="5">
        <f>IF($E24&gt;=V$2,VLOOKUP($E24-V$2,'data input'!$D$3:$E$130,2,FALSE),0)</f>
        <v>0.99566755163698739</v>
      </c>
      <c r="W24" s="5">
        <f>IF($E24&gt;=W$2,VLOOKUP($E24-W$2,'data input'!$D$3:$E$130,2,FALSE),0)</f>
        <v>0.99653302619695938</v>
      </c>
      <c r="X24" s="5">
        <f>IF($E24&gt;=X$2,VLOOKUP($E24-X$2,'data input'!$D$3:$E$130,2,FALSE),0)</f>
        <v>0.99723991460873751</v>
      </c>
      <c r="Y24" s="5">
        <f>IF($E24&gt;=Y$2,VLOOKUP($E24-Y$2,'data input'!$D$3:$E$130,2,FALSE),0)</f>
        <v>0.99781403854508677</v>
      </c>
      <c r="Z24" s="5">
        <f>IF($E24&gt;=Z$2,VLOOKUP($E24-Z$2,'data input'!$D$3:$E$130,2,FALSE),0)</f>
        <v>0.99827771888413241</v>
      </c>
      <c r="AA24" s="5">
        <f>IF($E24&gt;=AA$2,VLOOKUP($E24-AA$2,'data input'!$D$3:$E$130,2,FALSE),0)</f>
        <v>0.9986501019683699</v>
      </c>
      <c r="AB24" s="5">
        <f>IF($E24&gt;=AB$2,VLOOKUP($E24-AB$2,'data input'!$D$3:$E$130,2,FALSE),0)</f>
        <v>0</v>
      </c>
      <c r="AC24" s="5">
        <f>IF($E24&gt;=AC$2,VLOOKUP($E24-AC$2,'data input'!$D$3:$E$130,2,FALSE),0)</f>
        <v>0</v>
      </c>
      <c r="AD24" s="5">
        <f>IF($E24&gt;=AD$2,VLOOKUP($E24-AD$2,'data input'!$D$3:$E$130,2,FALSE),0)</f>
        <v>0</v>
      </c>
      <c r="AE24" s="5">
        <f>IF($E24&gt;=AE$2,VLOOKUP($E24-AE$2,'data input'!$D$3:$E$130,2,FALSE),0)</f>
        <v>0</v>
      </c>
      <c r="AF24" s="5">
        <f>IF($E24&gt;=AF$2,VLOOKUP($E24-AF$2,'data input'!$D$3:$E$130,2,FALSE),0)</f>
        <v>0</v>
      </c>
      <c r="AG24" s="5">
        <f>IF($E24&gt;=AG$2,VLOOKUP($E24-AG$2,'data input'!$D$3:$E$130,2,FALSE),0)</f>
        <v>0</v>
      </c>
      <c r="AH24" s="5">
        <f>IF($E24&gt;=AH$2,VLOOKUP($E24-AH$2,'data input'!$D$3:$E$130,2,FALSE),0)</f>
        <v>0</v>
      </c>
      <c r="AI24" s="5">
        <f>IF($E24&gt;=AI$2,VLOOKUP($E24-AI$2,'data input'!$D$3:$E$130,2,FALSE),0)</f>
        <v>0</v>
      </c>
      <c r="AJ24" s="5">
        <f>IF($E24&gt;=AJ$2,VLOOKUP($E24-AJ$2,'data input'!$D$3:$E$130,2,FALSE),0)</f>
        <v>0</v>
      </c>
      <c r="AK24" s="5">
        <f>IF($E24&gt;=AK$2,VLOOKUP($E24-AK$2,'data input'!$D$3:$E$130,2,FALSE),0)</f>
        <v>0</v>
      </c>
      <c r="AL24" s="5">
        <f>IF($E24&gt;=AL$2,VLOOKUP($E24-AL$2,'data input'!$D$3:$E$130,2,FALSE),0)</f>
        <v>0</v>
      </c>
      <c r="AM24" s="5">
        <f>IF($E24&gt;=AM$2,VLOOKUP($E24-AM$2,'data input'!$D$3:$E$130,2,FALSE),0)</f>
        <v>0</v>
      </c>
      <c r="AN24" s="5">
        <f>IF($E24&gt;=AN$2,VLOOKUP($E24-AN$2,'data input'!$D$3:$E$130,2,FALSE),0)</f>
        <v>0</v>
      </c>
      <c r="AO24" s="5">
        <f>IF($E24&gt;=AO$2,VLOOKUP($E24-AO$2,'data input'!$D$3:$E$130,2,FALSE),0)</f>
        <v>0</v>
      </c>
      <c r="AP24" s="5">
        <f>IF($E24&gt;=AP$2,VLOOKUP($E24-AP$2,'data input'!$D$3:$E$130,2,FALSE),0)</f>
        <v>0</v>
      </c>
      <c r="AQ24" s="5">
        <f>IF($E24&gt;=AQ$2,VLOOKUP($E24-AQ$2,'data input'!$D$3:$E$130,2,FALSE),0)</f>
        <v>0</v>
      </c>
      <c r="AR24" s="5">
        <f>IF($E24&gt;=AR$2,VLOOKUP($E24-AR$2,'data input'!$D$3:$E$130,2,FALSE),0)</f>
        <v>0</v>
      </c>
      <c r="AS24" s="5">
        <f>IF($E24&gt;=AS$2,VLOOKUP($E24-AS$2,'data input'!$D$3:$E$130,2,FALSE),0)</f>
        <v>0</v>
      </c>
      <c r="AT24" s="5">
        <f>IF($E24&gt;=AT$2,VLOOKUP($E24-AT$2,'data input'!$D$3:$E$130,2,FALSE),0)</f>
        <v>0</v>
      </c>
      <c r="AU24" s="5">
        <f>IF($E24&gt;=AU$2,VLOOKUP($E24-AU$2,'data input'!$D$3:$E$130,2,FALSE),0)</f>
        <v>0</v>
      </c>
      <c r="AV24" s="5">
        <f>IF($E24&gt;=AV$2,VLOOKUP($E24-AV$2,'data input'!$D$3:$E$130,2,FALSE),0)</f>
        <v>0</v>
      </c>
      <c r="AW24" s="5">
        <f>IF($E24&gt;=AW$2,VLOOKUP($E24-AW$2,'data input'!$D$3:$E$130,2,FALSE),0)</f>
        <v>0</v>
      </c>
      <c r="AX24" s="5">
        <f>IF($E24&gt;=AX$2,VLOOKUP($E24-AX$2,'data input'!$D$3:$E$130,2,FALSE),0)</f>
        <v>0</v>
      </c>
      <c r="AY24" s="5">
        <f>IF($E24&gt;=AY$2,VLOOKUP($E24-AY$2,'data input'!$D$3:$E$130,2,FALSE),0)</f>
        <v>0</v>
      </c>
      <c r="AZ24" s="5">
        <f>IF($E24&gt;=AZ$2,VLOOKUP($E24-AZ$2,'data input'!$D$3:$E$130,2,FALSE),0)</f>
        <v>0</v>
      </c>
      <c r="BA24" s="5">
        <f>IF($E24&gt;=BA$2,VLOOKUP($E24-BA$2,'data input'!$D$3:$E$130,2,FALSE),0)</f>
        <v>0</v>
      </c>
      <c r="BB24" s="5">
        <f>IF($E24&gt;=BB$2,VLOOKUP($E24-BB$2,'data input'!$D$3:$E$130,2,FALSE),0)</f>
        <v>0</v>
      </c>
      <c r="BC24" s="5">
        <f>IF($E24&gt;=BC$2,VLOOKUP($E24-BC$2,'data input'!$D$3:$E$130,2,FALSE),0)</f>
        <v>0</v>
      </c>
      <c r="BD24" s="5">
        <f>IF($E24&gt;=BD$2,VLOOKUP($E24-BD$2,'data input'!$D$3:$E$130,2,FALSE),0)</f>
        <v>0</v>
      </c>
      <c r="BE24" s="5">
        <f>IF($E24&gt;=BE$2,VLOOKUP($E24-BE$2,'data input'!$D$3:$E$130,2,FALSE),0)</f>
        <v>0</v>
      </c>
      <c r="BF24" s="5">
        <f>IF($E24&gt;=BF$2,VLOOKUP($E24-BF$2,'data input'!$D$3:$E$130,2,FALSE),0)</f>
        <v>0</v>
      </c>
      <c r="BG24" s="5">
        <f>IF($E24&gt;=BG$2,VLOOKUP($E24-BG$2,'data input'!$D$3:$E$130,2,FALSE),0)</f>
        <v>0</v>
      </c>
      <c r="BH24" s="5">
        <f>IF($E24&gt;=BH$2,VLOOKUP($E24-BH$2,'data input'!$D$3:$E$130,2,FALSE),0)</f>
        <v>0</v>
      </c>
      <c r="BI24" s="5">
        <f>IF($E24&gt;=BI$2,VLOOKUP($E24-BI$2,'data input'!$D$3:$E$130,2,FALSE),0)</f>
        <v>0</v>
      </c>
      <c r="BJ24" s="5">
        <f>IF($E24&gt;=BJ$2,VLOOKUP($E24-BJ$2,'data input'!$D$3:$E$130,2,FALSE),0)</f>
        <v>0</v>
      </c>
      <c r="BK24" s="5">
        <f>IF($E24&gt;=BK$2,VLOOKUP($E24-BK$2,'data input'!$D$3:$E$130,2,FALSE),0)</f>
        <v>0</v>
      </c>
      <c r="BL24" s="5">
        <f>IF($E24&gt;=BL$2,VLOOKUP($E24-BL$2,'data input'!$D$3:$E$130,2,FALSE),0)</f>
        <v>0</v>
      </c>
      <c r="BM24" s="5">
        <f>IF($E24&gt;=BM$2,VLOOKUP($E24-BM$2,'data input'!$D$3:$E$130,2,FALSE),0)</f>
        <v>0</v>
      </c>
      <c r="BN24" s="5">
        <f>IF($E24&gt;=BN$2,VLOOKUP($E24-BN$2,'data input'!$D$3:$E$130,2,FALSE),0)</f>
        <v>0</v>
      </c>
      <c r="BO24" s="5">
        <f>IF($E24&gt;=BO$2,VLOOKUP($E24-BO$2,'data input'!$D$3:$E$130,2,FALSE),0)</f>
        <v>0</v>
      </c>
      <c r="BP24" s="5">
        <f>IF($E24&gt;=BP$2,VLOOKUP($E24-BP$2,'data input'!$D$3:$E$130,2,FALSE),0)</f>
        <v>0</v>
      </c>
      <c r="BQ24" s="5">
        <f>IF($E24&gt;=BQ$2,VLOOKUP($E24-BQ$2,'data input'!$D$3:$E$130,2,FALSE),0)</f>
        <v>0</v>
      </c>
      <c r="BR24" s="5">
        <f>IF($E24&gt;=BR$2,VLOOKUP($E24-BR$2,'data input'!$D$3:$E$130,2,FALSE),0)</f>
        <v>0</v>
      </c>
      <c r="BS24" s="5">
        <f>IF($E24&gt;=BS$2,VLOOKUP($E24-BS$2,'data input'!$D$3:$E$130,2,FALSE),0)</f>
        <v>0</v>
      </c>
      <c r="BT24" s="5">
        <f>IF($E24&gt;=BT$2,VLOOKUP($E24-BT$2,'data input'!$D$3:$E$130,2,FALSE),0)</f>
        <v>0</v>
      </c>
      <c r="BU24" s="5">
        <f>IF($E24&gt;=BU$2,VLOOKUP($E24-BU$2,'data input'!$D$3:$E$130,2,FALSE),0)</f>
        <v>0</v>
      </c>
      <c r="BV24" s="5">
        <f>IF($E24&gt;=BV$2,VLOOKUP($E24-BV$2,'data input'!$D$3:$E$130,2,FALSE),0)</f>
        <v>0</v>
      </c>
      <c r="BW24" s="5">
        <f>IF($E24&gt;=BW$2,VLOOKUP($E24-BW$2,'data input'!$D$3:$E$130,2,FALSE),0)</f>
        <v>0</v>
      </c>
      <c r="BX24" s="5">
        <f>IF($E24&gt;=BX$2,VLOOKUP($E24-BX$2,'data input'!$D$3:$E$130,2,FALSE),0)</f>
        <v>0</v>
      </c>
      <c r="BY24" s="5">
        <f>IF($E24&gt;=BY$2,VLOOKUP($E24-BY$2,'data input'!$D$3:$E$130,2,FALSE),0)</f>
        <v>0</v>
      </c>
      <c r="BZ24" s="5">
        <f>IF($E24&gt;=BZ$2,VLOOKUP($E24-BZ$2,'data input'!$D$3:$E$130,2,FALSE),0)</f>
        <v>0</v>
      </c>
      <c r="CA24" s="5">
        <f>IF($E24&gt;=CA$2,VLOOKUP($E24-CA$2,'data input'!$D$3:$E$130,2,FALSE),0)</f>
        <v>0</v>
      </c>
      <c r="CB24" s="5">
        <f>IF($E24&gt;=CB$2,VLOOKUP($E24-CB$2,'data input'!$D$3:$E$130,2,FALSE),0)</f>
        <v>0</v>
      </c>
      <c r="CC24" s="5">
        <f>IF($E24&gt;=CC$2,VLOOKUP($E24-CC$2,'data input'!$D$3:$E$130,2,FALSE),0)</f>
        <v>0</v>
      </c>
      <c r="CD24" s="5">
        <f>IF($E24&gt;=CD$2,VLOOKUP($E24-CD$2,'data input'!$D$3:$E$130,2,FALSE),0)</f>
        <v>0</v>
      </c>
      <c r="CE24" s="5">
        <f>IF($E24&gt;=CE$2,VLOOKUP($E24-CE$2,'data input'!$D$3:$E$130,2,FALSE),0)</f>
        <v>0</v>
      </c>
      <c r="CF24" s="5">
        <f>IF($E24&gt;=CF$2,VLOOKUP($E24-CF$2,'data input'!$D$3:$E$130,2,FALSE),0)</f>
        <v>0</v>
      </c>
      <c r="CG24" s="5">
        <f>IF($E24&gt;=CG$2,VLOOKUP($E24-CG$2,'data input'!$D$3:$E$130,2,FALSE),0)</f>
        <v>0</v>
      </c>
      <c r="CH24" s="5">
        <f>IF($E24&gt;=CH$2,VLOOKUP($E24-CH$2,'data input'!$D$3:$E$130,2,FALSE),0)</f>
        <v>0</v>
      </c>
      <c r="CI24" s="5">
        <f>IF($E24&gt;=CI$2,VLOOKUP($E24-CI$2,'data input'!$D$3:$E$130,2,FALSE),0)</f>
        <v>0</v>
      </c>
      <c r="CJ24" s="5">
        <f>IF($E24&gt;=CJ$2,VLOOKUP($E24-CJ$2,'data input'!$D$3:$E$130,2,FALSE),0)</f>
        <v>0</v>
      </c>
      <c r="CK24" s="5">
        <f>IF($E24&gt;=CK$2,VLOOKUP($E24-CK$2,'data input'!$D$3:$E$130,2,FALSE),0)</f>
        <v>0</v>
      </c>
      <c r="CL24" s="5">
        <f>IF($E24&gt;=CL$2,VLOOKUP($E24-CL$2,'data input'!$D$3:$E$130,2,FALSE),0)</f>
        <v>0</v>
      </c>
      <c r="CM24" s="5">
        <f>IF($E24&gt;=CM$2,VLOOKUP($E24-CM$2,'data input'!$D$3:$E$130,2,FALSE),0)</f>
        <v>0</v>
      </c>
      <c r="CN24" s="5">
        <f>IF($E24&gt;=CN$2,VLOOKUP($E24-CN$2,'data input'!$D$3:$E$130,2,FALSE),0)</f>
        <v>0</v>
      </c>
      <c r="CO24" s="5">
        <f>IF($E24&gt;=CO$2,VLOOKUP($E24-CO$2,'data input'!$D$3:$E$130,2,FALSE),0)</f>
        <v>0</v>
      </c>
      <c r="CP24" s="5">
        <f>IF($E24&gt;=CP$2,VLOOKUP($E24-CP$2,'data input'!$D$3:$E$130,2,FALSE),0)</f>
        <v>0</v>
      </c>
      <c r="CQ24" s="5">
        <f>IF($E24&gt;=CQ$2,VLOOKUP($E24-CQ$2,'data input'!$D$3:$E$130,2,FALSE),0)</f>
        <v>0</v>
      </c>
      <c r="CR24" s="5">
        <f>IF($E24&gt;=CR$2,VLOOKUP($E24-CR$2,'data input'!$D$3:$E$130,2,FALSE),0)</f>
        <v>0</v>
      </c>
      <c r="CS24" s="5">
        <f>IF($E24&gt;=CS$2,VLOOKUP($E24-CS$2,'data input'!$D$3:$E$130,2,FALSE),0)</f>
        <v>0</v>
      </c>
      <c r="CT24" s="5">
        <f>IF($E24&gt;=CT$2,VLOOKUP($E24-CT$2,'data input'!$D$3:$E$130,2,FALSE),0)</f>
        <v>0</v>
      </c>
      <c r="CU24" s="5">
        <f>IF($E24&gt;=CU$2,VLOOKUP($E24-CU$2,'data input'!$D$3:$E$130,2,FALSE),0)</f>
        <v>0</v>
      </c>
      <c r="CV24" s="5">
        <f>IF($E24&gt;=CV$2,VLOOKUP($E24-CV$2,'data input'!$D$3:$E$130,2,FALSE),0)</f>
        <v>0</v>
      </c>
      <c r="CW24" s="5">
        <f>IF($E24&gt;=CW$2,VLOOKUP($E24-CW$2,'data input'!$D$3:$E$130,2,FALSE),0)</f>
        <v>0</v>
      </c>
      <c r="CX24" s="5">
        <f>IF($E24&gt;=CX$2,VLOOKUP($E24-CX$2,'data input'!$D$3:$E$130,2,FALSE),0)</f>
        <v>0</v>
      </c>
      <c r="CY24" s="5">
        <f>IF($E24&gt;=CY$2,VLOOKUP($E24-CY$2,'data input'!$D$3:$E$130,2,FALSE),0)</f>
        <v>0</v>
      </c>
      <c r="CZ24" s="5">
        <f>IF($E24&gt;=CZ$2,VLOOKUP($E24-CZ$2,'data input'!$D$3:$E$130,2,FALSE),0)</f>
        <v>0</v>
      </c>
      <c r="DA24" s="5">
        <f>IF($E24&gt;=DA$2,VLOOKUP($E24-DA$2,'data input'!$D$3:$E$130,2,FALSE),0)</f>
        <v>0</v>
      </c>
      <c r="DB24" s="5">
        <f>IF($E24&gt;=DB$2,VLOOKUP($E24-DB$2,'data input'!$D$3:$E$130,2,FALSE),0)</f>
        <v>0</v>
      </c>
      <c r="DC24" s="5">
        <f>IF($E24&gt;=DC$2,VLOOKUP($E24-DC$2,'data input'!$D$3:$E$130,2,FALSE),0)</f>
        <v>0</v>
      </c>
      <c r="DD24" s="5">
        <f>IF($E24&gt;=DD$2,VLOOKUP($E24-DD$2,'data input'!$D$3:$E$130,2,FALSE),0)</f>
        <v>0</v>
      </c>
      <c r="DE24" s="5">
        <f>IF($E24&gt;=DE$2,VLOOKUP($E24-DE$2,'data input'!$D$3:$E$130,2,FALSE),0)</f>
        <v>0</v>
      </c>
      <c r="DF24" s="5">
        <f>IF($E24&gt;=DF$2,VLOOKUP($E24-DF$2,'data input'!$D$3:$E$130,2,FALSE),0)</f>
        <v>0</v>
      </c>
      <c r="DG24" s="5">
        <f>IF($E24&gt;=DG$2,VLOOKUP($E24-DG$2,'data input'!$D$3:$E$130,2,FALSE),0)</f>
        <v>0</v>
      </c>
      <c r="DH24" s="5">
        <f>IF($E24&gt;=DH$2,VLOOKUP($E24-DH$2,'data input'!$D$3:$E$130,2,FALSE),0)</f>
        <v>0</v>
      </c>
      <c r="DI24" s="5">
        <f>IF($E24&gt;=DI$2,VLOOKUP($E24-DI$2,'data input'!$D$3:$E$130,2,FALSE),0)</f>
        <v>0</v>
      </c>
      <c r="DJ24" s="5">
        <f>IF($E24&gt;=DJ$2,VLOOKUP($E24-DJ$2,'data input'!$D$3:$E$130,2,FALSE),0)</f>
        <v>0</v>
      </c>
      <c r="DK24" s="5">
        <f>IF($E24&gt;=DK$2,VLOOKUP($E24-DK$2,'data input'!$D$3:$E$130,2,FALSE),0)</f>
        <v>0</v>
      </c>
      <c r="DL24" s="5">
        <f>IF($E24&gt;=DL$2,VLOOKUP($E24-DL$2,'data input'!$D$3:$E$130,2,FALSE),0)</f>
        <v>0</v>
      </c>
      <c r="DM24" s="5">
        <f>IF($E24&gt;=DM$2,VLOOKUP($E24-DM$2,'data input'!$D$3:$E$130,2,FALSE),0)</f>
        <v>0</v>
      </c>
      <c r="DN24" s="5">
        <f>IF($E24&gt;=DN$2,VLOOKUP($E24-DN$2,'data input'!$D$3:$E$130,2,FALSE),0)</f>
        <v>0</v>
      </c>
      <c r="DO24" s="5">
        <f>IF($E24&gt;=DO$2,VLOOKUP($E24-DO$2,'data input'!$D$3:$E$130,2,FALSE),0)</f>
        <v>0</v>
      </c>
      <c r="DP24" s="5">
        <f>IF($E24&gt;=DP$2,VLOOKUP($E24-DP$2,'data input'!$D$3:$E$130,2,FALSE),0)</f>
        <v>0</v>
      </c>
      <c r="DQ24" s="5">
        <f>IF($E24&gt;=DQ$2,VLOOKUP($E24-DQ$2,'data input'!$D$3:$E$130,2,FALSE),0)</f>
        <v>0</v>
      </c>
      <c r="DR24" s="5">
        <f>IF($E24&gt;=DR$2,VLOOKUP($E24-DR$2,'data input'!$D$3:$E$130,2,FALSE),0)</f>
        <v>0</v>
      </c>
      <c r="DS24" s="5">
        <f>IF($E24&gt;=DS$2,VLOOKUP($E24-DS$2,'data input'!$D$3:$E$130,2,FALSE),0)</f>
        <v>0</v>
      </c>
      <c r="DT24" s="5">
        <f>IF($E24&gt;=DT$2,VLOOKUP($E24-DT$2,'data input'!$D$3:$E$130,2,FALSE),0)</f>
        <v>0</v>
      </c>
      <c r="DU24" s="5">
        <f>IF($E24&gt;=DU$2,VLOOKUP($E24-DU$2,'data input'!$D$3:$E$130,2,FALSE),0)</f>
        <v>0</v>
      </c>
      <c r="DV24" s="5">
        <f>IF($E24&gt;=DV$2,VLOOKUP($E24-DV$2,'data input'!$D$3:$E$130,2,FALSE),0)</f>
        <v>0</v>
      </c>
      <c r="DW24" s="5">
        <f>IF($E24&gt;=DW$2,VLOOKUP($E24-DW$2,'data input'!$D$3:$E$130,2,FALSE),0)</f>
        <v>0</v>
      </c>
      <c r="DX24" s="5">
        <f>IF($E24&gt;=DX$2,VLOOKUP($E24-DX$2,'data input'!$D$3:$E$130,2,FALSE),0)</f>
        <v>0</v>
      </c>
      <c r="DY24" s="5">
        <f>IF($E24&gt;=DY$2,VLOOKUP($E24-DY$2,'data input'!$D$3:$E$130,2,FALSE),0)</f>
        <v>0</v>
      </c>
      <c r="DZ24" s="5">
        <f>IF($E24&gt;=DZ$2,VLOOKUP($E24-DZ$2,'data input'!$D$3:$E$130,2,FALSE),0)</f>
        <v>0</v>
      </c>
      <c r="EA24" s="5">
        <f>IF($E24&gt;=EA$2,VLOOKUP($E24-EA$2,'data input'!$D$3:$E$130,2,FALSE),0)</f>
        <v>0</v>
      </c>
      <c r="EB24" s="5">
        <f>IF($E24&gt;=EB$2,VLOOKUP($E24-EB$2,'data input'!$D$3:$E$130,2,FALSE),0)</f>
        <v>0</v>
      </c>
      <c r="EC24" s="5">
        <f>IF($E24&gt;=EC$2,VLOOKUP($E24-EC$2,'data input'!$D$3:$E$130,2,FALSE),0)</f>
        <v>0</v>
      </c>
    </row>
    <row r="25" spans="5:133">
      <c r="E25" s="7">
        <f>'data input'!B25</f>
        <v>1900</v>
      </c>
      <c r="F25" s="5">
        <f>IF($E25&gt;=F$2,VLOOKUP($E25-F$2,'data input'!$D$3:$E$130,2,FALSE),0)</f>
        <v>0.91149200856259793</v>
      </c>
      <c r="G25" s="5">
        <f>IF($E25&gt;=G$2,VLOOKUP($E25-G$2,'data input'!$D$3:$E$130,2,FALSE),0)</f>
        <v>0.92292139944792817</v>
      </c>
      <c r="H25" s="5">
        <f>IF($E25&gt;=H$2,VLOOKUP($E25-H$2,'data input'!$D$3:$E$130,2,FALSE),0)</f>
        <v>0.93319279873114191</v>
      </c>
      <c r="I25" s="5">
        <f>IF($E25&gt;=I$2,VLOOKUP($E25-I$2,'data input'!$D$3:$E$130,2,FALSE),0)</f>
        <v>0.94237177772384684</v>
      </c>
      <c r="J25" s="5">
        <f>IF($E25&gt;=J$2,VLOOKUP($E25-J$2,'data input'!$D$3:$E$130,2,FALSE),0)</f>
        <v>0.9505285319663519</v>
      </c>
      <c r="K25" s="5">
        <f>IF($E25&gt;=K$2,VLOOKUP($E25-K$2,'data input'!$D$3:$E$130,2,FALSE),0)</f>
        <v>0.95773626374204757</v>
      </c>
      <c r="L25" s="5">
        <f>IF($E25&gt;=L$2,VLOOKUP($E25-L$2,'data input'!$D$3:$E$130,2,FALSE),0)</f>
        <v>0.96406968088707423</v>
      </c>
      <c r="M25" s="5">
        <f>IF($E25&gt;=M$2,VLOOKUP($E25-M$2,'data input'!$D$3:$E$130,2,FALSE),0)</f>
        <v>0.96960363823473861</v>
      </c>
      <c r="N25" s="5">
        <f>IF($E25&gt;=N$2,VLOOKUP($E25-N$2,'data input'!$D$3:$E$130,2,FALSE),0)</f>
        <v>0.97441194047836144</v>
      </c>
      <c r="O25" s="5">
        <f>IF($E25&gt;=O$2,VLOOKUP($E25-O$2,'data input'!$D$3:$E$130,2,FALSE),0)</f>
        <v>0.97856631788584703</v>
      </c>
      <c r="P25" s="5">
        <f>IF($E25&gt;=P$2,VLOOKUP($E25-P$2,'data input'!$D$3:$E$130,2,FALSE),0)</f>
        <v>0.98213557943718344</v>
      </c>
      <c r="Q25" s="5">
        <f>IF($E25&gt;=Q$2,VLOOKUP($E25-Q$2,'data input'!$D$3:$E$130,2,FALSE),0)</f>
        <v>0.98518494180739014</v>
      </c>
      <c r="R25" s="5">
        <f>IF($E25&gt;=R$2,VLOOKUP($E25-R$2,'data input'!$D$3:$E$130,2,FALSE),0)</f>
        <v>0.98777552734495533</v>
      </c>
      <c r="S25" s="5">
        <f>IF($E25&gt;=S$2,VLOOKUP($E25-S$2,'data input'!$D$3:$E$130,2,FALSE),0)</f>
        <v>0.98996401989972593</v>
      </c>
      <c r="T25" s="5">
        <f>IF($E25&gt;=T$2,VLOOKUP($E25-T$2,'data input'!$D$3:$E$130,2,FALSE),0)</f>
        <v>0.99180246407540384</v>
      </c>
      <c r="U25" s="5">
        <f>IF($E25&gt;=U$2,VLOOKUP($E25-U$2,'data input'!$D$3:$E$130,2,FALSE),0)</f>
        <v>0.99333819120801725</v>
      </c>
      <c r="V25" s="5">
        <f>IF($E25&gt;=V$2,VLOOKUP($E25-V$2,'data input'!$D$3:$E$130,2,FALSE),0)</f>
        <v>0.99461385404593328</v>
      </c>
      <c r="W25" s="5">
        <f>IF($E25&gt;=W$2,VLOOKUP($E25-W$2,'data input'!$D$3:$E$130,2,FALSE),0)</f>
        <v>0.99566755163698739</v>
      </c>
      <c r="X25" s="5">
        <f>IF($E25&gt;=X$2,VLOOKUP($E25-X$2,'data input'!$D$3:$E$130,2,FALSE),0)</f>
        <v>0.99653302619695938</v>
      </c>
      <c r="Y25" s="5">
        <f>IF($E25&gt;=Y$2,VLOOKUP($E25-Y$2,'data input'!$D$3:$E$130,2,FALSE),0)</f>
        <v>0.99723991460873751</v>
      </c>
      <c r="Z25" s="5">
        <f>IF($E25&gt;=Z$2,VLOOKUP($E25-Z$2,'data input'!$D$3:$E$130,2,FALSE),0)</f>
        <v>0.99781403854508677</v>
      </c>
      <c r="AA25" s="5">
        <f>IF($E25&gt;=AA$2,VLOOKUP($E25-AA$2,'data input'!$D$3:$E$130,2,FALSE),0)</f>
        <v>0.99827771888413241</v>
      </c>
      <c r="AB25" s="5">
        <f>IF($E25&gt;=AB$2,VLOOKUP($E25-AB$2,'data input'!$D$3:$E$130,2,FALSE),0)</f>
        <v>0.9986501019683699</v>
      </c>
      <c r="AC25" s="5">
        <f>IF($E25&gt;=AC$2,VLOOKUP($E25-AC$2,'data input'!$D$3:$E$130,2,FALSE),0)</f>
        <v>0</v>
      </c>
      <c r="AD25" s="5">
        <f>IF($E25&gt;=AD$2,VLOOKUP($E25-AD$2,'data input'!$D$3:$E$130,2,FALSE),0)</f>
        <v>0</v>
      </c>
      <c r="AE25" s="5">
        <f>IF($E25&gt;=AE$2,VLOOKUP($E25-AE$2,'data input'!$D$3:$E$130,2,FALSE),0)</f>
        <v>0</v>
      </c>
      <c r="AF25" s="5">
        <f>IF($E25&gt;=AF$2,VLOOKUP($E25-AF$2,'data input'!$D$3:$E$130,2,FALSE),0)</f>
        <v>0</v>
      </c>
      <c r="AG25" s="5">
        <f>IF($E25&gt;=AG$2,VLOOKUP($E25-AG$2,'data input'!$D$3:$E$130,2,FALSE),0)</f>
        <v>0</v>
      </c>
      <c r="AH25" s="5">
        <f>IF($E25&gt;=AH$2,VLOOKUP($E25-AH$2,'data input'!$D$3:$E$130,2,FALSE),0)</f>
        <v>0</v>
      </c>
      <c r="AI25" s="5">
        <f>IF($E25&gt;=AI$2,VLOOKUP($E25-AI$2,'data input'!$D$3:$E$130,2,FALSE),0)</f>
        <v>0</v>
      </c>
      <c r="AJ25" s="5">
        <f>IF($E25&gt;=AJ$2,VLOOKUP($E25-AJ$2,'data input'!$D$3:$E$130,2,FALSE),0)</f>
        <v>0</v>
      </c>
      <c r="AK25" s="5">
        <f>IF($E25&gt;=AK$2,VLOOKUP($E25-AK$2,'data input'!$D$3:$E$130,2,FALSE),0)</f>
        <v>0</v>
      </c>
      <c r="AL25" s="5">
        <f>IF($E25&gt;=AL$2,VLOOKUP($E25-AL$2,'data input'!$D$3:$E$130,2,FALSE),0)</f>
        <v>0</v>
      </c>
      <c r="AM25" s="5">
        <f>IF($E25&gt;=AM$2,VLOOKUP($E25-AM$2,'data input'!$D$3:$E$130,2,FALSE),0)</f>
        <v>0</v>
      </c>
      <c r="AN25" s="5">
        <f>IF($E25&gt;=AN$2,VLOOKUP($E25-AN$2,'data input'!$D$3:$E$130,2,FALSE),0)</f>
        <v>0</v>
      </c>
      <c r="AO25" s="5">
        <f>IF($E25&gt;=AO$2,VLOOKUP($E25-AO$2,'data input'!$D$3:$E$130,2,FALSE),0)</f>
        <v>0</v>
      </c>
      <c r="AP25" s="5">
        <f>IF($E25&gt;=AP$2,VLOOKUP($E25-AP$2,'data input'!$D$3:$E$130,2,FALSE),0)</f>
        <v>0</v>
      </c>
      <c r="AQ25" s="5">
        <f>IF($E25&gt;=AQ$2,VLOOKUP($E25-AQ$2,'data input'!$D$3:$E$130,2,FALSE),0)</f>
        <v>0</v>
      </c>
      <c r="AR25" s="5">
        <f>IF($E25&gt;=AR$2,VLOOKUP($E25-AR$2,'data input'!$D$3:$E$130,2,FALSE),0)</f>
        <v>0</v>
      </c>
      <c r="AS25" s="5">
        <f>IF($E25&gt;=AS$2,VLOOKUP($E25-AS$2,'data input'!$D$3:$E$130,2,FALSE),0)</f>
        <v>0</v>
      </c>
      <c r="AT25" s="5">
        <f>IF($E25&gt;=AT$2,VLOOKUP($E25-AT$2,'data input'!$D$3:$E$130,2,FALSE),0)</f>
        <v>0</v>
      </c>
      <c r="AU25" s="5">
        <f>IF($E25&gt;=AU$2,VLOOKUP($E25-AU$2,'data input'!$D$3:$E$130,2,FALSE),0)</f>
        <v>0</v>
      </c>
      <c r="AV25" s="5">
        <f>IF($E25&gt;=AV$2,VLOOKUP($E25-AV$2,'data input'!$D$3:$E$130,2,FALSE),0)</f>
        <v>0</v>
      </c>
      <c r="AW25" s="5">
        <f>IF($E25&gt;=AW$2,VLOOKUP($E25-AW$2,'data input'!$D$3:$E$130,2,FALSE),0)</f>
        <v>0</v>
      </c>
      <c r="AX25" s="5">
        <f>IF($E25&gt;=AX$2,VLOOKUP($E25-AX$2,'data input'!$D$3:$E$130,2,FALSE),0)</f>
        <v>0</v>
      </c>
      <c r="AY25" s="5">
        <f>IF($E25&gt;=AY$2,VLOOKUP($E25-AY$2,'data input'!$D$3:$E$130,2,FALSE),0)</f>
        <v>0</v>
      </c>
      <c r="AZ25" s="5">
        <f>IF($E25&gt;=AZ$2,VLOOKUP($E25-AZ$2,'data input'!$D$3:$E$130,2,FALSE),0)</f>
        <v>0</v>
      </c>
      <c r="BA25" s="5">
        <f>IF($E25&gt;=BA$2,VLOOKUP($E25-BA$2,'data input'!$D$3:$E$130,2,FALSE),0)</f>
        <v>0</v>
      </c>
      <c r="BB25" s="5">
        <f>IF($E25&gt;=BB$2,VLOOKUP($E25-BB$2,'data input'!$D$3:$E$130,2,FALSE),0)</f>
        <v>0</v>
      </c>
      <c r="BC25" s="5">
        <f>IF($E25&gt;=BC$2,VLOOKUP($E25-BC$2,'data input'!$D$3:$E$130,2,FALSE),0)</f>
        <v>0</v>
      </c>
      <c r="BD25" s="5">
        <f>IF($E25&gt;=BD$2,VLOOKUP($E25-BD$2,'data input'!$D$3:$E$130,2,FALSE),0)</f>
        <v>0</v>
      </c>
      <c r="BE25" s="5">
        <f>IF($E25&gt;=BE$2,VLOOKUP($E25-BE$2,'data input'!$D$3:$E$130,2,FALSE),0)</f>
        <v>0</v>
      </c>
      <c r="BF25" s="5">
        <f>IF($E25&gt;=BF$2,VLOOKUP($E25-BF$2,'data input'!$D$3:$E$130,2,FALSE),0)</f>
        <v>0</v>
      </c>
      <c r="BG25" s="5">
        <f>IF($E25&gt;=BG$2,VLOOKUP($E25-BG$2,'data input'!$D$3:$E$130,2,FALSE),0)</f>
        <v>0</v>
      </c>
      <c r="BH25" s="5">
        <f>IF($E25&gt;=BH$2,VLOOKUP($E25-BH$2,'data input'!$D$3:$E$130,2,FALSE),0)</f>
        <v>0</v>
      </c>
      <c r="BI25" s="5">
        <f>IF($E25&gt;=BI$2,VLOOKUP($E25-BI$2,'data input'!$D$3:$E$130,2,FALSE),0)</f>
        <v>0</v>
      </c>
      <c r="BJ25" s="5">
        <f>IF($E25&gt;=BJ$2,VLOOKUP($E25-BJ$2,'data input'!$D$3:$E$130,2,FALSE),0)</f>
        <v>0</v>
      </c>
      <c r="BK25" s="5">
        <f>IF($E25&gt;=BK$2,VLOOKUP($E25-BK$2,'data input'!$D$3:$E$130,2,FALSE),0)</f>
        <v>0</v>
      </c>
      <c r="BL25" s="5">
        <f>IF($E25&gt;=BL$2,VLOOKUP($E25-BL$2,'data input'!$D$3:$E$130,2,FALSE),0)</f>
        <v>0</v>
      </c>
      <c r="BM25" s="5">
        <f>IF($E25&gt;=BM$2,VLOOKUP($E25-BM$2,'data input'!$D$3:$E$130,2,FALSE),0)</f>
        <v>0</v>
      </c>
      <c r="BN25" s="5">
        <f>IF($E25&gt;=BN$2,VLOOKUP($E25-BN$2,'data input'!$D$3:$E$130,2,FALSE),0)</f>
        <v>0</v>
      </c>
      <c r="BO25" s="5">
        <f>IF($E25&gt;=BO$2,VLOOKUP($E25-BO$2,'data input'!$D$3:$E$130,2,FALSE),0)</f>
        <v>0</v>
      </c>
      <c r="BP25" s="5">
        <f>IF($E25&gt;=BP$2,VLOOKUP($E25-BP$2,'data input'!$D$3:$E$130,2,FALSE),0)</f>
        <v>0</v>
      </c>
      <c r="BQ25" s="5">
        <f>IF($E25&gt;=BQ$2,VLOOKUP($E25-BQ$2,'data input'!$D$3:$E$130,2,FALSE),0)</f>
        <v>0</v>
      </c>
      <c r="BR25" s="5">
        <f>IF($E25&gt;=BR$2,VLOOKUP($E25-BR$2,'data input'!$D$3:$E$130,2,FALSE),0)</f>
        <v>0</v>
      </c>
      <c r="BS25" s="5">
        <f>IF($E25&gt;=BS$2,VLOOKUP($E25-BS$2,'data input'!$D$3:$E$130,2,FALSE),0)</f>
        <v>0</v>
      </c>
      <c r="BT25" s="5">
        <f>IF($E25&gt;=BT$2,VLOOKUP($E25-BT$2,'data input'!$D$3:$E$130,2,FALSE),0)</f>
        <v>0</v>
      </c>
      <c r="BU25" s="5">
        <f>IF($E25&gt;=BU$2,VLOOKUP($E25-BU$2,'data input'!$D$3:$E$130,2,FALSE),0)</f>
        <v>0</v>
      </c>
      <c r="BV25" s="5">
        <f>IF($E25&gt;=BV$2,VLOOKUP($E25-BV$2,'data input'!$D$3:$E$130,2,FALSE),0)</f>
        <v>0</v>
      </c>
      <c r="BW25" s="5">
        <f>IF($E25&gt;=BW$2,VLOOKUP($E25-BW$2,'data input'!$D$3:$E$130,2,FALSE),0)</f>
        <v>0</v>
      </c>
      <c r="BX25" s="5">
        <f>IF($E25&gt;=BX$2,VLOOKUP($E25-BX$2,'data input'!$D$3:$E$130,2,FALSE),0)</f>
        <v>0</v>
      </c>
      <c r="BY25" s="5">
        <f>IF($E25&gt;=BY$2,VLOOKUP($E25-BY$2,'data input'!$D$3:$E$130,2,FALSE),0)</f>
        <v>0</v>
      </c>
      <c r="BZ25" s="5">
        <f>IF($E25&gt;=BZ$2,VLOOKUP($E25-BZ$2,'data input'!$D$3:$E$130,2,FALSE),0)</f>
        <v>0</v>
      </c>
      <c r="CA25" s="5">
        <f>IF($E25&gt;=CA$2,VLOOKUP($E25-CA$2,'data input'!$D$3:$E$130,2,FALSE),0)</f>
        <v>0</v>
      </c>
      <c r="CB25" s="5">
        <f>IF($E25&gt;=CB$2,VLOOKUP($E25-CB$2,'data input'!$D$3:$E$130,2,FALSE),0)</f>
        <v>0</v>
      </c>
      <c r="CC25" s="5">
        <f>IF($E25&gt;=CC$2,VLOOKUP($E25-CC$2,'data input'!$D$3:$E$130,2,FALSE),0)</f>
        <v>0</v>
      </c>
      <c r="CD25" s="5">
        <f>IF($E25&gt;=CD$2,VLOOKUP($E25-CD$2,'data input'!$D$3:$E$130,2,FALSE),0)</f>
        <v>0</v>
      </c>
      <c r="CE25" s="5">
        <f>IF($E25&gt;=CE$2,VLOOKUP($E25-CE$2,'data input'!$D$3:$E$130,2,FALSE),0)</f>
        <v>0</v>
      </c>
      <c r="CF25" s="5">
        <f>IF($E25&gt;=CF$2,VLOOKUP($E25-CF$2,'data input'!$D$3:$E$130,2,FALSE),0)</f>
        <v>0</v>
      </c>
      <c r="CG25" s="5">
        <f>IF($E25&gt;=CG$2,VLOOKUP($E25-CG$2,'data input'!$D$3:$E$130,2,FALSE),0)</f>
        <v>0</v>
      </c>
      <c r="CH25" s="5">
        <f>IF($E25&gt;=CH$2,VLOOKUP($E25-CH$2,'data input'!$D$3:$E$130,2,FALSE),0)</f>
        <v>0</v>
      </c>
      <c r="CI25" s="5">
        <f>IF($E25&gt;=CI$2,VLOOKUP($E25-CI$2,'data input'!$D$3:$E$130,2,FALSE),0)</f>
        <v>0</v>
      </c>
      <c r="CJ25" s="5">
        <f>IF($E25&gt;=CJ$2,VLOOKUP($E25-CJ$2,'data input'!$D$3:$E$130,2,FALSE),0)</f>
        <v>0</v>
      </c>
      <c r="CK25" s="5">
        <f>IF($E25&gt;=CK$2,VLOOKUP($E25-CK$2,'data input'!$D$3:$E$130,2,FALSE),0)</f>
        <v>0</v>
      </c>
      <c r="CL25" s="5">
        <f>IF($E25&gt;=CL$2,VLOOKUP($E25-CL$2,'data input'!$D$3:$E$130,2,FALSE),0)</f>
        <v>0</v>
      </c>
      <c r="CM25" s="5">
        <f>IF($E25&gt;=CM$2,VLOOKUP($E25-CM$2,'data input'!$D$3:$E$130,2,FALSE),0)</f>
        <v>0</v>
      </c>
      <c r="CN25" s="5">
        <f>IF($E25&gt;=CN$2,VLOOKUP($E25-CN$2,'data input'!$D$3:$E$130,2,FALSE),0)</f>
        <v>0</v>
      </c>
      <c r="CO25" s="5">
        <f>IF($E25&gt;=CO$2,VLOOKUP($E25-CO$2,'data input'!$D$3:$E$130,2,FALSE),0)</f>
        <v>0</v>
      </c>
      <c r="CP25" s="5">
        <f>IF($E25&gt;=CP$2,VLOOKUP($E25-CP$2,'data input'!$D$3:$E$130,2,FALSE),0)</f>
        <v>0</v>
      </c>
      <c r="CQ25" s="5">
        <f>IF($E25&gt;=CQ$2,VLOOKUP($E25-CQ$2,'data input'!$D$3:$E$130,2,FALSE),0)</f>
        <v>0</v>
      </c>
      <c r="CR25" s="5">
        <f>IF($E25&gt;=CR$2,VLOOKUP($E25-CR$2,'data input'!$D$3:$E$130,2,FALSE),0)</f>
        <v>0</v>
      </c>
      <c r="CS25" s="5">
        <f>IF($E25&gt;=CS$2,VLOOKUP($E25-CS$2,'data input'!$D$3:$E$130,2,FALSE),0)</f>
        <v>0</v>
      </c>
      <c r="CT25" s="5">
        <f>IF($E25&gt;=CT$2,VLOOKUP($E25-CT$2,'data input'!$D$3:$E$130,2,FALSE),0)</f>
        <v>0</v>
      </c>
      <c r="CU25" s="5">
        <f>IF($E25&gt;=CU$2,VLOOKUP($E25-CU$2,'data input'!$D$3:$E$130,2,FALSE),0)</f>
        <v>0</v>
      </c>
      <c r="CV25" s="5">
        <f>IF($E25&gt;=CV$2,VLOOKUP($E25-CV$2,'data input'!$D$3:$E$130,2,FALSE),0)</f>
        <v>0</v>
      </c>
      <c r="CW25" s="5">
        <f>IF($E25&gt;=CW$2,VLOOKUP($E25-CW$2,'data input'!$D$3:$E$130,2,FALSE),0)</f>
        <v>0</v>
      </c>
      <c r="CX25" s="5">
        <f>IF($E25&gt;=CX$2,VLOOKUP($E25-CX$2,'data input'!$D$3:$E$130,2,FALSE),0)</f>
        <v>0</v>
      </c>
      <c r="CY25" s="5">
        <f>IF($E25&gt;=CY$2,VLOOKUP($E25-CY$2,'data input'!$D$3:$E$130,2,FALSE),0)</f>
        <v>0</v>
      </c>
      <c r="CZ25" s="5">
        <f>IF($E25&gt;=CZ$2,VLOOKUP($E25-CZ$2,'data input'!$D$3:$E$130,2,FALSE),0)</f>
        <v>0</v>
      </c>
      <c r="DA25" s="5">
        <f>IF($E25&gt;=DA$2,VLOOKUP($E25-DA$2,'data input'!$D$3:$E$130,2,FALSE),0)</f>
        <v>0</v>
      </c>
      <c r="DB25" s="5">
        <f>IF($E25&gt;=DB$2,VLOOKUP($E25-DB$2,'data input'!$D$3:$E$130,2,FALSE),0)</f>
        <v>0</v>
      </c>
      <c r="DC25" s="5">
        <f>IF($E25&gt;=DC$2,VLOOKUP($E25-DC$2,'data input'!$D$3:$E$130,2,FALSE),0)</f>
        <v>0</v>
      </c>
      <c r="DD25" s="5">
        <f>IF($E25&gt;=DD$2,VLOOKUP($E25-DD$2,'data input'!$D$3:$E$130,2,FALSE),0)</f>
        <v>0</v>
      </c>
      <c r="DE25" s="5">
        <f>IF($E25&gt;=DE$2,VLOOKUP($E25-DE$2,'data input'!$D$3:$E$130,2,FALSE),0)</f>
        <v>0</v>
      </c>
      <c r="DF25" s="5">
        <f>IF($E25&gt;=DF$2,VLOOKUP($E25-DF$2,'data input'!$D$3:$E$130,2,FALSE),0)</f>
        <v>0</v>
      </c>
      <c r="DG25" s="5">
        <f>IF($E25&gt;=DG$2,VLOOKUP($E25-DG$2,'data input'!$D$3:$E$130,2,FALSE),0)</f>
        <v>0</v>
      </c>
      <c r="DH25" s="5">
        <f>IF($E25&gt;=DH$2,VLOOKUP($E25-DH$2,'data input'!$D$3:$E$130,2,FALSE),0)</f>
        <v>0</v>
      </c>
      <c r="DI25" s="5">
        <f>IF($E25&gt;=DI$2,VLOOKUP($E25-DI$2,'data input'!$D$3:$E$130,2,FALSE),0)</f>
        <v>0</v>
      </c>
      <c r="DJ25" s="5">
        <f>IF($E25&gt;=DJ$2,VLOOKUP($E25-DJ$2,'data input'!$D$3:$E$130,2,FALSE),0)</f>
        <v>0</v>
      </c>
      <c r="DK25" s="5">
        <f>IF($E25&gt;=DK$2,VLOOKUP($E25-DK$2,'data input'!$D$3:$E$130,2,FALSE),0)</f>
        <v>0</v>
      </c>
      <c r="DL25" s="5">
        <f>IF($E25&gt;=DL$2,VLOOKUP($E25-DL$2,'data input'!$D$3:$E$130,2,FALSE),0)</f>
        <v>0</v>
      </c>
      <c r="DM25" s="5">
        <f>IF($E25&gt;=DM$2,VLOOKUP($E25-DM$2,'data input'!$D$3:$E$130,2,FALSE),0)</f>
        <v>0</v>
      </c>
      <c r="DN25" s="5">
        <f>IF($E25&gt;=DN$2,VLOOKUP($E25-DN$2,'data input'!$D$3:$E$130,2,FALSE),0)</f>
        <v>0</v>
      </c>
      <c r="DO25" s="5">
        <f>IF($E25&gt;=DO$2,VLOOKUP($E25-DO$2,'data input'!$D$3:$E$130,2,FALSE),0)</f>
        <v>0</v>
      </c>
      <c r="DP25" s="5">
        <f>IF($E25&gt;=DP$2,VLOOKUP($E25-DP$2,'data input'!$D$3:$E$130,2,FALSE),0)</f>
        <v>0</v>
      </c>
      <c r="DQ25" s="5">
        <f>IF($E25&gt;=DQ$2,VLOOKUP($E25-DQ$2,'data input'!$D$3:$E$130,2,FALSE),0)</f>
        <v>0</v>
      </c>
      <c r="DR25" s="5">
        <f>IF($E25&gt;=DR$2,VLOOKUP($E25-DR$2,'data input'!$D$3:$E$130,2,FALSE),0)</f>
        <v>0</v>
      </c>
      <c r="DS25" s="5">
        <f>IF($E25&gt;=DS$2,VLOOKUP($E25-DS$2,'data input'!$D$3:$E$130,2,FALSE),0)</f>
        <v>0</v>
      </c>
      <c r="DT25" s="5">
        <f>IF($E25&gt;=DT$2,VLOOKUP($E25-DT$2,'data input'!$D$3:$E$130,2,FALSE),0)</f>
        <v>0</v>
      </c>
      <c r="DU25" s="5">
        <f>IF($E25&gt;=DU$2,VLOOKUP($E25-DU$2,'data input'!$D$3:$E$130,2,FALSE),0)</f>
        <v>0</v>
      </c>
      <c r="DV25" s="5">
        <f>IF($E25&gt;=DV$2,VLOOKUP($E25-DV$2,'data input'!$D$3:$E$130,2,FALSE),0)</f>
        <v>0</v>
      </c>
      <c r="DW25" s="5">
        <f>IF($E25&gt;=DW$2,VLOOKUP($E25-DW$2,'data input'!$D$3:$E$130,2,FALSE),0)</f>
        <v>0</v>
      </c>
      <c r="DX25" s="5">
        <f>IF($E25&gt;=DX$2,VLOOKUP($E25-DX$2,'data input'!$D$3:$E$130,2,FALSE),0)</f>
        <v>0</v>
      </c>
      <c r="DY25" s="5">
        <f>IF($E25&gt;=DY$2,VLOOKUP($E25-DY$2,'data input'!$D$3:$E$130,2,FALSE),0)</f>
        <v>0</v>
      </c>
      <c r="DZ25" s="5">
        <f>IF($E25&gt;=DZ$2,VLOOKUP($E25-DZ$2,'data input'!$D$3:$E$130,2,FALSE),0)</f>
        <v>0</v>
      </c>
      <c r="EA25" s="5">
        <f>IF($E25&gt;=EA$2,VLOOKUP($E25-EA$2,'data input'!$D$3:$E$130,2,FALSE),0)</f>
        <v>0</v>
      </c>
      <c r="EB25" s="5">
        <f>IF($E25&gt;=EB$2,VLOOKUP($E25-EB$2,'data input'!$D$3:$E$130,2,FALSE),0)</f>
        <v>0</v>
      </c>
      <c r="EC25" s="5">
        <f>IF($E25&gt;=EC$2,VLOOKUP($E25-EC$2,'data input'!$D$3:$E$130,2,FALSE),0)</f>
        <v>0</v>
      </c>
    </row>
    <row r="26" spans="5:133">
      <c r="E26" s="7">
        <f>'data input'!B26</f>
        <v>1901</v>
      </c>
      <c r="F26" s="5">
        <f>IF($E26&gt;=F$2,VLOOKUP($E26-F$2,'data input'!$D$3:$E$130,2,FALSE),0)</f>
        <v>0.89884537900441408</v>
      </c>
      <c r="G26" s="5">
        <f>IF($E26&gt;=G$2,VLOOKUP($E26-G$2,'data input'!$D$3:$E$130,2,FALSE),0)</f>
        <v>0.91149200856259793</v>
      </c>
      <c r="H26" s="5">
        <f>IF($E26&gt;=H$2,VLOOKUP($E26-H$2,'data input'!$D$3:$E$130,2,FALSE),0)</f>
        <v>0.92292139944792817</v>
      </c>
      <c r="I26" s="5">
        <f>IF($E26&gt;=I$2,VLOOKUP($E26-I$2,'data input'!$D$3:$E$130,2,FALSE),0)</f>
        <v>0.93319279873114191</v>
      </c>
      <c r="J26" s="5">
        <f>IF($E26&gt;=J$2,VLOOKUP($E26-J$2,'data input'!$D$3:$E$130,2,FALSE),0)</f>
        <v>0.94237177772384684</v>
      </c>
      <c r="K26" s="5">
        <f>IF($E26&gt;=K$2,VLOOKUP($E26-K$2,'data input'!$D$3:$E$130,2,FALSE),0)</f>
        <v>0.9505285319663519</v>
      </c>
      <c r="L26" s="5">
        <f>IF($E26&gt;=L$2,VLOOKUP($E26-L$2,'data input'!$D$3:$E$130,2,FALSE),0)</f>
        <v>0.95773626374204757</v>
      </c>
      <c r="M26" s="5">
        <f>IF($E26&gt;=M$2,VLOOKUP($E26-M$2,'data input'!$D$3:$E$130,2,FALSE),0)</f>
        <v>0.96406968088707423</v>
      </c>
      <c r="N26" s="5">
        <f>IF($E26&gt;=N$2,VLOOKUP($E26-N$2,'data input'!$D$3:$E$130,2,FALSE),0)</f>
        <v>0.96960363823473861</v>
      </c>
      <c r="O26" s="5">
        <f>IF($E26&gt;=O$2,VLOOKUP($E26-O$2,'data input'!$D$3:$E$130,2,FALSE),0)</f>
        <v>0.97441194047836144</v>
      </c>
      <c r="P26" s="5">
        <f>IF($E26&gt;=P$2,VLOOKUP($E26-P$2,'data input'!$D$3:$E$130,2,FALSE),0)</f>
        <v>0.97856631788584703</v>
      </c>
      <c r="Q26" s="5">
        <f>IF($E26&gt;=Q$2,VLOOKUP($E26-Q$2,'data input'!$D$3:$E$130,2,FALSE),0)</f>
        <v>0.98213557943718344</v>
      </c>
      <c r="R26" s="5">
        <f>IF($E26&gt;=R$2,VLOOKUP($E26-R$2,'data input'!$D$3:$E$130,2,FALSE),0)</f>
        <v>0.98518494180739014</v>
      </c>
      <c r="S26" s="5">
        <f>IF($E26&gt;=S$2,VLOOKUP($E26-S$2,'data input'!$D$3:$E$130,2,FALSE),0)</f>
        <v>0.98777552734495533</v>
      </c>
      <c r="T26" s="5">
        <f>IF($E26&gt;=T$2,VLOOKUP($E26-T$2,'data input'!$D$3:$E$130,2,FALSE),0)</f>
        <v>0.98996401989972593</v>
      </c>
      <c r="U26" s="5">
        <f>IF($E26&gt;=U$2,VLOOKUP($E26-U$2,'data input'!$D$3:$E$130,2,FALSE),0)</f>
        <v>0.99180246407540384</v>
      </c>
      <c r="V26" s="5">
        <f>IF($E26&gt;=V$2,VLOOKUP($E26-V$2,'data input'!$D$3:$E$130,2,FALSE),0)</f>
        <v>0.99333819120801725</v>
      </c>
      <c r="W26" s="5">
        <f>IF($E26&gt;=W$2,VLOOKUP($E26-W$2,'data input'!$D$3:$E$130,2,FALSE),0)</f>
        <v>0.99461385404593328</v>
      </c>
      <c r="X26" s="5">
        <f>IF($E26&gt;=X$2,VLOOKUP($E26-X$2,'data input'!$D$3:$E$130,2,FALSE),0)</f>
        <v>0.99566755163698739</v>
      </c>
      <c r="Y26" s="5">
        <f>IF($E26&gt;=Y$2,VLOOKUP($E26-Y$2,'data input'!$D$3:$E$130,2,FALSE),0)</f>
        <v>0.99653302619695938</v>
      </c>
      <c r="Z26" s="5">
        <f>IF($E26&gt;=Z$2,VLOOKUP($E26-Z$2,'data input'!$D$3:$E$130,2,FALSE),0)</f>
        <v>0.99723991460873751</v>
      </c>
      <c r="AA26" s="5">
        <f>IF($E26&gt;=AA$2,VLOOKUP($E26-AA$2,'data input'!$D$3:$E$130,2,FALSE),0)</f>
        <v>0.99781403854508677</v>
      </c>
      <c r="AB26" s="5">
        <f>IF($E26&gt;=AB$2,VLOOKUP($E26-AB$2,'data input'!$D$3:$E$130,2,FALSE),0)</f>
        <v>0.99827771888413241</v>
      </c>
      <c r="AC26" s="5">
        <f>IF($E26&gt;=AC$2,VLOOKUP($E26-AC$2,'data input'!$D$3:$E$130,2,FALSE),0)</f>
        <v>0.9986501019683699</v>
      </c>
      <c r="AD26" s="5">
        <f>IF($E26&gt;=AD$2,VLOOKUP($E26-AD$2,'data input'!$D$3:$E$130,2,FALSE),0)</f>
        <v>0</v>
      </c>
      <c r="AE26" s="5">
        <f>IF($E26&gt;=AE$2,VLOOKUP($E26-AE$2,'data input'!$D$3:$E$130,2,FALSE),0)</f>
        <v>0</v>
      </c>
      <c r="AF26" s="5">
        <f>IF($E26&gt;=AF$2,VLOOKUP($E26-AF$2,'data input'!$D$3:$E$130,2,FALSE),0)</f>
        <v>0</v>
      </c>
      <c r="AG26" s="5">
        <f>IF($E26&gt;=AG$2,VLOOKUP($E26-AG$2,'data input'!$D$3:$E$130,2,FALSE),0)</f>
        <v>0</v>
      </c>
      <c r="AH26" s="5">
        <f>IF($E26&gt;=AH$2,VLOOKUP($E26-AH$2,'data input'!$D$3:$E$130,2,FALSE),0)</f>
        <v>0</v>
      </c>
      <c r="AI26" s="5">
        <f>IF($E26&gt;=AI$2,VLOOKUP($E26-AI$2,'data input'!$D$3:$E$130,2,FALSE),0)</f>
        <v>0</v>
      </c>
      <c r="AJ26" s="5">
        <f>IF($E26&gt;=AJ$2,VLOOKUP($E26-AJ$2,'data input'!$D$3:$E$130,2,FALSE),0)</f>
        <v>0</v>
      </c>
      <c r="AK26" s="5">
        <f>IF($E26&gt;=AK$2,VLOOKUP($E26-AK$2,'data input'!$D$3:$E$130,2,FALSE),0)</f>
        <v>0</v>
      </c>
      <c r="AL26" s="5">
        <f>IF($E26&gt;=AL$2,VLOOKUP($E26-AL$2,'data input'!$D$3:$E$130,2,FALSE),0)</f>
        <v>0</v>
      </c>
      <c r="AM26" s="5">
        <f>IF($E26&gt;=AM$2,VLOOKUP($E26-AM$2,'data input'!$D$3:$E$130,2,FALSE),0)</f>
        <v>0</v>
      </c>
      <c r="AN26" s="5">
        <f>IF($E26&gt;=AN$2,VLOOKUP($E26-AN$2,'data input'!$D$3:$E$130,2,FALSE),0)</f>
        <v>0</v>
      </c>
      <c r="AO26" s="5">
        <f>IF($E26&gt;=AO$2,VLOOKUP($E26-AO$2,'data input'!$D$3:$E$130,2,FALSE),0)</f>
        <v>0</v>
      </c>
      <c r="AP26" s="5">
        <f>IF($E26&gt;=AP$2,VLOOKUP($E26-AP$2,'data input'!$D$3:$E$130,2,FALSE),0)</f>
        <v>0</v>
      </c>
      <c r="AQ26" s="5">
        <f>IF($E26&gt;=AQ$2,VLOOKUP($E26-AQ$2,'data input'!$D$3:$E$130,2,FALSE),0)</f>
        <v>0</v>
      </c>
      <c r="AR26" s="5">
        <f>IF($E26&gt;=AR$2,VLOOKUP($E26-AR$2,'data input'!$D$3:$E$130,2,FALSE),0)</f>
        <v>0</v>
      </c>
      <c r="AS26" s="5">
        <f>IF($E26&gt;=AS$2,VLOOKUP($E26-AS$2,'data input'!$D$3:$E$130,2,FALSE),0)</f>
        <v>0</v>
      </c>
      <c r="AT26" s="5">
        <f>IF($E26&gt;=AT$2,VLOOKUP($E26-AT$2,'data input'!$D$3:$E$130,2,FALSE),0)</f>
        <v>0</v>
      </c>
      <c r="AU26" s="5">
        <f>IF($E26&gt;=AU$2,VLOOKUP($E26-AU$2,'data input'!$D$3:$E$130,2,FALSE),0)</f>
        <v>0</v>
      </c>
      <c r="AV26" s="5">
        <f>IF($E26&gt;=AV$2,VLOOKUP($E26-AV$2,'data input'!$D$3:$E$130,2,FALSE),0)</f>
        <v>0</v>
      </c>
      <c r="AW26" s="5">
        <f>IF($E26&gt;=AW$2,VLOOKUP($E26-AW$2,'data input'!$D$3:$E$130,2,FALSE),0)</f>
        <v>0</v>
      </c>
      <c r="AX26" s="5">
        <f>IF($E26&gt;=AX$2,VLOOKUP($E26-AX$2,'data input'!$D$3:$E$130,2,FALSE),0)</f>
        <v>0</v>
      </c>
      <c r="AY26" s="5">
        <f>IF($E26&gt;=AY$2,VLOOKUP($E26-AY$2,'data input'!$D$3:$E$130,2,FALSE),0)</f>
        <v>0</v>
      </c>
      <c r="AZ26" s="5">
        <f>IF($E26&gt;=AZ$2,VLOOKUP($E26-AZ$2,'data input'!$D$3:$E$130,2,FALSE),0)</f>
        <v>0</v>
      </c>
      <c r="BA26" s="5">
        <f>IF($E26&gt;=BA$2,VLOOKUP($E26-BA$2,'data input'!$D$3:$E$130,2,FALSE),0)</f>
        <v>0</v>
      </c>
      <c r="BB26" s="5">
        <f>IF($E26&gt;=BB$2,VLOOKUP($E26-BB$2,'data input'!$D$3:$E$130,2,FALSE),0)</f>
        <v>0</v>
      </c>
      <c r="BC26" s="5">
        <f>IF($E26&gt;=BC$2,VLOOKUP($E26-BC$2,'data input'!$D$3:$E$130,2,FALSE),0)</f>
        <v>0</v>
      </c>
      <c r="BD26" s="5">
        <f>IF($E26&gt;=BD$2,VLOOKUP($E26-BD$2,'data input'!$D$3:$E$130,2,FALSE),0)</f>
        <v>0</v>
      </c>
      <c r="BE26" s="5">
        <f>IF($E26&gt;=BE$2,VLOOKUP($E26-BE$2,'data input'!$D$3:$E$130,2,FALSE),0)</f>
        <v>0</v>
      </c>
      <c r="BF26" s="5">
        <f>IF($E26&gt;=BF$2,VLOOKUP($E26-BF$2,'data input'!$D$3:$E$130,2,FALSE),0)</f>
        <v>0</v>
      </c>
      <c r="BG26" s="5">
        <f>IF($E26&gt;=BG$2,VLOOKUP($E26-BG$2,'data input'!$D$3:$E$130,2,FALSE),0)</f>
        <v>0</v>
      </c>
      <c r="BH26" s="5">
        <f>IF($E26&gt;=BH$2,VLOOKUP($E26-BH$2,'data input'!$D$3:$E$130,2,FALSE),0)</f>
        <v>0</v>
      </c>
      <c r="BI26" s="5">
        <f>IF($E26&gt;=BI$2,VLOOKUP($E26-BI$2,'data input'!$D$3:$E$130,2,FALSE),0)</f>
        <v>0</v>
      </c>
      <c r="BJ26" s="5">
        <f>IF($E26&gt;=BJ$2,VLOOKUP($E26-BJ$2,'data input'!$D$3:$E$130,2,FALSE),0)</f>
        <v>0</v>
      </c>
      <c r="BK26" s="5">
        <f>IF($E26&gt;=BK$2,VLOOKUP($E26-BK$2,'data input'!$D$3:$E$130,2,FALSE),0)</f>
        <v>0</v>
      </c>
      <c r="BL26" s="5">
        <f>IF($E26&gt;=BL$2,VLOOKUP($E26-BL$2,'data input'!$D$3:$E$130,2,FALSE),0)</f>
        <v>0</v>
      </c>
      <c r="BM26" s="5">
        <f>IF($E26&gt;=BM$2,VLOOKUP($E26-BM$2,'data input'!$D$3:$E$130,2,FALSE),0)</f>
        <v>0</v>
      </c>
      <c r="BN26" s="5">
        <f>IF($E26&gt;=BN$2,VLOOKUP($E26-BN$2,'data input'!$D$3:$E$130,2,FALSE),0)</f>
        <v>0</v>
      </c>
      <c r="BO26" s="5">
        <f>IF($E26&gt;=BO$2,VLOOKUP($E26-BO$2,'data input'!$D$3:$E$130,2,FALSE),0)</f>
        <v>0</v>
      </c>
      <c r="BP26" s="5">
        <f>IF($E26&gt;=BP$2,VLOOKUP($E26-BP$2,'data input'!$D$3:$E$130,2,FALSE),0)</f>
        <v>0</v>
      </c>
      <c r="BQ26" s="5">
        <f>IF($E26&gt;=BQ$2,VLOOKUP($E26-BQ$2,'data input'!$D$3:$E$130,2,FALSE),0)</f>
        <v>0</v>
      </c>
      <c r="BR26" s="5">
        <f>IF($E26&gt;=BR$2,VLOOKUP($E26-BR$2,'data input'!$D$3:$E$130,2,FALSE),0)</f>
        <v>0</v>
      </c>
      <c r="BS26" s="5">
        <f>IF($E26&gt;=BS$2,VLOOKUP($E26-BS$2,'data input'!$D$3:$E$130,2,FALSE),0)</f>
        <v>0</v>
      </c>
      <c r="BT26" s="5">
        <f>IF($E26&gt;=BT$2,VLOOKUP($E26-BT$2,'data input'!$D$3:$E$130,2,FALSE),0)</f>
        <v>0</v>
      </c>
      <c r="BU26" s="5">
        <f>IF($E26&gt;=BU$2,VLOOKUP($E26-BU$2,'data input'!$D$3:$E$130,2,FALSE),0)</f>
        <v>0</v>
      </c>
      <c r="BV26" s="5">
        <f>IF($E26&gt;=BV$2,VLOOKUP($E26-BV$2,'data input'!$D$3:$E$130,2,FALSE),0)</f>
        <v>0</v>
      </c>
      <c r="BW26" s="5">
        <f>IF($E26&gt;=BW$2,VLOOKUP($E26-BW$2,'data input'!$D$3:$E$130,2,FALSE),0)</f>
        <v>0</v>
      </c>
      <c r="BX26" s="5">
        <f>IF($E26&gt;=BX$2,VLOOKUP($E26-BX$2,'data input'!$D$3:$E$130,2,FALSE),0)</f>
        <v>0</v>
      </c>
      <c r="BY26" s="5">
        <f>IF($E26&gt;=BY$2,VLOOKUP($E26-BY$2,'data input'!$D$3:$E$130,2,FALSE),0)</f>
        <v>0</v>
      </c>
      <c r="BZ26" s="5">
        <f>IF($E26&gt;=BZ$2,VLOOKUP($E26-BZ$2,'data input'!$D$3:$E$130,2,FALSE),0)</f>
        <v>0</v>
      </c>
      <c r="CA26" s="5">
        <f>IF($E26&gt;=CA$2,VLOOKUP($E26-CA$2,'data input'!$D$3:$E$130,2,FALSE),0)</f>
        <v>0</v>
      </c>
      <c r="CB26" s="5">
        <f>IF($E26&gt;=CB$2,VLOOKUP($E26-CB$2,'data input'!$D$3:$E$130,2,FALSE),0)</f>
        <v>0</v>
      </c>
      <c r="CC26" s="5">
        <f>IF($E26&gt;=CC$2,VLOOKUP($E26-CC$2,'data input'!$D$3:$E$130,2,FALSE),0)</f>
        <v>0</v>
      </c>
      <c r="CD26" s="5">
        <f>IF($E26&gt;=CD$2,VLOOKUP($E26-CD$2,'data input'!$D$3:$E$130,2,FALSE),0)</f>
        <v>0</v>
      </c>
      <c r="CE26" s="5">
        <f>IF($E26&gt;=CE$2,VLOOKUP($E26-CE$2,'data input'!$D$3:$E$130,2,FALSE),0)</f>
        <v>0</v>
      </c>
      <c r="CF26" s="5">
        <f>IF($E26&gt;=CF$2,VLOOKUP($E26-CF$2,'data input'!$D$3:$E$130,2,FALSE),0)</f>
        <v>0</v>
      </c>
      <c r="CG26" s="5">
        <f>IF($E26&gt;=CG$2,VLOOKUP($E26-CG$2,'data input'!$D$3:$E$130,2,FALSE),0)</f>
        <v>0</v>
      </c>
      <c r="CH26" s="5">
        <f>IF($E26&gt;=CH$2,VLOOKUP($E26-CH$2,'data input'!$D$3:$E$130,2,FALSE),0)</f>
        <v>0</v>
      </c>
      <c r="CI26" s="5">
        <f>IF($E26&gt;=CI$2,VLOOKUP($E26-CI$2,'data input'!$D$3:$E$130,2,FALSE),0)</f>
        <v>0</v>
      </c>
      <c r="CJ26" s="5">
        <f>IF($E26&gt;=CJ$2,VLOOKUP($E26-CJ$2,'data input'!$D$3:$E$130,2,FALSE),0)</f>
        <v>0</v>
      </c>
      <c r="CK26" s="5">
        <f>IF($E26&gt;=CK$2,VLOOKUP($E26-CK$2,'data input'!$D$3:$E$130,2,FALSE),0)</f>
        <v>0</v>
      </c>
      <c r="CL26" s="5">
        <f>IF($E26&gt;=CL$2,VLOOKUP($E26-CL$2,'data input'!$D$3:$E$130,2,FALSE),0)</f>
        <v>0</v>
      </c>
      <c r="CM26" s="5">
        <f>IF($E26&gt;=CM$2,VLOOKUP($E26-CM$2,'data input'!$D$3:$E$130,2,FALSE),0)</f>
        <v>0</v>
      </c>
      <c r="CN26" s="5">
        <f>IF($E26&gt;=CN$2,VLOOKUP($E26-CN$2,'data input'!$D$3:$E$130,2,FALSE),0)</f>
        <v>0</v>
      </c>
      <c r="CO26" s="5">
        <f>IF($E26&gt;=CO$2,VLOOKUP($E26-CO$2,'data input'!$D$3:$E$130,2,FALSE),0)</f>
        <v>0</v>
      </c>
      <c r="CP26" s="5">
        <f>IF($E26&gt;=CP$2,VLOOKUP($E26-CP$2,'data input'!$D$3:$E$130,2,FALSE),0)</f>
        <v>0</v>
      </c>
      <c r="CQ26" s="5">
        <f>IF($E26&gt;=CQ$2,VLOOKUP($E26-CQ$2,'data input'!$D$3:$E$130,2,FALSE),0)</f>
        <v>0</v>
      </c>
      <c r="CR26" s="5">
        <f>IF($E26&gt;=CR$2,VLOOKUP($E26-CR$2,'data input'!$D$3:$E$130,2,FALSE),0)</f>
        <v>0</v>
      </c>
      <c r="CS26" s="5">
        <f>IF($E26&gt;=CS$2,VLOOKUP($E26-CS$2,'data input'!$D$3:$E$130,2,FALSE),0)</f>
        <v>0</v>
      </c>
      <c r="CT26" s="5">
        <f>IF($E26&gt;=CT$2,VLOOKUP($E26-CT$2,'data input'!$D$3:$E$130,2,FALSE),0)</f>
        <v>0</v>
      </c>
      <c r="CU26" s="5">
        <f>IF($E26&gt;=CU$2,VLOOKUP($E26-CU$2,'data input'!$D$3:$E$130,2,FALSE),0)</f>
        <v>0</v>
      </c>
      <c r="CV26" s="5">
        <f>IF($E26&gt;=CV$2,VLOOKUP($E26-CV$2,'data input'!$D$3:$E$130,2,FALSE),0)</f>
        <v>0</v>
      </c>
      <c r="CW26" s="5">
        <f>IF($E26&gt;=CW$2,VLOOKUP($E26-CW$2,'data input'!$D$3:$E$130,2,FALSE),0)</f>
        <v>0</v>
      </c>
      <c r="CX26" s="5">
        <f>IF($E26&gt;=CX$2,VLOOKUP($E26-CX$2,'data input'!$D$3:$E$130,2,FALSE),0)</f>
        <v>0</v>
      </c>
      <c r="CY26" s="5">
        <f>IF($E26&gt;=CY$2,VLOOKUP($E26-CY$2,'data input'!$D$3:$E$130,2,FALSE),0)</f>
        <v>0</v>
      </c>
      <c r="CZ26" s="5">
        <f>IF($E26&gt;=CZ$2,VLOOKUP($E26-CZ$2,'data input'!$D$3:$E$130,2,FALSE),0)</f>
        <v>0</v>
      </c>
      <c r="DA26" s="5">
        <f>IF($E26&gt;=DA$2,VLOOKUP($E26-DA$2,'data input'!$D$3:$E$130,2,FALSE),0)</f>
        <v>0</v>
      </c>
      <c r="DB26" s="5">
        <f>IF($E26&gt;=DB$2,VLOOKUP($E26-DB$2,'data input'!$D$3:$E$130,2,FALSE),0)</f>
        <v>0</v>
      </c>
      <c r="DC26" s="5">
        <f>IF($E26&gt;=DC$2,VLOOKUP($E26-DC$2,'data input'!$D$3:$E$130,2,FALSE),0)</f>
        <v>0</v>
      </c>
      <c r="DD26" s="5">
        <f>IF($E26&gt;=DD$2,VLOOKUP($E26-DD$2,'data input'!$D$3:$E$130,2,FALSE),0)</f>
        <v>0</v>
      </c>
      <c r="DE26" s="5">
        <f>IF($E26&gt;=DE$2,VLOOKUP($E26-DE$2,'data input'!$D$3:$E$130,2,FALSE),0)</f>
        <v>0</v>
      </c>
      <c r="DF26" s="5">
        <f>IF($E26&gt;=DF$2,VLOOKUP($E26-DF$2,'data input'!$D$3:$E$130,2,FALSE),0)</f>
        <v>0</v>
      </c>
      <c r="DG26" s="5">
        <f>IF($E26&gt;=DG$2,VLOOKUP($E26-DG$2,'data input'!$D$3:$E$130,2,FALSE),0)</f>
        <v>0</v>
      </c>
      <c r="DH26" s="5">
        <f>IF($E26&gt;=DH$2,VLOOKUP($E26-DH$2,'data input'!$D$3:$E$130,2,FALSE),0)</f>
        <v>0</v>
      </c>
      <c r="DI26" s="5">
        <f>IF($E26&gt;=DI$2,VLOOKUP($E26-DI$2,'data input'!$D$3:$E$130,2,FALSE),0)</f>
        <v>0</v>
      </c>
      <c r="DJ26" s="5">
        <f>IF($E26&gt;=DJ$2,VLOOKUP($E26-DJ$2,'data input'!$D$3:$E$130,2,FALSE),0)</f>
        <v>0</v>
      </c>
      <c r="DK26" s="5">
        <f>IF($E26&gt;=DK$2,VLOOKUP($E26-DK$2,'data input'!$D$3:$E$130,2,FALSE),0)</f>
        <v>0</v>
      </c>
      <c r="DL26" s="5">
        <f>IF($E26&gt;=DL$2,VLOOKUP($E26-DL$2,'data input'!$D$3:$E$130,2,FALSE),0)</f>
        <v>0</v>
      </c>
      <c r="DM26" s="5">
        <f>IF($E26&gt;=DM$2,VLOOKUP($E26-DM$2,'data input'!$D$3:$E$130,2,FALSE),0)</f>
        <v>0</v>
      </c>
      <c r="DN26" s="5">
        <f>IF($E26&gt;=DN$2,VLOOKUP($E26-DN$2,'data input'!$D$3:$E$130,2,FALSE),0)</f>
        <v>0</v>
      </c>
      <c r="DO26" s="5">
        <f>IF($E26&gt;=DO$2,VLOOKUP($E26-DO$2,'data input'!$D$3:$E$130,2,FALSE),0)</f>
        <v>0</v>
      </c>
      <c r="DP26" s="5">
        <f>IF($E26&gt;=DP$2,VLOOKUP($E26-DP$2,'data input'!$D$3:$E$130,2,FALSE),0)</f>
        <v>0</v>
      </c>
      <c r="DQ26" s="5">
        <f>IF($E26&gt;=DQ$2,VLOOKUP($E26-DQ$2,'data input'!$D$3:$E$130,2,FALSE),0)</f>
        <v>0</v>
      </c>
      <c r="DR26" s="5">
        <f>IF($E26&gt;=DR$2,VLOOKUP($E26-DR$2,'data input'!$D$3:$E$130,2,FALSE),0)</f>
        <v>0</v>
      </c>
      <c r="DS26" s="5">
        <f>IF($E26&gt;=DS$2,VLOOKUP($E26-DS$2,'data input'!$D$3:$E$130,2,FALSE),0)</f>
        <v>0</v>
      </c>
      <c r="DT26" s="5">
        <f>IF($E26&gt;=DT$2,VLOOKUP($E26-DT$2,'data input'!$D$3:$E$130,2,FALSE),0)</f>
        <v>0</v>
      </c>
      <c r="DU26" s="5">
        <f>IF($E26&gt;=DU$2,VLOOKUP($E26-DU$2,'data input'!$D$3:$E$130,2,FALSE),0)</f>
        <v>0</v>
      </c>
      <c r="DV26" s="5">
        <f>IF($E26&gt;=DV$2,VLOOKUP($E26-DV$2,'data input'!$D$3:$E$130,2,FALSE),0)</f>
        <v>0</v>
      </c>
      <c r="DW26" s="5">
        <f>IF($E26&gt;=DW$2,VLOOKUP($E26-DW$2,'data input'!$D$3:$E$130,2,FALSE),0)</f>
        <v>0</v>
      </c>
      <c r="DX26" s="5">
        <f>IF($E26&gt;=DX$2,VLOOKUP($E26-DX$2,'data input'!$D$3:$E$130,2,FALSE),0)</f>
        <v>0</v>
      </c>
      <c r="DY26" s="5">
        <f>IF($E26&gt;=DY$2,VLOOKUP($E26-DY$2,'data input'!$D$3:$E$130,2,FALSE),0)</f>
        <v>0</v>
      </c>
      <c r="DZ26" s="5">
        <f>IF($E26&gt;=DZ$2,VLOOKUP($E26-DZ$2,'data input'!$D$3:$E$130,2,FALSE),0)</f>
        <v>0</v>
      </c>
      <c r="EA26" s="5">
        <f>IF($E26&gt;=EA$2,VLOOKUP($E26-EA$2,'data input'!$D$3:$E$130,2,FALSE),0)</f>
        <v>0</v>
      </c>
      <c r="EB26" s="5">
        <f>IF($E26&gt;=EB$2,VLOOKUP($E26-EB$2,'data input'!$D$3:$E$130,2,FALSE),0)</f>
        <v>0</v>
      </c>
      <c r="EC26" s="5">
        <f>IF($E26&gt;=EC$2,VLOOKUP($E26-EC$2,'data input'!$D$3:$E$130,2,FALSE),0)</f>
        <v>0</v>
      </c>
    </row>
    <row r="27" spans="5:133">
      <c r="E27" s="7">
        <f>'data input'!B27</f>
        <v>1902</v>
      </c>
      <c r="F27" s="5">
        <f>IF($E27&gt;=F$2,VLOOKUP($E27-F$2,'data input'!$D$3:$E$130,2,FALSE),0)</f>
        <v>0.88493032977829178</v>
      </c>
      <c r="G27" s="5">
        <f>IF($E27&gt;=G$2,VLOOKUP($E27-G$2,'data input'!$D$3:$E$130,2,FALSE),0)</f>
        <v>0.89884537900441408</v>
      </c>
      <c r="H27" s="5">
        <f>IF($E27&gt;=H$2,VLOOKUP($E27-H$2,'data input'!$D$3:$E$130,2,FALSE),0)</f>
        <v>0.91149200856259793</v>
      </c>
      <c r="I27" s="5">
        <f>IF($E27&gt;=I$2,VLOOKUP($E27-I$2,'data input'!$D$3:$E$130,2,FALSE),0)</f>
        <v>0.92292139944792817</v>
      </c>
      <c r="J27" s="5">
        <f>IF($E27&gt;=J$2,VLOOKUP($E27-J$2,'data input'!$D$3:$E$130,2,FALSE),0)</f>
        <v>0.93319279873114191</v>
      </c>
      <c r="K27" s="5">
        <f>IF($E27&gt;=K$2,VLOOKUP($E27-K$2,'data input'!$D$3:$E$130,2,FALSE),0)</f>
        <v>0.94237177772384684</v>
      </c>
      <c r="L27" s="5">
        <f>IF($E27&gt;=L$2,VLOOKUP($E27-L$2,'data input'!$D$3:$E$130,2,FALSE),0)</f>
        <v>0.9505285319663519</v>
      </c>
      <c r="M27" s="5">
        <f>IF($E27&gt;=M$2,VLOOKUP($E27-M$2,'data input'!$D$3:$E$130,2,FALSE),0)</f>
        <v>0.95773626374204757</v>
      </c>
      <c r="N27" s="5">
        <f>IF($E27&gt;=N$2,VLOOKUP($E27-N$2,'data input'!$D$3:$E$130,2,FALSE),0)</f>
        <v>0.96406968088707423</v>
      </c>
      <c r="O27" s="5">
        <f>IF($E27&gt;=O$2,VLOOKUP($E27-O$2,'data input'!$D$3:$E$130,2,FALSE),0)</f>
        <v>0.96960363823473861</v>
      </c>
      <c r="P27" s="5">
        <f>IF($E27&gt;=P$2,VLOOKUP($E27-P$2,'data input'!$D$3:$E$130,2,FALSE),0)</f>
        <v>0.97441194047836144</v>
      </c>
      <c r="Q27" s="5">
        <f>IF($E27&gt;=Q$2,VLOOKUP($E27-Q$2,'data input'!$D$3:$E$130,2,FALSE),0)</f>
        <v>0.97856631788584703</v>
      </c>
      <c r="R27" s="5">
        <f>IF($E27&gt;=R$2,VLOOKUP($E27-R$2,'data input'!$D$3:$E$130,2,FALSE),0)</f>
        <v>0.98213557943718344</v>
      </c>
      <c r="S27" s="5">
        <f>IF($E27&gt;=S$2,VLOOKUP($E27-S$2,'data input'!$D$3:$E$130,2,FALSE),0)</f>
        <v>0.98518494180739014</v>
      </c>
      <c r="T27" s="5">
        <f>IF($E27&gt;=T$2,VLOOKUP($E27-T$2,'data input'!$D$3:$E$130,2,FALSE),0)</f>
        <v>0.98777552734495533</v>
      </c>
      <c r="U27" s="5">
        <f>IF($E27&gt;=U$2,VLOOKUP($E27-U$2,'data input'!$D$3:$E$130,2,FALSE),0)</f>
        <v>0.98996401989972593</v>
      </c>
      <c r="V27" s="5">
        <f>IF($E27&gt;=V$2,VLOOKUP($E27-V$2,'data input'!$D$3:$E$130,2,FALSE),0)</f>
        <v>0.99180246407540384</v>
      </c>
      <c r="W27" s="5">
        <f>IF($E27&gt;=W$2,VLOOKUP($E27-W$2,'data input'!$D$3:$E$130,2,FALSE),0)</f>
        <v>0.99333819120801725</v>
      </c>
      <c r="X27" s="5">
        <f>IF($E27&gt;=X$2,VLOOKUP($E27-X$2,'data input'!$D$3:$E$130,2,FALSE),0)</f>
        <v>0.99461385404593328</v>
      </c>
      <c r="Y27" s="5">
        <f>IF($E27&gt;=Y$2,VLOOKUP($E27-Y$2,'data input'!$D$3:$E$130,2,FALSE),0)</f>
        <v>0.99566755163698739</v>
      </c>
      <c r="Z27" s="5">
        <f>IF($E27&gt;=Z$2,VLOOKUP($E27-Z$2,'data input'!$D$3:$E$130,2,FALSE),0)</f>
        <v>0.99653302619695938</v>
      </c>
      <c r="AA27" s="5">
        <f>IF($E27&gt;=AA$2,VLOOKUP($E27-AA$2,'data input'!$D$3:$E$130,2,FALSE),0)</f>
        <v>0.99723991460873751</v>
      </c>
      <c r="AB27" s="5">
        <f>IF($E27&gt;=AB$2,VLOOKUP($E27-AB$2,'data input'!$D$3:$E$130,2,FALSE),0)</f>
        <v>0.99781403854508677</v>
      </c>
      <c r="AC27" s="5">
        <f>IF($E27&gt;=AC$2,VLOOKUP($E27-AC$2,'data input'!$D$3:$E$130,2,FALSE),0)</f>
        <v>0.99827771888413241</v>
      </c>
      <c r="AD27" s="5">
        <f>IF($E27&gt;=AD$2,VLOOKUP($E27-AD$2,'data input'!$D$3:$E$130,2,FALSE),0)</f>
        <v>0.9986501019683699</v>
      </c>
      <c r="AE27" s="5">
        <f>IF($E27&gt;=AE$2,VLOOKUP($E27-AE$2,'data input'!$D$3:$E$130,2,FALSE),0)</f>
        <v>0</v>
      </c>
      <c r="AF27" s="5">
        <f>IF($E27&gt;=AF$2,VLOOKUP($E27-AF$2,'data input'!$D$3:$E$130,2,FALSE),0)</f>
        <v>0</v>
      </c>
      <c r="AG27" s="5">
        <f>IF($E27&gt;=AG$2,VLOOKUP($E27-AG$2,'data input'!$D$3:$E$130,2,FALSE),0)</f>
        <v>0</v>
      </c>
      <c r="AH27" s="5">
        <f>IF($E27&gt;=AH$2,VLOOKUP($E27-AH$2,'data input'!$D$3:$E$130,2,FALSE),0)</f>
        <v>0</v>
      </c>
      <c r="AI27" s="5">
        <f>IF($E27&gt;=AI$2,VLOOKUP($E27-AI$2,'data input'!$D$3:$E$130,2,FALSE),0)</f>
        <v>0</v>
      </c>
      <c r="AJ27" s="5">
        <f>IF($E27&gt;=AJ$2,VLOOKUP($E27-AJ$2,'data input'!$D$3:$E$130,2,FALSE),0)</f>
        <v>0</v>
      </c>
      <c r="AK27" s="5">
        <f>IF($E27&gt;=AK$2,VLOOKUP($E27-AK$2,'data input'!$D$3:$E$130,2,FALSE),0)</f>
        <v>0</v>
      </c>
      <c r="AL27" s="5">
        <f>IF($E27&gt;=AL$2,VLOOKUP($E27-AL$2,'data input'!$D$3:$E$130,2,FALSE),0)</f>
        <v>0</v>
      </c>
      <c r="AM27" s="5">
        <f>IF($E27&gt;=AM$2,VLOOKUP($E27-AM$2,'data input'!$D$3:$E$130,2,FALSE),0)</f>
        <v>0</v>
      </c>
      <c r="AN27" s="5">
        <f>IF($E27&gt;=AN$2,VLOOKUP($E27-AN$2,'data input'!$D$3:$E$130,2,FALSE),0)</f>
        <v>0</v>
      </c>
      <c r="AO27" s="5">
        <f>IF($E27&gt;=AO$2,VLOOKUP($E27-AO$2,'data input'!$D$3:$E$130,2,FALSE),0)</f>
        <v>0</v>
      </c>
      <c r="AP27" s="5">
        <f>IF($E27&gt;=AP$2,VLOOKUP($E27-AP$2,'data input'!$D$3:$E$130,2,FALSE),0)</f>
        <v>0</v>
      </c>
      <c r="AQ27" s="5">
        <f>IF($E27&gt;=AQ$2,VLOOKUP($E27-AQ$2,'data input'!$D$3:$E$130,2,FALSE),0)</f>
        <v>0</v>
      </c>
      <c r="AR27" s="5">
        <f>IF($E27&gt;=AR$2,VLOOKUP($E27-AR$2,'data input'!$D$3:$E$130,2,FALSE),0)</f>
        <v>0</v>
      </c>
      <c r="AS27" s="5">
        <f>IF($E27&gt;=AS$2,VLOOKUP($E27-AS$2,'data input'!$D$3:$E$130,2,FALSE),0)</f>
        <v>0</v>
      </c>
      <c r="AT27" s="5">
        <f>IF($E27&gt;=AT$2,VLOOKUP($E27-AT$2,'data input'!$D$3:$E$130,2,FALSE),0)</f>
        <v>0</v>
      </c>
      <c r="AU27" s="5">
        <f>IF($E27&gt;=AU$2,VLOOKUP($E27-AU$2,'data input'!$D$3:$E$130,2,FALSE),0)</f>
        <v>0</v>
      </c>
      <c r="AV27" s="5">
        <f>IF($E27&gt;=AV$2,VLOOKUP($E27-AV$2,'data input'!$D$3:$E$130,2,FALSE),0)</f>
        <v>0</v>
      </c>
      <c r="AW27" s="5">
        <f>IF($E27&gt;=AW$2,VLOOKUP($E27-AW$2,'data input'!$D$3:$E$130,2,FALSE),0)</f>
        <v>0</v>
      </c>
      <c r="AX27" s="5">
        <f>IF($E27&gt;=AX$2,VLOOKUP($E27-AX$2,'data input'!$D$3:$E$130,2,FALSE),0)</f>
        <v>0</v>
      </c>
      <c r="AY27" s="5">
        <f>IF($E27&gt;=AY$2,VLOOKUP($E27-AY$2,'data input'!$D$3:$E$130,2,FALSE),0)</f>
        <v>0</v>
      </c>
      <c r="AZ27" s="5">
        <f>IF($E27&gt;=AZ$2,VLOOKUP($E27-AZ$2,'data input'!$D$3:$E$130,2,FALSE),0)</f>
        <v>0</v>
      </c>
      <c r="BA27" s="5">
        <f>IF($E27&gt;=BA$2,VLOOKUP($E27-BA$2,'data input'!$D$3:$E$130,2,FALSE),0)</f>
        <v>0</v>
      </c>
      <c r="BB27" s="5">
        <f>IF($E27&gt;=BB$2,VLOOKUP($E27-BB$2,'data input'!$D$3:$E$130,2,FALSE),0)</f>
        <v>0</v>
      </c>
      <c r="BC27" s="5">
        <f>IF($E27&gt;=BC$2,VLOOKUP($E27-BC$2,'data input'!$D$3:$E$130,2,FALSE),0)</f>
        <v>0</v>
      </c>
      <c r="BD27" s="5">
        <f>IF($E27&gt;=BD$2,VLOOKUP($E27-BD$2,'data input'!$D$3:$E$130,2,FALSE),0)</f>
        <v>0</v>
      </c>
      <c r="BE27" s="5">
        <f>IF($E27&gt;=BE$2,VLOOKUP($E27-BE$2,'data input'!$D$3:$E$130,2,FALSE),0)</f>
        <v>0</v>
      </c>
      <c r="BF27" s="5">
        <f>IF($E27&gt;=BF$2,VLOOKUP($E27-BF$2,'data input'!$D$3:$E$130,2,FALSE),0)</f>
        <v>0</v>
      </c>
      <c r="BG27" s="5">
        <f>IF($E27&gt;=BG$2,VLOOKUP($E27-BG$2,'data input'!$D$3:$E$130,2,FALSE),0)</f>
        <v>0</v>
      </c>
      <c r="BH27" s="5">
        <f>IF($E27&gt;=BH$2,VLOOKUP($E27-BH$2,'data input'!$D$3:$E$130,2,FALSE),0)</f>
        <v>0</v>
      </c>
      <c r="BI27" s="5">
        <f>IF($E27&gt;=BI$2,VLOOKUP($E27-BI$2,'data input'!$D$3:$E$130,2,FALSE),0)</f>
        <v>0</v>
      </c>
      <c r="BJ27" s="5">
        <f>IF($E27&gt;=BJ$2,VLOOKUP($E27-BJ$2,'data input'!$D$3:$E$130,2,FALSE),0)</f>
        <v>0</v>
      </c>
      <c r="BK27" s="5">
        <f>IF($E27&gt;=BK$2,VLOOKUP($E27-BK$2,'data input'!$D$3:$E$130,2,FALSE),0)</f>
        <v>0</v>
      </c>
      <c r="BL27" s="5">
        <f>IF($E27&gt;=BL$2,VLOOKUP($E27-BL$2,'data input'!$D$3:$E$130,2,FALSE),0)</f>
        <v>0</v>
      </c>
      <c r="BM27" s="5">
        <f>IF($E27&gt;=BM$2,VLOOKUP($E27-BM$2,'data input'!$D$3:$E$130,2,FALSE),0)</f>
        <v>0</v>
      </c>
      <c r="BN27" s="5">
        <f>IF($E27&gt;=BN$2,VLOOKUP($E27-BN$2,'data input'!$D$3:$E$130,2,FALSE),0)</f>
        <v>0</v>
      </c>
      <c r="BO27" s="5">
        <f>IF($E27&gt;=BO$2,VLOOKUP($E27-BO$2,'data input'!$D$3:$E$130,2,FALSE),0)</f>
        <v>0</v>
      </c>
      <c r="BP27" s="5">
        <f>IF($E27&gt;=BP$2,VLOOKUP($E27-BP$2,'data input'!$D$3:$E$130,2,FALSE),0)</f>
        <v>0</v>
      </c>
      <c r="BQ27" s="5">
        <f>IF($E27&gt;=BQ$2,VLOOKUP($E27-BQ$2,'data input'!$D$3:$E$130,2,FALSE),0)</f>
        <v>0</v>
      </c>
      <c r="BR27" s="5">
        <f>IF($E27&gt;=BR$2,VLOOKUP($E27-BR$2,'data input'!$D$3:$E$130,2,FALSE),0)</f>
        <v>0</v>
      </c>
      <c r="BS27" s="5">
        <f>IF($E27&gt;=BS$2,VLOOKUP($E27-BS$2,'data input'!$D$3:$E$130,2,FALSE),0)</f>
        <v>0</v>
      </c>
      <c r="BT27" s="5">
        <f>IF($E27&gt;=BT$2,VLOOKUP($E27-BT$2,'data input'!$D$3:$E$130,2,FALSE),0)</f>
        <v>0</v>
      </c>
      <c r="BU27" s="5">
        <f>IF($E27&gt;=BU$2,VLOOKUP($E27-BU$2,'data input'!$D$3:$E$130,2,FALSE),0)</f>
        <v>0</v>
      </c>
      <c r="BV27" s="5">
        <f>IF($E27&gt;=BV$2,VLOOKUP($E27-BV$2,'data input'!$D$3:$E$130,2,FALSE),0)</f>
        <v>0</v>
      </c>
      <c r="BW27" s="5">
        <f>IF($E27&gt;=BW$2,VLOOKUP($E27-BW$2,'data input'!$D$3:$E$130,2,FALSE),0)</f>
        <v>0</v>
      </c>
      <c r="BX27" s="5">
        <f>IF($E27&gt;=BX$2,VLOOKUP($E27-BX$2,'data input'!$D$3:$E$130,2,FALSE),0)</f>
        <v>0</v>
      </c>
      <c r="BY27" s="5">
        <f>IF($E27&gt;=BY$2,VLOOKUP($E27-BY$2,'data input'!$D$3:$E$130,2,FALSE),0)</f>
        <v>0</v>
      </c>
      <c r="BZ27" s="5">
        <f>IF($E27&gt;=BZ$2,VLOOKUP($E27-BZ$2,'data input'!$D$3:$E$130,2,FALSE),0)</f>
        <v>0</v>
      </c>
      <c r="CA27" s="5">
        <f>IF($E27&gt;=CA$2,VLOOKUP($E27-CA$2,'data input'!$D$3:$E$130,2,FALSE),0)</f>
        <v>0</v>
      </c>
      <c r="CB27" s="5">
        <f>IF($E27&gt;=CB$2,VLOOKUP($E27-CB$2,'data input'!$D$3:$E$130,2,FALSE),0)</f>
        <v>0</v>
      </c>
      <c r="CC27" s="5">
        <f>IF($E27&gt;=CC$2,VLOOKUP($E27-CC$2,'data input'!$D$3:$E$130,2,FALSE),0)</f>
        <v>0</v>
      </c>
      <c r="CD27" s="5">
        <f>IF($E27&gt;=CD$2,VLOOKUP($E27-CD$2,'data input'!$D$3:$E$130,2,FALSE),0)</f>
        <v>0</v>
      </c>
      <c r="CE27" s="5">
        <f>IF($E27&gt;=CE$2,VLOOKUP($E27-CE$2,'data input'!$D$3:$E$130,2,FALSE),0)</f>
        <v>0</v>
      </c>
      <c r="CF27" s="5">
        <f>IF($E27&gt;=CF$2,VLOOKUP($E27-CF$2,'data input'!$D$3:$E$130,2,FALSE),0)</f>
        <v>0</v>
      </c>
      <c r="CG27" s="5">
        <f>IF($E27&gt;=CG$2,VLOOKUP($E27-CG$2,'data input'!$D$3:$E$130,2,FALSE),0)</f>
        <v>0</v>
      </c>
      <c r="CH27" s="5">
        <f>IF($E27&gt;=CH$2,VLOOKUP($E27-CH$2,'data input'!$D$3:$E$130,2,FALSE),0)</f>
        <v>0</v>
      </c>
      <c r="CI27" s="5">
        <f>IF($E27&gt;=CI$2,VLOOKUP($E27-CI$2,'data input'!$D$3:$E$130,2,FALSE),0)</f>
        <v>0</v>
      </c>
      <c r="CJ27" s="5">
        <f>IF($E27&gt;=CJ$2,VLOOKUP($E27-CJ$2,'data input'!$D$3:$E$130,2,FALSE),0)</f>
        <v>0</v>
      </c>
      <c r="CK27" s="5">
        <f>IF($E27&gt;=CK$2,VLOOKUP($E27-CK$2,'data input'!$D$3:$E$130,2,FALSE),0)</f>
        <v>0</v>
      </c>
      <c r="CL27" s="5">
        <f>IF($E27&gt;=CL$2,VLOOKUP($E27-CL$2,'data input'!$D$3:$E$130,2,FALSE),0)</f>
        <v>0</v>
      </c>
      <c r="CM27" s="5">
        <f>IF($E27&gt;=CM$2,VLOOKUP($E27-CM$2,'data input'!$D$3:$E$130,2,FALSE),0)</f>
        <v>0</v>
      </c>
      <c r="CN27" s="5">
        <f>IF($E27&gt;=CN$2,VLOOKUP($E27-CN$2,'data input'!$D$3:$E$130,2,FALSE),0)</f>
        <v>0</v>
      </c>
      <c r="CO27" s="5">
        <f>IF($E27&gt;=CO$2,VLOOKUP($E27-CO$2,'data input'!$D$3:$E$130,2,FALSE),0)</f>
        <v>0</v>
      </c>
      <c r="CP27" s="5">
        <f>IF($E27&gt;=CP$2,VLOOKUP($E27-CP$2,'data input'!$D$3:$E$130,2,FALSE),0)</f>
        <v>0</v>
      </c>
      <c r="CQ27" s="5">
        <f>IF($E27&gt;=CQ$2,VLOOKUP($E27-CQ$2,'data input'!$D$3:$E$130,2,FALSE),0)</f>
        <v>0</v>
      </c>
      <c r="CR27" s="5">
        <f>IF($E27&gt;=CR$2,VLOOKUP($E27-CR$2,'data input'!$D$3:$E$130,2,FALSE),0)</f>
        <v>0</v>
      </c>
      <c r="CS27" s="5">
        <f>IF($E27&gt;=CS$2,VLOOKUP($E27-CS$2,'data input'!$D$3:$E$130,2,FALSE),0)</f>
        <v>0</v>
      </c>
      <c r="CT27" s="5">
        <f>IF($E27&gt;=CT$2,VLOOKUP($E27-CT$2,'data input'!$D$3:$E$130,2,FALSE),0)</f>
        <v>0</v>
      </c>
      <c r="CU27" s="5">
        <f>IF($E27&gt;=CU$2,VLOOKUP($E27-CU$2,'data input'!$D$3:$E$130,2,FALSE),0)</f>
        <v>0</v>
      </c>
      <c r="CV27" s="5">
        <f>IF($E27&gt;=CV$2,VLOOKUP($E27-CV$2,'data input'!$D$3:$E$130,2,FALSE),0)</f>
        <v>0</v>
      </c>
      <c r="CW27" s="5">
        <f>IF($E27&gt;=CW$2,VLOOKUP($E27-CW$2,'data input'!$D$3:$E$130,2,FALSE),0)</f>
        <v>0</v>
      </c>
      <c r="CX27" s="5">
        <f>IF($E27&gt;=CX$2,VLOOKUP($E27-CX$2,'data input'!$D$3:$E$130,2,FALSE),0)</f>
        <v>0</v>
      </c>
      <c r="CY27" s="5">
        <f>IF($E27&gt;=CY$2,VLOOKUP($E27-CY$2,'data input'!$D$3:$E$130,2,FALSE),0)</f>
        <v>0</v>
      </c>
      <c r="CZ27" s="5">
        <f>IF($E27&gt;=CZ$2,VLOOKUP($E27-CZ$2,'data input'!$D$3:$E$130,2,FALSE),0)</f>
        <v>0</v>
      </c>
      <c r="DA27" s="5">
        <f>IF($E27&gt;=DA$2,VLOOKUP($E27-DA$2,'data input'!$D$3:$E$130,2,FALSE),0)</f>
        <v>0</v>
      </c>
      <c r="DB27" s="5">
        <f>IF($E27&gt;=DB$2,VLOOKUP($E27-DB$2,'data input'!$D$3:$E$130,2,FALSE),0)</f>
        <v>0</v>
      </c>
      <c r="DC27" s="5">
        <f>IF($E27&gt;=DC$2,VLOOKUP($E27-DC$2,'data input'!$D$3:$E$130,2,FALSE),0)</f>
        <v>0</v>
      </c>
      <c r="DD27" s="5">
        <f>IF($E27&gt;=DD$2,VLOOKUP($E27-DD$2,'data input'!$D$3:$E$130,2,FALSE),0)</f>
        <v>0</v>
      </c>
      <c r="DE27" s="5">
        <f>IF($E27&gt;=DE$2,VLOOKUP($E27-DE$2,'data input'!$D$3:$E$130,2,FALSE),0)</f>
        <v>0</v>
      </c>
      <c r="DF27" s="5">
        <f>IF($E27&gt;=DF$2,VLOOKUP($E27-DF$2,'data input'!$D$3:$E$130,2,FALSE),0)</f>
        <v>0</v>
      </c>
      <c r="DG27" s="5">
        <f>IF($E27&gt;=DG$2,VLOOKUP($E27-DG$2,'data input'!$D$3:$E$130,2,FALSE),0)</f>
        <v>0</v>
      </c>
      <c r="DH27" s="5">
        <f>IF($E27&gt;=DH$2,VLOOKUP($E27-DH$2,'data input'!$D$3:$E$130,2,FALSE),0)</f>
        <v>0</v>
      </c>
      <c r="DI27" s="5">
        <f>IF($E27&gt;=DI$2,VLOOKUP($E27-DI$2,'data input'!$D$3:$E$130,2,FALSE),0)</f>
        <v>0</v>
      </c>
      <c r="DJ27" s="5">
        <f>IF($E27&gt;=DJ$2,VLOOKUP($E27-DJ$2,'data input'!$D$3:$E$130,2,FALSE),0)</f>
        <v>0</v>
      </c>
      <c r="DK27" s="5">
        <f>IF($E27&gt;=DK$2,VLOOKUP($E27-DK$2,'data input'!$D$3:$E$130,2,FALSE),0)</f>
        <v>0</v>
      </c>
      <c r="DL27" s="5">
        <f>IF($E27&gt;=DL$2,VLOOKUP($E27-DL$2,'data input'!$D$3:$E$130,2,FALSE),0)</f>
        <v>0</v>
      </c>
      <c r="DM27" s="5">
        <f>IF($E27&gt;=DM$2,VLOOKUP($E27-DM$2,'data input'!$D$3:$E$130,2,FALSE),0)</f>
        <v>0</v>
      </c>
      <c r="DN27" s="5">
        <f>IF($E27&gt;=DN$2,VLOOKUP($E27-DN$2,'data input'!$D$3:$E$130,2,FALSE),0)</f>
        <v>0</v>
      </c>
      <c r="DO27" s="5">
        <f>IF($E27&gt;=DO$2,VLOOKUP($E27-DO$2,'data input'!$D$3:$E$130,2,FALSE),0)</f>
        <v>0</v>
      </c>
      <c r="DP27" s="5">
        <f>IF($E27&gt;=DP$2,VLOOKUP($E27-DP$2,'data input'!$D$3:$E$130,2,FALSE),0)</f>
        <v>0</v>
      </c>
      <c r="DQ27" s="5">
        <f>IF($E27&gt;=DQ$2,VLOOKUP($E27-DQ$2,'data input'!$D$3:$E$130,2,FALSE),0)</f>
        <v>0</v>
      </c>
      <c r="DR27" s="5">
        <f>IF($E27&gt;=DR$2,VLOOKUP($E27-DR$2,'data input'!$D$3:$E$130,2,FALSE),0)</f>
        <v>0</v>
      </c>
      <c r="DS27" s="5">
        <f>IF($E27&gt;=DS$2,VLOOKUP($E27-DS$2,'data input'!$D$3:$E$130,2,FALSE),0)</f>
        <v>0</v>
      </c>
      <c r="DT27" s="5">
        <f>IF($E27&gt;=DT$2,VLOOKUP($E27-DT$2,'data input'!$D$3:$E$130,2,FALSE),0)</f>
        <v>0</v>
      </c>
      <c r="DU27" s="5">
        <f>IF($E27&gt;=DU$2,VLOOKUP($E27-DU$2,'data input'!$D$3:$E$130,2,FALSE),0)</f>
        <v>0</v>
      </c>
      <c r="DV27" s="5">
        <f>IF($E27&gt;=DV$2,VLOOKUP($E27-DV$2,'data input'!$D$3:$E$130,2,FALSE),0)</f>
        <v>0</v>
      </c>
      <c r="DW27" s="5">
        <f>IF($E27&gt;=DW$2,VLOOKUP($E27-DW$2,'data input'!$D$3:$E$130,2,FALSE),0)</f>
        <v>0</v>
      </c>
      <c r="DX27" s="5">
        <f>IF($E27&gt;=DX$2,VLOOKUP($E27-DX$2,'data input'!$D$3:$E$130,2,FALSE),0)</f>
        <v>0</v>
      </c>
      <c r="DY27" s="5">
        <f>IF($E27&gt;=DY$2,VLOOKUP($E27-DY$2,'data input'!$D$3:$E$130,2,FALSE),0)</f>
        <v>0</v>
      </c>
      <c r="DZ27" s="5">
        <f>IF($E27&gt;=DZ$2,VLOOKUP($E27-DZ$2,'data input'!$D$3:$E$130,2,FALSE),0)</f>
        <v>0</v>
      </c>
      <c r="EA27" s="5">
        <f>IF($E27&gt;=EA$2,VLOOKUP($E27-EA$2,'data input'!$D$3:$E$130,2,FALSE),0)</f>
        <v>0</v>
      </c>
      <c r="EB27" s="5">
        <f>IF($E27&gt;=EB$2,VLOOKUP($E27-EB$2,'data input'!$D$3:$E$130,2,FALSE),0)</f>
        <v>0</v>
      </c>
      <c r="EC27" s="5">
        <f>IF($E27&gt;=EC$2,VLOOKUP($E27-EC$2,'data input'!$D$3:$E$130,2,FALSE),0)</f>
        <v>0</v>
      </c>
    </row>
    <row r="28" spans="5:133">
      <c r="E28" s="7">
        <f>'data input'!B28</f>
        <v>1903</v>
      </c>
      <c r="F28" s="5">
        <f>IF($E28&gt;=F$2,VLOOKUP($E28-F$2,'data input'!$D$3:$E$130,2,FALSE),0)</f>
        <v>0.86970548286319116</v>
      </c>
      <c r="G28" s="5">
        <f>IF($E28&gt;=G$2,VLOOKUP($E28-G$2,'data input'!$D$3:$E$130,2,FALSE),0)</f>
        <v>0.88493032977829178</v>
      </c>
      <c r="H28" s="5">
        <f>IF($E28&gt;=H$2,VLOOKUP($E28-H$2,'data input'!$D$3:$E$130,2,FALSE),0)</f>
        <v>0.89884537900441408</v>
      </c>
      <c r="I28" s="5">
        <f>IF($E28&gt;=I$2,VLOOKUP($E28-I$2,'data input'!$D$3:$E$130,2,FALSE),0)</f>
        <v>0.91149200856259793</v>
      </c>
      <c r="J28" s="5">
        <f>IF($E28&gt;=J$2,VLOOKUP($E28-J$2,'data input'!$D$3:$E$130,2,FALSE),0)</f>
        <v>0.92292139944792817</v>
      </c>
      <c r="K28" s="5">
        <f>IF($E28&gt;=K$2,VLOOKUP($E28-K$2,'data input'!$D$3:$E$130,2,FALSE),0)</f>
        <v>0.93319279873114191</v>
      </c>
      <c r="L28" s="5">
        <f>IF($E28&gt;=L$2,VLOOKUP($E28-L$2,'data input'!$D$3:$E$130,2,FALSE),0)</f>
        <v>0.94237177772384684</v>
      </c>
      <c r="M28" s="5">
        <f>IF($E28&gt;=M$2,VLOOKUP($E28-M$2,'data input'!$D$3:$E$130,2,FALSE),0)</f>
        <v>0.9505285319663519</v>
      </c>
      <c r="N28" s="5">
        <f>IF($E28&gt;=N$2,VLOOKUP($E28-N$2,'data input'!$D$3:$E$130,2,FALSE),0)</f>
        <v>0.95773626374204757</v>
      </c>
      <c r="O28" s="5">
        <f>IF($E28&gt;=O$2,VLOOKUP($E28-O$2,'data input'!$D$3:$E$130,2,FALSE),0)</f>
        <v>0.96406968088707423</v>
      </c>
      <c r="P28" s="5">
        <f>IF($E28&gt;=P$2,VLOOKUP($E28-P$2,'data input'!$D$3:$E$130,2,FALSE),0)</f>
        <v>0.96960363823473861</v>
      </c>
      <c r="Q28" s="5">
        <f>IF($E28&gt;=Q$2,VLOOKUP($E28-Q$2,'data input'!$D$3:$E$130,2,FALSE),0)</f>
        <v>0.97441194047836144</v>
      </c>
      <c r="R28" s="5">
        <f>IF($E28&gt;=R$2,VLOOKUP($E28-R$2,'data input'!$D$3:$E$130,2,FALSE),0)</f>
        <v>0.97856631788584703</v>
      </c>
      <c r="S28" s="5">
        <f>IF($E28&gt;=S$2,VLOOKUP($E28-S$2,'data input'!$D$3:$E$130,2,FALSE),0)</f>
        <v>0.98213557943718344</v>
      </c>
      <c r="T28" s="5">
        <f>IF($E28&gt;=T$2,VLOOKUP($E28-T$2,'data input'!$D$3:$E$130,2,FALSE),0)</f>
        <v>0.98518494180739014</v>
      </c>
      <c r="U28" s="5">
        <f>IF($E28&gt;=U$2,VLOOKUP($E28-U$2,'data input'!$D$3:$E$130,2,FALSE),0)</f>
        <v>0.98777552734495533</v>
      </c>
      <c r="V28" s="5">
        <f>IF($E28&gt;=V$2,VLOOKUP($E28-V$2,'data input'!$D$3:$E$130,2,FALSE),0)</f>
        <v>0.98996401989972593</v>
      </c>
      <c r="W28" s="5">
        <f>IF($E28&gt;=W$2,VLOOKUP($E28-W$2,'data input'!$D$3:$E$130,2,FALSE),0)</f>
        <v>0.99180246407540384</v>
      </c>
      <c r="X28" s="5">
        <f>IF($E28&gt;=X$2,VLOOKUP($E28-X$2,'data input'!$D$3:$E$130,2,FALSE),0)</f>
        <v>0.99333819120801725</v>
      </c>
      <c r="Y28" s="5">
        <f>IF($E28&gt;=Y$2,VLOOKUP($E28-Y$2,'data input'!$D$3:$E$130,2,FALSE),0)</f>
        <v>0.99461385404593328</v>
      </c>
      <c r="Z28" s="5">
        <f>IF($E28&gt;=Z$2,VLOOKUP($E28-Z$2,'data input'!$D$3:$E$130,2,FALSE),0)</f>
        <v>0.99566755163698739</v>
      </c>
      <c r="AA28" s="5">
        <f>IF($E28&gt;=AA$2,VLOOKUP($E28-AA$2,'data input'!$D$3:$E$130,2,FALSE),0)</f>
        <v>0.99653302619695938</v>
      </c>
      <c r="AB28" s="5">
        <f>IF($E28&gt;=AB$2,VLOOKUP($E28-AB$2,'data input'!$D$3:$E$130,2,FALSE),0)</f>
        <v>0.99723991460873751</v>
      </c>
      <c r="AC28" s="5">
        <f>IF($E28&gt;=AC$2,VLOOKUP($E28-AC$2,'data input'!$D$3:$E$130,2,FALSE),0)</f>
        <v>0.99781403854508677</v>
      </c>
      <c r="AD28" s="5">
        <f>IF($E28&gt;=AD$2,VLOOKUP($E28-AD$2,'data input'!$D$3:$E$130,2,FALSE),0)</f>
        <v>0.99827771888413241</v>
      </c>
      <c r="AE28" s="5">
        <f>IF($E28&gt;=AE$2,VLOOKUP($E28-AE$2,'data input'!$D$3:$E$130,2,FALSE),0)</f>
        <v>0.9986501019683699</v>
      </c>
      <c r="AF28" s="5">
        <f>IF($E28&gt;=AF$2,VLOOKUP($E28-AF$2,'data input'!$D$3:$E$130,2,FALSE),0)</f>
        <v>0</v>
      </c>
      <c r="AG28" s="5">
        <f>IF($E28&gt;=AG$2,VLOOKUP($E28-AG$2,'data input'!$D$3:$E$130,2,FALSE),0)</f>
        <v>0</v>
      </c>
      <c r="AH28" s="5">
        <f>IF($E28&gt;=AH$2,VLOOKUP($E28-AH$2,'data input'!$D$3:$E$130,2,FALSE),0)</f>
        <v>0</v>
      </c>
      <c r="AI28" s="5">
        <f>IF($E28&gt;=AI$2,VLOOKUP($E28-AI$2,'data input'!$D$3:$E$130,2,FALSE),0)</f>
        <v>0</v>
      </c>
      <c r="AJ28" s="5">
        <f>IF($E28&gt;=AJ$2,VLOOKUP($E28-AJ$2,'data input'!$D$3:$E$130,2,FALSE),0)</f>
        <v>0</v>
      </c>
      <c r="AK28" s="5">
        <f>IF($E28&gt;=AK$2,VLOOKUP($E28-AK$2,'data input'!$D$3:$E$130,2,FALSE),0)</f>
        <v>0</v>
      </c>
      <c r="AL28" s="5">
        <f>IF($E28&gt;=AL$2,VLOOKUP($E28-AL$2,'data input'!$D$3:$E$130,2,FALSE),0)</f>
        <v>0</v>
      </c>
      <c r="AM28" s="5">
        <f>IF($E28&gt;=AM$2,VLOOKUP($E28-AM$2,'data input'!$D$3:$E$130,2,FALSE),0)</f>
        <v>0</v>
      </c>
      <c r="AN28" s="5">
        <f>IF($E28&gt;=AN$2,VLOOKUP($E28-AN$2,'data input'!$D$3:$E$130,2,FALSE),0)</f>
        <v>0</v>
      </c>
      <c r="AO28" s="5">
        <f>IF($E28&gt;=AO$2,VLOOKUP($E28-AO$2,'data input'!$D$3:$E$130,2,FALSE),0)</f>
        <v>0</v>
      </c>
      <c r="AP28" s="5">
        <f>IF($E28&gt;=AP$2,VLOOKUP($E28-AP$2,'data input'!$D$3:$E$130,2,FALSE),0)</f>
        <v>0</v>
      </c>
      <c r="AQ28" s="5">
        <f>IF($E28&gt;=AQ$2,VLOOKUP($E28-AQ$2,'data input'!$D$3:$E$130,2,FALSE),0)</f>
        <v>0</v>
      </c>
      <c r="AR28" s="5">
        <f>IF($E28&gt;=AR$2,VLOOKUP($E28-AR$2,'data input'!$D$3:$E$130,2,FALSE),0)</f>
        <v>0</v>
      </c>
      <c r="AS28" s="5">
        <f>IF($E28&gt;=AS$2,VLOOKUP($E28-AS$2,'data input'!$D$3:$E$130,2,FALSE),0)</f>
        <v>0</v>
      </c>
      <c r="AT28" s="5">
        <f>IF($E28&gt;=AT$2,VLOOKUP($E28-AT$2,'data input'!$D$3:$E$130,2,FALSE),0)</f>
        <v>0</v>
      </c>
      <c r="AU28" s="5">
        <f>IF($E28&gt;=AU$2,VLOOKUP($E28-AU$2,'data input'!$D$3:$E$130,2,FALSE),0)</f>
        <v>0</v>
      </c>
      <c r="AV28" s="5">
        <f>IF($E28&gt;=AV$2,VLOOKUP($E28-AV$2,'data input'!$D$3:$E$130,2,FALSE),0)</f>
        <v>0</v>
      </c>
      <c r="AW28" s="5">
        <f>IF($E28&gt;=AW$2,VLOOKUP($E28-AW$2,'data input'!$D$3:$E$130,2,FALSE),0)</f>
        <v>0</v>
      </c>
      <c r="AX28" s="5">
        <f>IF($E28&gt;=AX$2,VLOOKUP($E28-AX$2,'data input'!$D$3:$E$130,2,FALSE),0)</f>
        <v>0</v>
      </c>
      <c r="AY28" s="5">
        <f>IF($E28&gt;=AY$2,VLOOKUP($E28-AY$2,'data input'!$D$3:$E$130,2,FALSE),0)</f>
        <v>0</v>
      </c>
      <c r="AZ28" s="5">
        <f>IF($E28&gt;=AZ$2,VLOOKUP($E28-AZ$2,'data input'!$D$3:$E$130,2,FALSE),0)</f>
        <v>0</v>
      </c>
      <c r="BA28" s="5">
        <f>IF($E28&gt;=BA$2,VLOOKUP($E28-BA$2,'data input'!$D$3:$E$130,2,FALSE),0)</f>
        <v>0</v>
      </c>
      <c r="BB28" s="5">
        <f>IF($E28&gt;=BB$2,VLOOKUP($E28-BB$2,'data input'!$D$3:$E$130,2,FALSE),0)</f>
        <v>0</v>
      </c>
      <c r="BC28" s="5">
        <f>IF($E28&gt;=BC$2,VLOOKUP($E28-BC$2,'data input'!$D$3:$E$130,2,FALSE),0)</f>
        <v>0</v>
      </c>
      <c r="BD28" s="5">
        <f>IF($E28&gt;=BD$2,VLOOKUP($E28-BD$2,'data input'!$D$3:$E$130,2,FALSE),0)</f>
        <v>0</v>
      </c>
      <c r="BE28" s="5">
        <f>IF($E28&gt;=BE$2,VLOOKUP($E28-BE$2,'data input'!$D$3:$E$130,2,FALSE),0)</f>
        <v>0</v>
      </c>
      <c r="BF28" s="5">
        <f>IF($E28&gt;=BF$2,VLOOKUP($E28-BF$2,'data input'!$D$3:$E$130,2,FALSE),0)</f>
        <v>0</v>
      </c>
      <c r="BG28" s="5">
        <f>IF($E28&gt;=BG$2,VLOOKUP($E28-BG$2,'data input'!$D$3:$E$130,2,FALSE),0)</f>
        <v>0</v>
      </c>
      <c r="BH28" s="5">
        <f>IF($E28&gt;=BH$2,VLOOKUP($E28-BH$2,'data input'!$D$3:$E$130,2,FALSE),0)</f>
        <v>0</v>
      </c>
      <c r="BI28" s="5">
        <f>IF($E28&gt;=BI$2,VLOOKUP($E28-BI$2,'data input'!$D$3:$E$130,2,FALSE),0)</f>
        <v>0</v>
      </c>
      <c r="BJ28" s="5">
        <f>IF($E28&gt;=BJ$2,VLOOKUP($E28-BJ$2,'data input'!$D$3:$E$130,2,FALSE),0)</f>
        <v>0</v>
      </c>
      <c r="BK28" s="5">
        <f>IF($E28&gt;=BK$2,VLOOKUP($E28-BK$2,'data input'!$D$3:$E$130,2,FALSE),0)</f>
        <v>0</v>
      </c>
      <c r="BL28" s="5">
        <f>IF($E28&gt;=BL$2,VLOOKUP($E28-BL$2,'data input'!$D$3:$E$130,2,FALSE),0)</f>
        <v>0</v>
      </c>
      <c r="BM28" s="5">
        <f>IF($E28&gt;=BM$2,VLOOKUP($E28-BM$2,'data input'!$D$3:$E$130,2,FALSE),0)</f>
        <v>0</v>
      </c>
      <c r="BN28" s="5">
        <f>IF($E28&gt;=BN$2,VLOOKUP($E28-BN$2,'data input'!$D$3:$E$130,2,FALSE),0)</f>
        <v>0</v>
      </c>
      <c r="BO28" s="5">
        <f>IF($E28&gt;=BO$2,VLOOKUP($E28-BO$2,'data input'!$D$3:$E$130,2,FALSE),0)</f>
        <v>0</v>
      </c>
      <c r="BP28" s="5">
        <f>IF($E28&gt;=BP$2,VLOOKUP($E28-BP$2,'data input'!$D$3:$E$130,2,FALSE),0)</f>
        <v>0</v>
      </c>
      <c r="BQ28" s="5">
        <f>IF($E28&gt;=BQ$2,VLOOKUP($E28-BQ$2,'data input'!$D$3:$E$130,2,FALSE),0)</f>
        <v>0</v>
      </c>
      <c r="BR28" s="5">
        <f>IF($E28&gt;=BR$2,VLOOKUP($E28-BR$2,'data input'!$D$3:$E$130,2,FALSE),0)</f>
        <v>0</v>
      </c>
      <c r="BS28" s="5">
        <f>IF($E28&gt;=BS$2,VLOOKUP($E28-BS$2,'data input'!$D$3:$E$130,2,FALSE),0)</f>
        <v>0</v>
      </c>
      <c r="BT28" s="5">
        <f>IF($E28&gt;=BT$2,VLOOKUP($E28-BT$2,'data input'!$D$3:$E$130,2,FALSE),0)</f>
        <v>0</v>
      </c>
      <c r="BU28" s="5">
        <f>IF($E28&gt;=BU$2,VLOOKUP($E28-BU$2,'data input'!$D$3:$E$130,2,FALSE),0)</f>
        <v>0</v>
      </c>
      <c r="BV28" s="5">
        <f>IF($E28&gt;=BV$2,VLOOKUP($E28-BV$2,'data input'!$D$3:$E$130,2,FALSE),0)</f>
        <v>0</v>
      </c>
      <c r="BW28" s="5">
        <f>IF($E28&gt;=BW$2,VLOOKUP($E28-BW$2,'data input'!$D$3:$E$130,2,FALSE),0)</f>
        <v>0</v>
      </c>
      <c r="BX28" s="5">
        <f>IF($E28&gt;=BX$2,VLOOKUP($E28-BX$2,'data input'!$D$3:$E$130,2,FALSE),0)</f>
        <v>0</v>
      </c>
      <c r="BY28" s="5">
        <f>IF($E28&gt;=BY$2,VLOOKUP($E28-BY$2,'data input'!$D$3:$E$130,2,FALSE),0)</f>
        <v>0</v>
      </c>
      <c r="BZ28" s="5">
        <f>IF($E28&gt;=BZ$2,VLOOKUP($E28-BZ$2,'data input'!$D$3:$E$130,2,FALSE),0)</f>
        <v>0</v>
      </c>
      <c r="CA28" s="5">
        <f>IF($E28&gt;=CA$2,VLOOKUP($E28-CA$2,'data input'!$D$3:$E$130,2,FALSE),0)</f>
        <v>0</v>
      </c>
      <c r="CB28" s="5">
        <f>IF($E28&gt;=CB$2,VLOOKUP($E28-CB$2,'data input'!$D$3:$E$130,2,FALSE),0)</f>
        <v>0</v>
      </c>
      <c r="CC28" s="5">
        <f>IF($E28&gt;=CC$2,VLOOKUP($E28-CC$2,'data input'!$D$3:$E$130,2,FALSE),0)</f>
        <v>0</v>
      </c>
      <c r="CD28" s="5">
        <f>IF($E28&gt;=CD$2,VLOOKUP($E28-CD$2,'data input'!$D$3:$E$130,2,FALSE),0)</f>
        <v>0</v>
      </c>
      <c r="CE28" s="5">
        <f>IF($E28&gt;=CE$2,VLOOKUP($E28-CE$2,'data input'!$D$3:$E$130,2,FALSE),0)</f>
        <v>0</v>
      </c>
      <c r="CF28" s="5">
        <f>IF($E28&gt;=CF$2,VLOOKUP($E28-CF$2,'data input'!$D$3:$E$130,2,FALSE),0)</f>
        <v>0</v>
      </c>
      <c r="CG28" s="5">
        <f>IF($E28&gt;=CG$2,VLOOKUP($E28-CG$2,'data input'!$D$3:$E$130,2,FALSE),0)</f>
        <v>0</v>
      </c>
      <c r="CH28" s="5">
        <f>IF($E28&gt;=CH$2,VLOOKUP($E28-CH$2,'data input'!$D$3:$E$130,2,FALSE),0)</f>
        <v>0</v>
      </c>
      <c r="CI28" s="5">
        <f>IF($E28&gt;=CI$2,VLOOKUP($E28-CI$2,'data input'!$D$3:$E$130,2,FALSE),0)</f>
        <v>0</v>
      </c>
      <c r="CJ28" s="5">
        <f>IF($E28&gt;=CJ$2,VLOOKUP($E28-CJ$2,'data input'!$D$3:$E$130,2,FALSE),0)</f>
        <v>0</v>
      </c>
      <c r="CK28" s="5">
        <f>IF($E28&gt;=CK$2,VLOOKUP($E28-CK$2,'data input'!$D$3:$E$130,2,FALSE),0)</f>
        <v>0</v>
      </c>
      <c r="CL28" s="5">
        <f>IF($E28&gt;=CL$2,VLOOKUP($E28-CL$2,'data input'!$D$3:$E$130,2,FALSE),0)</f>
        <v>0</v>
      </c>
      <c r="CM28" s="5">
        <f>IF($E28&gt;=CM$2,VLOOKUP($E28-CM$2,'data input'!$D$3:$E$130,2,FALSE),0)</f>
        <v>0</v>
      </c>
      <c r="CN28" s="5">
        <f>IF($E28&gt;=CN$2,VLOOKUP($E28-CN$2,'data input'!$D$3:$E$130,2,FALSE),0)</f>
        <v>0</v>
      </c>
      <c r="CO28" s="5">
        <f>IF($E28&gt;=CO$2,VLOOKUP($E28-CO$2,'data input'!$D$3:$E$130,2,FALSE),0)</f>
        <v>0</v>
      </c>
      <c r="CP28" s="5">
        <f>IF($E28&gt;=CP$2,VLOOKUP($E28-CP$2,'data input'!$D$3:$E$130,2,FALSE),0)</f>
        <v>0</v>
      </c>
      <c r="CQ28" s="5">
        <f>IF($E28&gt;=CQ$2,VLOOKUP($E28-CQ$2,'data input'!$D$3:$E$130,2,FALSE),0)</f>
        <v>0</v>
      </c>
      <c r="CR28" s="5">
        <f>IF($E28&gt;=CR$2,VLOOKUP($E28-CR$2,'data input'!$D$3:$E$130,2,FALSE),0)</f>
        <v>0</v>
      </c>
      <c r="CS28" s="5">
        <f>IF($E28&gt;=CS$2,VLOOKUP($E28-CS$2,'data input'!$D$3:$E$130,2,FALSE),0)</f>
        <v>0</v>
      </c>
      <c r="CT28" s="5">
        <f>IF($E28&gt;=CT$2,VLOOKUP($E28-CT$2,'data input'!$D$3:$E$130,2,FALSE),0)</f>
        <v>0</v>
      </c>
      <c r="CU28" s="5">
        <f>IF($E28&gt;=CU$2,VLOOKUP($E28-CU$2,'data input'!$D$3:$E$130,2,FALSE),0)</f>
        <v>0</v>
      </c>
      <c r="CV28" s="5">
        <f>IF($E28&gt;=CV$2,VLOOKUP($E28-CV$2,'data input'!$D$3:$E$130,2,FALSE),0)</f>
        <v>0</v>
      </c>
      <c r="CW28" s="5">
        <f>IF($E28&gt;=CW$2,VLOOKUP($E28-CW$2,'data input'!$D$3:$E$130,2,FALSE),0)</f>
        <v>0</v>
      </c>
      <c r="CX28" s="5">
        <f>IF($E28&gt;=CX$2,VLOOKUP($E28-CX$2,'data input'!$D$3:$E$130,2,FALSE),0)</f>
        <v>0</v>
      </c>
      <c r="CY28" s="5">
        <f>IF($E28&gt;=CY$2,VLOOKUP($E28-CY$2,'data input'!$D$3:$E$130,2,FALSE),0)</f>
        <v>0</v>
      </c>
      <c r="CZ28" s="5">
        <f>IF($E28&gt;=CZ$2,VLOOKUP($E28-CZ$2,'data input'!$D$3:$E$130,2,FALSE),0)</f>
        <v>0</v>
      </c>
      <c r="DA28" s="5">
        <f>IF($E28&gt;=DA$2,VLOOKUP($E28-DA$2,'data input'!$D$3:$E$130,2,FALSE),0)</f>
        <v>0</v>
      </c>
      <c r="DB28" s="5">
        <f>IF($E28&gt;=DB$2,VLOOKUP($E28-DB$2,'data input'!$D$3:$E$130,2,FALSE),0)</f>
        <v>0</v>
      </c>
      <c r="DC28" s="5">
        <f>IF($E28&gt;=DC$2,VLOOKUP($E28-DC$2,'data input'!$D$3:$E$130,2,FALSE),0)</f>
        <v>0</v>
      </c>
      <c r="DD28" s="5">
        <f>IF($E28&gt;=DD$2,VLOOKUP($E28-DD$2,'data input'!$D$3:$E$130,2,FALSE),0)</f>
        <v>0</v>
      </c>
      <c r="DE28" s="5">
        <f>IF($E28&gt;=DE$2,VLOOKUP($E28-DE$2,'data input'!$D$3:$E$130,2,FALSE),0)</f>
        <v>0</v>
      </c>
      <c r="DF28" s="5">
        <f>IF($E28&gt;=DF$2,VLOOKUP($E28-DF$2,'data input'!$D$3:$E$130,2,FALSE),0)</f>
        <v>0</v>
      </c>
      <c r="DG28" s="5">
        <f>IF($E28&gt;=DG$2,VLOOKUP($E28-DG$2,'data input'!$D$3:$E$130,2,FALSE),0)</f>
        <v>0</v>
      </c>
      <c r="DH28" s="5">
        <f>IF($E28&gt;=DH$2,VLOOKUP($E28-DH$2,'data input'!$D$3:$E$130,2,FALSE),0)</f>
        <v>0</v>
      </c>
      <c r="DI28" s="5">
        <f>IF($E28&gt;=DI$2,VLOOKUP($E28-DI$2,'data input'!$D$3:$E$130,2,FALSE),0)</f>
        <v>0</v>
      </c>
      <c r="DJ28" s="5">
        <f>IF($E28&gt;=DJ$2,VLOOKUP($E28-DJ$2,'data input'!$D$3:$E$130,2,FALSE),0)</f>
        <v>0</v>
      </c>
      <c r="DK28" s="5">
        <f>IF($E28&gt;=DK$2,VLOOKUP($E28-DK$2,'data input'!$D$3:$E$130,2,FALSE),0)</f>
        <v>0</v>
      </c>
      <c r="DL28" s="5">
        <f>IF($E28&gt;=DL$2,VLOOKUP($E28-DL$2,'data input'!$D$3:$E$130,2,FALSE),0)</f>
        <v>0</v>
      </c>
      <c r="DM28" s="5">
        <f>IF($E28&gt;=DM$2,VLOOKUP($E28-DM$2,'data input'!$D$3:$E$130,2,FALSE),0)</f>
        <v>0</v>
      </c>
      <c r="DN28" s="5">
        <f>IF($E28&gt;=DN$2,VLOOKUP($E28-DN$2,'data input'!$D$3:$E$130,2,FALSE),0)</f>
        <v>0</v>
      </c>
      <c r="DO28" s="5">
        <f>IF($E28&gt;=DO$2,VLOOKUP($E28-DO$2,'data input'!$D$3:$E$130,2,FALSE),0)</f>
        <v>0</v>
      </c>
      <c r="DP28" s="5">
        <f>IF($E28&gt;=DP$2,VLOOKUP($E28-DP$2,'data input'!$D$3:$E$130,2,FALSE),0)</f>
        <v>0</v>
      </c>
      <c r="DQ28" s="5">
        <f>IF($E28&gt;=DQ$2,VLOOKUP($E28-DQ$2,'data input'!$D$3:$E$130,2,FALSE),0)</f>
        <v>0</v>
      </c>
      <c r="DR28" s="5">
        <f>IF($E28&gt;=DR$2,VLOOKUP($E28-DR$2,'data input'!$D$3:$E$130,2,FALSE),0)</f>
        <v>0</v>
      </c>
      <c r="DS28" s="5">
        <f>IF($E28&gt;=DS$2,VLOOKUP($E28-DS$2,'data input'!$D$3:$E$130,2,FALSE),0)</f>
        <v>0</v>
      </c>
      <c r="DT28" s="5">
        <f>IF($E28&gt;=DT$2,VLOOKUP($E28-DT$2,'data input'!$D$3:$E$130,2,FALSE),0)</f>
        <v>0</v>
      </c>
      <c r="DU28" s="5">
        <f>IF($E28&gt;=DU$2,VLOOKUP($E28-DU$2,'data input'!$D$3:$E$130,2,FALSE),0)</f>
        <v>0</v>
      </c>
      <c r="DV28" s="5">
        <f>IF($E28&gt;=DV$2,VLOOKUP($E28-DV$2,'data input'!$D$3:$E$130,2,FALSE),0)</f>
        <v>0</v>
      </c>
      <c r="DW28" s="5">
        <f>IF($E28&gt;=DW$2,VLOOKUP($E28-DW$2,'data input'!$D$3:$E$130,2,FALSE),0)</f>
        <v>0</v>
      </c>
      <c r="DX28" s="5">
        <f>IF($E28&gt;=DX$2,VLOOKUP($E28-DX$2,'data input'!$D$3:$E$130,2,FALSE),0)</f>
        <v>0</v>
      </c>
      <c r="DY28" s="5">
        <f>IF($E28&gt;=DY$2,VLOOKUP($E28-DY$2,'data input'!$D$3:$E$130,2,FALSE),0)</f>
        <v>0</v>
      </c>
      <c r="DZ28" s="5">
        <f>IF($E28&gt;=DZ$2,VLOOKUP($E28-DZ$2,'data input'!$D$3:$E$130,2,FALSE),0)</f>
        <v>0</v>
      </c>
      <c r="EA28" s="5">
        <f>IF($E28&gt;=EA$2,VLOOKUP($E28-EA$2,'data input'!$D$3:$E$130,2,FALSE),0)</f>
        <v>0</v>
      </c>
      <c r="EB28" s="5">
        <f>IF($E28&gt;=EB$2,VLOOKUP($E28-EB$2,'data input'!$D$3:$E$130,2,FALSE),0)</f>
        <v>0</v>
      </c>
      <c r="EC28" s="5">
        <f>IF($E28&gt;=EC$2,VLOOKUP($E28-EC$2,'data input'!$D$3:$E$130,2,FALSE),0)</f>
        <v>0</v>
      </c>
    </row>
    <row r="29" spans="5:133">
      <c r="E29" s="7">
        <f>'data input'!B29</f>
        <v>1904</v>
      </c>
      <c r="F29" s="5">
        <f>IF($E29&gt;=F$2,VLOOKUP($E29-F$2,'data input'!$D$3:$E$130,2,FALSE),0)</f>
        <v>0.85314094362410409</v>
      </c>
      <c r="G29" s="5">
        <f>IF($E29&gt;=G$2,VLOOKUP($E29-G$2,'data input'!$D$3:$E$130,2,FALSE),0)</f>
        <v>0.86970548286319116</v>
      </c>
      <c r="H29" s="5">
        <f>IF($E29&gt;=H$2,VLOOKUP($E29-H$2,'data input'!$D$3:$E$130,2,FALSE),0)</f>
        <v>0.88493032977829178</v>
      </c>
      <c r="I29" s="5">
        <f>IF($E29&gt;=I$2,VLOOKUP($E29-I$2,'data input'!$D$3:$E$130,2,FALSE),0)</f>
        <v>0.89884537900441408</v>
      </c>
      <c r="J29" s="5">
        <f>IF($E29&gt;=J$2,VLOOKUP($E29-J$2,'data input'!$D$3:$E$130,2,FALSE),0)</f>
        <v>0.91149200856259793</v>
      </c>
      <c r="K29" s="5">
        <f>IF($E29&gt;=K$2,VLOOKUP($E29-K$2,'data input'!$D$3:$E$130,2,FALSE),0)</f>
        <v>0.92292139944792817</v>
      </c>
      <c r="L29" s="5">
        <f>IF($E29&gt;=L$2,VLOOKUP($E29-L$2,'data input'!$D$3:$E$130,2,FALSE),0)</f>
        <v>0.93319279873114191</v>
      </c>
      <c r="M29" s="5">
        <f>IF($E29&gt;=M$2,VLOOKUP($E29-M$2,'data input'!$D$3:$E$130,2,FALSE),0)</f>
        <v>0.94237177772384684</v>
      </c>
      <c r="N29" s="5">
        <f>IF($E29&gt;=N$2,VLOOKUP($E29-N$2,'data input'!$D$3:$E$130,2,FALSE),0)</f>
        <v>0.9505285319663519</v>
      </c>
      <c r="O29" s="5">
        <f>IF($E29&gt;=O$2,VLOOKUP($E29-O$2,'data input'!$D$3:$E$130,2,FALSE),0)</f>
        <v>0.95773626374204757</v>
      </c>
      <c r="P29" s="5">
        <f>IF($E29&gt;=P$2,VLOOKUP($E29-P$2,'data input'!$D$3:$E$130,2,FALSE),0)</f>
        <v>0.96406968088707423</v>
      </c>
      <c r="Q29" s="5">
        <f>IF($E29&gt;=Q$2,VLOOKUP($E29-Q$2,'data input'!$D$3:$E$130,2,FALSE),0)</f>
        <v>0.96960363823473861</v>
      </c>
      <c r="R29" s="5">
        <f>IF($E29&gt;=R$2,VLOOKUP($E29-R$2,'data input'!$D$3:$E$130,2,FALSE),0)</f>
        <v>0.97441194047836144</v>
      </c>
      <c r="S29" s="5">
        <f>IF($E29&gt;=S$2,VLOOKUP($E29-S$2,'data input'!$D$3:$E$130,2,FALSE),0)</f>
        <v>0.97856631788584703</v>
      </c>
      <c r="T29" s="5">
        <f>IF($E29&gt;=T$2,VLOOKUP($E29-T$2,'data input'!$D$3:$E$130,2,FALSE),0)</f>
        <v>0.98213557943718344</v>
      </c>
      <c r="U29" s="5">
        <f>IF($E29&gt;=U$2,VLOOKUP($E29-U$2,'data input'!$D$3:$E$130,2,FALSE),0)</f>
        <v>0.98518494180739014</v>
      </c>
      <c r="V29" s="5">
        <f>IF($E29&gt;=V$2,VLOOKUP($E29-V$2,'data input'!$D$3:$E$130,2,FALSE),0)</f>
        <v>0.98777552734495533</v>
      </c>
      <c r="W29" s="5">
        <f>IF($E29&gt;=W$2,VLOOKUP($E29-W$2,'data input'!$D$3:$E$130,2,FALSE),0)</f>
        <v>0.98996401989972593</v>
      </c>
      <c r="X29" s="5">
        <f>IF($E29&gt;=X$2,VLOOKUP($E29-X$2,'data input'!$D$3:$E$130,2,FALSE),0)</f>
        <v>0.99180246407540384</v>
      </c>
      <c r="Y29" s="5">
        <f>IF($E29&gt;=Y$2,VLOOKUP($E29-Y$2,'data input'!$D$3:$E$130,2,FALSE),0)</f>
        <v>0.99333819120801725</v>
      </c>
      <c r="Z29" s="5">
        <f>IF($E29&gt;=Z$2,VLOOKUP($E29-Z$2,'data input'!$D$3:$E$130,2,FALSE),0)</f>
        <v>0.99461385404593328</v>
      </c>
      <c r="AA29" s="5">
        <f>IF($E29&gt;=AA$2,VLOOKUP($E29-AA$2,'data input'!$D$3:$E$130,2,FALSE),0)</f>
        <v>0.99566755163698739</v>
      </c>
      <c r="AB29" s="5">
        <f>IF($E29&gt;=AB$2,VLOOKUP($E29-AB$2,'data input'!$D$3:$E$130,2,FALSE),0)</f>
        <v>0.99653302619695938</v>
      </c>
      <c r="AC29" s="5">
        <f>IF($E29&gt;=AC$2,VLOOKUP($E29-AC$2,'data input'!$D$3:$E$130,2,FALSE),0)</f>
        <v>0.99723991460873751</v>
      </c>
      <c r="AD29" s="5">
        <f>IF($E29&gt;=AD$2,VLOOKUP($E29-AD$2,'data input'!$D$3:$E$130,2,FALSE),0)</f>
        <v>0.99781403854508677</v>
      </c>
      <c r="AE29" s="5">
        <f>IF($E29&gt;=AE$2,VLOOKUP($E29-AE$2,'data input'!$D$3:$E$130,2,FALSE),0)</f>
        <v>0.99827771888413241</v>
      </c>
      <c r="AF29" s="5">
        <f>IF($E29&gt;=AF$2,VLOOKUP($E29-AF$2,'data input'!$D$3:$E$130,2,FALSE),0)</f>
        <v>0.9986501019683699</v>
      </c>
      <c r="AG29" s="5">
        <f>IF($E29&gt;=AG$2,VLOOKUP($E29-AG$2,'data input'!$D$3:$E$130,2,FALSE),0)</f>
        <v>0</v>
      </c>
      <c r="AH29" s="5">
        <f>IF($E29&gt;=AH$2,VLOOKUP($E29-AH$2,'data input'!$D$3:$E$130,2,FALSE),0)</f>
        <v>0</v>
      </c>
      <c r="AI29" s="5">
        <f>IF($E29&gt;=AI$2,VLOOKUP($E29-AI$2,'data input'!$D$3:$E$130,2,FALSE),0)</f>
        <v>0</v>
      </c>
      <c r="AJ29" s="5">
        <f>IF($E29&gt;=AJ$2,VLOOKUP($E29-AJ$2,'data input'!$D$3:$E$130,2,FALSE),0)</f>
        <v>0</v>
      </c>
      <c r="AK29" s="5">
        <f>IF($E29&gt;=AK$2,VLOOKUP($E29-AK$2,'data input'!$D$3:$E$130,2,FALSE),0)</f>
        <v>0</v>
      </c>
      <c r="AL29" s="5">
        <f>IF($E29&gt;=AL$2,VLOOKUP($E29-AL$2,'data input'!$D$3:$E$130,2,FALSE),0)</f>
        <v>0</v>
      </c>
      <c r="AM29" s="5">
        <f>IF($E29&gt;=AM$2,VLOOKUP($E29-AM$2,'data input'!$D$3:$E$130,2,FALSE),0)</f>
        <v>0</v>
      </c>
      <c r="AN29" s="5">
        <f>IF($E29&gt;=AN$2,VLOOKUP($E29-AN$2,'data input'!$D$3:$E$130,2,FALSE),0)</f>
        <v>0</v>
      </c>
      <c r="AO29" s="5">
        <f>IF($E29&gt;=AO$2,VLOOKUP($E29-AO$2,'data input'!$D$3:$E$130,2,FALSE),0)</f>
        <v>0</v>
      </c>
      <c r="AP29" s="5">
        <f>IF($E29&gt;=AP$2,VLOOKUP($E29-AP$2,'data input'!$D$3:$E$130,2,FALSE),0)</f>
        <v>0</v>
      </c>
      <c r="AQ29" s="5">
        <f>IF($E29&gt;=AQ$2,VLOOKUP($E29-AQ$2,'data input'!$D$3:$E$130,2,FALSE),0)</f>
        <v>0</v>
      </c>
      <c r="AR29" s="5">
        <f>IF($E29&gt;=AR$2,VLOOKUP($E29-AR$2,'data input'!$D$3:$E$130,2,FALSE),0)</f>
        <v>0</v>
      </c>
      <c r="AS29" s="5">
        <f>IF($E29&gt;=AS$2,VLOOKUP($E29-AS$2,'data input'!$D$3:$E$130,2,FALSE),0)</f>
        <v>0</v>
      </c>
      <c r="AT29" s="5">
        <f>IF($E29&gt;=AT$2,VLOOKUP($E29-AT$2,'data input'!$D$3:$E$130,2,FALSE),0)</f>
        <v>0</v>
      </c>
      <c r="AU29" s="5">
        <f>IF($E29&gt;=AU$2,VLOOKUP($E29-AU$2,'data input'!$D$3:$E$130,2,FALSE),0)</f>
        <v>0</v>
      </c>
      <c r="AV29" s="5">
        <f>IF($E29&gt;=AV$2,VLOOKUP($E29-AV$2,'data input'!$D$3:$E$130,2,FALSE),0)</f>
        <v>0</v>
      </c>
      <c r="AW29" s="5">
        <f>IF($E29&gt;=AW$2,VLOOKUP($E29-AW$2,'data input'!$D$3:$E$130,2,FALSE),0)</f>
        <v>0</v>
      </c>
      <c r="AX29" s="5">
        <f>IF($E29&gt;=AX$2,VLOOKUP($E29-AX$2,'data input'!$D$3:$E$130,2,FALSE),0)</f>
        <v>0</v>
      </c>
      <c r="AY29" s="5">
        <f>IF($E29&gt;=AY$2,VLOOKUP($E29-AY$2,'data input'!$D$3:$E$130,2,FALSE),0)</f>
        <v>0</v>
      </c>
      <c r="AZ29" s="5">
        <f>IF($E29&gt;=AZ$2,VLOOKUP($E29-AZ$2,'data input'!$D$3:$E$130,2,FALSE),0)</f>
        <v>0</v>
      </c>
      <c r="BA29" s="5">
        <f>IF($E29&gt;=BA$2,VLOOKUP($E29-BA$2,'data input'!$D$3:$E$130,2,FALSE),0)</f>
        <v>0</v>
      </c>
      <c r="BB29" s="5">
        <f>IF($E29&gt;=BB$2,VLOOKUP($E29-BB$2,'data input'!$D$3:$E$130,2,FALSE),0)</f>
        <v>0</v>
      </c>
      <c r="BC29" s="5">
        <f>IF($E29&gt;=BC$2,VLOOKUP($E29-BC$2,'data input'!$D$3:$E$130,2,FALSE),0)</f>
        <v>0</v>
      </c>
      <c r="BD29" s="5">
        <f>IF($E29&gt;=BD$2,VLOOKUP($E29-BD$2,'data input'!$D$3:$E$130,2,FALSE),0)</f>
        <v>0</v>
      </c>
      <c r="BE29" s="5">
        <f>IF($E29&gt;=BE$2,VLOOKUP($E29-BE$2,'data input'!$D$3:$E$130,2,FALSE),0)</f>
        <v>0</v>
      </c>
      <c r="BF29" s="5">
        <f>IF($E29&gt;=BF$2,VLOOKUP($E29-BF$2,'data input'!$D$3:$E$130,2,FALSE),0)</f>
        <v>0</v>
      </c>
      <c r="BG29" s="5">
        <f>IF($E29&gt;=BG$2,VLOOKUP($E29-BG$2,'data input'!$D$3:$E$130,2,FALSE),0)</f>
        <v>0</v>
      </c>
      <c r="BH29" s="5">
        <f>IF($E29&gt;=BH$2,VLOOKUP($E29-BH$2,'data input'!$D$3:$E$130,2,FALSE),0)</f>
        <v>0</v>
      </c>
      <c r="BI29" s="5">
        <f>IF($E29&gt;=BI$2,VLOOKUP($E29-BI$2,'data input'!$D$3:$E$130,2,FALSE),0)</f>
        <v>0</v>
      </c>
      <c r="BJ29" s="5">
        <f>IF($E29&gt;=BJ$2,VLOOKUP($E29-BJ$2,'data input'!$D$3:$E$130,2,FALSE),0)</f>
        <v>0</v>
      </c>
      <c r="BK29" s="5">
        <f>IF($E29&gt;=BK$2,VLOOKUP($E29-BK$2,'data input'!$D$3:$E$130,2,FALSE),0)</f>
        <v>0</v>
      </c>
      <c r="BL29" s="5">
        <f>IF($E29&gt;=BL$2,VLOOKUP($E29-BL$2,'data input'!$D$3:$E$130,2,FALSE),0)</f>
        <v>0</v>
      </c>
      <c r="BM29" s="5">
        <f>IF($E29&gt;=BM$2,VLOOKUP($E29-BM$2,'data input'!$D$3:$E$130,2,FALSE),0)</f>
        <v>0</v>
      </c>
      <c r="BN29" s="5">
        <f>IF($E29&gt;=BN$2,VLOOKUP($E29-BN$2,'data input'!$D$3:$E$130,2,FALSE),0)</f>
        <v>0</v>
      </c>
      <c r="BO29" s="5">
        <f>IF($E29&gt;=BO$2,VLOOKUP($E29-BO$2,'data input'!$D$3:$E$130,2,FALSE),0)</f>
        <v>0</v>
      </c>
      <c r="BP29" s="5">
        <f>IF($E29&gt;=BP$2,VLOOKUP($E29-BP$2,'data input'!$D$3:$E$130,2,FALSE),0)</f>
        <v>0</v>
      </c>
      <c r="BQ29" s="5">
        <f>IF($E29&gt;=BQ$2,VLOOKUP($E29-BQ$2,'data input'!$D$3:$E$130,2,FALSE),0)</f>
        <v>0</v>
      </c>
      <c r="BR29" s="5">
        <f>IF($E29&gt;=BR$2,VLOOKUP($E29-BR$2,'data input'!$D$3:$E$130,2,FALSE),0)</f>
        <v>0</v>
      </c>
      <c r="BS29" s="5">
        <f>IF($E29&gt;=BS$2,VLOOKUP($E29-BS$2,'data input'!$D$3:$E$130,2,FALSE),0)</f>
        <v>0</v>
      </c>
      <c r="BT29" s="5">
        <f>IF($E29&gt;=BT$2,VLOOKUP($E29-BT$2,'data input'!$D$3:$E$130,2,FALSE),0)</f>
        <v>0</v>
      </c>
      <c r="BU29" s="5">
        <f>IF($E29&gt;=BU$2,VLOOKUP($E29-BU$2,'data input'!$D$3:$E$130,2,FALSE),0)</f>
        <v>0</v>
      </c>
      <c r="BV29" s="5">
        <f>IF($E29&gt;=BV$2,VLOOKUP($E29-BV$2,'data input'!$D$3:$E$130,2,FALSE),0)</f>
        <v>0</v>
      </c>
      <c r="BW29" s="5">
        <f>IF($E29&gt;=BW$2,VLOOKUP($E29-BW$2,'data input'!$D$3:$E$130,2,FALSE),0)</f>
        <v>0</v>
      </c>
      <c r="BX29" s="5">
        <f>IF($E29&gt;=BX$2,VLOOKUP($E29-BX$2,'data input'!$D$3:$E$130,2,FALSE),0)</f>
        <v>0</v>
      </c>
      <c r="BY29" s="5">
        <f>IF($E29&gt;=BY$2,VLOOKUP($E29-BY$2,'data input'!$D$3:$E$130,2,FALSE),0)</f>
        <v>0</v>
      </c>
      <c r="BZ29" s="5">
        <f>IF($E29&gt;=BZ$2,VLOOKUP($E29-BZ$2,'data input'!$D$3:$E$130,2,FALSE),0)</f>
        <v>0</v>
      </c>
      <c r="CA29" s="5">
        <f>IF($E29&gt;=CA$2,VLOOKUP($E29-CA$2,'data input'!$D$3:$E$130,2,FALSE),0)</f>
        <v>0</v>
      </c>
      <c r="CB29" s="5">
        <f>IF($E29&gt;=CB$2,VLOOKUP($E29-CB$2,'data input'!$D$3:$E$130,2,FALSE),0)</f>
        <v>0</v>
      </c>
      <c r="CC29" s="5">
        <f>IF($E29&gt;=CC$2,VLOOKUP($E29-CC$2,'data input'!$D$3:$E$130,2,FALSE),0)</f>
        <v>0</v>
      </c>
      <c r="CD29" s="5">
        <f>IF($E29&gt;=CD$2,VLOOKUP($E29-CD$2,'data input'!$D$3:$E$130,2,FALSE),0)</f>
        <v>0</v>
      </c>
      <c r="CE29" s="5">
        <f>IF($E29&gt;=CE$2,VLOOKUP($E29-CE$2,'data input'!$D$3:$E$130,2,FALSE),0)</f>
        <v>0</v>
      </c>
      <c r="CF29" s="5">
        <f>IF($E29&gt;=CF$2,VLOOKUP($E29-CF$2,'data input'!$D$3:$E$130,2,FALSE),0)</f>
        <v>0</v>
      </c>
      <c r="CG29" s="5">
        <f>IF($E29&gt;=CG$2,VLOOKUP($E29-CG$2,'data input'!$D$3:$E$130,2,FALSE),0)</f>
        <v>0</v>
      </c>
      <c r="CH29" s="5">
        <f>IF($E29&gt;=CH$2,VLOOKUP($E29-CH$2,'data input'!$D$3:$E$130,2,FALSE),0)</f>
        <v>0</v>
      </c>
      <c r="CI29" s="5">
        <f>IF($E29&gt;=CI$2,VLOOKUP($E29-CI$2,'data input'!$D$3:$E$130,2,FALSE),0)</f>
        <v>0</v>
      </c>
      <c r="CJ29" s="5">
        <f>IF($E29&gt;=CJ$2,VLOOKUP($E29-CJ$2,'data input'!$D$3:$E$130,2,FALSE),0)</f>
        <v>0</v>
      </c>
      <c r="CK29" s="5">
        <f>IF($E29&gt;=CK$2,VLOOKUP($E29-CK$2,'data input'!$D$3:$E$130,2,FALSE),0)</f>
        <v>0</v>
      </c>
      <c r="CL29" s="5">
        <f>IF($E29&gt;=CL$2,VLOOKUP($E29-CL$2,'data input'!$D$3:$E$130,2,FALSE),0)</f>
        <v>0</v>
      </c>
      <c r="CM29" s="5">
        <f>IF($E29&gt;=CM$2,VLOOKUP($E29-CM$2,'data input'!$D$3:$E$130,2,FALSE),0)</f>
        <v>0</v>
      </c>
      <c r="CN29" s="5">
        <f>IF($E29&gt;=CN$2,VLOOKUP($E29-CN$2,'data input'!$D$3:$E$130,2,FALSE),0)</f>
        <v>0</v>
      </c>
      <c r="CO29" s="5">
        <f>IF($E29&gt;=CO$2,VLOOKUP($E29-CO$2,'data input'!$D$3:$E$130,2,FALSE),0)</f>
        <v>0</v>
      </c>
      <c r="CP29" s="5">
        <f>IF($E29&gt;=CP$2,VLOOKUP($E29-CP$2,'data input'!$D$3:$E$130,2,FALSE),0)</f>
        <v>0</v>
      </c>
      <c r="CQ29" s="5">
        <f>IF($E29&gt;=CQ$2,VLOOKUP($E29-CQ$2,'data input'!$D$3:$E$130,2,FALSE),0)</f>
        <v>0</v>
      </c>
      <c r="CR29" s="5">
        <f>IF($E29&gt;=CR$2,VLOOKUP($E29-CR$2,'data input'!$D$3:$E$130,2,FALSE),0)</f>
        <v>0</v>
      </c>
      <c r="CS29" s="5">
        <f>IF($E29&gt;=CS$2,VLOOKUP($E29-CS$2,'data input'!$D$3:$E$130,2,FALSE),0)</f>
        <v>0</v>
      </c>
      <c r="CT29" s="5">
        <f>IF($E29&gt;=CT$2,VLOOKUP($E29-CT$2,'data input'!$D$3:$E$130,2,FALSE),0)</f>
        <v>0</v>
      </c>
      <c r="CU29" s="5">
        <f>IF($E29&gt;=CU$2,VLOOKUP($E29-CU$2,'data input'!$D$3:$E$130,2,FALSE),0)</f>
        <v>0</v>
      </c>
      <c r="CV29" s="5">
        <f>IF($E29&gt;=CV$2,VLOOKUP($E29-CV$2,'data input'!$D$3:$E$130,2,FALSE),0)</f>
        <v>0</v>
      </c>
      <c r="CW29" s="5">
        <f>IF($E29&gt;=CW$2,VLOOKUP($E29-CW$2,'data input'!$D$3:$E$130,2,FALSE),0)</f>
        <v>0</v>
      </c>
      <c r="CX29" s="5">
        <f>IF($E29&gt;=CX$2,VLOOKUP($E29-CX$2,'data input'!$D$3:$E$130,2,FALSE),0)</f>
        <v>0</v>
      </c>
      <c r="CY29" s="5">
        <f>IF($E29&gt;=CY$2,VLOOKUP($E29-CY$2,'data input'!$D$3:$E$130,2,FALSE),0)</f>
        <v>0</v>
      </c>
      <c r="CZ29" s="5">
        <f>IF($E29&gt;=CZ$2,VLOOKUP($E29-CZ$2,'data input'!$D$3:$E$130,2,FALSE),0)</f>
        <v>0</v>
      </c>
      <c r="DA29" s="5">
        <f>IF($E29&gt;=DA$2,VLOOKUP($E29-DA$2,'data input'!$D$3:$E$130,2,FALSE),0)</f>
        <v>0</v>
      </c>
      <c r="DB29" s="5">
        <f>IF($E29&gt;=DB$2,VLOOKUP($E29-DB$2,'data input'!$D$3:$E$130,2,FALSE),0)</f>
        <v>0</v>
      </c>
      <c r="DC29" s="5">
        <f>IF($E29&gt;=DC$2,VLOOKUP($E29-DC$2,'data input'!$D$3:$E$130,2,FALSE),0)</f>
        <v>0</v>
      </c>
      <c r="DD29" s="5">
        <f>IF($E29&gt;=DD$2,VLOOKUP($E29-DD$2,'data input'!$D$3:$E$130,2,FALSE),0)</f>
        <v>0</v>
      </c>
      <c r="DE29" s="5">
        <f>IF($E29&gt;=DE$2,VLOOKUP($E29-DE$2,'data input'!$D$3:$E$130,2,FALSE),0)</f>
        <v>0</v>
      </c>
      <c r="DF29" s="5">
        <f>IF($E29&gt;=DF$2,VLOOKUP($E29-DF$2,'data input'!$D$3:$E$130,2,FALSE),0)</f>
        <v>0</v>
      </c>
      <c r="DG29" s="5">
        <f>IF($E29&gt;=DG$2,VLOOKUP($E29-DG$2,'data input'!$D$3:$E$130,2,FALSE),0)</f>
        <v>0</v>
      </c>
      <c r="DH29" s="5">
        <f>IF($E29&gt;=DH$2,VLOOKUP($E29-DH$2,'data input'!$D$3:$E$130,2,FALSE),0)</f>
        <v>0</v>
      </c>
      <c r="DI29" s="5">
        <f>IF($E29&gt;=DI$2,VLOOKUP($E29-DI$2,'data input'!$D$3:$E$130,2,FALSE),0)</f>
        <v>0</v>
      </c>
      <c r="DJ29" s="5">
        <f>IF($E29&gt;=DJ$2,VLOOKUP($E29-DJ$2,'data input'!$D$3:$E$130,2,FALSE),0)</f>
        <v>0</v>
      </c>
      <c r="DK29" s="5">
        <f>IF($E29&gt;=DK$2,VLOOKUP($E29-DK$2,'data input'!$D$3:$E$130,2,FALSE),0)</f>
        <v>0</v>
      </c>
      <c r="DL29" s="5">
        <f>IF($E29&gt;=DL$2,VLOOKUP($E29-DL$2,'data input'!$D$3:$E$130,2,FALSE),0)</f>
        <v>0</v>
      </c>
      <c r="DM29" s="5">
        <f>IF($E29&gt;=DM$2,VLOOKUP($E29-DM$2,'data input'!$D$3:$E$130,2,FALSE),0)</f>
        <v>0</v>
      </c>
      <c r="DN29" s="5">
        <f>IF($E29&gt;=DN$2,VLOOKUP($E29-DN$2,'data input'!$D$3:$E$130,2,FALSE),0)</f>
        <v>0</v>
      </c>
      <c r="DO29" s="5">
        <f>IF($E29&gt;=DO$2,VLOOKUP($E29-DO$2,'data input'!$D$3:$E$130,2,FALSE),0)</f>
        <v>0</v>
      </c>
      <c r="DP29" s="5">
        <f>IF($E29&gt;=DP$2,VLOOKUP($E29-DP$2,'data input'!$D$3:$E$130,2,FALSE),0)</f>
        <v>0</v>
      </c>
      <c r="DQ29" s="5">
        <f>IF($E29&gt;=DQ$2,VLOOKUP($E29-DQ$2,'data input'!$D$3:$E$130,2,FALSE),0)</f>
        <v>0</v>
      </c>
      <c r="DR29" s="5">
        <f>IF($E29&gt;=DR$2,VLOOKUP($E29-DR$2,'data input'!$D$3:$E$130,2,FALSE),0)</f>
        <v>0</v>
      </c>
      <c r="DS29" s="5">
        <f>IF($E29&gt;=DS$2,VLOOKUP($E29-DS$2,'data input'!$D$3:$E$130,2,FALSE),0)</f>
        <v>0</v>
      </c>
      <c r="DT29" s="5">
        <f>IF($E29&gt;=DT$2,VLOOKUP($E29-DT$2,'data input'!$D$3:$E$130,2,FALSE),0)</f>
        <v>0</v>
      </c>
      <c r="DU29" s="5">
        <f>IF($E29&gt;=DU$2,VLOOKUP($E29-DU$2,'data input'!$D$3:$E$130,2,FALSE),0)</f>
        <v>0</v>
      </c>
      <c r="DV29" s="5">
        <f>IF($E29&gt;=DV$2,VLOOKUP($E29-DV$2,'data input'!$D$3:$E$130,2,FALSE),0)</f>
        <v>0</v>
      </c>
      <c r="DW29" s="5">
        <f>IF($E29&gt;=DW$2,VLOOKUP($E29-DW$2,'data input'!$D$3:$E$130,2,FALSE),0)</f>
        <v>0</v>
      </c>
      <c r="DX29" s="5">
        <f>IF($E29&gt;=DX$2,VLOOKUP($E29-DX$2,'data input'!$D$3:$E$130,2,FALSE),0)</f>
        <v>0</v>
      </c>
      <c r="DY29" s="5">
        <f>IF($E29&gt;=DY$2,VLOOKUP($E29-DY$2,'data input'!$D$3:$E$130,2,FALSE),0)</f>
        <v>0</v>
      </c>
      <c r="DZ29" s="5">
        <f>IF($E29&gt;=DZ$2,VLOOKUP($E29-DZ$2,'data input'!$D$3:$E$130,2,FALSE),0)</f>
        <v>0</v>
      </c>
      <c r="EA29" s="5">
        <f>IF($E29&gt;=EA$2,VLOOKUP($E29-EA$2,'data input'!$D$3:$E$130,2,FALSE),0)</f>
        <v>0</v>
      </c>
      <c r="EB29" s="5">
        <f>IF($E29&gt;=EB$2,VLOOKUP($E29-EB$2,'data input'!$D$3:$E$130,2,FALSE),0)</f>
        <v>0</v>
      </c>
      <c r="EC29" s="5">
        <f>IF($E29&gt;=EC$2,VLOOKUP($E29-EC$2,'data input'!$D$3:$E$130,2,FALSE),0)</f>
        <v>0</v>
      </c>
    </row>
    <row r="30" spans="5:133">
      <c r="E30" s="7">
        <f>'data input'!B30</f>
        <v>1905</v>
      </c>
      <c r="F30" s="5">
        <f>IF($E30&gt;=F$2,VLOOKUP($E30-F$2,'data input'!$D$3:$E$130,2,FALSE),0)</f>
        <v>0.83521987001968967</v>
      </c>
      <c r="G30" s="5">
        <f>IF($E30&gt;=G$2,VLOOKUP($E30-G$2,'data input'!$D$3:$E$130,2,FALSE),0)</f>
        <v>0.85314094362410409</v>
      </c>
      <c r="H30" s="5">
        <f>IF($E30&gt;=H$2,VLOOKUP($E30-H$2,'data input'!$D$3:$E$130,2,FALSE),0)</f>
        <v>0.86970548286319116</v>
      </c>
      <c r="I30" s="5">
        <f>IF($E30&gt;=I$2,VLOOKUP($E30-I$2,'data input'!$D$3:$E$130,2,FALSE),0)</f>
        <v>0.88493032977829178</v>
      </c>
      <c r="J30" s="5">
        <f>IF($E30&gt;=J$2,VLOOKUP($E30-J$2,'data input'!$D$3:$E$130,2,FALSE),0)</f>
        <v>0.89884537900441408</v>
      </c>
      <c r="K30" s="5">
        <f>IF($E30&gt;=K$2,VLOOKUP($E30-K$2,'data input'!$D$3:$E$130,2,FALSE),0)</f>
        <v>0.91149200856259793</v>
      </c>
      <c r="L30" s="5">
        <f>IF($E30&gt;=L$2,VLOOKUP($E30-L$2,'data input'!$D$3:$E$130,2,FALSE),0)</f>
        <v>0.92292139944792817</v>
      </c>
      <c r="M30" s="5">
        <f>IF($E30&gt;=M$2,VLOOKUP($E30-M$2,'data input'!$D$3:$E$130,2,FALSE),0)</f>
        <v>0.93319279873114191</v>
      </c>
      <c r="N30" s="5">
        <f>IF($E30&gt;=N$2,VLOOKUP($E30-N$2,'data input'!$D$3:$E$130,2,FALSE),0)</f>
        <v>0.94237177772384684</v>
      </c>
      <c r="O30" s="5">
        <f>IF($E30&gt;=O$2,VLOOKUP($E30-O$2,'data input'!$D$3:$E$130,2,FALSE),0)</f>
        <v>0.9505285319663519</v>
      </c>
      <c r="P30" s="5">
        <f>IF($E30&gt;=P$2,VLOOKUP($E30-P$2,'data input'!$D$3:$E$130,2,FALSE),0)</f>
        <v>0.95773626374204757</v>
      </c>
      <c r="Q30" s="5">
        <f>IF($E30&gt;=Q$2,VLOOKUP($E30-Q$2,'data input'!$D$3:$E$130,2,FALSE),0)</f>
        <v>0.96406968088707423</v>
      </c>
      <c r="R30" s="5">
        <f>IF($E30&gt;=R$2,VLOOKUP($E30-R$2,'data input'!$D$3:$E$130,2,FALSE),0)</f>
        <v>0.96960363823473861</v>
      </c>
      <c r="S30" s="5">
        <f>IF($E30&gt;=S$2,VLOOKUP($E30-S$2,'data input'!$D$3:$E$130,2,FALSE),0)</f>
        <v>0.97441194047836144</v>
      </c>
      <c r="T30" s="5">
        <f>IF($E30&gt;=T$2,VLOOKUP($E30-T$2,'data input'!$D$3:$E$130,2,FALSE),0)</f>
        <v>0.97856631788584703</v>
      </c>
      <c r="U30" s="5">
        <f>IF($E30&gt;=U$2,VLOOKUP($E30-U$2,'data input'!$D$3:$E$130,2,FALSE),0)</f>
        <v>0.98213557943718344</v>
      </c>
      <c r="V30" s="5">
        <f>IF($E30&gt;=V$2,VLOOKUP($E30-V$2,'data input'!$D$3:$E$130,2,FALSE),0)</f>
        <v>0.98518494180739014</v>
      </c>
      <c r="W30" s="5">
        <f>IF($E30&gt;=W$2,VLOOKUP($E30-W$2,'data input'!$D$3:$E$130,2,FALSE),0)</f>
        <v>0.98777552734495533</v>
      </c>
      <c r="X30" s="5">
        <f>IF($E30&gt;=X$2,VLOOKUP($E30-X$2,'data input'!$D$3:$E$130,2,FALSE),0)</f>
        <v>0.98996401989972593</v>
      </c>
      <c r="Y30" s="5">
        <f>IF($E30&gt;=Y$2,VLOOKUP($E30-Y$2,'data input'!$D$3:$E$130,2,FALSE),0)</f>
        <v>0.99180246407540384</v>
      </c>
      <c r="Z30" s="5">
        <f>IF($E30&gt;=Z$2,VLOOKUP($E30-Z$2,'data input'!$D$3:$E$130,2,FALSE),0)</f>
        <v>0.99333819120801725</v>
      </c>
      <c r="AA30" s="5">
        <f>IF($E30&gt;=AA$2,VLOOKUP($E30-AA$2,'data input'!$D$3:$E$130,2,FALSE),0)</f>
        <v>0.99461385404593328</v>
      </c>
      <c r="AB30" s="5">
        <f>IF($E30&gt;=AB$2,VLOOKUP($E30-AB$2,'data input'!$D$3:$E$130,2,FALSE),0)</f>
        <v>0.99566755163698739</v>
      </c>
      <c r="AC30" s="5">
        <f>IF($E30&gt;=AC$2,VLOOKUP($E30-AC$2,'data input'!$D$3:$E$130,2,FALSE),0)</f>
        <v>0.99653302619695938</v>
      </c>
      <c r="AD30" s="5">
        <f>IF($E30&gt;=AD$2,VLOOKUP($E30-AD$2,'data input'!$D$3:$E$130,2,FALSE),0)</f>
        <v>0.99723991460873751</v>
      </c>
      <c r="AE30" s="5">
        <f>IF($E30&gt;=AE$2,VLOOKUP($E30-AE$2,'data input'!$D$3:$E$130,2,FALSE),0)</f>
        <v>0.99781403854508677</v>
      </c>
      <c r="AF30" s="5">
        <f>IF($E30&gt;=AF$2,VLOOKUP($E30-AF$2,'data input'!$D$3:$E$130,2,FALSE),0)</f>
        <v>0.99827771888413241</v>
      </c>
      <c r="AG30" s="5">
        <f>IF($E30&gt;=AG$2,VLOOKUP($E30-AG$2,'data input'!$D$3:$E$130,2,FALSE),0)</f>
        <v>0.9986501019683699</v>
      </c>
      <c r="AH30" s="5">
        <f>IF($E30&gt;=AH$2,VLOOKUP($E30-AH$2,'data input'!$D$3:$E$130,2,FALSE),0)</f>
        <v>0</v>
      </c>
      <c r="AI30" s="5">
        <f>IF($E30&gt;=AI$2,VLOOKUP($E30-AI$2,'data input'!$D$3:$E$130,2,FALSE),0)</f>
        <v>0</v>
      </c>
      <c r="AJ30" s="5">
        <f>IF($E30&gt;=AJ$2,VLOOKUP($E30-AJ$2,'data input'!$D$3:$E$130,2,FALSE),0)</f>
        <v>0</v>
      </c>
      <c r="AK30" s="5">
        <f>IF($E30&gt;=AK$2,VLOOKUP($E30-AK$2,'data input'!$D$3:$E$130,2,FALSE),0)</f>
        <v>0</v>
      </c>
      <c r="AL30" s="5">
        <f>IF($E30&gt;=AL$2,VLOOKUP($E30-AL$2,'data input'!$D$3:$E$130,2,FALSE),0)</f>
        <v>0</v>
      </c>
      <c r="AM30" s="5">
        <f>IF($E30&gt;=AM$2,VLOOKUP($E30-AM$2,'data input'!$D$3:$E$130,2,FALSE),0)</f>
        <v>0</v>
      </c>
      <c r="AN30" s="5">
        <f>IF($E30&gt;=AN$2,VLOOKUP($E30-AN$2,'data input'!$D$3:$E$130,2,FALSE),0)</f>
        <v>0</v>
      </c>
      <c r="AO30" s="5">
        <f>IF($E30&gt;=AO$2,VLOOKUP($E30-AO$2,'data input'!$D$3:$E$130,2,FALSE),0)</f>
        <v>0</v>
      </c>
      <c r="AP30" s="5">
        <f>IF($E30&gt;=AP$2,VLOOKUP($E30-AP$2,'data input'!$D$3:$E$130,2,FALSE),0)</f>
        <v>0</v>
      </c>
      <c r="AQ30" s="5">
        <f>IF($E30&gt;=AQ$2,VLOOKUP($E30-AQ$2,'data input'!$D$3:$E$130,2,FALSE),0)</f>
        <v>0</v>
      </c>
      <c r="AR30" s="5">
        <f>IF($E30&gt;=AR$2,VLOOKUP($E30-AR$2,'data input'!$D$3:$E$130,2,FALSE),0)</f>
        <v>0</v>
      </c>
      <c r="AS30" s="5">
        <f>IF($E30&gt;=AS$2,VLOOKUP($E30-AS$2,'data input'!$D$3:$E$130,2,FALSE),0)</f>
        <v>0</v>
      </c>
      <c r="AT30" s="5">
        <f>IF($E30&gt;=AT$2,VLOOKUP($E30-AT$2,'data input'!$D$3:$E$130,2,FALSE),0)</f>
        <v>0</v>
      </c>
      <c r="AU30" s="5">
        <f>IF($E30&gt;=AU$2,VLOOKUP($E30-AU$2,'data input'!$D$3:$E$130,2,FALSE),0)</f>
        <v>0</v>
      </c>
      <c r="AV30" s="5">
        <f>IF($E30&gt;=AV$2,VLOOKUP($E30-AV$2,'data input'!$D$3:$E$130,2,FALSE),0)</f>
        <v>0</v>
      </c>
      <c r="AW30" s="5">
        <f>IF($E30&gt;=AW$2,VLOOKUP($E30-AW$2,'data input'!$D$3:$E$130,2,FALSE),0)</f>
        <v>0</v>
      </c>
      <c r="AX30" s="5">
        <f>IF($E30&gt;=AX$2,VLOOKUP($E30-AX$2,'data input'!$D$3:$E$130,2,FALSE),0)</f>
        <v>0</v>
      </c>
      <c r="AY30" s="5">
        <f>IF($E30&gt;=AY$2,VLOOKUP($E30-AY$2,'data input'!$D$3:$E$130,2,FALSE),0)</f>
        <v>0</v>
      </c>
      <c r="AZ30" s="5">
        <f>IF($E30&gt;=AZ$2,VLOOKUP($E30-AZ$2,'data input'!$D$3:$E$130,2,FALSE),0)</f>
        <v>0</v>
      </c>
      <c r="BA30" s="5">
        <f>IF($E30&gt;=BA$2,VLOOKUP($E30-BA$2,'data input'!$D$3:$E$130,2,FALSE),0)</f>
        <v>0</v>
      </c>
      <c r="BB30" s="5">
        <f>IF($E30&gt;=BB$2,VLOOKUP($E30-BB$2,'data input'!$D$3:$E$130,2,FALSE),0)</f>
        <v>0</v>
      </c>
      <c r="BC30" s="5">
        <f>IF($E30&gt;=BC$2,VLOOKUP($E30-BC$2,'data input'!$D$3:$E$130,2,FALSE),0)</f>
        <v>0</v>
      </c>
      <c r="BD30" s="5">
        <f>IF($E30&gt;=BD$2,VLOOKUP($E30-BD$2,'data input'!$D$3:$E$130,2,FALSE),0)</f>
        <v>0</v>
      </c>
      <c r="BE30" s="5">
        <f>IF($E30&gt;=BE$2,VLOOKUP($E30-BE$2,'data input'!$D$3:$E$130,2,FALSE),0)</f>
        <v>0</v>
      </c>
      <c r="BF30" s="5">
        <f>IF($E30&gt;=BF$2,VLOOKUP($E30-BF$2,'data input'!$D$3:$E$130,2,FALSE),0)</f>
        <v>0</v>
      </c>
      <c r="BG30" s="5">
        <f>IF($E30&gt;=BG$2,VLOOKUP($E30-BG$2,'data input'!$D$3:$E$130,2,FALSE),0)</f>
        <v>0</v>
      </c>
      <c r="BH30" s="5">
        <f>IF($E30&gt;=BH$2,VLOOKUP($E30-BH$2,'data input'!$D$3:$E$130,2,FALSE),0)</f>
        <v>0</v>
      </c>
      <c r="BI30" s="5">
        <f>IF($E30&gt;=BI$2,VLOOKUP($E30-BI$2,'data input'!$D$3:$E$130,2,FALSE),0)</f>
        <v>0</v>
      </c>
      <c r="BJ30" s="5">
        <f>IF($E30&gt;=BJ$2,VLOOKUP($E30-BJ$2,'data input'!$D$3:$E$130,2,FALSE),0)</f>
        <v>0</v>
      </c>
      <c r="BK30" s="5">
        <f>IF($E30&gt;=BK$2,VLOOKUP($E30-BK$2,'data input'!$D$3:$E$130,2,FALSE),0)</f>
        <v>0</v>
      </c>
      <c r="BL30" s="5">
        <f>IF($E30&gt;=BL$2,VLOOKUP($E30-BL$2,'data input'!$D$3:$E$130,2,FALSE),0)</f>
        <v>0</v>
      </c>
      <c r="BM30" s="5">
        <f>IF($E30&gt;=BM$2,VLOOKUP($E30-BM$2,'data input'!$D$3:$E$130,2,FALSE),0)</f>
        <v>0</v>
      </c>
      <c r="BN30" s="5">
        <f>IF($E30&gt;=BN$2,VLOOKUP($E30-BN$2,'data input'!$D$3:$E$130,2,FALSE),0)</f>
        <v>0</v>
      </c>
      <c r="BO30" s="5">
        <f>IF($E30&gt;=BO$2,VLOOKUP($E30-BO$2,'data input'!$D$3:$E$130,2,FALSE),0)</f>
        <v>0</v>
      </c>
      <c r="BP30" s="5">
        <f>IF($E30&gt;=BP$2,VLOOKUP($E30-BP$2,'data input'!$D$3:$E$130,2,FALSE),0)</f>
        <v>0</v>
      </c>
      <c r="BQ30" s="5">
        <f>IF($E30&gt;=BQ$2,VLOOKUP($E30-BQ$2,'data input'!$D$3:$E$130,2,FALSE),0)</f>
        <v>0</v>
      </c>
      <c r="BR30" s="5">
        <f>IF($E30&gt;=BR$2,VLOOKUP($E30-BR$2,'data input'!$D$3:$E$130,2,FALSE),0)</f>
        <v>0</v>
      </c>
      <c r="BS30" s="5">
        <f>IF($E30&gt;=BS$2,VLOOKUP($E30-BS$2,'data input'!$D$3:$E$130,2,FALSE),0)</f>
        <v>0</v>
      </c>
      <c r="BT30" s="5">
        <f>IF($E30&gt;=BT$2,VLOOKUP($E30-BT$2,'data input'!$D$3:$E$130,2,FALSE),0)</f>
        <v>0</v>
      </c>
      <c r="BU30" s="5">
        <f>IF($E30&gt;=BU$2,VLOOKUP($E30-BU$2,'data input'!$D$3:$E$130,2,FALSE),0)</f>
        <v>0</v>
      </c>
      <c r="BV30" s="5">
        <f>IF($E30&gt;=BV$2,VLOOKUP($E30-BV$2,'data input'!$D$3:$E$130,2,FALSE),0)</f>
        <v>0</v>
      </c>
      <c r="BW30" s="5">
        <f>IF($E30&gt;=BW$2,VLOOKUP($E30-BW$2,'data input'!$D$3:$E$130,2,FALSE),0)</f>
        <v>0</v>
      </c>
      <c r="BX30" s="5">
        <f>IF($E30&gt;=BX$2,VLOOKUP($E30-BX$2,'data input'!$D$3:$E$130,2,FALSE),0)</f>
        <v>0</v>
      </c>
      <c r="BY30" s="5">
        <f>IF($E30&gt;=BY$2,VLOOKUP($E30-BY$2,'data input'!$D$3:$E$130,2,FALSE),0)</f>
        <v>0</v>
      </c>
      <c r="BZ30" s="5">
        <f>IF($E30&gt;=BZ$2,VLOOKUP($E30-BZ$2,'data input'!$D$3:$E$130,2,FALSE),0)</f>
        <v>0</v>
      </c>
      <c r="CA30" s="5">
        <f>IF($E30&gt;=CA$2,VLOOKUP($E30-CA$2,'data input'!$D$3:$E$130,2,FALSE),0)</f>
        <v>0</v>
      </c>
      <c r="CB30" s="5">
        <f>IF($E30&gt;=CB$2,VLOOKUP($E30-CB$2,'data input'!$D$3:$E$130,2,FALSE),0)</f>
        <v>0</v>
      </c>
      <c r="CC30" s="5">
        <f>IF($E30&gt;=CC$2,VLOOKUP($E30-CC$2,'data input'!$D$3:$E$130,2,FALSE),0)</f>
        <v>0</v>
      </c>
      <c r="CD30" s="5">
        <f>IF($E30&gt;=CD$2,VLOOKUP($E30-CD$2,'data input'!$D$3:$E$130,2,FALSE),0)</f>
        <v>0</v>
      </c>
      <c r="CE30" s="5">
        <f>IF($E30&gt;=CE$2,VLOOKUP($E30-CE$2,'data input'!$D$3:$E$130,2,FALSE),0)</f>
        <v>0</v>
      </c>
      <c r="CF30" s="5">
        <f>IF($E30&gt;=CF$2,VLOOKUP($E30-CF$2,'data input'!$D$3:$E$130,2,FALSE),0)</f>
        <v>0</v>
      </c>
      <c r="CG30" s="5">
        <f>IF($E30&gt;=CG$2,VLOOKUP($E30-CG$2,'data input'!$D$3:$E$130,2,FALSE),0)</f>
        <v>0</v>
      </c>
      <c r="CH30" s="5">
        <f>IF($E30&gt;=CH$2,VLOOKUP($E30-CH$2,'data input'!$D$3:$E$130,2,FALSE),0)</f>
        <v>0</v>
      </c>
      <c r="CI30" s="5">
        <f>IF($E30&gt;=CI$2,VLOOKUP($E30-CI$2,'data input'!$D$3:$E$130,2,FALSE),0)</f>
        <v>0</v>
      </c>
      <c r="CJ30" s="5">
        <f>IF($E30&gt;=CJ$2,VLOOKUP($E30-CJ$2,'data input'!$D$3:$E$130,2,FALSE),0)</f>
        <v>0</v>
      </c>
      <c r="CK30" s="5">
        <f>IF($E30&gt;=CK$2,VLOOKUP($E30-CK$2,'data input'!$D$3:$E$130,2,FALSE),0)</f>
        <v>0</v>
      </c>
      <c r="CL30" s="5">
        <f>IF($E30&gt;=CL$2,VLOOKUP($E30-CL$2,'data input'!$D$3:$E$130,2,FALSE),0)</f>
        <v>0</v>
      </c>
      <c r="CM30" s="5">
        <f>IF($E30&gt;=CM$2,VLOOKUP($E30-CM$2,'data input'!$D$3:$E$130,2,FALSE),0)</f>
        <v>0</v>
      </c>
      <c r="CN30" s="5">
        <f>IF($E30&gt;=CN$2,VLOOKUP($E30-CN$2,'data input'!$D$3:$E$130,2,FALSE),0)</f>
        <v>0</v>
      </c>
      <c r="CO30" s="5">
        <f>IF($E30&gt;=CO$2,VLOOKUP($E30-CO$2,'data input'!$D$3:$E$130,2,FALSE),0)</f>
        <v>0</v>
      </c>
      <c r="CP30" s="5">
        <f>IF($E30&gt;=CP$2,VLOOKUP($E30-CP$2,'data input'!$D$3:$E$130,2,FALSE),0)</f>
        <v>0</v>
      </c>
      <c r="CQ30" s="5">
        <f>IF($E30&gt;=CQ$2,VLOOKUP($E30-CQ$2,'data input'!$D$3:$E$130,2,FALSE),0)</f>
        <v>0</v>
      </c>
      <c r="CR30" s="5">
        <f>IF($E30&gt;=CR$2,VLOOKUP($E30-CR$2,'data input'!$D$3:$E$130,2,FALSE),0)</f>
        <v>0</v>
      </c>
      <c r="CS30" s="5">
        <f>IF($E30&gt;=CS$2,VLOOKUP($E30-CS$2,'data input'!$D$3:$E$130,2,FALSE),0)</f>
        <v>0</v>
      </c>
      <c r="CT30" s="5">
        <f>IF($E30&gt;=CT$2,VLOOKUP($E30-CT$2,'data input'!$D$3:$E$130,2,FALSE),0)</f>
        <v>0</v>
      </c>
      <c r="CU30" s="5">
        <f>IF($E30&gt;=CU$2,VLOOKUP($E30-CU$2,'data input'!$D$3:$E$130,2,FALSE),0)</f>
        <v>0</v>
      </c>
      <c r="CV30" s="5">
        <f>IF($E30&gt;=CV$2,VLOOKUP($E30-CV$2,'data input'!$D$3:$E$130,2,FALSE),0)</f>
        <v>0</v>
      </c>
      <c r="CW30" s="5">
        <f>IF($E30&gt;=CW$2,VLOOKUP($E30-CW$2,'data input'!$D$3:$E$130,2,FALSE),0)</f>
        <v>0</v>
      </c>
      <c r="CX30" s="5">
        <f>IF($E30&gt;=CX$2,VLOOKUP($E30-CX$2,'data input'!$D$3:$E$130,2,FALSE),0)</f>
        <v>0</v>
      </c>
      <c r="CY30" s="5">
        <f>IF($E30&gt;=CY$2,VLOOKUP($E30-CY$2,'data input'!$D$3:$E$130,2,FALSE),0)</f>
        <v>0</v>
      </c>
      <c r="CZ30" s="5">
        <f>IF($E30&gt;=CZ$2,VLOOKUP($E30-CZ$2,'data input'!$D$3:$E$130,2,FALSE),0)</f>
        <v>0</v>
      </c>
      <c r="DA30" s="5">
        <f>IF($E30&gt;=DA$2,VLOOKUP($E30-DA$2,'data input'!$D$3:$E$130,2,FALSE),0)</f>
        <v>0</v>
      </c>
      <c r="DB30" s="5">
        <f>IF($E30&gt;=DB$2,VLOOKUP($E30-DB$2,'data input'!$D$3:$E$130,2,FALSE),0)</f>
        <v>0</v>
      </c>
      <c r="DC30" s="5">
        <f>IF($E30&gt;=DC$2,VLOOKUP($E30-DC$2,'data input'!$D$3:$E$130,2,FALSE),0)</f>
        <v>0</v>
      </c>
      <c r="DD30" s="5">
        <f>IF($E30&gt;=DD$2,VLOOKUP($E30-DD$2,'data input'!$D$3:$E$130,2,FALSE),0)</f>
        <v>0</v>
      </c>
      <c r="DE30" s="5">
        <f>IF($E30&gt;=DE$2,VLOOKUP($E30-DE$2,'data input'!$D$3:$E$130,2,FALSE),0)</f>
        <v>0</v>
      </c>
      <c r="DF30" s="5">
        <f>IF($E30&gt;=DF$2,VLOOKUP($E30-DF$2,'data input'!$D$3:$E$130,2,FALSE),0)</f>
        <v>0</v>
      </c>
      <c r="DG30" s="5">
        <f>IF($E30&gt;=DG$2,VLOOKUP($E30-DG$2,'data input'!$D$3:$E$130,2,FALSE),0)</f>
        <v>0</v>
      </c>
      <c r="DH30" s="5">
        <f>IF($E30&gt;=DH$2,VLOOKUP($E30-DH$2,'data input'!$D$3:$E$130,2,FALSE),0)</f>
        <v>0</v>
      </c>
      <c r="DI30" s="5">
        <f>IF($E30&gt;=DI$2,VLOOKUP($E30-DI$2,'data input'!$D$3:$E$130,2,FALSE),0)</f>
        <v>0</v>
      </c>
      <c r="DJ30" s="5">
        <f>IF($E30&gt;=DJ$2,VLOOKUP($E30-DJ$2,'data input'!$D$3:$E$130,2,FALSE),0)</f>
        <v>0</v>
      </c>
      <c r="DK30" s="5">
        <f>IF($E30&gt;=DK$2,VLOOKUP($E30-DK$2,'data input'!$D$3:$E$130,2,FALSE),0)</f>
        <v>0</v>
      </c>
      <c r="DL30" s="5">
        <f>IF($E30&gt;=DL$2,VLOOKUP($E30-DL$2,'data input'!$D$3:$E$130,2,FALSE),0)</f>
        <v>0</v>
      </c>
      <c r="DM30" s="5">
        <f>IF($E30&gt;=DM$2,VLOOKUP($E30-DM$2,'data input'!$D$3:$E$130,2,FALSE),0)</f>
        <v>0</v>
      </c>
      <c r="DN30" s="5">
        <f>IF($E30&gt;=DN$2,VLOOKUP($E30-DN$2,'data input'!$D$3:$E$130,2,FALSE),0)</f>
        <v>0</v>
      </c>
      <c r="DO30" s="5">
        <f>IF($E30&gt;=DO$2,VLOOKUP($E30-DO$2,'data input'!$D$3:$E$130,2,FALSE),0)</f>
        <v>0</v>
      </c>
      <c r="DP30" s="5">
        <f>IF($E30&gt;=DP$2,VLOOKUP($E30-DP$2,'data input'!$D$3:$E$130,2,FALSE),0)</f>
        <v>0</v>
      </c>
      <c r="DQ30" s="5">
        <f>IF($E30&gt;=DQ$2,VLOOKUP($E30-DQ$2,'data input'!$D$3:$E$130,2,FALSE),0)</f>
        <v>0</v>
      </c>
      <c r="DR30" s="5">
        <f>IF($E30&gt;=DR$2,VLOOKUP($E30-DR$2,'data input'!$D$3:$E$130,2,FALSE),0)</f>
        <v>0</v>
      </c>
      <c r="DS30" s="5">
        <f>IF($E30&gt;=DS$2,VLOOKUP($E30-DS$2,'data input'!$D$3:$E$130,2,FALSE),0)</f>
        <v>0</v>
      </c>
      <c r="DT30" s="5">
        <f>IF($E30&gt;=DT$2,VLOOKUP($E30-DT$2,'data input'!$D$3:$E$130,2,FALSE),0)</f>
        <v>0</v>
      </c>
      <c r="DU30" s="5">
        <f>IF($E30&gt;=DU$2,VLOOKUP($E30-DU$2,'data input'!$D$3:$E$130,2,FALSE),0)</f>
        <v>0</v>
      </c>
      <c r="DV30" s="5">
        <f>IF($E30&gt;=DV$2,VLOOKUP($E30-DV$2,'data input'!$D$3:$E$130,2,FALSE),0)</f>
        <v>0</v>
      </c>
      <c r="DW30" s="5">
        <f>IF($E30&gt;=DW$2,VLOOKUP($E30-DW$2,'data input'!$D$3:$E$130,2,FALSE),0)</f>
        <v>0</v>
      </c>
      <c r="DX30" s="5">
        <f>IF($E30&gt;=DX$2,VLOOKUP($E30-DX$2,'data input'!$D$3:$E$130,2,FALSE),0)</f>
        <v>0</v>
      </c>
      <c r="DY30" s="5">
        <f>IF($E30&gt;=DY$2,VLOOKUP($E30-DY$2,'data input'!$D$3:$E$130,2,FALSE),0)</f>
        <v>0</v>
      </c>
      <c r="DZ30" s="5">
        <f>IF($E30&gt;=DZ$2,VLOOKUP($E30-DZ$2,'data input'!$D$3:$E$130,2,FALSE),0)</f>
        <v>0</v>
      </c>
      <c r="EA30" s="5">
        <f>IF($E30&gt;=EA$2,VLOOKUP($E30-EA$2,'data input'!$D$3:$E$130,2,FALSE),0)</f>
        <v>0</v>
      </c>
      <c r="EB30" s="5">
        <f>IF($E30&gt;=EB$2,VLOOKUP($E30-EB$2,'data input'!$D$3:$E$130,2,FALSE),0)</f>
        <v>0</v>
      </c>
      <c r="EC30" s="5">
        <f>IF($E30&gt;=EC$2,VLOOKUP($E30-EC$2,'data input'!$D$3:$E$130,2,FALSE),0)</f>
        <v>0</v>
      </c>
    </row>
    <row r="31" spans="5:133">
      <c r="E31" s="7">
        <f>'data input'!B31</f>
        <v>1906</v>
      </c>
      <c r="F31" s="5">
        <f>IF($E31&gt;=F$2,VLOOKUP($E31-F$2,'data input'!$D$3:$E$130,2,FALSE),0)</f>
        <v>0.81593987465324047</v>
      </c>
      <c r="G31" s="5">
        <f>IF($E31&gt;=G$2,VLOOKUP($E31-G$2,'data input'!$D$3:$E$130,2,FALSE),0)</f>
        <v>0.83521987001968967</v>
      </c>
      <c r="H31" s="5">
        <f>IF($E31&gt;=H$2,VLOOKUP($E31-H$2,'data input'!$D$3:$E$130,2,FALSE),0)</f>
        <v>0.85314094362410409</v>
      </c>
      <c r="I31" s="5">
        <f>IF($E31&gt;=I$2,VLOOKUP($E31-I$2,'data input'!$D$3:$E$130,2,FALSE),0)</f>
        <v>0.86970548286319116</v>
      </c>
      <c r="J31" s="5">
        <f>IF($E31&gt;=J$2,VLOOKUP($E31-J$2,'data input'!$D$3:$E$130,2,FALSE),0)</f>
        <v>0.88493032977829178</v>
      </c>
      <c r="K31" s="5">
        <f>IF($E31&gt;=K$2,VLOOKUP($E31-K$2,'data input'!$D$3:$E$130,2,FALSE),0)</f>
        <v>0.89884537900441408</v>
      </c>
      <c r="L31" s="5">
        <f>IF($E31&gt;=L$2,VLOOKUP($E31-L$2,'data input'!$D$3:$E$130,2,FALSE),0)</f>
        <v>0.91149200856259793</v>
      </c>
      <c r="M31" s="5">
        <f>IF($E31&gt;=M$2,VLOOKUP($E31-M$2,'data input'!$D$3:$E$130,2,FALSE),0)</f>
        <v>0.92292139944792817</v>
      </c>
      <c r="N31" s="5">
        <f>IF($E31&gt;=N$2,VLOOKUP($E31-N$2,'data input'!$D$3:$E$130,2,FALSE),0)</f>
        <v>0.93319279873114191</v>
      </c>
      <c r="O31" s="5">
        <f>IF($E31&gt;=O$2,VLOOKUP($E31-O$2,'data input'!$D$3:$E$130,2,FALSE),0)</f>
        <v>0.94237177772384684</v>
      </c>
      <c r="P31" s="5">
        <f>IF($E31&gt;=P$2,VLOOKUP($E31-P$2,'data input'!$D$3:$E$130,2,FALSE),0)</f>
        <v>0.9505285319663519</v>
      </c>
      <c r="Q31" s="5">
        <f>IF($E31&gt;=Q$2,VLOOKUP($E31-Q$2,'data input'!$D$3:$E$130,2,FALSE),0)</f>
        <v>0.95773626374204757</v>
      </c>
      <c r="R31" s="5">
        <f>IF($E31&gt;=R$2,VLOOKUP($E31-R$2,'data input'!$D$3:$E$130,2,FALSE),0)</f>
        <v>0.96406968088707423</v>
      </c>
      <c r="S31" s="5">
        <f>IF($E31&gt;=S$2,VLOOKUP($E31-S$2,'data input'!$D$3:$E$130,2,FALSE),0)</f>
        <v>0.96960363823473861</v>
      </c>
      <c r="T31" s="5">
        <f>IF($E31&gt;=T$2,VLOOKUP($E31-T$2,'data input'!$D$3:$E$130,2,FALSE),0)</f>
        <v>0.97441194047836144</v>
      </c>
      <c r="U31" s="5">
        <f>IF($E31&gt;=U$2,VLOOKUP($E31-U$2,'data input'!$D$3:$E$130,2,FALSE),0)</f>
        <v>0.97856631788584703</v>
      </c>
      <c r="V31" s="5">
        <f>IF($E31&gt;=V$2,VLOOKUP($E31-V$2,'data input'!$D$3:$E$130,2,FALSE),0)</f>
        <v>0.98213557943718344</v>
      </c>
      <c r="W31" s="5">
        <f>IF($E31&gt;=W$2,VLOOKUP($E31-W$2,'data input'!$D$3:$E$130,2,FALSE),0)</f>
        <v>0.98518494180739014</v>
      </c>
      <c r="X31" s="5">
        <f>IF($E31&gt;=X$2,VLOOKUP($E31-X$2,'data input'!$D$3:$E$130,2,FALSE),0)</f>
        <v>0.98777552734495533</v>
      </c>
      <c r="Y31" s="5">
        <f>IF($E31&gt;=Y$2,VLOOKUP($E31-Y$2,'data input'!$D$3:$E$130,2,FALSE),0)</f>
        <v>0.98996401989972593</v>
      </c>
      <c r="Z31" s="5">
        <f>IF($E31&gt;=Z$2,VLOOKUP($E31-Z$2,'data input'!$D$3:$E$130,2,FALSE),0)</f>
        <v>0.99180246407540384</v>
      </c>
      <c r="AA31" s="5">
        <f>IF($E31&gt;=AA$2,VLOOKUP($E31-AA$2,'data input'!$D$3:$E$130,2,FALSE),0)</f>
        <v>0.99333819120801725</v>
      </c>
      <c r="AB31" s="5">
        <f>IF($E31&gt;=AB$2,VLOOKUP($E31-AB$2,'data input'!$D$3:$E$130,2,FALSE),0)</f>
        <v>0.99461385404593328</v>
      </c>
      <c r="AC31" s="5">
        <f>IF($E31&gt;=AC$2,VLOOKUP($E31-AC$2,'data input'!$D$3:$E$130,2,FALSE),0)</f>
        <v>0.99566755163698739</v>
      </c>
      <c r="AD31" s="5">
        <f>IF($E31&gt;=AD$2,VLOOKUP($E31-AD$2,'data input'!$D$3:$E$130,2,FALSE),0)</f>
        <v>0.99653302619695938</v>
      </c>
      <c r="AE31" s="5">
        <f>IF($E31&gt;=AE$2,VLOOKUP($E31-AE$2,'data input'!$D$3:$E$130,2,FALSE),0)</f>
        <v>0.99723991460873751</v>
      </c>
      <c r="AF31" s="5">
        <f>IF($E31&gt;=AF$2,VLOOKUP($E31-AF$2,'data input'!$D$3:$E$130,2,FALSE),0)</f>
        <v>0.99781403854508677</v>
      </c>
      <c r="AG31" s="5">
        <f>IF($E31&gt;=AG$2,VLOOKUP($E31-AG$2,'data input'!$D$3:$E$130,2,FALSE),0)</f>
        <v>0.99827771888413241</v>
      </c>
      <c r="AH31" s="5">
        <f>IF($E31&gt;=AH$2,VLOOKUP($E31-AH$2,'data input'!$D$3:$E$130,2,FALSE),0)</f>
        <v>0.9986501019683699</v>
      </c>
      <c r="AI31" s="5">
        <f>IF($E31&gt;=AI$2,VLOOKUP($E31-AI$2,'data input'!$D$3:$E$130,2,FALSE),0)</f>
        <v>0</v>
      </c>
      <c r="AJ31" s="5">
        <f>IF($E31&gt;=AJ$2,VLOOKUP($E31-AJ$2,'data input'!$D$3:$E$130,2,FALSE),0)</f>
        <v>0</v>
      </c>
      <c r="AK31" s="5">
        <f>IF($E31&gt;=AK$2,VLOOKUP($E31-AK$2,'data input'!$D$3:$E$130,2,FALSE),0)</f>
        <v>0</v>
      </c>
      <c r="AL31" s="5">
        <f>IF($E31&gt;=AL$2,VLOOKUP($E31-AL$2,'data input'!$D$3:$E$130,2,FALSE),0)</f>
        <v>0</v>
      </c>
      <c r="AM31" s="5">
        <f>IF($E31&gt;=AM$2,VLOOKUP($E31-AM$2,'data input'!$D$3:$E$130,2,FALSE),0)</f>
        <v>0</v>
      </c>
      <c r="AN31" s="5">
        <f>IF($E31&gt;=AN$2,VLOOKUP($E31-AN$2,'data input'!$D$3:$E$130,2,FALSE),0)</f>
        <v>0</v>
      </c>
      <c r="AO31" s="5">
        <f>IF($E31&gt;=AO$2,VLOOKUP($E31-AO$2,'data input'!$D$3:$E$130,2,FALSE),0)</f>
        <v>0</v>
      </c>
      <c r="AP31" s="5">
        <f>IF($E31&gt;=AP$2,VLOOKUP($E31-AP$2,'data input'!$D$3:$E$130,2,FALSE),0)</f>
        <v>0</v>
      </c>
      <c r="AQ31" s="5">
        <f>IF($E31&gt;=AQ$2,VLOOKUP($E31-AQ$2,'data input'!$D$3:$E$130,2,FALSE),0)</f>
        <v>0</v>
      </c>
      <c r="AR31" s="5">
        <f>IF($E31&gt;=AR$2,VLOOKUP($E31-AR$2,'data input'!$D$3:$E$130,2,FALSE),0)</f>
        <v>0</v>
      </c>
      <c r="AS31" s="5">
        <f>IF($E31&gt;=AS$2,VLOOKUP($E31-AS$2,'data input'!$D$3:$E$130,2,FALSE),0)</f>
        <v>0</v>
      </c>
      <c r="AT31" s="5">
        <f>IF($E31&gt;=AT$2,VLOOKUP($E31-AT$2,'data input'!$D$3:$E$130,2,FALSE),0)</f>
        <v>0</v>
      </c>
      <c r="AU31" s="5">
        <f>IF($E31&gt;=AU$2,VLOOKUP($E31-AU$2,'data input'!$D$3:$E$130,2,FALSE),0)</f>
        <v>0</v>
      </c>
      <c r="AV31" s="5">
        <f>IF($E31&gt;=AV$2,VLOOKUP($E31-AV$2,'data input'!$D$3:$E$130,2,FALSE),0)</f>
        <v>0</v>
      </c>
      <c r="AW31" s="5">
        <f>IF($E31&gt;=AW$2,VLOOKUP($E31-AW$2,'data input'!$D$3:$E$130,2,FALSE),0)</f>
        <v>0</v>
      </c>
      <c r="AX31" s="5">
        <f>IF($E31&gt;=AX$2,VLOOKUP($E31-AX$2,'data input'!$D$3:$E$130,2,FALSE),0)</f>
        <v>0</v>
      </c>
      <c r="AY31" s="5">
        <f>IF($E31&gt;=AY$2,VLOOKUP($E31-AY$2,'data input'!$D$3:$E$130,2,FALSE),0)</f>
        <v>0</v>
      </c>
      <c r="AZ31" s="5">
        <f>IF($E31&gt;=AZ$2,VLOOKUP($E31-AZ$2,'data input'!$D$3:$E$130,2,FALSE),0)</f>
        <v>0</v>
      </c>
      <c r="BA31" s="5">
        <f>IF($E31&gt;=BA$2,VLOOKUP($E31-BA$2,'data input'!$D$3:$E$130,2,FALSE),0)</f>
        <v>0</v>
      </c>
      <c r="BB31" s="5">
        <f>IF($E31&gt;=BB$2,VLOOKUP($E31-BB$2,'data input'!$D$3:$E$130,2,FALSE),0)</f>
        <v>0</v>
      </c>
      <c r="BC31" s="5">
        <f>IF($E31&gt;=BC$2,VLOOKUP($E31-BC$2,'data input'!$D$3:$E$130,2,FALSE),0)</f>
        <v>0</v>
      </c>
      <c r="BD31" s="5">
        <f>IF($E31&gt;=BD$2,VLOOKUP($E31-BD$2,'data input'!$D$3:$E$130,2,FALSE),0)</f>
        <v>0</v>
      </c>
      <c r="BE31" s="5">
        <f>IF($E31&gt;=BE$2,VLOOKUP($E31-BE$2,'data input'!$D$3:$E$130,2,FALSE),0)</f>
        <v>0</v>
      </c>
      <c r="BF31" s="5">
        <f>IF($E31&gt;=BF$2,VLOOKUP($E31-BF$2,'data input'!$D$3:$E$130,2,FALSE),0)</f>
        <v>0</v>
      </c>
      <c r="BG31" s="5">
        <f>IF($E31&gt;=BG$2,VLOOKUP($E31-BG$2,'data input'!$D$3:$E$130,2,FALSE),0)</f>
        <v>0</v>
      </c>
      <c r="BH31" s="5">
        <f>IF($E31&gt;=BH$2,VLOOKUP($E31-BH$2,'data input'!$D$3:$E$130,2,FALSE),0)</f>
        <v>0</v>
      </c>
      <c r="BI31" s="5">
        <f>IF($E31&gt;=BI$2,VLOOKUP($E31-BI$2,'data input'!$D$3:$E$130,2,FALSE),0)</f>
        <v>0</v>
      </c>
      <c r="BJ31" s="5">
        <f>IF($E31&gt;=BJ$2,VLOOKUP($E31-BJ$2,'data input'!$D$3:$E$130,2,FALSE),0)</f>
        <v>0</v>
      </c>
      <c r="BK31" s="5">
        <f>IF($E31&gt;=BK$2,VLOOKUP($E31-BK$2,'data input'!$D$3:$E$130,2,FALSE),0)</f>
        <v>0</v>
      </c>
      <c r="BL31" s="5">
        <f>IF($E31&gt;=BL$2,VLOOKUP($E31-BL$2,'data input'!$D$3:$E$130,2,FALSE),0)</f>
        <v>0</v>
      </c>
      <c r="BM31" s="5">
        <f>IF($E31&gt;=BM$2,VLOOKUP($E31-BM$2,'data input'!$D$3:$E$130,2,FALSE),0)</f>
        <v>0</v>
      </c>
      <c r="BN31" s="5">
        <f>IF($E31&gt;=BN$2,VLOOKUP($E31-BN$2,'data input'!$D$3:$E$130,2,FALSE),0)</f>
        <v>0</v>
      </c>
      <c r="BO31" s="5">
        <f>IF($E31&gt;=BO$2,VLOOKUP($E31-BO$2,'data input'!$D$3:$E$130,2,FALSE),0)</f>
        <v>0</v>
      </c>
      <c r="BP31" s="5">
        <f>IF($E31&gt;=BP$2,VLOOKUP($E31-BP$2,'data input'!$D$3:$E$130,2,FALSE),0)</f>
        <v>0</v>
      </c>
      <c r="BQ31" s="5">
        <f>IF($E31&gt;=BQ$2,VLOOKUP($E31-BQ$2,'data input'!$D$3:$E$130,2,FALSE),0)</f>
        <v>0</v>
      </c>
      <c r="BR31" s="5">
        <f>IF($E31&gt;=BR$2,VLOOKUP($E31-BR$2,'data input'!$D$3:$E$130,2,FALSE),0)</f>
        <v>0</v>
      </c>
      <c r="BS31" s="5">
        <f>IF($E31&gt;=BS$2,VLOOKUP($E31-BS$2,'data input'!$D$3:$E$130,2,FALSE),0)</f>
        <v>0</v>
      </c>
      <c r="BT31" s="5">
        <f>IF($E31&gt;=BT$2,VLOOKUP($E31-BT$2,'data input'!$D$3:$E$130,2,FALSE),0)</f>
        <v>0</v>
      </c>
      <c r="BU31" s="5">
        <f>IF($E31&gt;=BU$2,VLOOKUP($E31-BU$2,'data input'!$D$3:$E$130,2,FALSE),0)</f>
        <v>0</v>
      </c>
      <c r="BV31" s="5">
        <f>IF($E31&gt;=BV$2,VLOOKUP($E31-BV$2,'data input'!$D$3:$E$130,2,FALSE),0)</f>
        <v>0</v>
      </c>
      <c r="BW31" s="5">
        <f>IF($E31&gt;=BW$2,VLOOKUP($E31-BW$2,'data input'!$D$3:$E$130,2,FALSE),0)</f>
        <v>0</v>
      </c>
      <c r="BX31" s="5">
        <f>IF($E31&gt;=BX$2,VLOOKUP($E31-BX$2,'data input'!$D$3:$E$130,2,FALSE),0)</f>
        <v>0</v>
      </c>
      <c r="BY31" s="5">
        <f>IF($E31&gt;=BY$2,VLOOKUP($E31-BY$2,'data input'!$D$3:$E$130,2,FALSE),0)</f>
        <v>0</v>
      </c>
      <c r="BZ31" s="5">
        <f>IF($E31&gt;=BZ$2,VLOOKUP($E31-BZ$2,'data input'!$D$3:$E$130,2,FALSE),0)</f>
        <v>0</v>
      </c>
      <c r="CA31" s="5">
        <f>IF($E31&gt;=CA$2,VLOOKUP($E31-CA$2,'data input'!$D$3:$E$130,2,FALSE),0)</f>
        <v>0</v>
      </c>
      <c r="CB31" s="5">
        <f>IF($E31&gt;=CB$2,VLOOKUP($E31-CB$2,'data input'!$D$3:$E$130,2,FALSE),0)</f>
        <v>0</v>
      </c>
      <c r="CC31" s="5">
        <f>IF($E31&gt;=CC$2,VLOOKUP($E31-CC$2,'data input'!$D$3:$E$130,2,FALSE),0)</f>
        <v>0</v>
      </c>
      <c r="CD31" s="5">
        <f>IF($E31&gt;=CD$2,VLOOKUP($E31-CD$2,'data input'!$D$3:$E$130,2,FALSE),0)</f>
        <v>0</v>
      </c>
      <c r="CE31" s="5">
        <f>IF($E31&gt;=CE$2,VLOOKUP($E31-CE$2,'data input'!$D$3:$E$130,2,FALSE),0)</f>
        <v>0</v>
      </c>
      <c r="CF31" s="5">
        <f>IF($E31&gt;=CF$2,VLOOKUP($E31-CF$2,'data input'!$D$3:$E$130,2,FALSE),0)</f>
        <v>0</v>
      </c>
      <c r="CG31" s="5">
        <f>IF($E31&gt;=CG$2,VLOOKUP($E31-CG$2,'data input'!$D$3:$E$130,2,FALSE),0)</f>
        <v>0</v>
      </c>
      <c r="CH31" s="5">
        <f>IF($E31&gt;=CH$2,VLOOKUP($E31-CH$2,'data input'!$D$3:$E$130,2,FALSE),0)</f>
        <v>0</v>
      </c>
      <c r="CI31" s="5">
        <f>IF($E31&gt;=CI$2,VLOOKUP($E31-CI$2,'data input'!$D$3:$E$130,2,FALSE),0)</f>
        <v>0</v>
      </c>
      <c r="CJ31" s="5">
        <f>IF($E31&gt;=CJ$2,VLOOKUP($E31-CJ$2,'data input'!$D$3:$E$130,2,FALSE),0)</f>
        <v>0</v>
      </c>
      <c r="CK31" s="5">
        <f>IF($E31&gt;=CK$2,VLOOKUP($E31-CK$2,'data input'!$D$3:$E$130,2,FALSE),0)</f>
        <v>0</v>
      </c>
      <c r="CL31" s="5">
        <f>IF($E31&gt;=CL$2,VLOOKUP($E31-CL$2,'data input'!$D$3:$E$130,2,FALSE),0)</f>
        <v>0</v>
      </c>
      <c r="CM31" s="5">
        <f>IF($E31&gt;=CM$2,VLOOKUP($E31-CM$2,'data input'!$D$3:$E$130,2,FALSE),0)</f>
        <v>0</v>
      </c>
      <c r="CN31" s="5">
        <f>IF($E31&gt;=CN$2,VLOOKUP($E31-CN$2,'data input'!$D$3:$E$130,2,FALSE),0)</f>
        <v>0</v>
      </c>
      <c r="CO31" s="5">
        <f>IF($E31&gt;=CO$2,VLOOKUP($E31-CO$2,'data input'!$D$3:$E$130,2,FALSE),0)</f>
        <v>0</v>
      </c>
      <c r="CP31" s="5">
        <f>IF($E31&gt;=CP$2,VLOOKUP($E31-CP$2,'data input'!$D$3:$E$130,2,FALSE),0)</f>
        <v>0</v>
      </c>
      <c r="CQ31" s="5">
        <f>IF($E31&gt;=CQ$2,VLOOKUP($E31-CQ$2,'data input'!$D$3:$E$130,2,FALSE),0)</f>
        <v>0</v>
      </c>
      <c r="CR31" s="5">
        <f>IF($E31&gt;=CR$2,VLOOKUP($E31-CR$2,'data input'!$D$3:$E$130,2,FALSE),0)</f>
        <v>0</v>
      </c>
      <c r="CS31" s="5">
        <f>IF($E31&gt;=CS$2,VLOOKUP($E31-CS$2,'data input'!$D$3:$E$130,2,FALSE),0)</f>
        <v>0</v>
      </c>
      <c r="CT31" s="5">
        <f>IF($E31&gt;=CT$2,VLOOKUP($E31-CT$2,'data input'!$D$3:$E$130,2,FALSE),0)</f>
        <v>0</v>
      </c>
      <c r="CU31" s="5">
        <f>IF($E31&gt;=CU$2,VLOOKUP($E31-CU$2,'data input'!$D$3:$E$130,2,FALSE),0)</f>
        <v>0</v>
      </c>
      <c r="CV31" s="5">
        <f>IF($E31&gt;=CV$2,VLOOKUP($E31-CV$2,'data input'!$D$3:$E$130,2,FALSE),0)</f>
        <v>0</v>
      </c>
      <c r="CW31" s="5">
        <f>IF($E31&gt;=CW$2,VLOOKUP($E31-CW$2,'data input'!$D$3:$E$130,2,FALSE),0)</f>
        <v>0</v>
      </c>
      <c r="CX31" s="5">
        <f>IF($E31&gt;=CX$2,VLOOKUP($E31-CX$2,'data input'!$D$3:$E$130,2,FALSE),0)</f>
        <v>0</v>
      </c>
      <c r="CY31" s="5">
        <f>IF($E31&gt;=CY$2,VLOOKUP($E31-CY$2,'data input'!$D$3:$E$130,2,FALSE),0)</f>
        <v>0</v>
      </c>
      <c r="CZ31" s="5">
        <f>IF($E31&gt;=CZ$2,VLOOKUP($E31-CZ$2,'data input'!$D$3:$E$130,2,FALSE),0)</f>
        <v>0</v>
      </c>
      <c r="DA31" s="5">
        <f>IF($E31&gt;=DA$2,VLOOKUP($E31-DA$2,'data input'!$D$3:$E$130,2,FALSE),0)</f>
        <v>0</v>
      </c>
      <c r="DB31" s="5">
        <f>IF($E31&gt;=DB$2,VLOOKUP($E31-DB$2,'data input'!$D$3:$E$130,2,FALSE),0)</f>
        <v>0</v>
      </c>
      <c r="DC31" s="5">
        <f>IF($E31&gt;=DC$2,VLOOKUP($E31-DC$2,'data input'!$D$3:$E$130,2,FALSE),0)</f>
        <v>0</v>
      </c>
      <c r="DD31" s="5">
        <f>IF($E31&gt;=DD$2,VLOOKUP($E31-DD$2,'data input'!$D$3:$E$130,2,FALSE),0)</f>
        <v>0</v>
      </c>
      <c r="DE31" s="5">
        <f>IF($E31&gt;=DE$2,VLOOKUP($E31-DE$2,'data input'!$D$3:$E$130,2,FALSE),0)</f>
        <v>0</v>
      </c>
      <c r="DF31" s="5">
        <f>IF($E31&gt;=DF$2,VLOOKUP($E31-DF$2,'data input'!$D$3:$E$130,2,FALSE),0)</f>
        <v>0</v>
      </c>
      <c r="DG31" s="5">
        <f>IF($E31&gt;=DG$2,VLOOKUP($E31-DG$2,'data input'!$D$3:$E$130,2,FALSE),0)</f>
        <v>0</v>
      </c>
      <c r="DH31" s="5">
        <f>IF($E31&gt;=DH$2,VLOOKUP($E31-DH$2,'data input'!$D$3:$E$130,2,FALSE),0)</f>
        <v>0</v>
      </c>
      <c r="DI31" s="5">
        <f>IF($E31&gt;=DI$2,VLOOKUP($E31-DI$2,'data input'!$D$3:$E$130,2,FALSE),0)</f>
        <v>0</v>
      </c>
      <c r="DJ31" s="5">
        <f>IF($E31&gt;=DJ$2,VLOOKUP($E31-DJ$2,'data input'!$D$3:$E$130,2,FALSE),0)</f>
        <v>0</v>
      </c>
      <c r="DK31" s="5">
        <f>IF($E31&gt;=DK$2,VLOOKUP($E31-DK$2,'data input'!$D$3:$E$130,2,FALSE),0)</f>
        <v>0</v>
      </c>
      <c r="DL31" s="5">
        <f>IF($E31&gt;=DL$2,VLOOKUP($E31-DL$2,'data input'!$D$3:$E$130,2,FALSE),0)</f>
        <v>0</v>
      </c>
      <c r="DM31" s="5">
        <f>IF($E31&gt;=DM$2,VLOOKUP($E31-DM$2,'data input'!$D$3:$E$130,2,FALSE),0)</f>
        <v>0</v>
      </c>
      <c r="DN31" s="5">
        <f>IF($E31&gt;=DN$2,VLOOKUP($E31-DN$2,'data input'!$D$3:$E$130,2,FALSE),0)</f>
        <v>0</v>
      </c>
      <c r="DO31" s="5">
        <f>IF($E31&gt;=DO$2,VLOOKUP($E31-DO$2,'data input'!$D$3:$E$130,2,FALSE),0)</f>
        <v>0</v>
      </c>
      <c r="DP31" s="5">
        <f>IF($E31&gt;=DP$2,VLOOKUP($E31-DP$2,'data input'!$D$3:$E$130,2,FALSE),0)</f>
        <v>0</v>
      </c>
      <c r="DQ31" s="5">
        <f>IF($E31&gt;=DQ$2,VLOOKUP($E31-DQ$2,'data input'!$D$3:$E$130,2,FALSE),0)</f>
        <v>0</v>
      </c>
      <c r="DR31" s="5">
        <f>IF($E31&gt;=DR$2,VLOOKUP($E31-DR$2,'data input'!$D$3:$E$130,2,FALSE),0)</f>
        <v>0</v>
      </c>
      <c r="DS31" s="5">
        <f>IF($E31&gt;=DS$2,VLOOKUP($E31-DS$2,'data input'!$D$3:$E$130,2,FALSE),0)</f>
        <v>0</v>
      </c>
      <c r="DT31" s="5">
        <f>IF($E31&gt;=DT$2,VLOOKUP($E31-DT$2,'data input'!$D$3:$E$130,2,FALSE),0)</f>
        <v>0</v>
      </c>
      <c r="DU31" s="5">
        <f>IF($E31&gt;=DU$2,VLOOKUP($E31-DU$2,'data input'!$D$3:$E$130,2,FALSE),0)</f>
        <v>0</v>
      </c>
      <c r="DV31" s="5">
        <f>IF($E31&gt;=DV$2,VLOOKUP($E31-DV$2,'data input'!$D$3:$E$130,2,FALSE),0)</f>
        <v>0</v>
      </c>
      <c r="DW31" s="5">
        <f>IF($E31&gt;=DW$2,VLOOKUP($E31-DW$2,'data input'!$D$3:$E$130,2,FALSE),0)</f>
        <v>0</v>
      </c>
      <c r="DX31" s="5">
        <f>IF($E31&gt;=DX$2,VLOOKUP($E31-DX$2,'data input'!$D$3:$E$130,2,FALSE),0)</f>
        <v>0</v>
      </c>
      <c r="DY31" s="5">
        <f>IF($E31&gt;=DY$2,VLOOKUP($E31-DY$2,'data input'!$D$3:$E$130,2,FALSE),0)</f>
        <v>0</v>
      </c>
      <c r="DZ31" s="5">
        <f>IF($E31&gt;=DZ$2,VLOOKUP($E31-DZ$2,'data input'!$D$3:$E$130,2,FALSE),0)</f>
        <v>0</v>
      </c>
      <c r="EA31" s="5">
        <f>IF($E31&gt;=EA$2,VLOOKUP($E31-EA$2,'data input'!$D$3:$E$130,2,FALSE),0)</f>
        <v>0</v>
      </c>
      <c r="EB31" s="5">
        <f>IF($E31&gt;=EB$2,VLOOKUP($E31-EB$2,'data input'!$D$3:$E$130,2,FALSE),0)</f>
        <v>0</v>
      </c>
      <c r="EC31" s="5">
        <f>IF($E31&gt;=EC$2,VLOOKUP($E31-EC$2,'data input'!$D$3:$E$130,2,FALSE),0)</f>
        <v>0</v>
      </c>
    </row>
    <row r="32" spans="5:133">
      <c r="E32" s="7">
        <f>'data input'!B32</f>
        <v>1907</v>
      </c>
      <c r="F32" s="5">
        <f>IF($E32&gt;=F$2,VLOOKUP($E32-F$2,'data input'!$D$3:$E$130,2,FALSE),0)</f>
        <v>0.79531420465274738</v>
      </c>
      <c r="G32" s="5">
        <f>IF($E32&gt;=G$2,VLOOKUP($E32-G$2,'data input'!$D$3:$E$130,2,FALSE),0)</f>
        <v>0.81593987465324047</v>
      </c>
      <c r="H32" s="5">
        <f>IF($E32&gt;=H$2,VLOOKUP($E32-H$2,'data input'!$D$3:$E$130,2,FALSE),0)</f>
        <v>0.83521987001968967</v>
      </c>
      <c r="I32" s="5">
        <f>IF($E32&gt;=I$2,VLOOKUP($E32-I$2,'data input'!$D$3:$E$130,2,FALSE),0)</f>
        <v>0.85314094362410409</v>
      </c>
      <c r="J32" s="5">
        <f>IF($E32&gt;=J$2,VLOOKUP($E32-J$2,'data input'!$D$3:$E$130,2,FALSE),0)</f>
        <v>0.86970548286319116</v>
      </c>
      <c r="K32" s="5">
        <f>IF($E32&gt;=K$2,VLOOKUP($E32-K$2,'data input'!$D$3:$E$130,2,FALSE),0)</f>
        <v>0.88493032977829178</v>
      </c>
      <c r="L32" s="5">
        <f>IF($E32&gt;=L$2,VLOOKUP($E32-L$2,'data input'!$D$3:$E$130,2,FALSE),0)</f>
        <v>0.89884537900441408</v>
      </c>
      <c r="M32" s="5">
        <f>IF($E32&gt;=M$2,VLOOKUP($E32-M$2,'data input'!$D$3:$E$130,2,FALSE),0)</f>
        <v>0.91149200856259793</v>
      </c>
      <c r="N32" s="5">
        <f>IF($E32&gt;=N$2,VLOOKUP($E32-N$2,'data input'!$D$3:$E$130,2,FALSE),0)</f>
        <v>0.92292139944792817</v>
      </c>
      <c r="O32" s="5">
        <f>IF($E32&gt;=O$2,VLOOKUP($E32-O$2,'data input'!$D$3:$E$130,2,FALSE),0)</f>
        <v>0.93319279873114191</v>
      </c>
      <c r="P32" s="5">
        <f>IF($E32&gt;=P$2,VLOOKUP($E32-P$2,'data input'!$D$3:$E$130,2,FALSE),0)</f>
        <v>0.94237177772384684</v>
      </c>
      <c r="Q32" s="5">
        <f>IF($E32&gt;=Q$2,VLOOKUP($E32-Q$2,'data input'!$D$3:$E$130,2,FALSE),0)</f>
        <v>0.9505285319663519</v>
      </c>
      <c r="R32" s="5">
        <f>IF($E32&gt;=R$2,VLOOKUP($E32-R$2,'data input'!$D$3:$E$130,2,FALSE),0)</f>
        <v>0.95773626374204757</v>
      </c>
      <c r="S32" s="5">
        <f>IF($E32&gt;=S$2,VLOOKUP($E32-S$2,'data input'!$D$3:$E$130,2,FALSE),0)</f>
        <v>0.96406968088707423</v>
      </c>
      <c r="T32" s="5">
        <f>IF($E32&gt;=T$2,VLOOKUP($E32-T$2,'data input'!$D$3:$E$130,2,FALSE),0)</f>
        <v>0.96960363823473861</v>
      </c>
      <c r="U32" s="5">
        <f>IF($E32&gt;=U$2,VLOOKUP($E32-U$2,'data input'!$D$3:$E$130,2,FALSE),0)</f>
        <v>0.97441194047836144</v>
      </c>
      <c r="V32" s="5">
        <f>IF($E32&gt;=V$2,VLOOKUP($E32-V$2,'data input'!$D$3:$E$130,2,FALSE),0)</f>
        <v>0.97856631788584703</v>
      </c>
      <c r="W32" s="5">
        <f>IF($E32&gt;=W$2,VLOOKUP($E32-W$2,'data input'!$D$3:$E$130,2,FALSE),0)</f>
        <v>0.98213557943718344</v>
      </c>
      <c r="X32" s="5">
        <f>IF($E32&gt;=X$2,VLOOKUP($E32-X$2,'data input'!$D$3:$E$130,2,FALSE),0)</f>
        <v>0.98518494180739014</v>
      </c>
      <c r="Y32" s="5">
        <f>IF($E32&gt;=Y$2,VLOOKUP($E32-Y$2,'data input'!$D$3:$E$130,2,FALSE),0)</f>
        <v>0.98777552734495533</v>
      </c>
      <c r="Z32" s="5">
        <f>IF($E32&gt;=Z$2,VLOOKUP($E32-Z$2,'data input'!$D$3:$E$130,2,FALSE),0)</f>
        <v>0.98996401989972593</v>
      </c>
      <c r="AA32" s="5">
        <f>IF($E32&gt;=AA$2,VLOOKUP($E32-AA$2,'data input'!$D$3:$E$130,2,FALSE),0)</f>
        <v>0.99180246407540384</v>
      </c>
      <c r="AB32" s="5">
        <f>IF($E32&gt;=AB$2,VLOOKUP($E32-AB$2,'data input'!$D$3:$E$130,2,FALSE),0)</f>
        <v>0.99333819120801725</v>
      </c>
      <c r="AC32" s="5">
        <f>IF($E32&gt;=AC$2,VLOOKUP($E32-AC$2,'data input'!$D$3:$E$130,2,FALSE),0)</f>
        <v>0.99461385404593328</v>
      </c>
      <c r="AD32" s="5">
        <f>IF($E32&gt;=AD$2,VLOOKUP($E32-AD$2,'data input'!$D$3:$E$130,2,FALSE),0)</f>
        <v>0.99566755163698739</v>
      </c>
      <c r="AE32" s="5">
        <f>IF($E32&gt;=AE$2,VLOOKUP($E32-AE$2,'data input'!$D$3:$E$130,2,FALSE),0)</f>
        <v>0.99653302619695938</v>
      </c>
      <c r="AF32" s="5">
        <f>IF($E32&gt;=AF$2,VLOOKUP($E32-AF$2,'data input'!$D$3:$E$130,2,FALSE),0)</f>
        <v>0.99723991460873751</v>
      </c>
      <c r="AG32" s="5">
        <f>IF($E32&gt;=AG$2,VLOOKUP($E32-AG$2,'data input'!$D$3:$E$130,2,FALSE),0)</f>
        <v>0.99781403854508677</v>
      </c>
      <c r="AH32" s="5">
        <f>IF($E32&gt;=AH$2,VLOOKUP($E32-AH$2,'data input'!$D$3:$E$130,2,FALSE),0)</f>
        <v>0.99827771888413241</v>
      </c>
      <c r="AI32" s="5">
        <f>IF($E32&gt;=AI$2,VLOOKUP($E32-AI$2,'data input'!$D$3:$E$130,2,FALSE),0)</f>
        <v>0.9986501019683699</v>
      </c>
      <c r="AJ32" s="5">
        <f>IF($E32&gt;=AJ$2,VLOOKUP($E32-AJ$2,'data input'!$D$3:$E$130,2,FALSE),0)</f>
        <v>0</v>
      </c>
      <c r="AK32" s="5">
        <f>IF($E32&gt;=AK$2,VLOOKUP($E32-AK$2,'data input'!$D$3:$E$130,2,FALSE),0)</f>
        <v>0</v>
      </c>
      <c r="AL32" s="5">
        <f>IF($E32&gt;=AL$2,VLOOKUP($E32-AL$2,'data input'!$D$3:$E$130,2,FALSE),0)</f>
        <v>0</v>
      </c>
      <c r="AM32" s="5">
        <f>IF($E32&gt;=AM$2,VLOOKUP($E32-AM$2,'data input'!$D$3:$E$130,2,FALSE),0)</f>
        <v>0</v>
      </c>
      <c r="AN32" s="5">
        <f>IF($E32&gt;=AN$2,VLOOKUP($E32-AN$2,'data input'!$D$3:$E$130,2,FALSE),0)</f>
        <v>0</v>
      </c>
      <c r="AO32" s="5">
        <f>IF($E32&gt;=AO$2,VLOOKUP($E32-AO$2,'data input'!$D$3:$E$130,2,FALSE),0)</f>
        <v>0</v>
      </c>
      <c r="AP32" s="5">
        <f>IF($E32&gt;=AP$2,VLOOKUP($E32-AP$2,'data input'!$D$3:$E$130,2,FALSE),0)</f>
        <v>0</v>
      </c>
      <c r="AQ32" s="5">
        <f>IF($E32&gt;=AQ$2,VLOOKUP($E32-AQ$2,'data input'!$D$3:$E$130,2,FALSE),0)</f>
        <v>0</v>
      </c>
      <c r="AR32" s="5">
        <f>IF($E32&gt;=AR$2,VLOOKUP($E32-AR$2,'data input'!$D$3:$E$130,2,FALSE),0)</f>
        <v>0</v>
      </c>
      <c r="AS32" s="5">
        <f>IF($E32&gt;=AS$2,VLOOKUP($E32-AS$2,'data input'!$D$3:$E$130,2,FALSE),0)</f>
        <v>0</v>
      </c>
      <c r="AT32" s="5">
        <f>IF($E32&gt;=AT$2,VLOOKUP($E32-AT$2,'data input'!$D$3:$E$130,2,FALSE),0)</f>
        <v>0</v>
      </c>
      <c r="AU32" s="5">
        <f>IF($E32&gt;=AU$2,VLOOKUP($E32-AU$2,'data input'!$D$3:$E$130,2,FALSE),0)</f>
        <v>0</v>
      </c>
      <c r="AV32" s="5">
        <f>IF($E32&gt;=AV$2,VLOOKUP($E32-AV$2,'data input'!$D$3:$E$130,2,FALSE),0)</f>
        <v>0</v>
      </c>
      <c r="AW32" s="5">
        <f>IF($E32&gt;=AW$2,VLOOKUP($E32-AW$2,'data input'!$D$3:$E$130,2,FALSE),0)</f>
        <v>0</v>
      </c>
      <c r="AX32" s="5">
        <f>IF($E32&gt;=AX$2,VLOOKUP($E32-AX$2,'data input'!$D$3:$E$130,2,FALSE),0)</f>
        <v>0</v>
      </c>
      <c r="AY32" s="5">
        <f>IF($E32&gt;=AY$2,VLOOKUP($E32-AY$2,'data input'!$D$3:$E$130,2,FALSE),0)</f>
        <v>0</v>
      </c>
      <c r="AZ32" s="5">
        <f>IF($E32&gt;=AZ$2,VLOOKUP($E32-AZ$2,'data input'!$D$3:$E$130,2,FALSE),0)</f>
        <v>0</v>
      </c>
      <c r="BA32" s="5">
        <f>IF($E32&gt;=BA$2,VLOOKUP($E32-BA$2,'data input'!$D$3:$E$130,2,FALSE),0)</f>
        <v>0</v>
      </c>
      <c r="BB32" s="5">
        <f>IF($E32&gt;=BB$2,VLOOKUP($E32-BB$2,'data input'!$D$3:$E$130,2,FALSE),0)</f>
        <v>0</v>
      </c>
      <c r="BC32" s="5">
        <f>IF($E32&gt;=BC$2,VLOOKUP($E32-BC$2,'data input'!$D$3:$E$130,2,FALSE),0)</f>
        <v>0</v>
      </c>
      <c r="BD32" s="5">
        <f>IF($E32&gt;=BD$2,VLOOKUP($E32-BD$2,'data input'!$D$3:$E$130,2,FALSE),0)</f>
        <v>0</v>
      </c>
      <c r="BE32" s="5">
        <f>IF($E32&gt;=BE$2,VLOOKUP($E32-BE$2,'data input'!$D$3:$E$130,2,FALSE),0)</f>
        <v>0</v>
      </c>
      <c r="BF32" s="5">
        <f>IF($E32&gt;=BF$2,VLOOKUP($E32-BF$2,'data input'!$D$3:$E$130,2,FALSE),0)</f>
        <v>0</v>
      </c>
      <c r="BG32" s="5">
        <f>IF($E32&gt;=BG$2,VLOOKUP($E32-BG$2,'data input'!$D$3:$E$130,2,FALSE),0)</f>
        <v>0</v>
      </c>
      <c r="BH32" s="5">
        <f>IF($E32&gt;=BH$2,VLOOKUP($E32-BH$2,'data input'!$D$3:$E$130,2,FALSE),0)</f>
        <v>0</v>
      </c>
      <c r="BI32" s="5">
        <f>IF($E32&gt;=BI$2,VLOOKUP($E32-BI$2,'data input'!$D$3:$E$130,2,FALSE),0)</f>
        <v>0</v>
      </c>
      <c r="BJ32" s="5">
        <f>IF($E32&gt;=BJ$2,VLOOKUP($E32-BJ$2,'data input'!$D$3:$E$130,2,FALSE),0)</f>
        <v>0</v>
      </c>
      <c r="BK32" s="5">
        <f>IF($E32&gt;=BK$2,VLOOKUP($E32-BK$2,'data input'!$D$3:$E$130,2,FALSE),0)</f>
        <v>0</v>
      </c>
      <c r="BL32" s="5">
        <f>IF($E32&gt;=BL$2,VLOOKUP($E32-BL$2,'data input'!$D$3:$E$130,2,FALSE),0)</f>
        <v>0</v>
      </c>
      <c r="BM32" s="5">
        <f>IF($E32&gt;=BM$2,VLOOKUP($E32-BM$2,'data input'!$D$3:$E$130,2,FALSE),0)</f>
        <v>0</v>
      </c>
      <c r="BN32" s="5">
        <f>IF($E32&gt;=BN$2,VLOOKUP($E32-BN$2,'data input'!$D$3:$E$130,2,FALSE),0)</f>
        <v>0</v>
      </c>
      <c r="BO32" s="5">
        <f>IF($E32&gt;=BO$2,VLOOKUP($E32-BO$2,'data input'!$D$3:$E$130,2,FALSE),0)</f>
        <v>0</v>
      </c>
      <c r="BP32" s="5">
        <f>IF($E32&gt;=BP$2,VLOOKUP($E32-BP$2,'data input'!$D$3:$E$130,2,FALSE),0)</f>
        <v>0</v>
      </c>
      <c r="BQ32" s="5">
        <f>IF($E32&gt;=BQ$2,VLOOKUP($E32-BQ$2,'data input'!$D$3:$E$130,2,FALSE),0)</f>
        <v>0</v>
      </c>
      <c r="BR32" s="5">
        <f>IF($E32&gt;=BR$2,VLOOKUP($E32-BR$2,'data input'!$D$3:$E$130,2,FALSE),0)</f>
        <v>0</v>
      </c>
      <c r="BS32" s="5">
        <f>IF($E32&gt;=BS$2,VLOOKUP($E32-BS$2,'data input'!$D$3:$E$130,2,FALSE),0)</f>
        <v>0</v>
      </c>
      <c r="BT32" s="5">
        <f>IF($E32&gt;=BT$2,VLOOKUP($E32-BT$2,'data input'!$D$3:$E$130,2,FALSE),0)</f>
        <v>0</v>
      </c>
      <c r="BU32" s="5">
        <f>IF($E32&gt;=BU$2,VLOOKUP($E32-BU$2,'data input'!$D$3:$E$130,2,FALSE),0)</f>
        <v>0</v>
      </c>
      <c r="BV32" s="5">
        <f>IF($E32&gt;=BV$2,VLOOKUP($E32-BV$2,'data input'!$D$3:$E$130,2,FALSE),0)</f>
        <v>0</v>
      </c>
      <c r="BW32" s="5">
        <f>IF($E32&gt;=BW$2,VLOOKUP($E32-BW$2,'data input'!$D$3:$E$130,2,FALSE),0)</f>
        <v>0</v>
      </c>
      <c r="BX32" s="5">
        <f>IF($E32&gt;=BX$2,VLOOKUP($E32-BX$2,'data input'!$D$3:$E$130,2,FALSE),0)</f>
        <v>0</v>
      </c>
      <c r="BY32" s="5">
        <f>IF($E32&gt;=BY$2,VLOOKUP($E32-BY$2,'data input'!$D$3:$E$130,2,FALSE),0)</f>
        <v>0</v>
      </c>
      <c r="BZ32" s="5">
        <f>IF($E32&gt;=BZ$2,VLOOKUP($E32-BZ$2,'data input'!$D$3:$E$130,2,FALSE),0)</f>
        <v>0</v>
      </c>
      <c r="CA32" s="5">
        <f>IF($E32&gt;=CA$2,VLOOKUP($E32-CA$2,'data input'!$D$3:$E$130,2,FALSE),0)</f>
        <v>0</v>
      </c>
      <c r="CB32" s="5">
        <f>IF($E32&gt;=CB$2,VLOOKUP($E32-CB$2,'data input'!$D$3:$E$130,2,FALSE),0)</f>
        <v>0</v>
      </c>
      <c r="CC32" s="5">
        <f>IF($E32&gt;=CC$2,VLOOKUP($E32-CC$2,'data input'!$D$3:$E$130,2,FALSE),0)</f>
        <v>0</v>
      </c>
      <c r="CD32" s="5">
        <f>IF($E32&gt;=CD$2,VLOOKUP($E32-CD$2,'data input'!$D$3:$E$130,2,FALSE),0)</f>
        <v>0</v>
      </c>
      <c r="CE32" s="5">
        <f>IF($E32&gt;=CE$2,VLOOKUP($E32-CE$2,'data input'!$D$3:$E$130,2,FALSE),0)</f>
        <v>0</v>
      </c>
      <c r="CF32" s="5">
        <f>IF($E32&gt;=CF$2,VLOOKUP($E32-CF$2,'data input'!$D$3:$E$130,2,FALSE),0)</f>
        <v>0</v>
      </c>
      <c r="CG32" s="5">
        <f>IF($E32&gt;=CG$2,VLOOKUP($E32-CG$2,'data input'!$D$3:$E$130,2,FALSE),0)</f>
        <v>0</v>
      </c>
      <c r="CH32" s="5">
        <f>IF($E32&gt;=CH$2,VLOOKUP($E32-CH$2,'data input'!$D$3:$E$130,2,FALSE),0)</f>
        <v>0</v>
      </c>
      <c r="CI32" s="5">
        <f>IF($E32&gt;=CI$2,VLOOKUP($E32-CI$2,'data input'!$D$3:$E$130,2,FALSE),0)</f>
        <v>0</v>
      </c>
      <c r="CJ32" s="5">
        <f>IF($E32&gt;=CJ$2,VLOOKUP($E32-CJ$2,'data input'!$D$3:$E$130,2,FALSE),0)</f>
        <v>0</v>
      </c>
      <c r="CK32" s="5">
        <f>IF($E32&gt;=CK$2,VLOOKUP($E32-CK$2,'data input'!$D$3:$E$130,2,FALSE),0)</f>
        <v>0</v>
      </c>
      <c r="CL32" s="5">
        <f>IF($E32&gt;=CL$2,VLOOKUP($E32-CL$2,'data input'!$D$3:$E$130,2,FALSE),0)</f>
        <v>0</v>
      </c>
      <c r="CM32" s="5">
        <f>IF($E32&gt;=CM$2,VLOOKUP($E32-CM$2,'data input'!$D$3:$E$130,2,FALSE),0)</f>
        <v>0</v>
      </c>
      <c r="CN32" s="5">
        <f>IF($E32&gt;=CN$2,VLOOKUP($E32-CN$2,'data input'!$D$3:$E$130,2,FALSE),0)</f>
        <v>0</v>
      </c>
      <c r="CO32" s="5">
        <f>IF($E32&gt;=CO$2,VLOOKUP($E32-CO$2,'data input'!$D$3:$E$130,2,FALSE),0)</f>
        <v>0</v>
      </c>
      <c r="CP32" s="5">
        <f>IF($E32&gt;=CP$2,VLOOKUP($E32-CP$2,'data input'!$D$3:$E$130,2,FALSE),0)</f>
        <v>0</v>
      </c>
      <c r="CQ32" s="5">
        <f>IF($E32&gt;=CQ$2,VLOOKUP($E32-CQ$2,'data input'!$D$3:$E$130,2,FALSE),0)</f>
        <v>0</v>
      </c>
      <c r="CR32" s="5">
        <f>IF($E32&gt;=CR$2,VLOOKUP($E32-CR$2,'data input'!$D$3:$E$130,2,FALSE),0)</f>
        <v>0</v>
      </c>
      <c r="CS32" s="5">
        <f>IF($E32&gt;=CS$2,VLOOKUP($E32-CS$2,'data input'!$D$3:$E$130,2,FALSE),0)</f>
        <v>0</v>
      </c>
      <c r="CT32" s="5">
        <f>IF($E32&gt;=CT$2,VLOOKUP($E32-CT$2,'data input'!$D$3:$E$130,2,FALSE),0)</f>
        <v>0</v>
      </c>
      <c r="CU32" s="5">
        <f>IF($E32&gt;=CU$2,VLOOKUP($E32-CU$2,'data input'!$D$3:$E$130,2,FALSE),0)</f>
        <v>0</v>
      </c>
      <c r="CV32" s="5">
        <f>IF($E32&gt;=CV$2,VLOOKUP($E32-CV$2,'data input'!$D$3:$E$130,2,FALSE),0)</f>
        <v>0</v>
      </c>
      <c r="CW32" s="5">
        <f>IF($E32&gt;=CW$2,VLOOKUP($E32-CW$2,'data input'!$D$3:$E$130,2,FALSE),0)</f>
        <v>0</v>
      </c>
      <c r="CX32" s="5">
        <f>IF($E32&gt;=CX$2,VLOOKUP($E32-CX$2,'data input'!$D$3:$E$130,2,FALSE),0)</f>
        <v>0</v>
      </c>
      <c r="CY32" s="5">
        <f>IF($E32&gt;=CY$2,VLOOKUP($E32-CY$2,'data input'!$D$3:$E$130,2,FALSE),0)</f>
        <v>0</v>
      </c>
      <c r="CZ32" s="5">
        <f>IF($E32&gt;=CZ$2,VLOOKUP($E32-CZ$2,'data input'!$D$3:$E$130,2,FALSE),0)</f>
        <v>0</v>
      </c>
      <c r="DA32" s="5">
        <f>IF($E32&gt;=DA$2,VLOOKUP($E32-DA$2,'data input'!$D$3:$E$130,2,FALSE),0)</f>
        <v>0</v>
      </c>
      <c r="DB32" s="5">
        <f>IF($E32&gt;=DB$2,VLOOKUP($E32-DB$2,'data input'!$D$3:$E$130,2,FALSE),0)</f>
        <v>0</v>
      </c>
      <c r="DC32" s="5">
        <f>IF($E32&gt;=DC$2,VLOOKUP($E32-DC$2,'data input'!$D$3:$E$130,2,FALSE),0)</f>
        <v>0</v>
      </c>
      <c r="DD32" s="5">
        <f>IF($E32&gt;=DD$2,VLOOKUP($E32-DD$2,'data input'!$D$3:$E$130,2,FALSE),0)</f>
        <v>0</v>
      </c>
      <c r="DE32" s="5">
        <f>IF($E32&gt;=DE$2,VLOOKUP($E32-DE$2,'data input'!$D$3:$E$130,2,FALSE),0)</f>
        <v>0</v>
      </c>
      <c r="DF32" s="5">
        <f>IF($E32&gt;=DF$2,VLOOKUP($E32-DF$2,'data input'!$D$3:$E$130,2,FALSE),0)</f>
        <v>0</v>
      </c>
      <c r="DG32" s="5">
        <f>IF($E32&gt;=DG$2,VLOOKUP($E32-DG$2,'data input'!$D$3:$E$130,2,FALSE),0)</f>
        <v>0</v>
      </c>
      <c r="DH32" s="5">
        <f>IF($E32&gt;=DH$2,VLOOKUP($E32-DH$2,'data input'!$D$3:$E$130,2,FALSE),0)</f>
        <v>0</v>
      </c>
      <c r="DI32" s="5">
        <f>IF($E32&gt;=DI$2,VLOOKUP($E32-DI$2,'data input'!$D$3:$E$130,2,FALSE),0)</f>
        <v>0</v>
      </c>
      <c r="DJ32" s="5">
        <f>IF($E32&gt;=DJ$2,VLOOKUP($E32-DJ$2,'data input'!$D$3:$E$130,2,FALSE),0)</f>
        <v>0</v>
      </c>
      <c r="DK32" s="5">
        <f>IF($E32&gt;=DK$2,VLOOKUP($E32-DK$2,'data input'!$D$3:$E$130,2,FALSE),0)</f>
        <v>0</v>
      </c>
      <c r="DL32" s="5">
        <f>IF($E32&gt;=DL$2,VLOOKUP($E32-DL$2,'data input'!$D$3:$E$130,2,FALSE),0)</f>
        <v>0</v>
      </c>
      <c r="DM32" s="5">
        <f>IF($E32&gt;=DM$2,VLOOKUP($E32-DM$2,'data input'!$D$3:$E$130,2,FALSE),0)</f>
        <v>0</v>
      </c>
      <c r="DN32" s="5">
        <f>IF($E32&gt;=DN$2,VLOOKUP($E32-DN$2,'data input'!$D$3:$E$130,2,FALSE),0)</f>
        <v>0</v>
      </c>
      <c r="DO32" s="5">
        <f>IF($E32&gt;=DO$2,VLOOKUP($E32-DO$2,'data input'!$D$3:$E$130,2,FALSE),0)</f>
        <v>0</v>
      </c>
      <c r="DP32" s="5">
        <f>IF($E32&gt;=DP$2,VLOOKUP($E32-DP$2,'data input'!$D$3:$E$130,2,FALSE),0)</f>
        <v>0</v>
      </c>
      <c r="DQ32" s="5">
        <f>IF($E32&gt;=DQ$2,VLOOKUP($E32-DQ$2,'data input'!$D$3:$E$130,2,FALSE),0)</f>
        <v>0</v>
      </c>
      <c r="DR32" s="5">
        <f>IF($E32&gt;=DR$2,VLOOKUP($E32-DR$2,'data input'!$D$3:$E$130,2,FALSE),0)</f>
        <v>0</v>
      </c>
      <c r="DS32" s="5">
        <f>IF($E32&gt;=DS$2,VLOOKUP($E32-DS$2,'data input'!$D$3:$E$130,2,FALSE),0)</f>
        <v>0</v>
      </c>
      <c r="DT32" s="5">
        <f>IF($E32&gt;=DT$2,VLOOKUP($E32-DT$2,'data input'!$D$3:$E$130,2,FALSE),0)</f>
        <v>0</v>
      </c>
      <c r="DU32" s="5">
        <f>IF($E32&gt;=DU$2,VLOOKUP($E32-DU$2,'data input'!$D$3:$E$130,2,FALSE),0)</f>
        <v>0</v>
      </c>
      <c r="DV32" s="5">
        <f>IF($E32&gt;=DV$2,VLOOKUP($E32-DV$2,'data input'!$D$3:$E$130,2,FALSE),0)</f>
        <v>0</v>
      </c>
      <c r="DW32" s="5">
        <f>IF($E32&gt;=DW$2,VLOOKUP($E32-DW$2,'data input'!$D$3:$E$130,2,FALSE),0)</f>
        <v>0</v>
      </c>
      <c r="DX32" s="5">
        <f>IF($E32&gt;=DX$2,VLOOKUP($E32-DX$2,'data input'!$D$3:$E$130,2,FALSE),0)</f>
        <v>0</v>
      </c>
      <c r="DY32" s="5">
        <f>IF($E32&gt;=DY$2,VLOOKUP($E32-DY$2,'data input'!$D$3:$E$130,2,FALSE),0)</f>
        <v>0</v>
      </c>
      <c r="DZ32" s="5">
        <f>IF($E32&gt;=DZ$2,VLOOKUP($E32-DZ$2,'data input'!$D$3:$E$130,2,FALSE),0)</f>
        <v>0</v>
      </c>
      <c r="EA32" s="5">
        <f>IF($E32&gt;=EA$2,VLOOKUP($E32-EA$2,'data input'!$D$3:$E$130,2,FALSE),0)</f>
        <v>0</v>
      </c>
      <c r="EB32" s="5">
        <f>IF($E32&gt;=EB$2,VLOOKUP($E32-EB$2,'data input'!$D$3:$E$130,2,FALSE),0)</f>
        <v>0</v>
      </c>
      <c r="EC32" s="5">
        <f>IF($E32&gt;=EC$2,VLOOKUP($E32-EC$2,'data input'!$D$3:$E$130,2,FALSE),0)</f>
        <v>0</v>
      </c>
    </row>
    <row r="33" spans="5:133">
      <c r="E33" s="7">
        <f>'data input'!B33</f>
        <v>1908</v>
      </c>
      <c r="F33" s="5">
        <f>IF($E33&gt;=F$2,VLOOKUP($E33-F$2,'data input'!$D$3:$E$130,2,FALSE),0)</f>
        <v>0.77337264762313174</v>
      </c>
      <c r="G33" s="5">
        <f>IF($E33&gt;=G$2,VLOOKUP($E33-G$2,'data input'!$D$3:$E$130,2,FALSE),0)</f>
        <v>0.79531420465274738</v>
      </c>
      <c r="H33" s="5">
        <f>IF($E33&gt;=H$2,VLOOKUP($E33-H$2,'data input'!$D$3:$E$130,2,FALSE),0)</f>
        <v>0.81593987465324047</v>
      </c>
      <c r="I33" s="5">
        <f>IF($E33&gt;=I$2,VLOOKUP($E33-I$2,'data input'!$D$3:$E$130,2,FALSE),0)</f>
        <v>0.83521987001968967</v>
      </c>
      <c r="J33" s="5">
        <f>IF($E33&gt;=J$2,VLOOKUP($E33-J$2,'data input'!$D$3:$E$130,2,FALSE),0)</f>
        <v>0.85314094362410409</v>
      </c>
      <c r="K33" s="5">
        <f>IF($E33&gt;=K$2,VLOOKUP($E33-K$2,'data input'!$D$3:$E$130,2,FALSE),0)</f>
        <v>0.86970548286319116</v>
      </c>
      <c r="L33" s="5">
        <f>IF($E33&gt;=L$2,VLOOKUP($E33-L$2,'data input'!$D$3:$E$130,2,FALSE),0)</f>
        <v>0.88493032977829178</v>
      </c>
      <c r="M33" s="5">
        <f>IF($E33&gt;=M$2,VLOOKUP($E33-M$2,'data input'!$D$3:$E$130,2,FALSE),0)</f>
        <v>0.89884537900441408</v>
      </c>
      <c r="N33" s="5">
        <f>IF($E33&gt;=N$2,VLOOKUP($E33-N$2,'data input'!$D$3:$E$130,2,FALSE),0)</f>
        <v>0.91149200856259793</v>
      </c>
      <c r="O33" s="5">
        <f>IF($E33&gt;=O$2,VLOOKUP($E33-O$2,'data input'!$D$3:$E$130,2,FALSE),0)</f>
        <v>0.92292139944792817</v>
      </c>
      <c r="P33" s="5">
        <f>IF($E33&gt;=P$2,VLOOKUP($E33-P$2,'data input'!$D$3:$E$130,2,FALSE),0)</f>
        <v>0.93319279873114191</v>
      </c>
      <c r="Q33" s="5">
        <f>IF($E33&gt;=Q$2,VLOOKUP($E33-Q$2,'data input'!$D$3:$E$130,2,FALSE),0)</f>
        <v>0.94237177772384684</v>
      </c>
      <c r="R33" s="5">
        <f>IF($E33&gt;=R$2,VLOOKUP($E33-R$2,'data input'!$D$3:$E$130,2,FALSE),0)</f>
        <v>0.9505285319663519</v>
      </c>
      <c r="S33" s="5">
        <f>IF($E33&gt;=S$2,VLOOKUP($E33-S$2,'data input'!$D$3:$E$130,2,FALSE),0)</f>
        <v>0.95773626374204757</v>
      </c>
      <c r="T33" s="5">
        <f>IF($E33&gt;=T$2,VLOOKUP($E33-T$2,'data input'!$D$3:$E$130,2,FALSE),0)</f>
        <v>0.96406968088707423</v>
      </c>
      <c r="U33" s="5">
        <f>IF($E33&gt;=U$2,VLOOKUP($E33-U$2,'data input'!$D$3:$E$130,2,FALSE),0)</f>
        <v>0.96960363823473861</v>
      </c>
      <c r="V33" s="5">
        <f>IF($E33&gt;=V$2,VLOOKUP($E33-V$2,'data input'!$D$3:$E$130,2,FALSE),0)</f>
        <v>0.97441194047836144</v>
      </c>
      <c r="W33" s="5">
        <f>IF($E33&gt;=W$2,VLOOKUP($E33-W$2,'data input'!$D$3:$E$130,2,FALSE),0)</f>
        <v>0.97856631788584703</v>
      </c>
      <c r="X33" s="5">
        <f>IF($E33&gt;=X$2,VLOOKUP($E33-X$2,'data input'!$D$3:$E$130,2,FALSE),0)</f>
        <v>0.98213557943718344</v>
      </c>
      <c r="Y33" s="5">
        <f>IF($E33&gt;=Y$2,VLOOKUP($E33-Y$2,'data input'!$D$3:$E$130,2,FALSE),0)</f>
        <v>0.98518494180739014</v>
      </c>
      <c r="Z33" s="5">
        <f>IF($E33&gt;=Z$2,VLOOKUP($E33-Z$2,'data input'!$D$3:$E$130,2,FALSE),0)</f>
        <v>0.98777552734495533</v>
      </c>
      <c r="AA33" s="5">
        <f>IF($E33&gt;=AA$2,VLOOKUP($E33-AA$2,'data input'!$D$3:$E$130,2,FALSE),0)</f>
        <v>0.98996401989972593</v>
      </c>
      <c r="AB33" s="5">
        <f>IF($E33&gt;=AB$2,VLOOKUP($E33-AB$2,'data input'!$D$3:$E$130,2,FALSE),0)</f>
        <v>0.99180246407540384</v>
      </c>
      <c r="AC33" s="5">
        <f>IF($E33&gt;=AC$2,VLOOKUP($E33-AC$2,'data input'!$D$3:$E$130,2,FALSE),0)</f>
        <v>0.99333819120801725</v>
      </c>
      <c r="AD33" s="5">
        <f>IF($E33&gt;=AD$2,VLOOKUP($E33-AD$2,'data input'!$D$3:$E$130,2,FALSE),0)</f>
        <v>0.99461385404593328</v>
      </c>
      <c r="AE33" s="5">
        <f>IF($E33&gt;=AE$2,VLOOKUP($E33-AE$2,'data input'!$D$3:$E$130,2,FALSE),0)</f>
        <v>0.99566755163698739</v>
      </c>
      <c r="AF33" s="5">
        <f>IF($E33&gt;=AF$2,VLOOKUP($E33-AF$2,'data input'!$D$3:$E$130,2,FALSE),0)</f>
        <v>0.99653302619695938</v>
      </c>
      <c r="AG33" s="5">
        <f>IF($E33&gt;=AG$2,VLOOKUP($E33-AG$2,'data input'!$D$3:$E$130,2,FALSE),0)</f>
        <v>0.99723991460873751</v>
      </c>
      <c r="AH33" s="5">
        <f>IF($E33&gt;=AH$2,VLOOKUP($E33-AH$2,'data input'!$D$3:$E$130,2,FALSE),0)</f>
        <v>0.99781403854508677</v>
      </c>
      <c r="AI33" s="5">
        <f>IF($E33&gt;=AI$2,VLOOKUP($E33-AI$2,'data input'!$D$3:$E$130,2,FALSE),0)</f>
        <v>0.99827771888413241</v>
      </c>
      <c r="AJ33" s="5">
        <f>IF($E33&gt;=AJ$2,VLOOKUP($E33-AJ$2,'data input'!$D$3:$E$130,2,FALSE),0)</f>
        <v>0.9986501019683699</v>
      </c>
      <c r="AK33" s="5">
        <f>IF($E33&gt;=AK$2,VLOOKUP($E33-AK$2,'data input'!$D$3:$E$130,2,FALSE),0)</f>
        <v>0</v>
      </c>
      <c r="AL33" s="5">
        <f>IF($E33&gt;=AL$2,VLOOKUP($E33-AL$2,'data input'!$D$3:$E$130,2,FALSE),0)</f>
        <v>0</v>
      </c>
      <c r="AM33" s="5">
        <f>IF($E33&gt;=AM$2,VLOOKUP($E33-AM$2,'data input'!$D$3:$E$130,2,FALSE),0)</f>
        <v>0</v>
      </c>
      <c r="AN33" s="5">
        <f>IF($E33&gt;=AN$2,VLOOKUP($E33-AN$2,'data input'!$D$3:$E$130,2,FALSE),0)</f>
        <v>0</v>
      </c>
      <c r="AO33" s="5">
        <f>IF($E33&gt;=AO$2,VLOOKUP($E33-AO$2,'data input'!$D$3:$E$130,2,FALSE),0)</f>
        <v>0</v>
      </c>
      <c r="AP33" s="5">
        <f>IF($E33&gt;=AP$2,VLOOKUP($E33-AP$2,'data input'!$D$3:$E$130,2,FALSE),0)</f>
        <v>0</v>
      </c>
      <c r="AQ33" s="5">
        <f>IF($E33&gt;=AQ$2,VLOOKUP($E33-AQ$2,'data input'!$D$3:$E$130,2,FALSE),0)</f>
        <v>0</v>
      </c>
      <c r="AR33" s="5">
        <f>IF($E33&gt;=AR$2,VLOOKUP($E33-AR$2,'data input'!$D$3:$E$130,2,FALSE),0)</f>
        <v>0</v>
      </c>
      <c r="AS33" s="5">
        <f>IF($E33&gt;=AS$2,VLOOKUP($E33-AS$2,'data input'!$D$3:$E$130,2,FALSE),0)</f>
        <v>0</v>
      </c>
      <c r="AT33" s="5">
        <f>IF($E33&gt;=AT$2,VLOOKUP($E33-AT$2,'data input'!$D$3:$E$130,2,FALSE),0)</f>
        <v>0</v>
      </c>
      <c r="AU33" s="5">
        <f>IF($E33&gt;=AU$2,VLOOKUP($E33-AU$2,'data input'!$D$3:$E$130,2,FALSE),0)</f>
        <v>0</v>
      </c>
      <c r="AV33" s="5">
        <f>IF($E33&gt;=AV$2,VLOOKUP($E33-AV$2,'data input'!$D$3:$E$130,2,FALSE),0)</f>
        <v>0</v>
      </c>
      <c r="AW33" s="5">
        <f>IF($E33&gt;=AW$2,VLOOKUP($E33-AW$2,'data input'!$D$3:$E$130,2,FALSE),0)</f>
        <v>0</v>
      </c>
      <c r="AX33" s="5">
        <f>IF($E33&gt;=AX$2,VLOOKUP($E33-AX$2,'data input'!$D$3:$E$130,2,FALSE),0)</f>
        <v>0</v>
      </c>
      <c r="AY33" s="5">
        <f>IF($E33&gt;=AY$2,VLOOKUP($E33-AY$2,'data input'!$D$3:$E$130,2,FALSE),0)</f>
        <v>0</v>
      </c>
      <c r="AZ33" s="5">
        <f>IF($E33&gt;=AZ$2,VLOOKUP($E33-AZ$2,'data input'!$D$3:$E$130,2,FALSE),0)</f>
        <v>0</v>
      </c>
      <c r="BA33" s="5">
        <f>IF($E33&gt;=BA$2,VLOOKUP($E33-BA$2,'data input'!$D$3:$E$130,2,FALSE),0)</f>
        <v>0</v>
      </c>
      <c r="BB33" s="5">
        <f>IF($E33&gt;=BB$2,VLOOKUP($E33-BB$2,'data input'!$D$3:$E$130,2,FALSE),0)</f>
        <v>0</v>
      </c>
      <c r="BC33" s="5">
        <f>IF($E33&gt;=BC$2,VLOOKUP($E33-BC$2,'data input'!$D$3:$E$130,2,FALSE),0)</f>
        <v>0</v>
      </c>
      <c r="BD33" s="5">
        <f>IF($E33&gt;=BD$2,VLOOKUP($E33-BD$2,'data input'!$D$3:$E$130,2,FALSE),0)</f>
        <v>0</v>
      </c>
      <c r="BE33" s="5">
        <f>IF($E33&gt;=BE$2,VLOOKUP($E33-BE$2,'data input'!$D$3:$E$130,2,FALSE),0)</f>
        <v>0</v>
      </c>
      <c r="BF33" s="5">
        <f>IF($E33&gt;=BF$2,VLOOKUP($E33-BF$2,'data input'!$D$3:$E$130,2,FALSE),0)</f>
        <v>0</v>
      </c>
      <c r="BG33" s="5">
        <f>IF($E33&gt;=BG$2,VLOOKUP($E33-BG$2,'data input'!$D$3:$E$130,2,FALSE),0)</f>
        <v>0</v>
      </c>
      <c r="BH33" s="5">
        <f>IF($E33&gt;=BH$2,VLOOKUP($E33-BH$2,'data input'!$D$3:$E$130,2,FALSE),0)</f>
        <v>0</v>
      </c>
      <c r="BI33" s="5">
        <f>IF($E33&gt;=BI$2,VLOOKUP($E33-BI$2,'data input'!$D$3:$E$130,2,FALSE),0)</f>
        <v>0</v>
      </c>
      <c r="BJ33" s="5">
        <f>IF($E33&gt;=BJ$2,VLOOKUP($E33-BJ$2,'data input'!$D$3:$E$130,2,FALSE),0)</f>
        <v>0</v>
      </c>
      <c r="BK33" s="5">
        <f>IF($E33&gt;=BK$2,VLOOKUP($E33-BK$2,'data input'!$D$3:$E$130,2,FALSE),0)</f>
        <v>0</v>
      </c>
      <c r="BL33" s="5">
        <f>IF($E33&gt;=BL$2,VLOOKUP($E33-BL$2,'data input'!$D$3:$E$130,2,FALSE),0)</f>
        <v>0</v>
      </c>
      <c r="BM33" s="5">
        <f>IF($E33&gt;=BM$2,VLOOKUP($E33-BM$2,'data input'!$D$3:$E$130,2,FALSE),0)</f>
        <v>0</v>
      </c>
      <c r="BN33" s="5">
        <f>IF($E33&gt;=BN$2,VLOOKUP($E33-BN$2,'data input'!$D$3:$E$130,2,FALSE),0)</f>
        <v>0</v>
      </c>
      <c r="BO33" s="5">
        <f>IF($E33&gt;=BO$2,VLOOKUP($E33-BO$2,'data input'!$D$3:$E$130,2,FALSE),0)</f>
        <v>0</v>
      </c>
      <c r="BP33" s="5">
        <f>IF($E33&gt;=BP$2,VLOOKUP($E33-BP$2,'data input'!$D$3:$E$130,2,FALSE),0)</f>
        <v>0</v>
      </c>
      <c r="BQ33" s="5">
        <f>IF($E33&gt;=BQ$2,VLOOKUP($E33-BQ$2,'data input'!$D$3:$E$130,2,FALSE),0)</f>
        <v>0</v>
      </c>
      <c r="BR33" s="5">
        <f>IF($E33&gt;=BR$2,VLOOKUP($E33-BR$2,'data input'!$D$3:$E$130,2,FALSE),0)</f>
        <v>0</v>
      </c>
      <c r="BS33" s="5">
        <f>IF($E33&gt;=BS$2,VLOOKUP($E33-BS$2,'data input'!$D$3:$E$130,2,FALSE),0)</f>
        <v>0</v>
      </c>
      <c r="BT33" s="5">
        <f>IF($E33&gt;=BT$2,VLOOKUP($E33-BT$2,'data input'!$D$3:$E$130,2,FALSE),0)</f>
        <v>0</v>
      </c>
      <c r="BU33" s="5">
        <f>IF($E33&gt;=BU$2,VLOOKUP($E33-BU$2,'data input'!$D$3:$E$130,2,FALSE),0)</f>
        <v>0</v>
      </c>
      <c r="BV33" s="5">
        <f>IF($E33&gt;=BV$2,VLOOKUP($E33-BV$2,'data input'!$D$3:$E$130,2,FALSE),0)</f>
        <v>0</v>
      </c>
      <c r="BW33" s="5">
        <f>IF($E33&gt;=BW$2,VLOOKUP($E33-BW$2,'data input'!$D$3:$E$130,2,FALSE),0)</f>
        <v>0</v>
      </c>
      <c r="BX33" s="5">
        <f>IF($E33&gt;=BX$2,VLOOKUP($E33-BX$2,'data input'!$D$3:$E$130,2,FALSE),0)</f>
        <v>0</v>
      </c>
      <c r="BY33" s="5">
        <f>IF($E33&gt;=BY$2,VLOOKUP($E33-BY$2,'data input'!$D$3:$E$130,2,FALSE),0)</f>
        <v>0</v>
      </c>
      <c r="BZ33" s="5">
        <f>IF($E33&gt;=BZ$2,VLOOKUP($E33-BZ$2,'data input'!$D$3:$E$130,2,FALSE),0)</f>
        <v>0</v>
      </c>
      <c r="CA33" s="5">
        <f>IF($E33&gt;=CA$2,VLOOKUP($E33-CA$2,'data input'!$D$3:$E$130,2,FALSE),0)</f>
        <v>0</v>
      </c>
      <c r="CB33" s="5">
        <f>IF($E33&gt;=CB$2,VLOOKUP($E33-CB$2,'data input'!$D$3:$E$130,2,FALSE),0)</f>
        <v>0</v>
      </c>
      <c r="CC33" s="5">
        <f>IF($E33&gt;=CC$2,VLOOKUP($E33-CC$2,'data input'!$D$3:$E$130,2,FALSE),0)</f>
        <v>0</v>
      </c>
      <c r="CD33" s="5">
        <f>IF($E33&gt;=CD$2,VLOOKUP($E33-CD$2,'data input'!$D$3:$E$130,2,FALSE),0)</f>
        <v>0</v>
      </c>
      <c r="CE33" s="5">
        <f>IF($E33&gt;=CE$2,VLOOKUP($E33-CE$2,'data input'!$D$3:$E$130,2,FALSE),0)</f>
        <v>0</v>
      </c>
      <c r="CF33" s="5">
        <f>IF($E33&gt;=CF$2,VLOOKUP($E33-CF$2,'data input'!$D$3:$E$130,2,FALSE),0)</f>
        <v>0</v>
      </c>
      <c r="CG33" s="5">
        <f>IF($E33&gt;=CG$2,VLOOKUP($E33-CG$2,'data input'!$D$3:$E$130,2,FALSE),0)</f>
        <v>0</v>
      </c>
      <c r="CH33" s="5">
        <f>IF($E33&gt;=CH$2,VLOOKUP($E33-CH$2,'data input'!$D$3:$E$130,2,FALSE),0)</f>
        <v>0</v>
      </c>
      <c r="CI33" s="5">
        <f>IF($E33&gt;=CI$2,VLOOKUP($E33-CI$2,'data input'!$D$3:$E$130,2,FALSE),0)</f>
        <v>0</v>
      </c>
      <c r="CJ33" s="5">
        <f>IF($E33&gt;=CJ$2,VLOOKUP($E33-CJ$2,'data input'!$D$3:$E$130,2,FALSE),0)</f>
        <v>0</v>
      </c>
      <c r="CK33" s="5">
        <f>IF($E33&gt;=CK$2,VLOOKUP($E33-CK$2,'data input'!$D$3:$E$130,2,FALSE),0)</f>
        <v>0</v>
      </c>
      <c r="CL33" s="5">
        <f>IF($E33&gt;=CL$2,VLOOKUP($E33-CL$2,'data input'!$D$3:$E$130,2,FALSE),0)</f>
        <v>0</v>
      </c>
      <c r="CM33" s="5">
        <f>IF($E33&gt;=CM$2,VLOOKUP($E33-CM$2,'data input'!$D$3:$E$130,2,FALSE),0)</f>
        <v>0</v>
      </c>
      <c r="CN33" s="5">
        <f>IF($E33&gt;=CN$2,VLOOKUP($E33-CN$2,'data input'!$D$3:$E$130,2,FALSE),0)</f>
        <v>0</v>
      </c>
      <c r="CO33" s="5">
        <f>IF($E33&gt;=CO$2,VLOOKUP($E33-CO$2,'data input'!$D$3:$E$130,2,FALSE),0)</f>
        <v>0</v>
      </c>
      <c r="CP33" s="5">
        <f>IF($E33&gt;=CP$2,VLOOKUP($E33-CP$2,'data input'!$D$3:$E$130,2,FALSE),0)</f>
        <v>0</v>
      </c>
      <c r="CQ33" s="5">
        <f>IF($E33&gt;=CQ$2,VLOOKUP($E33-CQ$2,'data input'!$D$3:$E$130,2,FALSE),0)</f>
        <v>0</v>
      </c>
      <c r="CR33" s="5">
        <f>IF($E33&gt;=CR$2,VLOOKUP($E33-CR$2,'data input'!$D$3:$E$130,2,FALSE),0)</f>
        <v>0</v>
      </c>
      <c r="CS33" s="5">
        <f>IF($E33&gt;=CS$2,VLOOKUP($E33-CS$2,'data input'!$D$3:$E$130,2,FALSE),0)</f>
        <v>0</v>
      </c>
      <c r="CT33" s="5">
        <f>IF($E33&gt;=CT$2,VLOOKUP($E33-CT$2,'data input'!$D$3:$E$130,2,FALSE),0)</f>
        <v>0</v>
      </c>
      <c r="CU33" s="5">
        <f>IF($E33&gt;=CU$2,VLOOKUP($E33-CU$2,'data input'!$D$3:$E$130,2,FALSE),0)</f>
        <v>0</v>
      </c>
      <c r="CV33" s="5">
        <f>IF($E33&gt;=CV$2,VLOOKUP($E33-CV$2,'data input'!$D$3:$E$130,2,FALSE),0)</f>
        <v>0</v>
      </c>
      <c r="CW33" s="5">
        <f>IF($E33&gt;=CW$2,VLOOKUP($E33-CW$2,'data input'!$D$3:$E$130,2,FALSE),0)</f>
        <v>0</v>
      </c>
      <c r="CX33" s="5">
        <f>IF($E33&gt;=CX$2,VLOOKUP($E33-CX$2,'data input'!$D$3:$E$130,2,FALSE),0)</f>
        <v>0</v>
      </c>
      <c r="CY33" s="5">
        <f>IF($E33&gt;=CY$2,VLOOKUP($E33-CY$2,'data input'!$D$3:$E$130,2,FALSE),0)</f>
        <v>0</v>
      </c>
      <c r="CZ33" s="5">
        <f>IF($E33&gt;=CZ$2,VLOOKUP($E33-CZ$2,'data input'!$D$3:$E$130,2,FALSE),0)</f>
        <v>0</v>
      </c>
      <c r="DA33" s="5">
        <f>IF($E33&gt;=DA$2,VLOOKUP($E33-DA$2,'data input'!$D$3:$E$130,2,FALSE),0)</f>
        <v>0</v>
      </c>
      <c r="DB33" s="5">
        <f>IF($E33&gt;=DB$2,VLOOKUP($E33-DB$2,'data input'!$D$3:$E$130,2,FALSE),0)</f>
        <v>0</v>
      </c>
      <c r="DC33" s="5">
        <f>IF($E33&gt;=DC$2,VLOOKUP($E33-DC$2,'data input'!$D$3:$E$130,2,FALSE),0)</f>
        <v>0</v>
      </c>
      <c r="DD33" s="5">
        <f>IF($E33&gt;=DD$2,VLOOKUP($E33-DD$2,'data input'!$D$3:$E$130,2,FALSE),0)</f>
        <v>0</v>
      </c>
      <c r="DE33" s="5">
        <f>IF($E33&gt;=DE$2,VLOOKUP($E33-DE$2,'data input'!$D$3:$E$130,2,FALSE),0)</f>
        <v>0</v>
      </c>
      <c r="DF33" s="5">
        <f>IF($E33&gt;=DF$2,VLOOKUP($E33-DF$2,'data input'!$D$3:$E$130,2,FALSE),0)</f>
        <v>0</v>
      </c>
      <c r="DG33" s="5">
        <f>IF($E33&gt;=DG$2,VLOOKUP($E33-DG$2,'data input'!$D$3:$E$130,2,FALSE),0)</f>
        <v>0</v>
      </c>
      <c r="DH33" s="5">
        <f>IF($E33&gt;=DH$2,VLOOKUP($E33-DH$2,'data input'!$D$3:$E$130,2,FALSE),0)</f>
        <v>0</v>
      </c>
      <c r="DI33" s="5">
        <f>IF($E33&gt;=DI$2,VLOOKUP($E33-DI$2,'data input'!$D$3:$E$130,2,FALSE),0)</f>
        <v>0</v>
      </c>
      <c r="DJ33" s="5">
        <f>IF($E33&gt;=DJ$2,VLOOKUP($E33-DJ$2,'data input'!$D$3:$E$130,2,FALSE),0)</f>
        <v>0</v>
      </c>
      <c r="DK33" s="5">
        <f>IF($E33&gt;=DK$2,VLOOKUP($E33-DK$2,'data input'!$D$3:$E$130,2,FALSE),0)</f>
        <v>0</v>
      </c>
      <c r="DL33" s="5">
        <f>IF($E33&gt;=DL$2,VLOOKUP($E33-DL$2,'data input'!$D$3:$E$130,2,FALSE),0)</f>
        <v>0</v>
      </c>
      <c r="DM33" s="5">
        <f>IF($E33&gt;=DM$2,VLOOKUP($E33-DM$2,'data input'!$D$3:$E$130,2,FALSE),0)</f>
        <v>0</v>
      </c>
      <c r="DN33" s="5">
        <f>IF($E33&gt;=DN$2,VLOOKUP($E33-DN$2,'data input'!$D$3:$E$130,2,FALSE),0)</f>
        <v>0</v>
      </c>
      <c r="DO33" s="5">
        <f>IF($E33&gt;=DO$2,VLOOKUP($E33-DO$2,'data input'!$D$3:$E$130,2,FALSE),0)</f>
        <v>0</v>
      </c>
      <c r="DP33" s="5">
        <f>IF($E33&gt;=DP$2,VLOOKUP($E33-DP$2,'data input'!$D$3:$E$130,2,FALSE),0)</f>
        <v>0</v>
      </c>
      <c r="DQ33" s="5">
        <f>IF($E33&gt;=DQ$2,VLOOKUP($E33-DQ$2,'data input'!$D$3:$E$130,2,FALSE),0)</f>
        <v>0</v>
      </c>
      <c r="DR33" s="5">
        <f>IF($E33&gt;=DR$2,VLOOKUP($E33-DR$2,'data input'!$D$3:$E$130,2,FALSE),0)</f>
        <v>0</v>
      </c>
      <c r="DS33" s="5">
        <f>IF($E33&gt;=DS$2,VLOOKUP($E33-DS$2,'data input'!$D$3:$E$130,2,FALSE),0)</f>
        <v>0</v>
      </c>
      <c r="DT33" s="5">
        <f>IF($E33&gt;=DT$2,VLOOKUP($E33-DT$2,'data input'!$D$3:$E$130,2,FALSE),0)</f>
        <v>0</v>
      </c>
      <c r="DU33" s="5">
        <f>IF($E33&gt;=DU$2,VLOOKUP($E33-DU$2,'data input'!$D$3:$E$130,2,FALSE),0)</f>
        <v>0</v>
      </c>
      <c r="DV33" s="5">
        <f>IF($E33&gt;=DV$2,VLOOKUP($E33-DV$2,'data input'!$D$3:$E$130,2,FALSE),0)</f>
        <v>0</v>
      </c>
      <c r="DW33" s="5">
        <f>IF($E33&gt;=DW$2,VLOOKUP($E33-DW$2,'data input'!$D$3:$E$130,2,FALSE),0)</f>
        <v>0</v>
      </c>
      <c r="DX33" s="5">
        <f>IF($E33&gt;=DX$2,VLOOKUP($E33-DX$2,'data input'!$D$3:$E$130,2,FALSE),0)</f>
        <v>0</v>
      </c>
      <c r="DY33" s="5">
        <f>IF($E33&gt;=DY$2,VLOOKUP($E33-DY$2,'data input'!$D$3:$E$130,2,FALSE),0)</f>
        <v>0</v>
      </c>
      <c r="DZ33" s="5">
        <f>IF($E33&gt;=DZ$2,VLOOKUP($E33-DZ$2,'data input'!$D$3:$E$130,2,FALSE),0)</f>
        <v>0</v>
      </c>
      <c r="EA33" s="5">
        <f>IF($E33&gt;=EA$2,VLOOKUP($E33-EA$2,'data input'!$D$3:$E$130,2,FALSE),0)</f>
        <v>0</v>
      </c>
      <c r="EB33" s="5">
        <f>IF($E33&gt;=EB$2,VLOOKUP($E33-EB$2,'data input'!$D$3:$E$130,2,FALSE),0)</f>
        <v>0</v>
      </c>
      <c r="EC33" s="5">
        <f>IF($E33&gt;=EC$2,VLOOKUP($E33-EC$2,'data input'!$D$3:$E$130,2,FALSE),0)</f>
        <v>0</v>
      </c>
    </row>
    <row r="34" spans="5:133">
      <c r="E34" s="7">
        <f>'data input'!B34</f>
        <v>1909</v>
      </c>
      <c r="F34" s="5">
        <f>IF($E34&gt;=F$2,VLOOKUP($E34-F$2,'data input'!$D$3:$E$130,2,FALSE),0)</f>
        <v>0.75016211752822304</v>
      </c>
      <c r="G34" s="5">
        <f>IF($E34&gt;=G$2,VLOOKUP($E34-G$2,'data input'!$D$3:$E$130,2,FALSE),0)</f>
        <v>0.77337264762313174</v>
      </c>
      <c r="H34" s="5">
        <f>IF($E34&gt;=H$2,VLOOKUP($E34-H$2,'data input'!$D$3:$E$130,2,FALSE),0)</f>
        <v>0.79531420465274738</v>
      </c>
      <c r="I34" s="5">
        <f>IF($E34&gt;=I$2,VLOOKUP($E34-I$2,'data input'!$D$3:$E$130,2,FALSE),0)</f>
        <v>0.81593987465324047</v>
      </c>
      <c r="J34" s="5">
        <f>IF($E34&gt;=J$2,VLOOKUP($E34-J$2,'data input'!$D$3:$E$130,2,FALSE),0)</f>
        <v>0.83521987001968967</v>
      </c>
      <c r="K34" s="5">
        <f>IF($E34&gt;=K$2,VLOOKUP($E34-K$2,'data input'!$D$3:$E$130,2,FALSE),0)</f>
        <v>0.85314094362410409</v>
      </c>
      <c r="L34" s="5">
        <f>IF($E34&gt;=L$2,VLOOKUP($E34-L$2,'data input'!$D$3:$E$130,2,FALSE),0)</f>
        <v>0.86970548286319116</v>
      </c>
      <c r="M34" s="5">
        <f>IF($E34&gt;=M$2,VLOOKUP($E34-M$2,'data input'!$D$3:$E$130,2,FALSE),0)</f>
        <v>0.88493032977829178</v>
      </c>
      <c r="N34" s="5">
        <f>IF($E34&gt;=N$2,VLOOKUP($E34-N$2,'data input'!$D$3:$E$130,2,FALSE),0)</f>
        <v>0.89884537900441408</v>
      </c>
      <c r="O34" s="5">
        <f>IF($E34&gt;=O$2,VLOOKUP($E34-O$2,'data input'!$D$3:$E$130,2,FALSE),0)</f>
        <v>0.91149200856259793</v>
      </c>
      <c r="P34" s="5">
        <f>IF($E34&gt;=P$2,VLOOKUP($E34-P$2,'data input'!$D$3:$E$130,2,FALSE),0)</f>
        <v>0.92292139944792817</v>
      </c>
      <c r="Q34" s="5">
        <f>IF($E34&gt;=Q$2,VLOOKUP($E34-Q$2,'data input'!$D$3:$E$130,2,FALSE),0)</f>
        <v>0.93319279873114191</v>
      </c>
      <c r="R34" s="5">
        <f>IF($E34&gt;=R$2,VLOOKUP($E34-R$2,'data input'!$D$3:$E$130,2,FALSE),0)</f>
        <v>0.94237177772384684</v>
      </c>
      <c r="S34" s="5">
        <f>IF($E34&gt;=S$2,VLOOKUP($E34-S$2,'data input'!$D$3:$E$130,2,FALSE),0)</f>
        <v>0.9505285319663519</v>
      </c>
      <c r="T34" s="5">
        <f>IF($E34&gt;=T$2,VLOOKUP($E34-T$2,'data input'!$D$3:$E$130,2,FALSE),0)</f>
        <v>0.95773626374204757</v>
      </c>
      <c r="U34" s="5">
        <f>IF($E34&gt;=U$2,VLOOKUP($E34-U$2,'data input'!$D$3:$E$130,2,FALSE),0)</f>
        <v>0.96406968088707423</v>
      </c>
      <c r="V34" s="5">
        <f>IF($E34&gt;=V$2,VLOOKUP($E34-V$2,'data input'!$D$3:$E$130,2,FALSE),0)</f>
        <v>0.96960363823473861</v>
      </c>
      <c r="W34" s="5">
        <f>IF($E34&gt;=W$2,VLOOKUP($E34-W$2,'data input'!$D$3:$E$130,2,FALSE),0)</f>
        <v>0.97441194047836144</v>
      </c>
      <c r="X34" s="5">
        <f>IF($E34&gt;=X$2,VLOOKUP($E34-X$2,'data input'!$D$3:$E$130,2,FALSE),0)</f>
        <v>0.97856631788584703</v>
      </c>
      <c r="Y34" s="5">
        <f>IF($E34&gt;=Y$2,VLOOKUP($E34-Y$2,'data input'!$D$3:$E$130,2,FALSE),0)</f>
        <v>0.98213557943718344</v>
      </c>
      <c r="Z34" s="5">
        <f>IF($E34&gt;=Z$2,VLOOKUP($E34-Z$2,'data input'!$D$3:$E$130,2,FALSE),0)</f>
        <v>0.98518494180739014</v>
      </c>
      <c r="AA34" s="5">
        <f>IF($E34&gt;=AA$2,VLOOKUP($E34-AA$2,'data input'!$D$3:$E$130,2,FALSE),0)</f>
        <v>0.98777552734495533</v>
      </c>
      <c r="AB34" s="5">
        <f>IF($E34&gt;=AB$2,VLOOKUP($E34-AB$2,'data input'!$D$3:$E$130,2,FALSE),0)</f>
        <v>0.98996401989972593</v>
      </c>
      <c r="AC34" s="5">
        <f>IF($E34&gt;=AC$2,VLOOKUP($E34-AC$2,'data input'!$D$3:$E$130,2,FALSE),0)</f>
        <v>0.99180246407540384</v>
      </c>
      <c r="AD34" s="5">
        <f>IF($E34&gt;=AD$2,VLOOKUP($E34-AD$2,'data input'!$D$3:$E$130,2,FALSE),0)</f>
        <v>0.99333819120801725</v>
      </c>
      <c r="AE34" s="5">
        <f>IF($E34&gt;=AE$2,VLOOKUP($E34-AE$2,'data input'!$D$3:$E$130,2,FALSE),0)</f>
        <v>0.99461385404593328</v>
      </c>
      <c r="AF34" s="5">
        <f>IF($E34&gt;=AF$2,VLOOKUP($E34-AF$2,'data input'!$D$3:$E$130,2,FALSE),0)</f>
        <v>0.99566755163698739</v>
      </c>
      <c r="AG34" s="5">
        <f>IF($E34&gt;=AG$2,VLOOKUP($E34-AG$2,'data input'!$D$3:$E$130,2,FALSE),0)</f>
        <v>0.99653302619695938</v>
      </c>
      <c r="AH34" s="5">
        <f>IF($E34&gt;=AH$2,VLOOKUP($E34-AH$2,'data input'!$D$3:$E$130,2,FALSE),0)</f>
        <v>0.99723991460873751</v>
      </c>
      <c r="AI34" s="5">
        <f>IF($E34&gt;=AI$2,VLOOKUP($E34-AI$2,'data input'!$D$3:$E$130,2,FALSE),0)</f>
        <v>0.99781403854508677</v>
      </c>
      <c r="AJ34" s="5">
        <f>IF($E34&gt;=AJ$2,VLOOKUP($E34-AJ$2,'data input'!$D$3:$E$130,2,FALSE),0)</f>
        <v>0.99827771888413241</v>
      </c>
      <c r="AK34" s="5">
        <f>IF($E34&gt;=AK$2,VLOOKUP($E34-AK$2,'data input'!$D$3:$E$130,2,FALSE),0)</f>
        <v>0.9986501019683699</v>
      </c>
      <c r="AL34" s="5">
        <f>IF($E34&gt;=AL$2,VLOOKUP($E34-AL$2,'data input'!$D$3:$E$130,2,FALSE),0)</f>
        <v>0</v>
      </c>
      <c r="AM34" s="5">
        <f>IF($E34&gt;=AM$2,VLOOKUP($E34-AM$2,'data input'!$D$3:$E$130,2,FALSE),0)</f>
        <v>0</v>
      </c>
      <c r="AN34" s="5">
        <f>IF($E34&gt;=AN$2,VLOOKUP($E34-AN$2,'data input'!$D$3:$E$130,2,FALSE),0)</f>
        <v>0</v>
      </c>
      <c r="AO34" s="5">
        <f>IF($E34&gt;=AO$2,VLOOKUP($E34-AO$2,'data input'!$D$3:$E$130,2,FALSE),0)</f>
        <v>0</v>
      </c>
      <c r="AP34" s="5">
        <f>IF($E34&gt;=AP$2,VLOOKUP($E34-AP$2,'data input'!$D$3:$E$130,2,FALSE),0)</f>
        <v>0</v>
      </c>
      <c r="AQ34" s="5">
        <f>IF($E34&gt;=AQ$2,VLOOKUP($E34-AQ$2,'data input'!$D$3:$E$130,2,FALSE),0)</f>
        <v>0</v>
      </c>
      <c r="AR34" s="5">
        <f>IF($E34&gt;=AR$2,VLOOKUP($E34-AR$2,'data input'!$D$3:$E$130,2,FALSE),0)</f>
        <v>0</v>
      </c>
      <c r="AS34" s="5">
        <f>IF($E34&gt;=AS$2,VLOOKUP($E34-AS$2,'data input'!$D$3:$E$130,2,FALSE),0)</f>
        <v>0</v>
      </c>
      <c r="AT34" s="5">
        <f>IF($E34&gt;=AT$2,VLOOKUP($E34-AT$2,'data input'!$D$3:$E$130,2,FALSE),0)</f>
        <v>0</v>
      </c>
      <c r="AU34" s="5">
        <f>IF($E34&gt;=AU$2,VLOOKUP($E34-AU$2,'data input'!$D$3:$E$130,2,FALSE),0)</f>
        <v>0</v>
      </c>
      <c r="AV34" s="5">
        <f>IF($E34&gt;=AV$2,VLOOKUP($E34-AV$2,'data input'!$D$3:$E$130,2,FALSE),0)</f>
        <v>0</v>
      </c>
      <c r="AW34" s="5">
        <f>IF($E34&gt;=AW$2,VLOOKUP($E34-AW$2,'data input'!$D$3:$E$130,2,FALSE),0)</f>
        <v>0</v>
      </c>
      <c r="AX34" s="5">
        <f>IF($E34&gt;=AX$2,VLOOKUP($E34-AX$2,'data input'!$D$3:$E$130,2,FALSE),0)</f>
        <v>0</v>
      </c>
      <c r="AY34" s="5">
        <f>IF($E34&gt;=AY$2,VLOOKUP($E34-AY$2,'data input'!$D$3:$E$130,2,FALSE),0)</f>
        <v>0</v>
      </c>
      <c r="AZ34" s="5">
        <f>IF($E34&gt;=AZ$2,VLOOKUP($E34-AZ$2,'data input'!$D$3:$E$130,2,FALSE),0)</f>
        <v>0</v>
      </c>
      <c r="BA34" s="5">
        <f>IF($E34&gt;=BA$2,VLOOKUP($E34-BA$2,'data input'!$D$3:$E$130,2,FALSE),0)</f>
        <v>0</v>
      </c>
      <c r="BB34" s="5">
        <f>IF($E34&gt;=BB$2,VLOOKUP($E34-BB$2,'data input'!$D$3:$E$130,2,FALSE),0)</f>
        <v>0</v>
      </c>
      <c r="BC34" s="5">
        <f>IF($E34&gt;=BC$2,VLOOKUP($E34-BC$2,'data input'!$D$3:$E$130,2,FALSE),0)</f>
        <v>0</v>
      </c>
      <c r="BD34" s="5">
        <f>IF($E34&gt;=BD$2,VLOOKUP($E34-BD$2,'data input'!$D$3:$E$130,2,FALSE),0)</f>
        <v>0</v>
      </c>
      <c r="BE34" s="5">
        <f>IF($E34&gt;=BE$2,VLOOKUP($E34-BE$2,'data input'!$D$3:$E$130,2,FALSE),0)</f>
        <v>0</v>
      </c>
      <c r="BF34" s="5">
        <f>IF($E34&gt;=BF$2,VLOOKUP($E34-BF$2,'data input'!$D$3:$E$130,2,FALSE),0)</f>
        <v>0</v>
      </c>
      <c r="BG34" s="5">
        <f>IF($E34&gt;=BG$2,VLOOKUP($E34-BG$2,'data input'!$D$3:$E$130,2,FALSE),0)</f>
        <v>0</v>
      </c>
      <c r="BH34" s="5">
        <f>IF($E34&gt;=BH$2,VLOOKUP($E34-BH$2,'data input'!$D$3:$E$130,2,FALSE),0)</f>
        <v>0</v>
      </c>
      <c r="BI34" s="5">
        <f>IF($E34&gt;=BI$2,VLOOKUP($E34-BI$2,'data input'!$D$3:$E$130,2,FALSE),0)</f>
        <v>0</v>
      </c>
      <c r="BJ34" s="5">
        <f>IF($E34&gt;=BJ$2,VLOOKUP($E34-BJ$2,'data input'!$D$3:$E$130,2,FALSE),0)</f>
        <v>0</v>
      </c>
      <c r="BK34" s="5">
        <f>IF($E34&gt;=BK$2,VLOOKUP($E34-BK$2,'data input'!$D$3:$E$130,2,FALSE),0)</f>
        <v>0</v>
      </c>
      <c r="BL34" s="5">
        <f>IF($E34&gt;=BL$2,VLOOKUP($E34-BL$2,'data input'!$D$3:$E$130,2,FALSE),0)</f>
        <v>0</v>
      </c>
      <c r="BM34" s="5">
        <f>IF($E34&gt;=BM$2,VLOOKUP($E34-BM$2,'data input'!$D$3:$E$130,2,FALSE),0)</f>
        <v>0</v>
      </c>
      <c r="BN34" s="5">
        <f>IF($E34&gt;=BN$2,VLOOKUP($E34-BN$2,'data input'!$D$3:$E$130,2,FALSE),0)</f>
        <v>0</v>
      </c>
      <c r="BO34" s="5">
        <f>IF($E34&gt;=BO$2,VLOOKUP($E34-BO$2,'data input'!$D$3:$E$130,2,FALSE),0)</f>
        <v>0</v>
      </c>
      <c r="BP34" s="5">
        <f>IF($E34&gt;=BP$2,VLOOKUP($E34-BP$2,'data input'!$D$3:$E$130,2,FALSE),0)</f>
        <v>0</v>
      </c>
      <c r="BQ34" s="5">
        <f>IF($E34&gt;=BQ$2,VLOOKUP($E34-BQ$2,'data input'!$D$3:$E$130,2,FALSE),0)</f>
        <v>0</v>
      </c>
      <c r="BR34" s="5">
        <f>IF($E34&gt;=BR$2,VLOOKUP($E34-BR$2,'data input'!$D$3:$E$130,2,FALSE),0)</f>
        <v>0</v>
      </c>
      <c r="BS34" s="5">
        <f>IF($E34&gt;=BS$2,VLOOKUP($E34-BS$2,'data input'!$D$3:$E$130,2,FALSE),0)</f>
        <v>0</v>
      </c>
      <c r="BT34" s="5">
        <f>IF($E34&gt;=BT$2,VLOOKUP($E34-BT$2,'data input'!$D$3:$E$130,2,FALSE),0)</f>
        <v>0</v>
      </c>
      <c r="BU34" s="5">
        <f>IF($E34&gt;=BU$2,VLOOKUP($E34-BU$2,'data input'!$D$3:$E$130,2,FALSE),0)</f>
        <v>0</v>
      </c>
      <c r="BV34" s="5">
        <f>IF($E34&gt;=BV$2,VLOOKUP($E34-BV$2,'data input'!$D$3:$E$130,2,FALSE),0)</f>
        <v>0</v>
      </c>
      <c r="BW34" s="5">
        <f>IF($E34&gt;=BW$2,VLOOKUP($E34-BW$2,'data input'!$D$3:$E$130,2,FALSE),0)</f>
        <v>0</v>
      </c>
      <c r="BX34" s="5">
        <f>IF($E34&gt;=BX$2,VLOOKUP($E34-BX$2,'data input'!$D$3:$E$130,2,FALSE),0)</f>
        <v>0</v>
      </c>
      <c r="BY34" s="5">
        <f>IF($E34&gt;=BY$2,VLOOKUP($E34-BY$2,'data input'!$D$3:$E$130,2,FALSE),0)</f>
        <v>0</v>
      </c>
      <c r="BZ34" s="5">
        <f>IF($E34&gt;=BZ$2,VLOOKUP($E34-BZ$2,'data input'!$D$3:$E$130,2,FALSE),0)</f>
        <v>0</v>
      </c>
      <c r="CA34" s="5">
        <f>IF($E34&gt;=CA$2,VLOOKUP($E34-CA$2,'data input'!$D$3:$E$130,2,FALSE),0)</f>
        <v>0</v>
      </c>
      <c r="CB34" s="5">
        <f>IF($E34&gt;=CB$2,VLOOKUP($E34-CB$2,'data input'!$D$3:$E$130,2,FALSE),0)</f>
        <v>0</v>
      </c>
      <c r="CC34" s="5">
        <f>IF($E34&gt;=CC$2,VLOOKUP($E34-CC$2,'data input'!$D$3:$E$130,2,FALSE),0)</f>
        <v>0</v>
      </c>
      <c r="CD34" s="5">
        <f>IF($E34&gt;=CD$2,VLOOKUP($E34-CD$2,'data input'!$D$3:$E$130,2,FALSE),0)</f>
        <v>0</v>
      </c>
      <c r="CE34" s="5">
        <f>IF($E34&gt;=CE$2,VLOOKUP($E34-CE$2,'data input'!$D$3:$E$130,2,FALSE),0)</f>
        <v>0</v>
      </c>
      <c r="CF34" s="5">
        <f>IF($E34&gt;=CF$2,VLOOKUP($E34-CF$2,'data input'!$D$3:$E$130,2,FALSE),0)</f>
        <v>0</v>
      </c>
      <c r="CG34" s="5">
        <f>IF($E34&gt;=CG$2,VLOOKUP($E34-CG$2,'data input'!$D$3:$E$130,2,FALSE),0)</f>
        <v>0</v>
      </c>
      <c r="CH34" s="5">
        <f>IF($E34&gt;=CH$2,VLOOKUP($E34-CH$2,'data input'!$D$3:$E$130,2,FALSE),0)</f>
        <v>0</v>
      </c>
      <c r="CI34" s="5">
        <f>IF($E34&gt;=CI$2,VLOOKUP($E34-CI$2,'data input'!$D$3:$E$130,2,FALSE),0)</f>
        <v>0</v>
      </c>
      <c r="CJ34" s="5">
        <f>IF($E34&gt;=CJ$2,VLOOKUP($E34-CJ$2,'data input'!$D$3:$E$130,2,FALSE),0)</f>
        <v>0</v>
      </c>
      <c r="CK34" s="5">
        <f>IF($E34&gt;=CK$2,VLOOKUP($E34-CK$2,'data input'!$D$3:$E$130,2,FALSE),0)</f>
        <v>0</v>
      </c>
      <c r="CL34" s="5">
        <f>IF($E34&gt;=CL$2,VLOOKUP($E34-CL$2,'data input'!$D$3:$E$130,2,FALSE),0)</f>
        <v>0</v>
      </c>
      <c r="CM34" s="5">
        <f>IF($E34&gt;=CM$2,VLOOKUP($E34-CM$2,'data input'!$D$3:$E$130,2,FALSE),0)</f>
        <v>0</v>
      </c>
      <c r="CN34" s="5">
        <f>IF($E34&gt;=CN$2,VLOOKUP($E34-CN$2,'data input'!$D$3:$E$130,2,FALSE),0)</f>
        <v>0</v>
      </c>
      <c r="CO34" s="5">
        <f>IF($E34&gt;=CO$2,VLOOKUP($E34-CO$2,'data input'!$D$3:$E$130,2,FALSE),0)</f>
        <v>0</v>
      </c>
      <c r="CP34" s="5">
        <f>IF($E34&gt;=CP$2,VLOOKUP($E34-CP$2,'data input'!$D$3:$E$130,2,FALSE),0)</f>
        <v>0</v>
      </c>
      <c r="CQ34" s="5">
        <f>IF($E34&gt;=CQ$2,VLOOKUP($E34-CQ$2,'data input'!$D$3:$E$130,2,FALSE),0)</f>
        <v>0</v>
      </c>
      <c r="CR34" s="5">
        <f>IF($E34&gt;=CR$2,VLOOKUP($E34-CR$2,'data input'!$D$3:$E$130,2,FALSE),0)</f>
        <v>0</v>
      </c>
      <c r="CS34" s="5">
        <f>IF($E34&gt;=CS$2,VLOOKUP($E34-CS$2,'data input'!$D$3:$E$130,2,FALSE),0)</f>
        <v>0</v>
      </c>
      <c r="CT34" s="5">
        <f>IF($E34&gt;=CT$2,VLOOKUP($E34-CT$2,'data input'!$D$3:$E$130,2,FALSE),0)</f>
        <v>0</v>
      </c>
      <c r="CU34" s="5">
        <f>IF($E34&gt;=CU$2,VLOOKUP($E34-CU$2,'data input'!$D$3:$E$130,2,FALSE),0)</f>
        <v>0</v>
      </c>
      <c r="CV34" s="5">
        <f>IF($E34&gt;=CV$2,VLOOKUP($E34-CV$2,'data input'!$D$3:$E$130,2,FALSE),0)</f>
        <v>0</v>
      </c>
      <c r="CW34" s="5">
        <f>IF($E34&gt;=CW$2,VLOOKUP($E34-CW$2,'data input'!$D$3:$E$130,2,FALSE),0)</f>
        <v>0</v>
      </c>
      <c r="CX34" s="5">
        <f>IF($E34&gt;=CX$2,VLOOKUP($E34-CX$2,'data input'!$D$3:$E$130,2,FALSE),0)</f>
        <v>0</v>
      </c>
      <c r="CY34" s="5">
        <f>IF($E34&gt;=CY$2,VLOOKUP($E34-CY$2,'data input'!$D$3:$E$130,2,FALSE),0)</f>
        <v>0</v>
      </c>
      <c r="CZ34" s="5">
        <f>IF($E34&gt;=CZ$2,VLOOKUP($E34-CZ$2,'data input'!$D$3:$E$130,2,FALSE),0)</f>
        <v>0</v>
      </c>
      <c r="DA34" s="5">
        <f>IF($E34&gt;=DA$2,VLOOKUP($E34-DA$2,'data input'!$D$3:$E$130,2,FALSE),0)</f>
        <v>0</v>
      </c>
      <c r="DB34" s="5">
        <f>IF($E34&gt;=DB$2,VLOOKUP($E34-DB$2,'data input'!$D$3:$E$130,2,FALSE),0)</f>
        <v>0</v>
      </c>
      <c r="DC34" s="5">
        <f>IF($E34&gt;=DC$2,VLOOKUP($E34-DC$2,'data input'!$D$3:$E$130,2,FALSE),0)</f>
        <v>0</v>
      </c>
      <c r="DD34" s="5">
        <f>IF($E34&gt;=DD$2,VLOOKUP($E34-DD$2,'data input'!$D$3:$E$130,2,FALSE),0)</f>
        <v>0</v>
      </c>
      <c r="DE34" s="5">
        <f>IF($E34&gt;=DE$2,VLOOKUP($E34-DE$2,'data input'!$D$3:$E$130,2,FALSE),0)</f>
        <v>0</v>
      </c>
      <c r="DF34" s="5">
        <f>IF($E34&gt;=DF$2,VLOOKUP($E34-DF$2,'data input'!$D$3:$E$130,2,FALSE),0)</f>
        <v>0</v>
      </c>
      <c r="DG34" s="5">
        <f>IF($E34&gt;=DG$2,VLOOKUP($E34-DG$2,'data input'!$D$3:$E$130,2,FALSE),0)</f>
        <v>0</v>
      </c>
      <c r="DH34" s="5">
        <f>IF($E34&gt;=DH$2,VLOOKUP($E34-DH$2,'data input'!$D$3:$E$130,2,FALSE),0)</f>
        <v>0</v>
      </c>
      <c r="DI34" s="5">
        <f>IF($E34&gt;=DI$2,VLOOKUP($E34-DI$2,'data input'!$D$3:$E$130,2,FALSE),0)</f>
        <v>0</v>
      </c>
      <c r="DJ34" s="5">
        <f>IF($E34&gt;=DJ$2,VLOOKUP($E34-DJ$2,'data input'!$D$3:$E$130,2,FALSE),0)</f>
        <v>0</v>
      </c>
      <c r="DK34" s="5">
        <f>IF($E34&gt;=DK$2,VLOOKUP($E34-DK$2,'data input'!$D$3:$E$130,2,FALSE),0)</f>
        <v>0</v>
      </c>
      <c r="DL34" s="5">
        <f>IF($E34&gt;=DL$2,VLOOKUP($E34-DL$2,'data input'!$D$3:$E$130,2,FALSE),0)</f>
        <v>0</v>
      </c>
      <c r="DM34" s="5">
        <f>IF($E34&gt;=DM$2,VLOOKUP($E34-DM$2,'data input'!$D$3:$E$130,2,FALSE),0)</f>
        <v>0</v>
      </c>
      <c r="DN34" s="5">
        <f>IF($E34&gt;=DN$2,VLOOKUP($E34-DN$2,'data input'!$D$3:$E$130,2,FALSE),0)</f>
        <v>0</v>
      </c>
      <c r="DO34" s="5">
        <f>IF($E34&gt;=DO$2,VLOOKUP($E34-DO$2,'data input'!$D$3:$E$130,2,FALSE),0)</f>
        <v>0</v>
      </c>
      <c r="DP34" s="5">
        <f>IF($E34&gt;=DP$2,VLOOKUP($E34-DP$2,'data input'!$D$3:$E$130,2,FALSE),0)</f>
        <v>0</v>
      </c>
      <c r="DQ34" s="5">
        <f>IF($E34&gt;=DQ$2,VLOOKUP($E34-DQ$2,'data input'!$D$3:$E$130,2,FALSE),0)</f>
        <v>0</v>
      </c>
      <c r="DR34" s="5">
        <f>IF($E34&gt;=DR$2,VLOOKUP($E34-DR$2,'data input'!$D$3:$E$130,2,FALSE),0)</f>
        <v>0</v>
      </c>
      <c r="DS34" s="5">
        <f>IF($E34&gt;=DS$2,VLOOKUP($E34-DS$2,'data input'!$D$3:$E$130,2,FALSE),0)</f>
        <v>0</v>
      </c>
      <c r="DT34" s="5">
        <f>IF($E34&gt;=DT$2,VLOOKUP($E34-DT$2,'data input'!$D$3:$E$130,2,FALSE),0)</f>
        <v>0</v>
      </c>
      <c r="DU34" s="5">
        <f>IF($E34&gt;=DU$2,VLOOKUP($E34-DU$2,'data input'!$D$3:$E$130,2,FALSE),0)</f>
        <v>0</v>
      </c>
      <c r="DV34" s="5">
        <f>IF($E34&gt;=DV$2,VLOOKUP($E34-DV$2,'data input'!$D$3:$E$130,2,FALSE),0)</f>
        <v>0</v>
      </c>
      <c r="DW34" s="5">
        <f>IF($E34&gt;=DW$2,VLOOKUP($E34-DW$2,'data input'!$D$3:$E$130,2,FALSE),0)</f>
        <v>0</v>
      </c>
      <c r="DX34" s="5">
        <f>IF($E34&gt;=DX$2,VLOOKUP($E34-DX$2,'data input'!$D$3:$E$130,2,FALSE),0)</f>
        <v>0</v>
      </c>
      <c r="DY34" s="5">
        <f>IF($E34&gt;=DY$2,VLOOKUP($E34-DY$2,'data input'!$D$3:$E$130,2,FALSE),0)</f>
        <v>0</v>
      </c>
      <c r="DZ34" s="5">
        <f>IF($E34&gt;=DZ$2,VLOOKUP($E34-DZ$2,'data input'!$D$3:$E$130,2,FALSE),0)</f>
        <v>0</v>
      </c>
      <c r="EA34" s="5">
        <f>IF($E34&gt;=EA$2,VLOOKUP($E34-EA$2,'data input'!$D$3:$E$130,2,FALSE),0)</f>
        <v>0</v>
      </c>
      <c r="EB34" s="5">
        <f>IF($E34&gt;=EB$2,VLOOKUP($E34-EB$2,'data input'!$D$3:$E$130,2,FALSE),0)</f>
        <v>0</v>
      </c>
      <c r="EC34" s="5">
        <f>IF($E34&gt;=EC$2,VLOOKUP($E34-EC$2,'data input'!$D$3:$E$130,2,FALSE),0)</f>
        <v>0</v>
      </c>
    </row>
    <row r="35" spans="5:133">
      <c r="E35" s="7">
        <f>'data input'!B35</f>
        <v>1910</v>
      </c>
      <c r="F35" s="5">
        <f>IF($E35&gt;=F$2,VLOOKUP($E35-F$2,'data input'!$D$3:$E$130,2,FALSE),0)</f>
        <v>0.72574688224992645</v>
      </c>
      <c r="G35" s="5">
        <f>IF($E35&gt;=G$2,VLOOKUP($E35-G$2,'data input'!$D$3:$E$130,2,FALSE),0)</f>
        <v>0.75016211752822304</v>
      </c>
      <c r="H35" s="5">
        <f>IF($E35&gt;=H$2,VLOOKUP($E35-H$2,'data input'!$D$3:$E$130,2,FALSE),0)</f>
        <v>0.77337264762313174</v>
      </c>
      <c r="I35" s="5">
        <f>IF($E35&gt;=I$2,VLOOKUP($E35-I$2,'data input'!$D$3:$E$130,2,FALSE),0)</f>
        <v>0.79531420465274738</v>
      </c>
      <c r="J35" s="5">
        <f>IF($E35&gt;=J$2,VLOOKUP($E35-J$2,'data input'!$D$3:$E$130,2,FALSE),0)</f>
        <v>0.81593987465324047</v>
      </c>
      <c r="K35" s="5">
        <f>IF($E35&gt;=K$2,VLOOKUP($E35-K$2,'data input'!$D$3:$E$130,2,FALSE),0)</f>
        <v>0.83521987001968967</v>
      </c>
      <c r="L35" s="5">
        <f>IF($E35&gt;=L$2,VLOOKUP($E35-L$2,'data input'!$D$3:$E$130,2,FALSE),0)</f>
        <v>0.85314094362410409</v>
      </c>
      <c r="M35" s="5">
        <f>IF($E35&gt;=M$2,VLOOKUP($E35-M$2,'data input'!$D$3:$E$130,2,FALSE),0)</f>
        <v>0.86970548286319116</v>
      </c>
      <c r="N35" s="5">
        <f>IF($E35&gt;=N$2,VLOOKUP($E35-N$2,'data input'!$D$3:$E$130,2,FALSE),0)</f>
        <v>0.88493032977829178</v>
      </c>
      <c r="O35" s="5">
        <f>IF($E35&gt;=O$2,VLOOKUP($E35-O$2,'data input'!$D$3:$E$130,2,FALSE),0)</f>
        <v>0.89884537900441408</v>
      </c>
      <c r="P35" s="5">
        <f>IF($E35&gt;=P$2,VLOOKUP($E35-P$2,'data input'!$D$3:$E$130,2,FALSE),0)</f>
        <v>0.91149200856259793</v>
      </c>
      <c r="Q35" s="5">
        <f>IF($E35&gt;=Q$2,VLOOKUP($E35-Q$2,'data input'!$D$3:$E$130,2,FALSE),0)</f>
        <v>0.92292139944792817</v>
      </c>
      <c r="R35" s="5">
        <f>IF($E35&gt;=R$2,VLOOKUP($E35-R$2,'data input'!$D$3:$E$130,2,FALSE),0)</f>
        <v>0.93319279873114191</v>
      </c>
      <c r="S35" s="5">
        <f>IF($E35&gt;=S$2,VLOOKUP($E35-S$2,'data input'!$D$3:$E$130,2,FALSE),0)</f>
        <v>0.94237177772384684</v>
      </c>
      <c r="T35" s="5">
        <f>IF($E35&gt;=T$2,VLOOKUP($E35-T$2,'data input'!$D$3:$E$130,2,FALSE),0)</f>
        <v>0.9505285319663519</v>
      </c>
      <c r="U35" s="5">
        <f>IF($E35&gt;=U$2,VLOOKUP($E35-U$2,'data input'!$D$3:$E$130,2,FALSE),0)</f>
        <v>0.95773626374204757</v>
      </c>
      <c r="V35" s="5">
        <f>IF($E35&gt;=V$2,VLOOKUP($E35-V$2,'data input'!$D$3:$E$130,2,FALSE),0)</f>
        <v>0.96406968088707423</v>
      </c>
      <c r="W35" s="5">
        <f>IF($E35&gt;=W$2,VLOOKUP($E35-W$2,'data input'!$D$3:$E$130,2,FALSE),0)</f>
        <v>0.96960363823473861</v>
      </c>
      <c r="X35" s="5">
        <f>IF($E35&gt;=X$2,VLOOKUP($E35-X$2,'data input'!$D$3:$E$130,2,FALSE),0)</f>
        <v>0.97441194047836144</v>
      </c>
      <c r="Y35" s="5">
        <f>IF($E35&gt;=Y$2,VLOOKUP($E35-Y$2,'data input'!$D$3:$E$130,2,FALSE),0)</f>
        <v>0.97856631788584703</v>
      </c>
      <c r="Z35" s="5">
        <f>IF($E35&gt;=Z$2,VLOOKUP($E35-Z$2,'data input'!$D$3:$E$130,2,FALSE),0)</f>
        <v>0.98213557943718344</v>
      </c>
      <c r="AA35" s="5">
        <f>IF($E35&gt;=AA$2,VLOOKUP($E35-AA$2,'data input'!$D$3:$E$130,2,FALSE),0)</f>
        <v>0.98518494180739014</v>
      </c>
      <c r="AB35" s="5">
        <f>IF($E35&gt;=AB$2,VLOOKUP($E35-AB$2,'data input'!$D$3:$E$130,2,FALSE),0)</f>
        <v>0.98777552734495533</v>
      </c>
      <c r="AC35" s="5">
        <f>IF($E35&gt;=AC$2,VLOOKUP($E35-AC$2,'data input'!$D$3:$E$130,2,FALSE),0)</f>
        <v>0.98996401989972593</v>
      </c>
      <c r="AD35" s="5">
        <f>IF($E35&gt;=AD$2,VLOOKUP($E35-AD$2,'data input'!$D$3:$E$130,2,FALSE),0)</f>
        <v>0.99180246407540384</v>
      </c>
      <c r="AE35" s="5">
        <f>IF($E35&gt;=AE$2,VLOOKUP($E35-AE$2,'data input'!$D$3:$E$130,2,FALSE),0)</f>
        <v>0.99333819120801725</v>
      </c>
      <c r="AF35" s="5">
        <f>IF($E35&gt;=AF$2,VLOOKUP($E35-AF$2,'data input'!$D$3:$E$130,2,FALSE),0)</f>
        <v>0.99461385404593328</v>
      </c>
      <c r="AG35" s="5">
        <f>IF($E35&gt;=AG$2,VLOOKUP($E35-AG$2,'data input'!$D$3:$E$130,2,FALSE),0)</f>
        <v>0.99566755163698739</v>
      </c>
      <c r="AH35" s="5">
        <f>IF($E35&gt;=AH$2,VLOOKUP($E35-AH$2,'data input'!$D$3:$E$130,2,FALSE),0)</f>
        <v>0.99653302619695938</v>
      </c>
      <c r="AI35" s="5">
        <f>IF($E35&gt;=AI$2,VLOOKUP($E35-AI$2,'data input'!$D$3:$E$130,2,FALSE),0)</f>
        <v>0.99723991460873751</v>
      </c>
      <c r="AJ35" s="5">
        <f>IF($E35&gt;=AJ$2,VLOOKUP($E35-AJ$2,'data input'!$D$3:$E$130,2,FALSE),0)</f>
        <v>0.99781403854508677</v>
      </c>
      <c r="AK35" s="5">
        <f>IF($E35&gt;=AK$2,VLOOKUP($E35-AK$2,'data input'!$D$3:$E$130,2,FALSE),0)</f>
        <v>0.99827771888413241</v>
      </c>
      <c r="AL35" s="5">
        <f>IF($E35&gt;=AL$2,VLOOKUP($E35-AL$2,'data input'!$D$3:$E$130,2,FALSE),0)</f>
        <v>0.9986501019683699</v>
      </c>
      <c r="AM35" s="5">
        <f>IF($E35&gt;=AM$2,VLOOKUP($E35-AM$2,'data input'!$D$3:$E$130,2,FALSE),0)</f>
        <v>0</v>
      </c>
      <c r="AN35" s="5">
        <f>IF($E35&gt;=AN$2,VLOOKUP($E35-AN$2,'data input'!$D$3:$E$130,2,FALSE),0)</f>
        <v>0</v>
      </c>
      <c r="AO35" s="5">
        <f>IF($E35&gt;=AO$2,VLOOKUP($E35-AO$2,'data input'!$D$3:$E$130,2,FALSE),0)</f>
        <v>0</v>
      </c>
      <c r="AP35" s="5">
        <f>IF($E35&gt;=AP$2,VLOOKUP($E35-AP$2,'data input'!$D$3:$E$130,2,FALSE),0)</f>
        <v>0</v>
      </c>
      <c r="AQ35" s="5">
        <f>IF($E35&gt;=AQ$2,VLOOKUP($E35-AQ$2,'data input'!$D$3:$E$130,2,FALSE),0)</f>
        <v>0</v>
      </c>
      <c r="AR35" s="5">
        <f>IF($E35&gt;=AR$2,VLOOKUP($E35-AR$2,'data input'!$D$3:$E$130,2,FALSE),0)</f>
        <v>0</v>
      </c>
      <c r="AS35" s="5">
        <f>IF($E35&gt;=AS$2,VLOOKUP($E35-AS$2,'data input'!$D$3:$E$130,2,FALSE),0)</f>
        <v>0</v>
      </c>
      <c r="AT35" s="5">
        <f>IF($E35&gt;=AT$2,VLOOKUP($E35-AT$2,'data input'!$D$3:$E$130,2,FALSE),0)</f>
        <v>0</v>
      </c>
      <c r="AU35" s="5">
        <f>IF($E35&gt;=AU$2,VLOOKUP($E35-AU$2,'data input'!$D$3:$E$130,2,FALSE),0)</f>
        <v>0</v>
      </c>
      <c r="AV35" s="5">
        <f>IF($E35&gt;=AV$2,VLOOKUP($E35-AV$2,'data input'!$D$3:$E$130,2,FALSE),0)</f>
        <v>0</v>
      </c>
      <c r="AW35" s="5">
        <f>IF($E35&gt;=AW$2,VLOOKUP($E35-AW$2,'data input'!$D$3:$E$130,2,FALSE),0)</f>
        <v>0</v>
      </c>
      <c r="AX35" s="5">
        <f>IF($E35&gt;=AX$2,VLOOKUP($E35-AX$2,'data input'!$D$3:$E$130,2,FALSE),0)</f>
        <v>0</v>
      </c>
      <c r="AY35" s="5">
        <f>IF($E35&gt;=AY$2,VLOOKUP($E35-AY$2,'data input'!$D$3:$E$130,2,FALSE),0)</f>
        <v>0</v>
      </c>
      <c r="AZ35" s="5">
        <f>IF($E35&gt;=AZ$2,VLOOKUP($E35-AZ$2,'data input'!$D$3:$E$130,2,FALSE),0)</f>
        <v>0</v>
      </c>
      <c r="BA35" s="5">
        <f>IF($E35&gt;=BA$2,VLOOKUP($E35-BA$2,'data input'!$D$3:$E$130,2,FALSE),0)</f>
        <v>0</v>
      </c>
      <c r="BB35" s="5">
        <f>IF($E35&gt;=BB$2,VLOOKUP($E35-BB$2,'data input'!$D$3:$E$130,2,FALSE),0)</f>
        <v>0</v>
      </c>
      <c r="BC35" s="5">
        <f>IF($E35&gt;=BC$2,VLOOKUP($E35-BC$2,'data input'!$D$3:$E$130,2,FALSE),0)</f>
        <v>0</v>
      </c>
      <c r="BD35" s="5">
        <f>IF($E35&gt;=BD$2,VLOOKUP($E35-BD$2,'data input'!$D$3:$E$130,2,FALSE),0)</f>
        <v>0</v>
      </c>
      <c r="BE35" s="5">
        <f>IF($E35&gt;=BE$2,VLOOKUP($E35-BE$2,'data input'!$D$3:$E$130,2,FALSE),0)</f>
        <v>0</v>
      </c>
      <c r="BF35" s="5">
        <f>IF($E35&gt;=BF$2,VLOOKUP($E35-BF$2,'data input'!$D$3:$E$130,2,FALSE),0)</f>
        <v>0</v>
      </c>
      <c r="BG35" s="5">
        <f>IF($E35&gt;=BG$2,VLOOKUP($E35-BG$2,'data input'!$D$3:$E$130,2,FALSE),0)</f>
        <v>0</v>
      </c>
      <c r="BH35" s="5">
        <f>IF($E35&gt;=BH$2,VLOOKUP($E35-BH$2,'data input'!$D$3:$E$130,2,FALSE),0)</f>
        <v>0</v>
      </c>
      <c r="BI35" s="5">
        <f>IF($E35&gt;=BI$2,VLOOKUP($E35-BI$2,'data input'!$D$3:$E$130,2,FALSE),0)</f>
        <v>0</v>
      </c>
      <c r="BJ35" s="5">
        <f>IF($E35&gt;=BJ$2,VLOOKUP($E35-BJ$2,'data input'!$D$3:$E$130,2,FALSE),0)</f>
        <v>0</v>
      </c>
      <c r="BK35" s="5">
        <f>IF($E35&gt;=BK$2,VLOOKUP($E35-BK$2,'data input'!$D$3:$E$130,2,FALSE),0)</f>
        <v>0</v>
      </c>
      <c r="BL35" s="5">
        <f>IF($E35&gt;=BL$2,VLOOKUP($E35-BL$2,'data input'!$D$3:$E$130,2,FALSE),0)</f>
        <v>0</v>
      </c>
      <c r="BM35" s="5">
        <f>IF($E35&gt;=BM$2,VLOOKUP($E35-BM$2,'data input'!$D$3:$E$130,2,FALSE),0)</f>
        <v>0</v>
      </c>
      <c r="BN35" s="5">
        <f>IF($E35&gt;=BN$2,VLOOKUP($E35-BN$2,'data input'!$D$3:$E$130,2,FALSE),0)</f>
        <v>0</v>
      </c>
      <c r="BO35" s="5">
        <f>IF($E35&gt;=BO$2,VLOOKUP($E35-BO$2,'data input'!$D$3:$E$130,2,FALSE),0)</f>
        <v>0</v>
      </c>
      <c r="BP35" s="5">
        <f>IF($E35&gt;=BP$2,VLOOKUP($E35-BP$2,'data input'!$D$3:$E$130,2,FALSE),0)</f>
        <v>0</v>
      </c>
      <c r="BQ35" s="5">
        <f>IF($E35&gt;=BQ$2,VLOOKUP($E35-BQ$2,'data input'!$D$3:$E$130,2,FALSE),0)</f>
        <v>0</v>
      </c>
      <c r="BR35" s="5">
        <f>IF($E35&gt;=BR$2,VLOOKUP($E35-BR$2,'data input'!$D$3:$E$130,2,FALSE),0)</f>
        <v>0</v>
      </c>
      <c r="BS35" s="5">
        <f>IF($E35&gt;=BS$2,VLOOKUP($E35-BS$2,'data input'!$D$3:$E$130,2,FALSE),0)</f>
        <v>0</v>
      </c>
      <c r="BT35" s="5">
        <f>IF($E35&gt;=BT$2,VLOOKUP($E35-BT$2,'data input'!$D$3:$E$130,2,FALSE),0)</f>
        <v>0</v>
      </c>
      <c r="BU35" s="5">
        <f>IF($E35&gt;=BU$2,VLOOKUP($E35-BU$2,'data input'!$D$3:$E$130,2,FALSE),0)</f>
        <v>0</v>
      </c>
      <c r="BV35" s="5">
        <f>IF($E35&gt;=BV$2,VLOOKUP($E35-BV$2,'data input'!$D$3:$E$130,2,FALSE),0)</f>
        <v>0</v>
      </c>
      <c r="BW35" s="5">
        <f>IF($E35&gt;=BW$2,VLOOKUP($E35-BW$2,'data input'!$D$3:$E$130,2,FALSE),0)</f>
        <v>0</v>
      </c>
      <c r="BX35" s="5">
        <f>IF($E35&gt;=BX$2,VLOOKUP($E35-BX$2,'data input'!$D$3:$E$130,2,FALSE),0)</f>
        <v>0</v>
      </c>
      <c r="BY35" s="5">
        <f>IF($E35&gt;=BY$2,VLOOKUP($E35-BY$2,'data input'!$D$3:$E$130,2,FALSE),0)</f>
        <v>0</v>
      </c>
      <c r="BZ35" s="5">
        <f>IF($E35&gt;=BZ$2,VLOOKUP($E35-BZ$2,'data input'!$D$3:$E$130,2,FALSE),0)</f>
        <v>0</v>
      </c>
      <c r="CA35" s="5">
        <f>IF($E35&gt;=CA$2,VLOOKUP($E35-CA$2,'data input'!$D$3:$E$130,2,FALSE),0)</f>
        <v>0</v>
      </c>
      <c r="CB35" s="5">
        <f>IF($E35&gt;=CB$2,VLOOKUP($E35-CB$2,'data input'!$D$3:$E$130,2,FALSE),0)</f>
        <v>0</v>
      </c>
      <c r="CC35" s="5">
        <f>IF($E35&gt;=CC$2,VLOOKUP($E35-CC$2,'data input'!$D$3:$E$130,2,FALSE),0)</f>
        <v>0</v>
      </c>
      <c r="CD35" s="5">
        <f>IF($E35&gt;=CD$2,VLOOKUP($E35-CD$2,'data input'!$D$3:$E$130,2,FALSE),0)</f>
        <v>0</v>
      </c>
      <c r="CE35" s="5">
        <f>IF($E35&gt;=CE$2,VLOOKUP($E35-CE$2,'data input'!$D$3:$E$130,2,FALSE),0)</f>
        <v>0</v>
      </c>
      <c r="CF35" s="5">
        <f>IF($E35&gt;=CF$2,VLOOKUP($E35-CF$2,'data input'!$D$3:$E$130,2,FALSE),0)</f>
        <v>0</v>
      </c>
      <c r="CG35" s="5">
        <f>IF($E35&gt;=CG$2,VLOOKUP($E35-CG$2,'data input'!$D$3:$E$130,2,FALSE),0)</f>
        <v>0</v>
      </c>
      <c r="CH35" s="5">
        <f>IF($E35&gt;=CH$2,VLOOKUP($E35-CH$2,'data input'!$D$3:$E$130,2,FALSE),0)</f>
        <v>0</v>
      </c>
      <c r="CI35" s="5">
        <f>IF($E35&gt;=CI$2,VLOOKUP($E35-CI$2,'data input'!$D$3:$E$130,2,FALSE),0)</f>
        <v>0</v>
      </c>
      <c r="CJ35" s="5">
        <f>IF($E35&gt;=CJ$2,VLOOKUP($E35-CJ$2,'data input'!$D$3:$E$130,2,FALSE),0)</f>
        <v>0</v>
      </c>
      <c r="CK35" s="5">
        <f>IF($E35&gt;=CK$2,VLOOKUP($E35-CK$2,'data input'!$D$3:$E$130,2,FALSE),0)</f>
        <v>0</v>
      </c>
      <c r="CL35" s="5">
        <f>IF($E35&gt;=CL$2,VLOOKUP($E35-CL$2,'data input'!$D$3:$E$130,2,FALSE),0)</f>
        <v>0</v>
      </c>
      <c r="CM35" s="5">
        <f>IF($E35&gt;=CM$2,VLOOKUP($E35-CM$2,'data input'!$D$3:$E$130,2,FALSE),0)</f>
        <v>0</v>
      </c>
      <c r="CN35" s="5">
        <f>IF($E35&gt;=CN$2,VLOOKUP($E35-CN$2,'data input'!$D$3:$E$130,2,FALSE),0)</f>
        <v>0</v>
      </c>
      <c r="CO35" s="5">
        <f>IF($E35&gt;=CO$2,VLOOKUP($E35-CO$2,'data input'!$D$3:$E$130,2,FALSE),0)</f>
        <v>0</v>
      </c>
      <c r="CP35" s="5">
        <f>IF($E35&gt;=CP$2,VLOOKUP($E35-CP$2,'data input'!$D$3:$E$130,2,FALSE),0)</f>
        <v>0</v>
      </c>
      <c r="CQ35" s="5">
        <f>IF($E35&gt;=CQ$2,VLOOKUP($E35-CQ$2,'data input'!$D$3:$E$130,2,FALSE),0)</f>
        <v>0</v>
      </c>
      <c r="CR35" s="5">
        <f>IF($E35&gt;=CR$2,VLOOKUP($E35-CR$2,'data input'!$D$3:$E$130,2,FALSE),0)</f>
        <v>0</v>
      </c>
      <c r="CS35" s="5">
        <f>IF($E35&gt;=CS$2,VLOOKUP($E35-CS$2,'data input'!$D$3:$E$130,2,FALSE),0)</f>
        <v>0</v>
      </c>
      <c r="CT35" s="5">
        <f>IF($E35&gt;=CT$2,VLOOKUP($E35-CT$2,'data input'!$D$3:$E$130,2,FALSE),0)</f>
        <v>0</v>
      </c>
      <c r="CU35" s="5">
        <f>IF($E35&gt;=CU$2,VLOOKUP($E35-CU$2,'data input'!$D$3:$E$130,2,FALSE),0)</f>
        <v>0</v>
      </c>
      <c r="CV35" s="5">
        <f>IF($E35&gt;=CV$2,VLOOKUP($E35-CV$2,'data input'!$D$3:$E$130,2,FALSE),0)</f>
        <v>0</v>
      </c>
      <c r="CW35" s="5">
        <f>IF($E35&gt;=CW$2,VLOOKUP($E35-CW$2,'data input'!$D$3:$E$130,2,FALSE),0)</f>
        <v>0</v>
      </c>
      <c r="CX35" s="5">
        <f>IF($E35&gt;=CX$2,VLOOKUP($E35-CX$2,'data input'!$D$3:$E$130,2,FALSE),0)</f>
        <v>0</v>
      </c>
      <c r="CY35" s="5">
        <f>IF($E35&gt;=CY$2,VLOOKUP($E35-CY$2,'data input'!$D$3:$E$130,2,FALSE),0)</f>
        <v>0</v>
      </c>
      <c r="CZ35" s="5">
        <f>IF($E35&gt;=CZ$2,VLOOKUP($E35-CZ$2,'data input'!$D$3:$E$130,2,FALSE),0)</f>
        <v>0</v>
      </c>
      <c r="DA35" s="5">
        <f>IF($E35&gt;=DA$2,VLOOKUP($E35-DA$2,'data input'!$D$3:$E$130,2,FALSE),0)</f>
        <v>0</v>
      </c>
      <c r="DB35" s="5">
        <f>IF($E35&gt;=DB$2,VLOOKUP($E35-DB$2,'data input'!$D$3:$E$130,2,FALSE),0)</f>
        <v>0</v>
      </c>
      <c r="DC35" s="5">
        <f>IF($E35&gt;=DC$2,VLOOKUP($E35-DC$2,'data input'!$D$3:$E$130,2,FALSE),0)</f>
        <v>0</v>
      </c>
      <c r="DD35" s="5">
        <f>IF($E35&gt;=DD$2,VLOOKUP($E35-DD$2,'data input'!$D$3:$E$130,2,FALSE),0)</f>
        <v>0</v>
      </c>
      <c r="DE35" s="5">
        <f>IF($E35&gt;=DE$2,VLOOKUP($E35-DE$2,'data input'!$D$3:$E$130,2,FALSE),0)</f>
        <v>0</v>
      </c>
      <c r="DF35" s="5">
        <f>IF($E35&gt;=DF$2,VLOOKUP($E35-DF$2,'data input'!$D$3:$E$130,2,FALSE),0)</f>
        <v>0</v>
      </c>
      <c r="DG35" s="5">
        <f>IF($E35&gt;=DG$2,VLOOKUP($E35-DG$2,'data input'!$D$3:$E$130,2,FALSE),0)</f>
        <v>0</v>
      </c>
      <c r="DH35" s="5">
        <f>IF($E35&gt;=DH$2,VLOOKUP($E35-DH$2,'data input'!$D$3:$E$130,2,FALSE),0)</f>
        <v>0</v>
      </c>
      <c r="DI35" s="5">
        <f>IF($E35&gt;=DI$2,VLOOKUP($E35-DI$2,'data input'!$D$3:$E$130,2,FALSE),0)</f>
        <v>0</v>
      </c>
      <c r="DJ35" s="5">
        <f>IF($E35&gt;=DJ$2,VLOOKUP($E35-DJ$2,'data input'!$D$3:$E$130,2,FALSE),0)</f>
        <v>0</v>
      </c>
      <c r="DK35" s="5">
        <f>IF($E35&gt;=DK$2,VLOOKUP($E35-DK$2,'data input'!$D$3:$E$130,2,FALSE),0)</f>
        <v>0</v>
      </c>
      <c r="DL35" s="5">
        <f>IF($E35&gt;=DL$2,VLOOKUP($E35-DL$2,'data input'!$D$3:$E$130,2,FALSE),0)</f>
        <v>0</v>
      </c>
      <c r="DM35" s="5">
        <f>IF($E35&gt;=DM$2,VLOOKUP($E35-DM$2,'data input'!$D$3:$E$130,2,FALSE),0)</f>
        <v>0</v>
      </c>
      <c r="DN35" s="5">
        <f>IF($E35&gt;=DN$2,VLOOKUP($E35-DN$2,'data input'!$D$3:$E$130,2,FALSE),0)</f>
        <v>0</v>
      </c>
      <c r="DO35" s="5">
        <f>IF($E35&gt;=DO$2,VLOOKUP($E35-DO$2,'data input'!$D$3:$E$130,2,FALSE),0)</f>
        <v>0</v>
      </c>
      <c r="DP35" s="5">
        <f>IF($E35&gt;=DP$2,VLOOKUP($E35-DP$2,'data input'!$D$3:$E$130,2,FALSE),0)</f>
        <v>0</v>
      </c>
      <c r="DQ35" s="5">
        <f>IF($E35&gt;=DQ$2,VLOOKUP($E35-DQ$2,'data input'!$D$3:$E$130,2,FALSE),0)</f>
        <v>0</v>
      </c>
      <c r="DR35" s="5">
        <f>IF($E35&gt;=DR$2,VLOOKUP($E35-DR$2,'data input'!$D$3:$E$130,2,FALSE),0)</f>
        <v>0</v>
      </c>
      <c r="DS35" s="5">
        <f>IF($E35&gt;=DS$2,VLOOKUP($E35-DS$2,'data input'!$D$3:$E$130,2,FALSE),0)</f>
        <v>0</v>
      </c>
      <c r="DT35" s="5">
        <f>IF($E35&gt;=DT$2,VLOOKUP($E35-DT$2,'data input'!$D$3:$E$130,2,FALSE),0)</f>
        <v>0</v>
      </c>
      <c r="DU35" s="5">
        <f>IF($E35&gt;=DU$2,VLOOKUP($E35-DU$2,'data input'!$D$3:$E$130,2,FALSE),0)</f>
        <v>0</v>
      </c>
      <c r="DV35" s="5">
        <f>IF($E35&gt;=DV$2,VLOOKUP($E35-DV$2,'data input'!$D$3:$E$130,2,FALSE),0)</f>
        <v>0</v>
      </c>
      <c r="DW35" s="5">
        <f>IF($E35&gt;=DW$2,VLOOKUP($E35-DW$2,'data input'!$D$3:$E$130,2,FALSE),0)</f>
        <v>0</v>
      </c>
      <c r="DX35" s="5">
        <f>IF($E35&gt;=DX$2,VLOOKUP($E35-DX$2,'data input'!$D$3:$E$130,2,FALSE),0)</f>
        <v>0</v>
      </c>
      <c r="DY35" s="5">
        <f>IF($E35&gt;=DY$2,VLOOKUP($E35-DY$2,'data input'!$D$3:$E$130,2,FALSE),0)</f>
        <v>0</v>
      </c>
      <c r="DZ35" s="5">
        <f>IF($E35&gt;=DZ$2,VLOOKUP($E35-DZ$2,'data input'!$D$3:$E$130,2,FALSE),0)</f>
        <v>0</v>
      </c>
      <c r="EA35" s="5">
        <f>IF($E35&gt;=EA$2,VLOOKUP($E35-EA$2,'data input'!$D$3:$E$130,2,FALSE),0)</f>
        <v>0</v>
      </c>
      <c r="EB35" s="5">
        <f>IF($E35&gt;=EB$2,VLOOKUP($E35-EB$2,'data input'!$D$3:$E$130,2,FALSE),0)</f>
        <v>0</v>
      </c>
      <c r="EC35" s="5">
        <f>IF($E35&gt;=EC$2,VLOOKUP($E35-EC$2,'data input'!$D$3:$E$130,2,FALSE),0)</f>
        <v>0</v>
      </c>
    </row>
    <row r="36" spans="5:133">
      <c r="E36" s="7">
        <f>'data input'!B36</f>
        <v>1911</v>
      </c>
      <c r="F36" s="5">
        <f>IF($E36&gt;=F$2,VLOOKUP($E36-F$2,'data input'!$D$3:$E$130,2,FALSE),0)</f>
        <v>0.70020840453130417</v>
      </c>
      <c r="G36" s="5">
        <f>IF($E36&gt;=G$2,VLOOKUP($E36-G$2,'data input'!$D$3:$E$130,2,FALSE),0)</f>
        <v>0.72574688224992645</v>
      </c>
      <c r="H36" s="5">
        <f>IF($E36&gt;=H$2,VLOOKUP($E36-H$2,'data input'!$D$3:$E$130,2,FALSE),0)</f>
        <v>0.75016211752822304</v>
      </c>
      <c r="I36" s="5">
        <f>IF($E36&gt;=I$2,VLOOKUP($E36-I$2,'data input'!$D$3:$E$130,2,FALSE),0)</f>
        <v>0.77337264762313174</v>
      </c>
      <c r="J36" s="5">
        <f>IF($E36&gt;=J$2,VLOOKUP($E36-J$2,'data input'!$D$3:$E$130,2,FALSE),0)</f>
        <v>0.79531420465274738</v>
      </c>
      <c r="K36" s="5">
        <f>IF($E36&gt;=K$2,VLOOKUP($E36-K$2,'data input'!$D$3:$E$130,2,FALSE),0)</f>
        <v>0.81593987465324047</v>
      </c>
      <c r="L36" s="5">
        <f>IF($E36&gt;=L$2,VLOOKUP($E36-L$2,'data input'!$D$3:$E$130,2,FALSE),0)</f>
        <v>0.83521987001968967</v>
      </c>
      <c r="M36" s="5">
        <f>IF($E36&gt;=M$2,VLOOKUP($E36-M$2,'data input'!$D$3:$E$130,2,FALSE),0)</f>
        <v>0.85314094362410409</v>
      </c>
      <c r="N36" s="5">
        <f>IF($E36&gt;=N$2,VLOOKUP($E36-N$2,'data input'!$D$3:$E$130,2,FALSE),0)</f>
        <v>0.86970548286319116</v>
      </c>
      <c r="O36" s="5">
        <f>IF($E36&gt;=O$2,VLOOKUP($E36-O$2,'data input'!$D$3:$E$130,2,FALSE),0)</f>
        <v>0.88493032977829178</v>
      </c>
      <c r="P36" s="5">
        <f>IF($E36&gt;=P$2,VLOOKUP($E36-P$2,'data input'!$D$3:$E$130,2,FALSE),0)</f>
        <v>0.89884537900441408</v>
      </c>
      <c r="Q36" s="5">
        <f>IF($E36&gt;=Q$2,VLOOKUP($E36-Q$2,'data input'!$D$3:$E$130,2,FALSE),0)</f>
        <v>0.91149200856259793</v>
      </c>
      <c r="R36" s="5">
        <f>IF($E36&gt;=R$2,VLOOKUP($E36-R$2,'data input'!$D$3:$E$130,2,FALSE),0)</f>
        <v>0.92292139944792817</v>
      </c>
      <c r="S36" s="5">
        <f>IF($E36&gt;=S$2,VLOOKUP($E36-S$2,'data input'!$D$3:$E$130,2,FALSE),0)</f>
        <v>0.93319279873114191</v>
      </c>
      <c r="T36" s="5">
        <f>IF($E36&gt;=T$2,VLOOKUP($E36-T$2,'data input'!$D$3:$E$130,2,FALSE),0)</f>
        <v>0.94237177772384684</v>
      </c>
      <c r="U36" s="5">
        <f>IF($E36&gt;=U$2,VLOOKUP($E36-U$2,'data input'!$D$3:$E$130,2,FALSE),0)</f>
        <v>0.9505285319663519</v>
      </c>
      <c r="V36" s="5">
        <f>IF($E36&gt;=V$2,VLOOKUP($E36-V$2,'data input'!$D$3:$E$130,2,FALSE),0)</f>
        <v>0.95773626374204757</v>
      </c>
      <c r="W36" s="5">
        <f>IF($E36&gt;=W$2,VLOOKUP($E36-W$2,'data input'!$D$3:$E$130,2,FALSE),0)</f>
        <v>0.96406968088707423</v>
      </c>
      <c r="X36" s="5">
        <f>IF($E36&gt;=X$2,VLOOKUP($E36-X$2,'data input'!$D$3:$E$130,2,FALSE),0)</f>
        <v>0.96960363823473861</v>
      </c>
      <c r="Y36" s="5">
        <f>IF($E36&gt;=Y$2,VLOOKUP($E36-Y$2,'data input'!$D$3:$E$130,2,FALSE),0)</f>
        <v>0.97441194047836144</v>
      </c>
      <c r="Z36" s="5">
        <f>IF($E36&gt;=Z$2,VLOOKUP($E36-Z$2,'data input'!$D$3:$E$130,2,FALSE),0)</f>
        <v>0.97856631788584703</v>
      </c>
      <c r="AA36" s="5">
        <f>IF($E36&gt;=AA$2,VLOOKUP($E36-AA$2,'data input'!$D$3:$E$130,2,FALSE),0)</f>
        <v>0.98213557943718344</v>
      </c>
      <c r="AB36" s="5">
        <f>IF($E36&gt;=AB$2,VLOOKUP($E36-AB$2,'data input'!$D$3:$E$130,2,FALSE),0)</f>
        <v>0.98518494180739014</v>
      </c>
      <c r="AC36" s="5">
        <f>IF($E36&gt;=AC$2,VLOOKUP($E36-AC$2,'data input'!$D$3:$E$130,2,FALSE),0)</f>
        <v>0.98777552734495533</v>
      </c>
      <c r="AD36" s="5">
        <f>IF($E36&gt;=AD$2,VLOOKUP($E36-AD$2,'data input'!$D$3:$E$130,2,FALSE),0)</f>
        <v>0.98996401989972593</v>
      </c>
      <c r="AE36" s="5">
        <f>IF($E36&gt;=AE$2,VLOOKUP($E36-AE$2,'data input'!$D$3:$E$130,2,FALSE),0)</f>
        <v>0.99180246407540384</v>
      </c>
      <c r="AF36" s="5">
        <f>IF($E36&gt;=AF$2,VLOOKUP($E36-AF$2,'data input'!$D$3:$E$130,2,FALSE),0)</f>
        <v>0.99333819120801725</v>
      </c>
      <c r="AG36" s="5">
        <f>IF($E36&gt;=AG$2,VLOOKUP($E36-AG$2,'data input'!$D$3:$E$130,2,FALSE),0)</f>
        <v>0.99461385404593328</v>
      </c>
      <c r="AH36" s="5">
        <f>IF($E36&gt;=AH$2,VLOOKUP($E36-AH$2,'data input'!$D$3:$E$130,2,FALSE),0)</f>
        <v>0.99566755163698739</v>
      </c>
      <c r="AI36" s="5">
        <f>IF($E36&gt;=AI$2,VLOOKUP($E36-AI$2,'data input'!$D$3:$E$130,2,FALSE),0)</f>
        <v>0.99653302619695938</v>
      </c>
      <c r="AJ36" s="5">
        <f>IF($E36&gt;=AJ$2,VLOOKUP($E36-AJ$2,'data input'!$D$3:$E$130,2,FALSE),0)</f>
        <v>0.99723991460873751</v>
      </c>
      <c r="AK36" s="5">
        <f>IF($E36&gt;=AK$2,VLOOKUP($E36-AK$2,'data input'!$D$3:$E$130,2,FALSE),0)</f>
        <v>0.99781403854508677</v>
      </c>
      <c r="AL36" s="5">
        <f>IF($E36&gt;=AL$2,VLOOKUP($E36-AL$2,'data input'!$D$3:$E$130,2,FALSE),0)</f>
        <v>0.99827771888413241</v>
      </c>
      <c r="AM36" s="5">
        <f>IF($E36&gt;=AM$2,VLOOKUP($E36-AM$2,'data input'!$D$3:$E$130,2,FALSE),0)</f>
        <v>0.9986501019683699</v>
      </c>
      <c r="AN36" s="5">
        <f>IF($E36&gt;=AN$2,VLOOKUP($E36-AN$2,'data input'!$D$3:$E$130,2,FALSE),0)</f>
        <v>0</v>
      </c>
      <c r="AO36" s="5">
        <f>IF($E36&gt;=AO$2,VLOOKUP($E36-AO$2,'data input'!$D$3:$E$130,2,FALSE),0)</f>
        <v>0</v>
      </c>
      <c r="AP36" s="5">
        <f>IF($E36&gt;=AP$2,VLOOKUP($E36-AP$2,'data input'!$D$3:$E$130,2,FALSE),0)</f>
        <v>0</v>
      </c>
      <c r="AQ36" s="5">
        <f>IF($E36&gt;=AQ$2,VLOOKUP($E36-AQ$2,'data input'!$D$3:$E$130,2,FALSE),0)</f>
        <v>0</v>
      </c>
      <c r="AR36" s="5">
        <f>IF($E36&gt;=AR$2,VLOOKUP($E36-AR$2,'data input'!$D$3:$E$130,2,FALSE),0)</f>
        <v>0</v>
      </c>
      <c r="AS36" s="5">
        <f>IF($E36&gt;=AS$2,VLOOKUP($E36-AS$2,'data input'!$D$3:$E$130,2,FALSE),0)</f>
        <v>0</v>
      </c>
      <c r="AT36" s="5">
        <f>IF($E36&gt;=AT$2,VLOOKUP($E36-AT$2,'data input'!$D$3:$E$130,2,FALSE),0)</f>
        <v>0</v>
      </c>
      <c r="AU36" s="5">
        <f>IF($E36&gt;=AU$2,VLOOKUP($E36-AU$2,'data input'!$D$3:$E$130,2,FALSE),0)</f>
        <v>0</v>
      </c>
      <c r="AV36" s="5">
        <f>IF($E36&gt;=AV$2,VLOOKUP($E36-AV$2,'data input'!$D$3:$E$130,2,FALSE),0)</f>
        <v>0</v>
      </c>
      <c r="AW36" s="5">
        <f>IF($E36&gt;=AW$2,VLOOKUP($E36-AW$2,'data input'!$D$3:$E$130,2,FALSE),0)</f>
        <v>0</v>
      </c>
      <c r="AX36" s="5">
        <f>IF($E36&gt;=AX$2,VLOOKUP($E36-AX$2,'data input'!$D$3:$E$130,2,FALSE),0)</f>
        <v>0</v>
      </c>
      <c r="AY36" s="5">
        <f>IF($E36&gt;=AY$2,VLOOKUP($E36-AY$2,'data input'!$D$3:$E$130,2,FALSE),0)</f>
        <v>0</v>
      </c>
      <c r="AZ36" s="5">
        <f>IF($E36&gt;=AZ$2,VLOOKUP($E36-AZ$2,'data input'!$D$3:$E$130,2,FALSE),0)</f>
        <v>0</v>
      </c>
      <c r="BA36" s="5">
        <f>IF($E36&gt;=BA$2,VLOOKUP($E36-BA$2,'data input'!$D$3:$E$130,2,FALSE),0)</f>
        <v>0</v>
      </c>
      <c r="BB36" s="5">
        <f>IF($E36&gt;=BB$2,VLOOKUP($E36-BB$2,'data input'!$D$3:$E$130,2,FALSE),0)</f>
        <v>0</v>
      </c>
      <c r="BC36" s="5">
        <f>IF($E36&gt;=BC$2,VLOOKUP($E36-BC$2,'data input'!$D$3:$E$130,2,FALSE),0)</f>
        <v>0</v>
      </c>
      <c r="BD36" s="5">
        <f>IF($E36&gt;=BD$2,VLOOKUP($E36-BD$2,'data input'!$D$3:$E$130,2,FALSE),0)</f>
        <v>0</v>
      </c>
      <c r="BE36" s="5">
        <f>IF($E36&gt;=BE$2,VLOOKUP($E36-BE$2,'data input'!$D$3:$E$130,2,FALSE),0)</f>
        <v>0</v>
      </c>
      <c r="BF36" s="5">
        <f>IF($E36&gt;=BF$2,VLOOKUP($E36-BF$2,'data input'!$D$3:$E$130,2,FALSE),0)</f>
        <v>0</v>
      </c>
      <c r="BG36" s="5">
        <f>IF($E36&gt;=BG$2,VLOOKUP($E36-BG$2,'data input'!$D$3:$E$130,2,FALSE),0)</f>
        <v>0</v>
      </c>
      <c r="BH36" s="5">
        <f>IF($E36&gt;=BH$2,VLOOKUP($E36-BH$2,'data input'!$D$3:$E$130,2,FALSE),0)</f>
        <v>0</v>
      </c>
      <c r="BI36" s="5">
        <f>IF($E36&gt;=BI$2,VLOOKUP($E36-BI$2,'data input'!$D$3:$E$130,2,FALSE),0)</f>
        <v>0</v>
      </c>
      <c r="BJ36" s="5">
        <f>IF($E36&gt;=BJ$2,VLOOKUP($E36-BJ$2,'data input'!$D$3:$E$130,2,FALSE),0)</f>
        <v>0</v>
      </c>
      <c r="BK36" s="5">
        <f>IF($E36&gt;=BK$2,VLOOKUP($E36-BK$2,'data input'!$D$3:$E$130,2,FALSE),0)</f>
        <v>0</v>
      </c>
      <c r="BL36" s="5">
        <f>IF($E36&gt;=BL$2,VLOOKUP($E36-BL$2,'data input'!$D$3:$E$130,2,FALSE),0)</f>
        <v>0</v>
      </c>
      <c r="BM36" s="5">
        <f>IF($E36&gt;=BM$2,VLOOKUP($E36-BM$2,'data input'!$D$3:$E$130,2,FALSE),0)</f>
        <v>0</v>
      </c>
      <c r="BN36" s="5">
        <f>IF($E36&gt;=BN$2,VLOOKUP($E36-BN$2,'data input'!$D$3:$E$130,2,FALSE),0)</f>
        <v>0</v>
      </c>
      <c r="BO36" s="5">
        <f>IF($E36&gt;=BO$2,VLOOKUP($E36-BO$2,'data input'!$D$3:$E$130,2,FALSE),0)</f>
        <v>0</v>
      </c>
      <c r="BP36" s="5">
        <f>IF($E36&gt;=BP$2,VLOOKUP($E36-BP$2,'data input'!$D$3:$E$130,2,FALSE),0)</f>
        <v>0</v>
      </c>
      <c r="BQ36" s="5">
        <f>IF($E36&gt;=BQ$2,VLOOKUP($E36-BQ$2,'data input'!$D$3:$E$130,2,FALSE),0)</f>
        <v>0</v>
      </c>
      <c r="BR36" s="5">
        <f>IF($E36&gt;=BR$2,VLOOKUP($E36-BR$2,'data input'!$D$3:$E$130,2,FALSE),0)</f>
        <v>0</v>
      </c>
      <c r="BS36" s="5">
        <f>IF($E36&gt;=BS$2,VLOOKUP($E36-BS$2,'data input'!$D$3:$E$130,2,FALSE),0)</f>
        <v>0</v>
      </c>
      <c r="BT36" s="5">
        <f>IF($E36&gt;=BT$2,VLOOKUP($E36-BT$2,'data input'!$D$3:$E$130,2,FALSE),0)</f>
        <v>0</v>
      </c>
      <c r="BU36" s="5">
        <f>IF($E36&gt;=BU$2,VLOOKUP($E36-BU$2,'data input'!$D$3:$E$130,2,FALSE),0)</f>
        <v>0</v>
      </c>
      <c r="BV36" s="5">
        <f>IF($E36&gt;=BV$2,VLOOKUP($E36-BV$2,'data input'!$D$3:$E$130,2,FALSE),0)</f>
        <v>0</v>
      </c>
      <c r="BW36" s="5">
        <f>IF($E36&gt;=BW$2,VLOOKUP($E36-BW$2,'data input'!$D$3:$E$130,2,FALSE),0)</f>
        <v>0</v>
      </c>
      <c r="BX36" s="5">
        <f>IF($E36&gt;=BX$2,VLOOKUP($E36-BX$2,'data input'!$D$3:$E$130,2,FALSE),0)</f>
        <v>0</v>
      </c>
      <c r="BY36" s="5">
        <f>IF($E36&gt;=BY$2,VLOOKUP($E36-BY$2,'data input'!$D$3:$E$130,2,FALSE),0)</f>
        <v>0</v>
      </c>
      <c r="BZ36" s="5">
        <f>IF($E36&gt;=BZ$2,VLOOKUP($E36-BZ$2,'data input'!$D$3:$E$130,2,FALSE),0)</f>
        <v>0</v>
      </c>
      <c r="CA36" s="5">
        <f>IF($E36&gt;=CA$2,VLOOKUP($E36-CA$2,'data input'!$D$3:$E$130,2,FALSE),0)</f>
        <v>0</v>
      </c>
      <c r="CB36" s="5">
        <f>IF($E36&gt;=CB$2,VLOOKUP($E36-CB$2,'data input'!$D$3:$E$130,2,FALSE),0)</f>
        <v>0</v>
      </c>
      <c r="CC36" s="5">
        <f>IF($E36&gt;=CC$2,VLOOKUP($E36-CC$2,'data input'!$D$3:$E$130,2,FALSE),0)</f>
        <v>0</v>
      </c>
      <c r="CD36" s="5">
        <f>IF($E36&gt;=CD$2,VLOOKUP($E36-CD$2,'data input'!$D$3:$E$130,2,FALSE),0)</f>
        <v>0</v>
      </c>
      <c r="CE36" s="5">
        <f>IF($E36&gt;=CE$2,VLOOKUP($E36-CE$2,'data input'!$D$3:$E$130,2,FALSE),0)</f>
        <v>0</v>
      </c>
      <c r="CF36" s="5">
        <f>IF($E36&gt;=CF$2,VLOOKUP($E36-CF$2,'data input'!$D$3:$E$130,2,FALSE),0)</f>
        <v>0</v>
      </c>
      <c r="CG36" s="5">
        <f>IF($E36&gt;=CG$2,VLOOKUP($E36-CG$2,'data input'!$D$3:$E$130,2,FALSE),0)</f>
        <v>0</v>
      </c>
      <c r="CH36" s="5">
        <f>IF($E36&gt;=CH$2,VLOOKUP($E36-CH$2,'data input'!$D$3:$E$130,2,FALSE),0)</f>
        <v>0</v>
      </c>
      <c r="CI36" s="5">
        <f>IF($E36&gt;=CI$2,VLOOKUP($E36-CI$2,'data input'!$D$3:$E$130,2,FALSE),0)</f>
        <v>0</v>
      </c>
      <c r="CJ36" s="5">
        <f>IF($E36&gt;=CJ$2,VLOOKUP($E36-CJ$2,'data input'!$D$3:$E$130,2,FALSE),0)</f>
        <v>0</v>
      </c>
      <c r="CK36" s="5">
        <f>IF($E36&gt;=CK$2,VLOOKUP($E36-CK$2,'data input'!$D$3:$E$130,2,FALSE),0)</f>
        <v>0</v>
      </c>
      <c r="CL36" s="5">
        <f>IF($E36&gt;=CL$2,VLOOKUP($E36-CL$2,'data input'!$D$3:$E$130,2,FALSE),0)</f>
        <v>0</v>
      </c>
      <c r="CM36" s="5">
        <f>IF($E36&gt;=CM$2,VLOOKUP($E36-CM$2,'data input'!$D$3:$E$130,2,FALSE),0)</f>
        <v>0</v>
      </c>
      <c r="CN36" s="5">
        <f>IF($E36&gt;=CN$2,VLOOKUP($E36-CN$2,'data input'!$D$3:$E$130,2,FALSE),0)</f>
        <v>0</v>
      </c>
      <c r="CO36" s="5">
        <f>IF($E36&gt;=CO$2,VLOOKUP($E36-CO$2,'data input'!$D$3:$E$130,2,FALSE),0)</f>
        <v>0</v>
      </c>
      <c r="CP36" s="5">
        <f>IF($E36&gt;=CP$2,VLOOKUP($E36-CP$2,'data input'!$D$3:$E$130,2,FALSE),0)</f>
        <v>0</v>
      </c>
      <c r="CQ36" s="5">
        <f>IF($E36&gt;=CQ$2,VLOOKUP($E36-CQ$2,'data input'!$D$3:$E$130,2,FALSE),0)</f>
        <v>0</v>
      </c>
      <c r="CR36" s="5">
        <f>IF($E36&gt;=CR$2,VLOOKUP($E36-CR$2,'data input'!$D$3:$E$130,2,FALSE),0)</f>
        <v>0</v>
      </c>
      <c r="CS36" s="5">
        <f>IF($E36&gt;=CS$2,VLOOKUP($E36-CS$2,'data input'!$D$3:$E$130,2,FALSE),0)</f>
        <v>0</v>
      </c>
      <c r="CT36" s="5">
        <f>IF($E36&gt;=CT$2,VLOOKUP($E36-CT$2,'data input'!$D$3:$E$130,2,FALSE),0)</f>
        <v>0</v>
      </c>
      <c r="CU36" s="5">
        <f>IF($E36&gt;=CU$2,VLOOKUP($E36-CU$2,'data input'!$D$3:$E$130,2,FALSE),0)</f>
        <v>0</v>
      </c>
      <c r="CV36" s="5">
        <f>IF($E36&gt;=CV$2,VLOOKUP($E36-CV$2,'data input'!$D$3:$E$130,2,FALSE),0)</f>
        <v>0</v>
      </c>
      <c r="CW36" s="5">
        <f>IF($E36&gt;=CW$2,VLOOKUP($E36-CW$2,'data input'!$D$3:$E$130,2,FALSE),0)</f>
        <v>0</v>
      </c>
      <c r="CX36" s="5">
        <f>IF($E36&gt;=CX$2,VLOOKUP($E36-CX$2,'data input'!$D$3:$E$130,2,FALSE),0)</f>
        <v>0</v>
      </c>
      <c r="CY36" s="5">
        <f>IF($E36&gt;=CY$2,VLOOKUP($E36-CY$2,'data input'!$D$3:$E$130,2,FALSE),0)</f>
        <v>0</v>
      </c>
      <c r="CZ36" s="5">
        <f>IF($E36&gt;=CZ$2,VLOOKUP($E36-CZ$2,'data input'!$D$3:$E$130,2,FALSE),0)</f>
        <v>0</v>
      </c>
      <c r="DA36" s="5">
        <f>IF($E36&gt;=DA$2,VLOOKUP($E36-DA$2,'data input'!$D$3:$E$130,2,FALSE),0)</f>
        <v>0</v>
      </c>
      <c r="DB36" s="5">
        <f>IF($E36&gt;=DB$2,VLOOKUP($E36-DB$2,'data input'!$D$3:$E$130,2,FALSE),0)</f>
        <v>0</v>
      </c>
      <c r="DC36" s="5">
        <f>IF($E36&gt;=DC$2,VLOOKUP($E36-DC$2,'data input'!$D$3:$E$130,2,FALSE),0)</f>
        <v>0</v>
      </c>
      <c r="DD36" s="5">
        <f>IF($E36&gt;=DD$2,VLOOKUP($E36-DD$2,'data input'!$D$3:$E$130,2,FALSE),0)</f>
        <v>0</v>
      </c>
      <c r="DE36" s="5">
        <f>IF($E36&gt;=DE$2,VLOOKUP($E36-DE$2,'data input'!$D$3:$E$130,2,FALSE),0)</f>
        <v>0</v>
      </c>
      <c r="DF36" s="5">
        <f>IF($E36&gt;=DF$2,VLOOKUP($E36-DF$2,'data input'!$D$3:$E$130,2,FALSE),0)</f>
        <v>0</v>
      </c>
      <c r="DG36" s="5">
        <f>IF($E36&gt;=DG$2,VLOOKUP($E36-DG$2,'data input'!$D$3:$E$130,2,FALSE),0)</f>
        <v>0</v>
      </c>
      <c r="DH36" s="5">
        <f>IF($E36&gt;=DH$2,VLOOKUP($E36-DH$2,'data input'!$D$3:$E$130,2,FALSE),0)</f>
        <v>0</v>
      </c>
      <c r="DI36" s="5">
        <f>IF($E36&gt;=DI$2,VLOOKUP($E36-DI$2,'data input'!$D$3:$E$130,2,FALSE),0)</f>
        <v>0</v>
      </c>
      <c r="DJ36" s="5">
        <f>IF($E36&gt;=DJ$2,VLOOKUP($E36-DJ$2,'data input'!$D$3:$E$130,2,FALSE),0)</f>
        <v>0</v>
      </c>
      <c r="DK36" s="5">
        <f>IF($E36&gt;=DK$2,VLOOKUP($E36-DK$2,'data input'!$D$3:$E$130,2,FALSE),0)</f>
        <v>0</v>
      </c>
      <c r="DL36" s="5">
        <f>IF($E36&gt;=DL$2,VLOOKUP($E36-DL$2,'data input'!$D$3:$E$130,2,FALSE),0)</f>
        <v>0</v>
      </c>
      <c r="DM36" s="5">
        <f>IF($E36&gt;=DM$2,VLOOKUP($E36-DM$2,'data input'!$D$3:$E$130,2,FALSE),0)</f>
        <v>0</v>
      </c>
      <c r="DN36" s="5">
        <f>IF($E36&gt;=DN$2,VLOOKUP($E36-DN$2,'data input'!$D$3:$E$130,2,FALSE),0)</f>
        <v>0</v>
      </c>
      <c r="DO36" s="5">
        <f>IF($E36&gt;=DO$2,VLOOKUP($E36-DO$2,'data input'!$D$3:$E$130,2,FALSE),0)</f>
        <v>0</v>
      </c>
      <c r="DP36" s="5">
        <f>IF($E36&gt;=DP$2,VLOOKUP($E36-DP$2,'data input'!$D$3:$E$130,2,FALSE),0)</f>
        <v>0</v>
      </c>
      <c r="DQ36" s="5">
        <f>IF($E36&gt;=DQ$2,VLOOKUP($E36-DQ$2,'data input'!$D$3:$E$130,2,FALSE),0)</f>
        <v>0</v>
      </c>
      <c r="DR36" s="5">
        <f>IF($E36&gt;=DR$2,VLOOKUP($E36-DR$2,'data input'!$D$3:$E$130,2,FALSE),0)</f>
        <v>0</v>
      </c>
      <c r="DS36" s="5">
        <f>IF($E36&gt;=DS$2,VLOOKUP($E36-DS$2,'data input'!$D$3:$E$130,2,FALSE),0)</f>
        <v>0</v>
      </c>
      <c r="DT36" s="5">
        <f>IF($E36&gt;=DT$2,VLOOKUP($E36-DT$2,'data input'!$D$3:$E$130,2,FALSE),0)</f>
        <v>0</v>
      </c>
      <c r="DU36" s="5">
        <f>IF($E36&gt;=DU$2,VLOOKUP($E36-DU$2,'data input'!$D$3:$E$130,2,FALSE),0)</f>
        <v>0</v>
      </c>
      <c r="DV36" s="5">
        <f>IF($E36&gt;=DV$2,VLOOKUP($E36-DV$2,'data input'!$D$3:$E$130,2,FALSE),0)</f>
        <v>0</v>
      </c>
      <c r="DW36" s="5">
        <f>IF($E36&gt;=DW$2,VLOOKUP($E36-DW$2,'data input'!$D$3:$E$130,2,FALSE),0)</f>
        <v>0</v>
      </c>
      <c r="DX36" s="5">
        <f>IF($E36&gt;=DX$2,VLOOKUP($E36-DX$2,'data input'!$D$3:$E$130,2,FALSE),0)</f>
        <v>0</v>
      </c>
      <c r="DY36" s="5">
        <f>IF($E36&gt;=DY$2,VLOOKUP($E36-DY$2,'data input'!$D$3:$E$130,2,FALSE),0)</f>
        <v>0</v>
      </c>
      <c r="DZ36" s="5">
        <f>IF($E36&gt;=DZ$2,VLOOKUP($E36-DZ$2,'data input'!$D$3:$E$130,2,FALSE),0)</f>
        <v>0</v>
      </c>
      <c r="EA36" s="5">
        <f>IF($E36&gt;=EA$2,VLOOKUP($E36-EA$2,'data input'!$D$3:$E$130,2,FALSE),0)</f>
        <v>0</v>
      </c>
      <c r="EB36" s="5">
        <f>IF($E36&gt;=EB$2,VLOOKUP($E36-EB$2,'data input'!$D$3:$E$130,2,FALSE),0)</f>
        <v>0</v>
      </c>
      <c r="EC36" s="5">
        <f>IF($E36&gt;=EC$2,VLOOKUP($E36-EC$2,'data input'!$D$3:$E$130,2,FALSE),0)</f>
        <v>0</v>
      </c>
    </row>
    <row r="37" spans="5:133">
      <c r="E37" s="7">
        <f>'data input'!B37</f>
        <v>1912</v>
      </c>
      <c r="F37" s="5">
        <f>IF($E37&gt;=F$2,VLOOKUP($E37-F$2,'data input'!$D$3:$E$130,2,FALSE),0)</f>
        <v>0.67364477971207992</v>
      </c>
      <c r="G37" s="5">
        <f>IF($E37&gt;=G$2,VLOOKUP($E37-G$2,'data input'!$D$3:$E$130,2,FALSE),0)</f>
        <v>0.70020840453130417</v>
      </c>
      <c r="H37" s="5">
        <f>IF($E37&gt;=H$2,VLOOKUP($E37-H$2,'data input'!$D$3:$E$130,2,FALSE),0)</f>
        <v>0.72574688224992645</v>
      </c>
      <c r="I37" s="5">
        <f>IF($E37&gt;=I$2,VLOOKUP($E37-I$2,'data input'!$D$3:$E$130,2,FALSE),0)</f>
        <v>0.75016211752822304</v>
      </c>
      <c r="J37" s="5">
        <f>IF($E37&gt;=J$2,VLOOKUP($E37-J$2,'data input'!$D$3:$E$130,2,FALSE),0)</f>
        <v>0.77337264762313174</v>
      </c>
      <c r="K37" s="5">
        <f>IF($E37&gt;=K$2,VLOOKUP($E37-K$2,'data input'!$D$3:$E$130,2,FALSE),0)</f>
        <v>0.79531420465274738</v>
      </c>
      <c r="L37" s="5">
        <f>IF($E37&gt;=L$2,VLOOKUP($E37-L$2,'data input'!$D$3:$E$130,2,FALSE),0)</f>
        <v>0.81593987465324047</v>
      </c>
      <c r="M37" s="5">
        <f>IF($E37&gt;=M$2,VLOOKUP($E37-M$2,'data input'!$D$3:$E$130,2,FALSE),0)</f>
        <v>0.83521987001968967</v>
      </c>
      <c r="N37" s="5">
        <f>IF($E37&gt;=N$2,VLOOKUP($E37-N$2,'data input'!$D$3:$E$130,2,FALSE),0)</f>
        <v>0.85314094362410409</v>
      </c>
      <c r="O37" s="5">
        <f>IF($E37&gt;=O$2,VLOOKUP($E37-O$2,'data input'!$D$3:$E$130,2,FALSE),0)</f>
        <v>0.86970548286319116</v>
      </c>
      <c r="P37" s="5">
        <f>IF($E37&gt;=P$2,VLOOKUP($E37-P$2,'data input'!$D$3:$E$130,2,FALSE),0)</f>
        <v>0.88493032977829178</v>
      </c>
      <c r="Q37" s="5">
        <f>IF($E37&gt;=Q$2,VLOOKUP($E37-Q$2,'data input'!$D$3:$E$130,2,FALSE),0)</f>
        <v>0.89884537900441408</v>
      </c>
      <c r="R37" s="5">
        <f>IF($E37&gt;=R$2,VLOOKUP($E37-R$2,'data input'!$D$3:$E$130,2,FALSE),0)</f>
        <v>0.91149200856259793</v>
      </c>
      <c r="S37" s="5">
        <f>IF($E37&gt;=S$2,VLOOKUP($E37-S$2,'data input'!$D$3:$E$130,2,FALSE),0)</f>
        <v>0.92292139944792817</v>
      </c>
      <c r="T37" s="5">
        <f>IF($E37&gt;=T$2,VLOOKUP($E37-T$2,'data input'!$D$3:$E$130,2,FALSE),0)</f>
        <v>0.93319279873114191</v>
      </c>
      <c r="U37" s="5">
        <f>IF($E37&gt;=U$2,VLOOKUP($E37-U$2,'data input'!$D$3:$E$130,2,FALSE),0)</f>
        <v>0.94237177772384684</v>
      </c>
      <c r="V37" s="5">
        <f>IF($E37&gt;=V$2,VLOOKUP($E37-V$2,'data input'!$D$3:$E$130,2,FALSE),0)</f>
        <v>0.9505285319663519</v>
      </c>
      <c r="W37" s="5">
        <f>IF($E37&gt;=W$2,VLOOKUP($E37-W$2,'data input'!$D$3:$E$130,2,FALSE),0)</f>
        <v>0.95773626374204757</v>
      </c>
      <c r="X37" s="5">
        <f>IF($E37&gt;=X$2,VLOOKUP($E37-X$2,'data input'!$D$3:$E$130,2,FALSE),0)</f>
        <v>0.96406968088707423</v>
      </c>
      <c r="Y37" s="5">
        <f>IF($E37&gt;=Y$2,VLOOKUP($E37-Y$2,'data input'!$D$3:$E$130,2,FALSE),0)</f>
        <v>0.96960363823473861</v>
      </c>
      <c r="Z37" s="5">
        <f>IF($E37&gt;=Z$2,VLOOKUP($E37-Z$2,'data input'!$D$3:$E$130,2,FALSE),0)</f>
        <v>0.97441194047836144</v>
      </c>
      <c r="AA37" s="5">
        <f>IF($E37&gt;=AA$2,VLOOKUP($E37-AA$2,'data input'!$D$3:$E$130,2,FALSE),0)</f>
        <v>0.97856631788584703</v>
      </c>
      <c r="AB37" s="5">
        <f>IF($E37&gt;=AB$2,VLOOKUP($E37-AB$2,'data input'!$D$3:$E$130,2,FALSE),0)</f>
        <v>0.98213557943718344</v>
      </c>
      <c r="AC37" s="5">
        <f>IF($E37&gt;=AC$2,VLOOKUP($E37-AC$2,'data input'!$D$3:$E$130,2,FALSE),0)</f>
        <v>0.98518494180739014</v>
      </c>
      <c r="AD37" s="5">
        <f>IF($E37&gt;=AD$2,VLOOKUP($E37-AD$2,'data input'!$D$3:$E$130,2,FALSE),0)</f>
        <v>0.98777552734495533</v>
      </c>
      <c r="AE37" s="5">
        <f>IF($E37&gt;=AE$2,VLOOKUP($E37-AE$2,'data input'!$D$3:$E$130,2,FALSE),0)</f>
        <v>0.98996401989972593</v>
      </c>
      <c r="AF37" s="5">
        <f>IF($E37&gt;=AF$2,VLOOKUP($E37-AF$2,'data input'!$D$3:$E$130,2,FALSE),0)</f>
        <v>0.99180246407540384</v>
      </c>
      <c r="AG37" s="5">
        <f>IF($E37&gt;=AG$2,VLOOKUP($E37-AG$2,'data input'!$D$3:$E$130,2,FALSE),0)</f>
        <v>0.99333819120801725</v>
      </c>
      <c r="AH37" s="5">
        <f>IF($E37&gt;=AH$2,VLOOKUP($E37-AH$2,'data input'!$D$3:$E$130,2,FALSE),0)</f>
        <v>0.99461385404593328</v>
      </c>
      <c r="AI37" s="5">
        <f>IF($E37&gt;=AI$2,VLOOKUP($E37-AI$2,'data input'!$D$3:$E$130,2,FALSE),0)</f>
        <v>0.99566755163698739</v>
      </c>
      <c r="AJ37" s="5">
        <f>IF($E37&gt;=AJ$2,VLOOKUP($E37-AJ$2,'data input'!$D$3:$E$130,2,FALSE),0)</f>
        <v>0.99653302619695938</v>
      </c>
      <c r="AK37" s="5">
        <f>IF($E37&gt;=AK$2,VLOOKUP($E37-AK$2,'data input'!$D$3:$E$130,2,FALSE),0)</f>
        <v>0.99723991460873751</v>
      </c>
      <c r="AL37" s="5">
        <f>IF($E37&gt;=AL$2,VLOOKUP($E37-AL$2,'data input'!$D$3:$E$130,2,FALSE),0)</f>
        <v>0.99781403854508677</v>
      </c>
      <c r="AM37" s="5">
        <f>IF($E37&gt;=AM$2,VLOOKUP($E37-AM$2,'data input'!$D$3:$E$130,2,FALSE),0)</f>
        <v>0.99827771888413241</v>
      </c>
      <c r="AN37" s="5">
        <f>IF($E37&gt;=AN$2,VLOOKUP($E37-AN$2,'data input'!$D$3:$E$130,2,FALSE),0)</f>
        <v>0.9986501019683699</v>
      </c>
      <c r="AO37" s="5">
        <f>IF($E37&gt;=AO$2,VLOOKUP($E37-AO$2,'data input'!$D$3:$E$130,2,FALSE),0)</f>
        <v>0</v>
      </c>
      <c r="AP37" s="5">
        <f>IF($E37&gt;=AP$2,VLOOKUP($E37-AP$2,'data input'!$D$3:$E$130,2,FALSE),0)</f>
        <v>0</v>
      </c>
      <c r="AQ37" s="5">
        <f>IF($E37&gt;=AQ$2,VLOOKUP($E37-AQ$2,'data input'!$D$3:$E$130,2,FALSE),0)</f>
        <v>0</v>
      </c>
      <c r="AR37" s="5">
        <f>IF($E37&gt;=AR$2,VLOOKUP($E37-AR$2,'data input'!$D$3:$E$130,2,FALSE),0)</f>
        <v>0</v>
      </c>
      <c r="AS37" s="5">
        <f>IF($E37&gt;=AS$2,VLOOKUP($E37-AS$2,'data input'!$D$3:$E$130,2,FALSE),0)</f>
        <v>0</v>
      </c>
      <c r="AT37" s="5">
        <f>IF($E37&gt;=AT$2,VLOOKUP($E37-AT$2,'data input'!$D$3:$E$130,2,FALSE),0)</f>
        <v>0</v>
      </c>
      <c r="AU37" s="5">
        <f>IF($E37&gt;=AU$2,VLOOKUP($E37-AU$2,'data input'!$D$3:$E$130,2,FALSE),0)</f>
        <v>0</v>
      </c>
      <c r="AV37" s="5">
        <f>IF($E37&gt;=AV$2,VLOOKUP($E37-AV$2,'data input'!$D$3:$E$130,2,FALSE),0)</f>
        <v>0</v>
      </c>
      <c r="AW37" s="5">
        <f>IF($E37&gt;=AW$2,VLOOKUP($E37-AW$2,'data input'!$D$3:$E$130,2,FALSE),0)</f>
        <v>0</v>
      </c>
      <c r="AX37" s="5">
        <f>IF($E37&gt;=AX$2,VLOOKUP($E37-AX$2,'data input'!$D$3:$E$130,2,FALSE),0)</f>
        <v>0</v>
      </c>
      <c r="AY37" s="5">
        <f>IF($E37&gt;=AY$2,VLOOKUP($E37-AY$2,'data input'!$D$3:$E$130,2,FALSE),0)</f>
        <v>0</v>
      </c>
      <c r="AZ37" s="5">
        <f>IF($E37&gt;=AZ$2,VLOOKUP($E37-AZ$2,'data input'!$D$3:$E$130,2,FALSE),0)</f>
        <v>0</v>
      </c>
      <c r="BA37" s="5">
        <f>IF($E37&gt;=BA$2,VLOOKUP($E37-BA$2,'data input'!$D$3:$E$130,2,FALSE),0)</f>
        <v>0</v>
      </c>
      <c r="BB37" s="5">
        <f>IF($E37&gt;=BB$2,VLOOKUP($E37-BB$2,'data input'!$D$3:$E$130,2,FALSE),0)</f>
        <v>0</v>
      </c>
      <c r="BC37" s="5">
        <f>IF($E37&gt;=BC$2,VLOOKUP($E37-BC$2,'data input'!$D$3:$E$130,2,FALSE),0)</f>
        <v>0</v>
      </c>
      <c r="BD37" s="5">
        <f>IF($E37&gt;=BD$2,VLOOKUP($E37-BD$2,'data input'!$D$3:$E$130,2,FALSE),0)</f>
        <v>0</v>
      </c>
      <c r="BE37" s="5">
        <f>IF($E37&gt;=BE$2,VLOOKUP($E37-BE$2,'data input'!$D$3:$E$130,2,FALSE),0)</f>
        <v>0</v>
      </c>
      <c r="BF37" s="5">
        <f>IF($E37&gt;=BF$2,VLOOKUP($E37-BF$2,'data input'!$D$3:$E$130,2,FALSE),0)</f>
        <v>0</v>
      </c>
      <c r="BG37" s="5">
        <f>IF($E37&gt;=BG$2,VLOOKUP($E37-BG$2,'data input'!$D$3:$E$130,2,FALSE),0)</f>
        <v>0</v>
      </c>
      <c r="BH37" s="5">
        <f>IF($E37&gt;=BH$2,VLOOKUP($E37-BH$2,'data input'!$D$3:$E$130,2,FALSE),0)</f>
        <v>0</v>
      </c>
      <c r="BI37" s="5">
        <f>IF($E37&gt;=BI$2,VLOOKUP($E37-BI$2,'data input'!$D$3:$E$130,2,FALSE),0)</f>
        <v>0</v>
      </c>
      <c r="BJ37" s="5">
        <f>IF($E37&gt;=BJ$2,VLOOKUP($E37-BJ$2,'data input'!$D$3:$E$130,2,FALSE),0)</f>
        <v>0</v>
      </c>
      <c r="BK37" s="5">
        <f>IF($E37&gt;=BK$2,VLOOKUP($E37-BK$2,'data input'!$D$3:$E$130,2,FALSE),0)</f>
        <v>0</v>
      </c>
      <c r="BL37" s="5">
        <f>IF($E37&gt;=BL$2,VLOOKUP($E37-BL$2,'data input'!$D$3:$E$130,2,FALSE),0)</f>
        <v>0</v>
      </c>
      <c r="BM37" s="5">
        <f>IF($E37&gt;=BM$2,VLOOKUP($E37-BM$2,'data input'!$D$3:$E$130,2,FALSE),0)</f>
        <v>0</v>
      </c>
      <c r="BN37" s="5">
        <f>IF($E37&gt;=BN$2,VLOOKUP($E37-BN$2,'data input'!$D$3:$E$130,2,FALSE),0)</f>
        <v>0</v>
      </c>
      <c r="BO37" s="5">
        <f>IF($E37&gt;=BO$2,VLOOKUP($E37-BO$2,'data input'!$D$3:$E$130,2,FALSE),0)</f>
        <v>0</v>
      </c>
      <c r="BP37" s="5">
        <f>IF($E37&gt;=BP$2,VLOOKUP($E37-BP$2,'data input'!$D$3:$E$130,2,FALSE),0)</f>
        <v>0</v>
      </c>
      <c r="BQ37" s="5">
        <f>IF($E37&gt;=BQ$2,VLOOKUP($E37-BQ$2,'data input'!$D$3:$E$130,2,FALSE),0)</f>
        <v>0</v>
      </c>
      <c r="BR37" s="5">
        <f>IF($E37&gt;=BR$2,VLOOKUP($E37-BR$2,'data input'!$D$3:$E$130,2,FALSE),0)</f>
        <v>0</v>
      </c>
      <c r="BS37" s="5">
        <f>IF($E37&gt;=BS$2,VLOOKUP($E37-BS$2,'data input'!$D$3:$E$130,2,FALSE),0)</f>
        <v>0</v>
      </c>
      <c r="BT37" s="5">
        <f>IF($E37&gt;=BT$2,VLOOKUP($E37-BT$2,'data input'!$D$3:$E$130,2,FALSE),0)</f>
        <v>0</v>
      </c>
      <c r="BU37" s="5">
        <f>IF($E37&gt;=BU$2,VLOOKUP($E37-BU$2,'data input'!$D$3:$E$130,2,FALSE),0)</f>
        <v>0</v>
      </c>
      <c r="BV37" s="5">
        <f>IF($E37&gt;=BV$2,VLOOKUP($E37-BV$2,'data input'!$D$3:$E$130,2,FALSE),0)</f>
        <v>0</v>
      </c>
      <c r="BW37" s="5">
        <f>IF($E37&gt;=BW$2,VLOOKUP($E37-BW$2,'data input'!$D$3:$E$130,2,FALSE),0)</f>
        <v>0</v>
      </c>
      <c r="BX37" s="5">
        <f>IF($E37&gt;=BX$2,VLOOKUP($E37-BX$2,'data input'!$D$3:$E$130,2,FALSE),0)</f>
        <v>0</v>
      </c>
      <c r="BY37" s="5">
        <f>IF($E37&gt;=BY$2,VLOOKUP($E37-BY$2,'data input'!$D$3:$E$130,2,FALSE),0)</f>
        <v>0</v>
      </c>
      <c r="BZ37" s="5">
        <f>IF($E37&gt;=BZ$2,VLOOKUP($E37-BZ$2,'data input'!$D$3:$E$130,2,FALSE),0)</f>
        <v>0</v>
      </c>
      <c r="CA37" s="5">
        <f>IF($E37&gt;=CA$2,VLOOKUP($E37-CA$2,'data input'!$D$3:$E$130,2,FALSE),0)</f>
        <v>0</v>
      </c>
      <c r="CB37" s="5">
        <f>IF($E37&gt;=CB$2,VLOOKUP($E37-CB$2,'data input'!$D$3:$E$130,2,FALSE),0)</f>
        <v>0</v>
      </c>
      <c r="CC37" s="5">
        <f>IF($E37&gt;=CC$2,VLOOKUP($E37-CC$2,'data input'!$D$3:$E$130,2,FALSE),0)</f>
        <v>0</v>
      </c>
      <c r="CD37" s="5">
        <f>IF($E37&gt;=CD$2,VLOOKUP($E37-CD$2,'data input'!$D$3:$E$130,2,FALSE),0)</f>
        <v>0</v>
      </c>
      <c r="CE37" s="5">
        <f>IF($E37&gt;=CE$2,VLOOKUP($E37-CE$2,'data input'!$D$3:$E$130,2,FALSE),0)</f>
        <v>0</v>
      </c>
      <c r="CF37" s="5">
        <f>IF($E37&gt;=CF$2,VLOOKUP($E37-CF$2,'data input'!$D$3:$E$130,2,FALSE),0)</f>
        <v>0</v>
      </c>
      <c r="CG37" s="5">
        <f>IF($E37&gt;=CG$2,VLOOKUP($E37-CG$2,'data input'!$D$3:$E$130,2,FALSE),0)</f>
        <v>0</v>
      </c>
      <c r="CH37" s="5">
        <f>IF($E37&gt;=CH$2,VLOOKUP($E37-CH$2,'data input'!$D$3:$E$130,2,FALSE),0)</f>
        <v>0</v>
      </c>
      <c r="CI37" s="5">
        <f>IF($E37&gt;=CI$2,VLOOKUP($E37-CI$2,'data input'!$D$3:$E$130,2,FALSE),0)</f>
        <v>0</v>
      </c>
      <c r="CJ37" s="5">
        <f>IF($E37&gt;=CJ$2,VLOOKUP($E37-CJ$2,'data input'!$D$3:$E$130,2,FALSE),0)</f>
        <v>0</v>
      </c>
      <c r="CK37" s="5">
        <f>IF($E37&gt;=CK$2,VLOOKUP($E37-CK$2,'data input'!$D$3:$E$130,2,FALSE),0)</f>
        <v>0</v>
      </c>
      <c r="CL37" s="5">
        <f>IF($E37&gt;=CL$2,VLOOKUP($E37-CL$2,'data input'!$D$3:$E$130,2,FALSE),0)</f>
        <v>0</v>
      </c>
      <c r="CM37" s="5">
        <f>IF($E37&gt;=CM$2,VLOOKUP($E37-CM$2,'data input'!$D$3:$E$130,2,FALSE),0)</f>
        <v>0</v>
      </c>
      <c r="CN37" s="5">
        <f>IF($E37&gt;=CN$2,VLOOKUP($E37-CN$2,'data input'!$D$3:$E$130,2,FALSE),0)</f>
        <v>0</v>
      </c>
      <c r="CO37" s="5">
        <f>IF($E37&gt;=CO$2,VLOOKUP($E37-CO$2,'data input'!$D$3:$E$130,2,FALSE),0)</f>
        <v>0</v>
      </c>
      <c r="CP37" s="5">
        <f>IF($E37&gt;=CP$2,VLOOKUP($E37-CP$2,'data input'!$D$3:$E$130,2,FALSE),0)</f>
        <v>0</v>
      </c>
      <c r="CQ37" s="5">
        <f>IF($E37&gt;=CQ$2,VLOOKUP($E37-CQ$2,'data input'!$D$3:$E$130,2,FALSE),0)</f>
        <v>0</v>
      </c>
      <c r="CR37" s="5">
        <f>IF($E37&gt;=CR$2,VLOOKUP($E37-CR$2,'data input'!$D$3:$E$130,2,FALSE),0)</f>
        <v>0</v>
      </c>
      <c r="CS37" s="5">
        <f>IF($E37&gt;=CS$2,VLOOKUP($E37-CS$2,'data input'!$D$3:$E$130,2,FALSE),0)</f>
        <v>0</v>
      </c>
      <c r="CT37" s="5">
        <f>IF($E37&gt;=CT$2,VLOOKUP($E37-CT$2,'data input'!$D$3:$E$130,2,FALSE),0)</f>
        <v>0</v>
      </c>
      <c r="CU37" s="5">
        <f>IF($E37&gt;=CU$2,VLOOKUP($E37-CU$2,'data input'!$D$3:$E$130,2,FALSE),0)</f>
        <v>0</v>
      </c>
      <c r="CV37" s="5">
        <f>IF($E37&gt;=CV$2,VLOOKUP($E37-CV$2,'data input'!$D$3:$E$130,2,FALSE),0)</f>
        <v>0</v>
      </c>
      <c r="CW37" s="5">
        <f>IF($E37&gt;=CW$2,VLOOKUP($E37-CW$2,'data input'!$D$3:$E$130,2,FALSE),0)</f>
        <v>0</v>
      </c>
      <c r="CX37" s="5">
        <f>IF($E37&gt;=CX$2,VLOOKUP($E37-CX$2,'data input'!$D$3:$E$130,2,FALSE),0)</f>
        <v>0</v>
      </c>
      <c r="CY37" s="5">
        <f>IF($E37&gt;=CY$2,VLOOKUP($E37-CY$2,'data input'!$D$3:$E$130,2,FALSE),0)</f>
        <v>0</v>
      </c>
      <c r="CZ37" s="5">
        <f>IF($E37&gt;=CZ$2,VLOOKUP($E37-CZ$2,'data input'!$D$3:$E$130,2,FALSE),0)</f>
        <v>0</v>
      </c>
      <c r="DA37" s="5">
        <f>IF($E37&gt;=DA$2,VLOOKUP($E37-DA$2,'data input'!$D$3:$E$130,2,FALSE),0)</f>
        <v>0</v>
      </c>
      <c r="DB37" s="5">
        <f>IF($E37&gt;=DB$2,VLOOKUP($E37-DB$2,'data input'!$D$3:$E$130,2,FALSE),0)</f>
        <v>0</v>
      </c>
      <c r="DC37" s="5">
        <f>IF($E37&gt;=DC$2,VLOOKUP($E37-DC$2,'data input'!$D$3:$E$130,2,FALSE),0)</f>
        <v>0</v>
      </c>
      <c r="DD37" s="5">
        <f>IF($E37&gt;=DD$2,VLOOKUP($E37-DD$2,'data input'!$D$3:$E$130,2,FALSE),0)</f>
        <v>0</v>
      </c>
      <c r="DE37" s="5">
        <f>IF($E37&gt;=DE$2,VLOOKUP($E37-DE$2,'data input'!$D$3:$E$130,2,FALSE),0)</f>
        <v>0</v>
      </c>
      <c r="DF37" s="5">
        <f>IF($E37&gt;=DF$2,VLOOKUP($E37-DF$2,'data input'!$D$3:$E$130,2,FALSE),0)</f>
        <v>0</v>
      </c>
      <c r="DG37" s="5">
        <f>IF($E37&gt;=DG$2,VLOOKUP($E37-DG$2,'data input'!$D$3:$E$130,2,FALSE),0)</f>
        <v>0</v>
      </c>
      <c r="DH37" s="5">
        <f>IF($E37&gt;=DH$2,VLOOKUP($E37-DH$2,'data input'!$D$3:$E$130,2,FALSE),0)</f>
        <v>0</v>
      </c>
      <c r="DI37" s="5">
        <f>IF($E37&gt;=DI$2,VLOOKUP($E37-DI$2,'data input'!$D$3:$E$130,2,FALSE),0)</f>
        <v>0</v>
      </c>
      <c r="DJ37" s="5">
        <f>IF($E37&gt;=DJ$2,VLOOKUP($E37-DJ$2,'data input'!$D$3:$E$130,2,FALSE),0)</f>
        <v>0</v>
      </c>
      <c r="DK37" s="5">
        <f>IF($E37&gt;=DK$2,VLOOKUP($E37-DK$2,'data input'!$D$3:$E$130,2,FALSE),0)</f>
        <v>0</v>
      </c>
      <c r="DL37" s="5">
        <f>IF($E37&gt;=DL$2,VLOOKUP($E37-DL$2,'data input'!$D$3:$E$130,2,FALSE),0)</f>
        <v>0</v>
      </c>
      <c r="DM37" s="5">
        <f>IF($E37&gt;=DM$2,VLOOKUP($E37-DM$2,'data input'!$D$3:$E$130,2,FALSE),0)</f>
        <v>0</v>
      </c>
      <c r="DN37" s="5">
        <f>IF($E37&gt;=DN$2,VLOOKUP($E37-DN$2,'data input'!$D$3:$E$130,2,FALSE),0)</f>
        <v>0</v>
      </c>
      <c r="DO37" s="5">
        <f>IF($E37&gt;=DO$2,VLOOKUP($E37-DO$2,'data input'!$D$3:$E$130,2,FALSE),0)</f>
        <v>0</v>
      </c>
      <c r="DP37" s="5">
        <f>IF($E37&gt;=DP$2,VLOOKUP($E37-DP$2,'data input'!$D$3:$E$130,2,FALSE),0)</f>
        <v>0</v>
      </c>
      <c r="DQ37" s="5">
        <f>IF($E37&gt;=DQ$2,VLOOKUP($E37-DQ$2,'data input'!$D$3:$E$130,2,FALSE),0)</f>
        <v>0</v>
      </c>
      <c r="DR37" s="5">
        <f>IF($E37&gt;=DR$2,VLOOKUP($E37-DR$2,'data input'!$D$3:$E$130,2,FALSE),0)</f>
        <v>0</v>
      </c>
      <c r="DS37" s="5">
        <f>IF($E37&gt;=DS$2,VLOOKUP($E37-DS$2,'data input'!$D$3:$E$130,2,FALSE),0)</f>
        <v>0</v>
      </c>
      <c r="DT37" s="5">
        <f>IF($E37&gt;=DT$2,VLOOKUP($E37-DT$2,'data input'!$D$3:$E$130,2,FALSE),0)</f>
        <v>0</v>
      </c>
      <c r="DU37" s="5">
        <f>IF($E37&gt;=DU$2,VLOOKUP($E37-DU$2,'data input'!$D$3:$E$130,2,FALSE),0)</f>
        <v>0</v>
      </c>
      <c r="DV37" s="5">
        <f>IF($E37&gt;=DV$2,VLOOKUP($E37-DV$2,'data input'!$D$3:$E$130,2,FALSE),0)</f>
        <v>0</v>
      </c>
      <c r="DW37" s="5">
        <f>IF($E37&gt;=DW$2,VLOOKUP($E37-DW$2,'data input'!$D$3:$E$130,2,FALSE),0)</f>
        <v>0</v>
      </c>
      <c r="DX37" s="5">
        <f>IF($E37&gt;=DX$2,VLOOKUP($E37-DX$2,'data input'!$D$3:$E$130,2,FALSE),0)</f>
        <v>0</v>
      </c>
      <c r="DY37" s="5">
        <f>IF($E37&gt;=DY$2,VLOOKUP($E37-DY$2,'data input'!$D$3:$E$130,2,FALSE),0)</f>
        <v>0</v>
      </c>
      <c r="DZ37" s="5">
        <f>IF($E37&gt;=DZ$2,VLOOKUP($E37-DZ$2,'data input'!$D$3:$E$130,2,FALSE),0)</f>
        <v>0</v>
      </c>
      <c r="EA37" s="5">
        <f>IF($E37&gt;=EA$2,VLOOKUP($E37-EA$2,'data input'!$D$3:$E$130,2,FALSE),0)</f>
        <v>0</v>
      </c>
      <c r="EB37" s="5">
        <f>IF($E37&gt;=EB$2,VLOOKUP($E37-EB$2,'data input'!$D$3:$E$130,2,FALSE),0)</f>
        <v>0</v>
      </c>
      <c r="EC37" s="5">
        <f>IF($E37&gt;=EC$2,VLOOKUP($E37-EC$2,'data input'!$D$3:$E$130,2,FALSE),0)</f>
        <v>0</v>
      </c>
    </row>
    <row r="38" spans="5:133">
      <c r="E38" s="7">
        <f>'data input'!B38</f>
        <v>1913</v>
      </c>
      <c r="F38" s="5">
        <f>IF($E38&gt;=F$2,VLOOKUP($E38-F$2,'data input'!$D$3:$E$130,2,FALSE),0)</f>
        <v>0.64616976667272386</v>
      </c>
      <c r="G38" s="5">
        <f>IF($E38&gt;=G$2,VLOOKUP($E38-G$2,'data input'!$D$3:$E$130,2,FALSE),0)</f>
        <v>0.67364477971207992</v>
      </c>
      <c r="H38" s="5">
        <f>IF($E38&gt;=H$2,VLOOKUP($E38-H$2,'data input'!$D$3:$E$130,2,FALSE),0)</f>
        <v>0.70020840453130417</v>
      </c>
      <c r="I38" s="5">
        <f>IF($E38&gt;=I$2,VLOOKUP($E38-I$2,'data input'!$D$3:$E$130,2,FALSE),0)</f>
        <v>0.72574688224992645</v>
      </c>
      <c r="J38" s="5">
        <f>IF($E38&gt;=J$2,VLOOKUP($E38-J$2,'data input'!$D$3:$E$130,2,FALSE),0)</f>
        <v>0.75016211752822304</v>
      </c>
      <c r="K38" s="5">
        <f>IF($E38&gt;=K$2,VLOOKUP($E38-K$2,'data input'!$D$3:$E$130,2,FALSE),0)</f>
        <v>0.77337264762313174</v>
      </c>
      <c r="L38" s="5">
        <f>IF($E38&gt;=L$2,VLOOKUP($E38-L$2,'data input'!$D$3:$E$130,2,FALSE),0)</f>
        <v>0.79531420465274738</v>
      </c>
      <c r="M38" s="5">
        <f>IF($E38&gt;=M$2,VLOOKUP($E38-M$2,'data input'!$D$3:$E$130,2,FALSE),0)</f>
        <v>0.81593987465324047</v>
      </c>
      <c r="N38" s="5">
        <f>IF($E38&gt;=N$2,VLOOKUP($E38-N$2,'data input'!$D$3:$E$130,2,FALSE),0)</f>
        <v>0.83521987001968967</v>
      </c>
      <c r="O38" s="5">
        <f>IF($E38&gt;=O$2,VLOOKUP($E38-O$2,'data input'!$D$3:$E$130,2,FALSE),0)</f>
        <v>0.85314094362410409</v>
      </c>
      <c r="P38" s="5">
        <f>IF($E38&gt;=P$2,VLOOKUP($E38-P$2,'data input'!$D$3:$E$130,2,FALSE),0)</f>
        <v>0.86970548286319116</v>
      </c>
      <c r="Q38" s="5">
        <f>IF($E38&gt;=Q$2,VLOOKUP($E38-Q$2,'data input'!$D$3:$E$130,2,FALSE),0)</f>
        <v>0.88493032977829178</v>
      </c>
      <c r="R38" s="5">
        <f>IF($E38&gt;=R$2,VLOOKUP($E38-R$2,'data input'!$D$3:$E$130,2,FALSE),0)</f>
        <v>0.89884537900441408</v>
      </c>
      <c r="S38" s="5">
        <f>IF($E38&gt;=S$2,VLOOKUP($E38-S$2,'data input'!$D$3:$E$130,2,FALSE),0)</f>
        <v>0.91149200856259793</v>
      </c>
      <c r="T38" s="5">
        <f>IF($E38&gt;=T$2,VLOOKUP($E38-T$2,'data input'!$D$3:$E$130,2,FALSE),0)</f>
        <v>0.92292139944792817</v>
      </c>
      <c r="U38" s="5">
        <f>IF($E38&gt;=U$2,VLOOKUP($E38-U$2,'data input'!$D$3:$E$130,2,FALSE),0)</f>
        <v>0.93319279873114191</v>
      </c>
      <c r="V38" s="5">
        <f>IF($E38&gt;=V$2,VLOOKUP($E38-V$2,'data input'!$D$3:$E$130,2,FALSE),0)</f>
        <v>0.94237177772384684</v>
      </c>
      <c r="W38" s="5">
        <f>IF($E38&gt;=W$2,VLOOKUP($E38-W$2,'data input'!$D$3:$E$130,2,FALSE),0)</f>
        <v>0.9505285319663519</v>
      </c>
      <c r="X38" s="5">
        <f>IF($E38&gt;=X$2,VLOOKUP($E38-X$2,'data input'!$D$3:$E$130,2,FALSE),0)</f>
        <v>0.95773626374204757</v>
      </c>
      <c r="Y38" s="5">
        <f>IF($E38&gt;=Y$2,VLOOKUP($E38-Y$2,'data input'!$D$3:$E$130,2,FALSE),0)</f>
        <v>0.96406968088707423</v>
      </c>
      <c r="Z38" s="5">
        <f>IF($E38&gt;=Z$2,VLOOKUP($E38-Z$2,'data input'!$D$3:$E$130,2,FALSE),0)</f>
        <v>0.96960363823473861</v>
      </c>
      <c r="AA38" s="5">
        <f>IF($E38&gt;=AA$2,VLOOKUP($E38-AA$2,'data input'!$D$3:$E$130,2,FALSE),0)</f>
        <v>0.97441194047836144</v>
      </c>
      <c r="AB38" s="5">
        <f>IF($E38&gt;=AB$2,VLOOKUP($E38-AB$2,'data input'!$D$3:$E$130,2,FALSE),0)</f>
        <v>0.97856631788584703</v>
      </c>
      <c r="AC38" s="5">
        <f>IF($E38&gt;=AC$2,VLOOKUP($E38-AC$2,'data input'!$D$3:$E$130,2,FALSE),0)</f>
        <v>0.98213557943718344</v>
      </c>
      <c r="AD38" s="5">
        <f>IF($E38&gt;=AD$2,VLOOKUP($E38-AD$2,'data input'!$D$3:$E$130,2,FALSE),0)</f>
        <v>0.98518494180739014</v>
      </c>
      <c r="AE38" s="5">
        <f>IF($E38&gt;=AE$2,VLOOKUP($E38-AE$2,'data input'!$D$3:$E$130,2,FALSE),0)</f>
        <v>0.98777552734495533</v>
      </c>
      <c r="AF38" s="5">
        <f>IF($E38&gt;=AF$2,VLOOKUP($E38-AF$2,'data input'!$D$3:$E$130,2,FALSE),0)</f>
        <v>0.98996401989972593</v>
      </c>
      <c r="AG38" s="5">
        <f>IF($E38&gt;=AG$2,VLOOKUP($E38-AG$2,'data input'!$D$3:$E$130,2,FALSE),0)</f>
        <v>0.99180246407540384</v>
      </c>
      <c r="AH38" s="5">
        <f>IF($E38&gt;=AH$2,VLOOKUP($E38-AH$2,'data input'!$D$3:$E$130,2,FALSE),0)</f>
        <v>0.99333819120801725</v>
      </c>
      <c r="AI38" s="5">
        <f>IF($E38&gt;=AI$2,VLOOKUP($E38-AI$2,'data input'!$D$3:$E$130,2,FALSE),0)</f>
        <v>0.99461385404593328</v>
      </c>
      <c r="AJ38" s="5">
        <f>IF($E38&gt;=AJ$2,VLOOKUP($E38-AJ$2,'data input'!$D$3:$E$130,2,FALSE),0)</f>
        <v>0.99566755163698739</v>
      </c>
      <c r="AK38" s="5">
        <f>IF($E38&gt;=AK$2,VLOOKUP($E38-AK$2,'data input'!$D$3:$E$130,2,FALSE),0)</f>
        <v>0.99653302619695938</v>
      </c>
      <c r="AL38" s="5">
        <f>IF($E38&gt;=AL$2,VLOOKUP($E38-AL$2,'data input'!$D$3:$E$130,2,FALSE),0)</f>
        <v>0.99723991460873751</v>
      </c>
      <c r="AM38" s="5">
        <f>IF($E38&gt;=AM$2,VLOOKUP($E38-AM$2,'data input'!$D$3:$E$130,2,FALSE),0)</f>
        <v>0.99781403854508677</v>
      </c>
      <c r="AN38" s="5">
        <f>IF($E38&gt;=AN$2,VLOOKUP($E38-AN$2,'data input'!$D$3:$E$130,2,FALSE),0)</f>
        <v>0.99827771888413241</v>
      </c>
      <c r="AO38" s="5">
        <f>IF($E38&gt;=AO$2,VLOOKUP($E38-AO$2,'data input'!$D$3:$E$130,2,FALSE),0)</f>
        <v>0.9986501019683699</v>
      </c>
      <c r="AP38" s="5">
        <f>IF($E38&gt;=AP$2,VLOOKUP($E38-AP$2,'data input'!$D$3:$E$130,2,FALSE),0)</f>
        <v>0</v>
      </c>
      <c r="AQ38" s="5">
        <f>IF($E38&gt;=AQ$2,VLOOKUP($E38-AQ$2,'data input'!$D$3:$E$130,2,FALSE),0)</f>
        <v>0</v>
      </c>
      <c r="AR38" s="5">
        <f>IF($E38&gt;=AR$2,VLOOKUP($E38-AR$2,'data input'!$D$3:$E$130,2,FALSE),0)</f>
        <v>0</v>
      </c>
      <c r="AS38" s="5">
        <f>IF($E38&gt;=AS$2,VLOOKUP($E38-AS$2,'data input'!$D$3:$E$130,2,FALSE),0)</f>
        <v>0</v>
      </c>
      <c r="AT38" s="5">
        <f>IF($E38&gt;=AT$2,VLOOKUP($E38-AT$2,'data input'!$D$3:$E$130,2,FALSE),0)</f>
        <v>0</v>
      </c>
      <c r="AU38" s="5">
        <f>IF($E38&gt;=AU$2,VLOOKUP($E38-AU$2,'data input'!$D$3:$E$130,2,FALSE),0)</f>
        <v>0</v>
      </c>
      <c r="AV38" s="5">
        <f>IF($E38&gt;=AV$2,VLOOKUP($E38-AV$2,'data input'!$D$3:$E$130,2,FALSE),0)</f>
        <v>0</v>
      </c>
      <c r="AW38" s="5">
        <f>IF($E38&gt;=AW$2,VLOOKUP($E38-AW$2,'data input'!$D$3:$E$130,2,FALSE),0)</f>
        <v>0</v>
      </c>
      <c r="AX38" s="5">
        <f>IF($E38&gt;=AX$2,VLOOKUP($E38-AX$2,'data input'!$D$3:$E$130,2,FALSE),0)</f>
        <v>0</v>
      </c>
      <c r="AY38" s="5">
        <f>IF($E38&gt;=AY$2,VLOOKUP($E38-AY$2,'data input'!$D$3:$E$130,2,FALSE),0)</f>
        <v>0</v>
      </c>
      <c r="AZ38" s="5">
        <f>IF($E38&gt;=AZ$2,VLOOKUP($E38-AZ$2,'data input'!$D$3:$E$130,2,FALSE),0)</f>
        <v>0</v>
      </c>
      <c r="BA38" s="5">
        <f>IF($E38&gt;=BA$2,VLOOKUP($E38-BA$2,'data input'!$D$3:$E$130,2,FALSE),0)</f>
        <v>0</v>
      </c>
      <c r="BB38" s="5">
        <f>IF($E38&gt;=BB$2,VLOOKUP($E38-BB$2,'data input'!$D$3:$E$130,2,FALSE),0)</f>
        <v>0</v>
      </c>
      <c r="BC38" s="5">
        <f>IF($E38&gt;=BC$2,VLOOKUP($E38-BC$2,'data input'!$D$3:$E$130,2,FALSE),0)</f>
        <v>0</v>
      </c>
      <c r="BD38" s="5">
        <f>IF($E38&gt;=BD$2,VLOOKUP($E38-BD$2,'data input'!$D$3:$E$130,2,FALSE),0)</f>
        <v>0</v>
      </c>
      <c r="BE38" s="5">
        <f>IF($E38&gt;=BE$2,VLOOKUP($E38-BE$2,'data input'!$D$3:$E$130,2,FALSE),0)</f>
        <v>0</v>
      </c>
      <c r="BF38" s="5">
        <f>IF($E38&gt;=BF$2,VLOOKUP($E38-BF$2,'data input'!$D$3:$E$130,2,FALSE),0)</f>
        <v>0</v>
      </c>
      <c r="BG38" s="5">
        <f>IF($E38&gt;=BG$2,VLOOKUP($E38-BG$2,'data input'!$D$3:$E$130,2,FALSE),0)</f>
        <v>0</v>
      </c>
      <c r="BH38" s="5">
        <f>IF($E38&gt;=BH$2,VLOOKUP($E38-BH$2,'data input'!$D$3:$E$130,2,FALSE),0)</f>
        <v>0</v>
      </c>
      <c r="BI38" s="5">
        <f>IF($E38&gt;=BI$2,VLOOKUP($E38-BI$2,'data input'!$D$3:$E$130,2,FALSE),0)</f>
        <v>0</v>
      </c>
      <c r="BJ38" s="5">
        <f>IF($E38&gt;=BJ$2,VLOOKUP($E38-BJ$2,'data input'!$D$3:$E$130,2,FALSE),0)</f>
        <v>0</v>
      </c>
      <c r="BK38" s="5">
        <f>IF($E38&gt;=BK$2,VLOOKUP($E38-BK$2,'data input'!$D$3:$E$130,2,FALSE),0)</f>
        <v>0</v>
      </c>
      <c r="BL38" s="5">
        <f>IF($E38&gt;=BL$2,VLOOKUP($E38-BL$2,'data input'!$D$3:$E$130,2,FALSE),0)</f>
        <v>0</v>
      </c>
      <c r="BM38" s="5">
        <f>IF($E38&gt;=BM$2,VLOOKUP($E38-BM$2,'data input'!$D$3:$E$130,2,FALSE),0)</f>
        <v>0</v>
      </c>
      <c r="BN38" s="5">
        <f>IF($E38&gt;=BN$2,VLOOKUP($E38-BN$2,'data input'!$D$3:$E$130,2,FALSE),0)</f>
        <v>0</v>
      </c>
      <c r="BO38" s="5">
        <f>IF($E38&gt;=BO$2,VLOOKUP($E38-BO$2,'data input'!$D$3:$E$130,2,FALSE),0)</f>
        <v>0</v>
      </c>
      <c r="BP38" s="5">
        <f>IF($E38&gt;=BP$2,VLOOKUP($E38-BP$2,'data input'!$D$3:$E$130,2,FALSE),0)</f>
        <v>0</v>
      </c>
      <c r="BQ38" s="5">
        <f>IF($E38&gt;=BQ$2,VLOOKUP($E38-BQ$2,'data input'!$D$3:$E$130,2,FALSE),0)</f>
        <v>0</v>
      </c>
      <c r="BR38" s="5">
        <f>IF($E38&gt;=BR$2,VLOOKUP($E38-BR$2,'data input'!$D$3:$E$130,2,FALSE),0)</f>
        <v>0</v>
      </c>
      <c r="BS38" s="5">
        <f>IF($E38&gt;=BS$2,VLOOKUP($E38-BS$2,'data input'!$D$3:$E$130,2,FALSE),0)</f>
        <v>0</v>
      </c>
      <c r="BT38" s="5">
        <f>IF($E38&gt;=BT$2,VLOOKUP($E38-BT$2,'data input'!$D$3:$E$130,2,FALSE),0)</f>
        <v>0</v>
      </c>
      <c r="BU38" s="5">
        <f>IF($E38&gt;=BU$2,VLOOKUP($E38-BU$2,'data input'!$D$3:$E$130,2,FALSE),0)</f>
        <v>0</v>
      </c>
      <c r="BV38" s="5">
        <f>IF($E38&gt;=BV$2,VLOOKUP($E38-BV$2,'data input'!$D$3:$E$130,2,FALSE),0)</f>
        <v>0</v>
      </c>
      <c r="BW38" s="5">
        <f>IF($E38&gt;=BW$2,VLOOKUP($E38-BW$2,'data input'!$D$3:$E$130,2,FALSE),0)</f>
        <v>0</v>
      </c>
      <c r="BX38" s="5">
        <f>IF($E38&gt;=BX$2,VLOOKUP($E38-BX$2,'data input'!$D$3:$E$130,2,FALSE),0)</f>
        <v>0</v>
      </c>
      <c r="BY38" s="5">
        <f>IF($E38&gt;=BY$2,VLOOKUP($E38-BY$2,'data input'!$D$3:$E$130,2,FALSE),0)</f>
        <v>0</v>
      </c>
      <c r="BZ38" s="5">
        <f>IF($E38&gt;=BZ$2,VLOOKUP($E38-BZ$2,'data input'!$D$3:$E$130,2,FALSE),0)</f>
        <v>0</v>
      </c>
      <c r="CA38" s="5">
        <f>IF($E38&gt;=CA$2,VLOOKUP($E38-CA$2,'data input'!$D$3:$E$130,2,FALSE),0)</f>
        <v>0</v>
      </c>
      <c r="CB38" s="5">
        <f>IF($E38&gt;=CB$2,VLOOKUP($E38-CB$2,'data input'!$D$3:$E$130,2,FALSE),0)</f>
        <v>0</v>
      </c>
      <c r="CC38" s="5">
        <f>IF($E38&gt;=CC$2,VLOOKUP($E38-CC$2,'data input'!$D$3:$E$130,2,FALSE),0)</f>
        <v>0</v>
      </c>
      <c r="CD38" s="5">
        <f>IF($E38&gt;=CD$2,VLOOKUP($E38-CD$2,'data input'!$D$3:$E$130,2,FALSE),0)</f>
        <v>0</v>
      </c>
      <c r="CE38" s="5">
        <f>IF($E38&gt;=CE$2,VLOOKUP($E38-CE$2,'data input'!$D$3:$E$130,2,FALSE),0)</f>
        <v>0</v>
      </c>
      <c r="CF38" s="5">
        <f>IF($E38&gt;=CF$2,VLOOKUP($E38-CF$2,'data input'!$D$3:$E$130,2,FALSE),0)</f>
        <v>0</v>
      </c>
      <c r="CG38" s="5">
        <f>IF($E38&gt;=CG$2,VLOOKUP($E38-CG$2,'data input'!$D$3:$E$130,2,FALSE),0)</f>
        <v>0</v>
      </c>
      <c r="CH38" s="5">
        <f>IF($E38&gt;=CH$2,VLOOKUP($E38-CH$2,'data input'!$D$3:$E$130,2,FALSE),0)</f>
        <v>0</v>
      </c>
      <c r="CI38" s="5">
        <f>IF($E38&gt;=CI$2,VLOOKUP($E38-CI$2,'data input'!$D$3:$E$130,2,FALSE),0)</f>
        <v>0</v>
      </c>
      <c r="CJ38" s="5">
        <f>IF($E38&gt;=CJ$2,VLOOKUP($E38-CJ$2,'data input'!$D$3:$E$130,2,FALSE),0)</f>
        <v>0</v>
      </c>
      <c r="CK38" s="5">
        <f>IF($E38&gt;=CK$2,VLOOKUP($E38-CK$2,'data input'!$D$3:$E$130,2,FALSE),0)</f>
        <v>0</v>
      </c>
      <c r="CL38" s="5">
        <f>IF($E38&gt;=CL$2,VLOOKUP($E38-CL$2,'data input'!$D$3:$E$130,2,FALSE),0)</f>
        <v>0</v>
      </c>
      <c r="CM38" s="5">
        <f>IF($E38&gt;=CM$2,VLOOKUP($E38-CM$2,'data input'!$D$3:$E$130,2,FALSE),0)</f>
        <v>0</v>
      </c>
      <c r="CN38" s="5">
        <f>IF($E38&gt;=CN$2,VLOOKUP($E38-CN$2,'data input'!$D$3:$E$130,2,FALSE),0)</f>
        <v>0</v>
      </c>
      <c r="CO38" s="5">
        <f>IF($E38&gt;=CO$2,VLOOKUP($E38-CO$2,'data input'!$D$3:$E$130,2,FALSE),0)</f>
        <v>0</v>
      </c>
      <c r="CP38" s="5">
        <f>IF($E38&gt;=CP$2,VLOOKUP($E38-CP$2,'data input'!$D$3:$E$130,2,FALSE),0)</f>
        <v>0</v>
      </c>
      <c r="CQ38" s="5">
        <f>IF($E38&gt;=CQ$2,VLOOKUP($E38-CQ$2,'data input'!$D$3:$E$130,2,FALSE),0)</f>
        <v>0</v>
      </c>
      <c r="CR38" s="5">
        <f>IF($E38&gt;=CR$2,VLOOKUP($E38-CR$2,'data input'!$D$3:$E$130,2,FALSE),0)</f>
        <v>0</v>
      </c>
      <c r="CS38" s="5">
        <f>IF($E38&gt;=CS$2,VLOOKUP($E38-CS$2,'data input'!$D$3:$E$130,2,FALSE),0)</f>
        <v>0</v>
      </c>
      <c r="CT38" s="5">
        <f>IF($E38&gt;=CT$2,VLOOKUP($E38-CT$2,'data input'!$D$3:$E$130,2,FALSE),0)</f>
        <v>0</v>
      </c>
      <c r="CU38" s="5">
        <f>IF($E38&gt;=CU$2,VLOOKUP($E38-CU$2,'data input'!$D$3:$E$130,2,FALSE),0)</f>
        <v>0</v>
      </c>
      <c r="CV38" s="5">
        <f>IF($E38&gt;=CV$2,VLOOKUP($E38-CV$2,'data input'!$D$3:$E$130,2,FALSE),0)</f>
        <v>0</v>
      </c>
      <c r="CW38" s="5">
        <f>IF($E38&gt;=CW$2,VLOOKUP($E38-CW$2,'data input'!$D$3:$E$130,2,FALSE),0)</f>
        <v>0</v>
      </c>
      <c r="CX38" s="5">
        <f>IF($E38&gt;=CX$2,VLOOKUP($E38-CX$2,'data input'!$D$3:$E$130,2,FALSE),0)</f>
        <v>0</v>
      </c>
      <c r="CY38" s="5">
        <f>IF($E38&gt;=CY$2,VLOOKUP($E38-CY$2,'data input'!$D$3:$E$130,2,FALSE),0)</f>
        <v>0</v>
      </c>
      <c r="CZ38" s="5">
        <f>IF($E38&gt;=CZ$2,VLOOKUP($E38-CZ$2,'data input'!$D$3:$E$130,2,FALSE),0)</f>
        <v>0</v>
      </c>
      <c r="DA38" s="5">
        <f>IF($E38&gt;=DA$2,VLOOKUP($E38-DA$2,'data input'!$D$3:$E$130,2,FALSE),0)</f>
        <v>0</v>
      </c>
      <c r="DB38" s="5">
        <f>IF($E38&gt;=DB$2,VLOOKUP($E38-DB$2,'data input'!$D$3:$E$130,2,FALSE),0)</f>
        <v>0</v>
      </c>
      <c r="DC38" s="5">
        <f>IF($E38&gt;=DC$2,VLOOKUP($E38-DC$2,'data input'!$D$3:$E$130,2,FALSE),0)</f>
        <v>0</v>
      </c>
      <c r="DD38" s="5">
        <f>IF($E38&gt;=DD$2,VLOOKUP($E38-DD$2,'data input'!$D$3:$E$130,2,FALSE),0)</f>
        <v>0</v>
      </c>
      <c r="DE38" s="5">
        <f>IF($E38&gt;=DE$2,VLOOKUP($E38-DE$2,'data input'!$D$3:$E$130,2,FALSE),0)</f>
        <v>0</v>
      </c>
      <c r="DF38" s="5">
        <f>IF($E38&gt;=DF$2,VLOOKUP($E38-DF$2,'data input'!$D$3:$E$130,2,FALSE),0)</f>
        <v>0</v>
      </c>
      <c r="DG38" s="5">
        <f>IF($E38&gt;=DG$2,VLOOKUP($E38-DG$2,'data input'!$D$3:$E$130,2,FALSE),0)</f>
        <v>0</v>
      </c>
      <c r="DH38" s="5">
        <f>IF($E38&gt;=DH$2,VLOOKUP($E38-DH$2,'data input'!$D$3:$E$130,2,FALSE),0)</f>
        <v>0</v>
      </c>
      <c r="DI38" s="5">
        <f>IF($E38&gt;=DI$2,VLOOKUP($E38-DI$2,'data input'!$D$3:$E$130,2,FALSE),0)</f>
        <v>0</v>
      </c>
      <c r="DJ38" s="5">
        <f>IF($E38&gt;=DJ$2,VLOOKUP($E38-DJ$2,'data input'!$D$3:$E$130,2,FALSE),0)</f>
        <v>0</v>
      </c>
      <c r="DK38" s="5">
        <f>IF($E38&gt;=DK$2,VLOOKUP($E38-DK$2,'data input'!$D$3:$E$130,2,FALSE),0)</f>
        <v>0</v>
      </c>
      <c r="DL38" s="5">
        <f>IF($E38&gt;=DL$2,VLOOKUP($E38-DL$2,'data input'!$D$3:$E$130,2,FALSE),0)</f>
        <v>0</v>
      </c>
      <c r="DM38" s="5">
        <f>IF($E38&gt;=DM$2,VLOOKUP($E38-DM$2,'data input'!$D$3:$E$130,2,FALSE),0)</f>
        <v>0</v>
      </c>
      <c r="DN38" s="5">
        <f>IF($E38&gt;=DN$2,VLOOKUP($E38-DN$2,'data input'!$D$3:$E$130,2,FALSE),0)</f>
        <v>0</v>
      </c>
      <c r="DO38" s="5">
        <f>IF($E38&gt;=DO$2,VLOOKUP($E38-DO$2,'data input'!$D$3:$E$130,2,FALSE),0)</f>
        <v>0</v>
      </c>
      <c r="DP38" s="5">
        <f>IF($E38&gt;=DP$2,VLOOKUP($E38-DP$2,'data input'!$D$3:$E$130,2,FALSE),0)</f>
        <v>0</v>
      </c>
      <c r="DQ38" s="5">
        <f>IF($E38&gt;=DQ$2,VLOOKUP($E38-DQ$2,'data input'!$D$3:$E$130,2,FALSE),0)</f>
        <v>0</v>
      </c>
      <c r="DR38" s="5">
        <f>IF($E38&gt;=DR$2,VLOOKUP($E38-DR$2,'data input'!$D$3:$E$130,2,FALSE),0)</f>
        <v>0</v>
      </c>
      <c r="DS38" s="5">
        <f>IF($E38&gt;=DS$2,VLOOKUP($E38-DS$2,'data input'!$D$3:$E$130,2,FALSE),0)</f>
        <v>0</v>
      </c>
      <c r="DT38" s="5">
        <f>IF($E38&gt;=DT$2,VLOOKUP($E38-DT$2,'data input'!$D$3:$E$130,2,FALSE),0)</f>
        <v>0</v>
      </c>
      <c r="DU38" s="5">
        <f>IF($E38&gt;=DU$2,VLOOKUP($E38-DU$2,'data input'!$D$3:$E$130,2,FALSE),0)</f>
        <v>0</v>
      </c>
      <c r="DV38" s="5">
        <f>IF($E38&gt;=DV$2,VLOOKUP($E38-DV$2,'data input'!$D$3:$E$130,2,FALSE),0)</f>
        <v>0</v>
      </c>
      <c r="DW38" s="5">
        <f>IF($E38&gt;=DW$2,VLOOKUP($E38-DW$2,'data input'!$D$3:$E$130,2,FALSE),0)</f>
        <v>0</v>
      </c>
      <c r="DX38" s="5">
        <f>IF($E38&gt;=DX$2,VLOOKUP($E38-DX$2,'data input'!$D$3:$E$130,2,FALSE),0)</f>
        <v>0</v>
      </c>
      <c r="DY38" s="5">
        <f>IF($E38&gt;=DY$2,VLOOKUP($E38-DY$2,'data input'!$D$3:$E$130,2,FALSE),0)</f>
        <v>0</v>
      </c>
      <c r="DZ38" s="5">
        <f>IF($E38&gt;=DZ$2,VLOOKUP($E38-DZ$2,'data input'!$D$3:$E$130,2,FALSE),0)</f>
        <v>0</v>
      </c>
      <c r="EA38" s="5">
        <f>IF($E38&gt;=EA$2,VLOOKUP($E38-EA$2,'data input'!$D$3:$E$130,2,FALSE),0)</f>
        <v>0</v>
      </c>
      <c r="EB38" s="5">
        <f>IF($E38&gt;=EB$2,VLOOKUP($E38-EB$2,'data input'!$D$3:$E$130,2,FALSE),0)</f>
        <v>0</v>
      </c>
      <c r="EC38" s="5">
        <f>IF($E38&gt;=EC$2,VLOOKUP($E38-EC$2,'data input'!$D$3:$E$130,2,FALSE),0)</f>
        <v>0</v>
      </c>
    </row>
    <row r="39" spans="5:133">
      <c r="E39" s="7">
        <f>'data input'!B39</f>
        <v>1914</v>
      </c>
      <c r="F39" s="5">
        <f>IF($E39&gt;=F$2,VLOOKUP($E39-F$2,'data input'!$D$3:$E$130,2,FALSE),0)</f>
        <v>0.61791142218895267</v>
      </c>
      <c r="G39" s="5">
        <f>IF($E39&gt;=G$2,VLOOKUP($E39-G$2,'data input'!$D$3:$E$130,2,FALSE),0)</f>
        <v>0.64616976667272386</v>
      </c>
      <c r="H39" s="5">
        <f>IF($E39&gt;=H$2,VLOOKUP($E39-H$2,'data input'!$D$3:$E$130,2,FALSE),0)</f>
        <v>0.67364477971207992</v>
      </c>
      <c r="I39" s="5">
        <f>IF($E39&gt;=I$2,VLOOKUP($E39-I$2,'data input'!$D$3:$E$130,2,FALSE),0)</f>
        <v>0.70020840453130417</v>
      </c>
      <c r="J39" s="5">
        <f>IF($E39&gt;=J$2,VLOOKUP($E39-J$2,'data input'!$D$3:$E$130,2,FALSE),0)</f>
        <v>0.72574688224992645</v>
      </c>
      <c r="K39" s="5">
        <f>IF($E39&gt;=K$2,VLOOKUP($E39-K$2,'data input'!$D$3:$E$130,2,FALSE),0)</f>
        <v>0.75016211752822304</v>
      </c>
      <c r="L39" s="5">
        <f>IF($E39&gt;=L$2,VLOOKUP($E39-L$2,'data input'!$D$3:$E$130,2,FALSE),0)</f>
        <v>0.77337264762313174</v>
      </c>
      <c r="M39" s="5">
        <f>IF($E39&gt;=M$2,VLOOKUP($E39-M$2,'data input'!$D$3:$E$130,2,FALSE),0)</f>
        <v>0.79531420465274738</v>
      </c>
      <c r="N39" s="5">
        <f>IF($E39&gt;=N$2,VLOOKUP($E39-N$2,'data input'!$D$3:$E$130,2,FALSE),0)</f>
        <v>0.81593987465324047</v>
      </c>
      <c r="O39" s="5">
        <f>IF($E39&gt;=O$2,VLOOKUP($E39-O$2,'data input'!$D$3:$E$130,2,FALSE),0)</f>
        <v>0.83521987001968967</v>
      </c>
      <c r="P39" s="5">
        <f>IF($E39&gt;=P$2,VLOOKUP($E39-P$2,'data input'!$D$3:$E$130,2,FALSE),0)</f>
        <v>0.85314094362410409</v>
      </c>
      <c r="Q39" s="5">
        <f>IF($E39&gt;=Q$2,VLOOKUP($E39-Q$2,'data input'!$D$3:$E$130,2,FALSE),0)</f>
        <v>0.86970548286319116</v>
      </c>
      <c r="R39" s="5">
        <f>IF($E39&gt;=R$2,VLOOKUP($E39-R$2,'data input'!$D$3:$E$130,2,FALSE),0)</f>
        <v>0.88493032977829178</v>
      </c>
      <c r="S39" s="5">
        <f>IF($E39&gt;=S$2,VLOOKUP($E39-S$2,'data input'!$D$3:$E$130,2,FALSE),0)</f>
        <v>0.89884537900441408</v>
      </c>
      <c r="T39" s="5">
        <f>IF($E39&gt;=T$2,VLOOKUP($E39-T$2,'data input'!$D$3:$E$130,2,FALSE),0)</f>
        <v>0.91149200856259793</v>
      </c>
      <c r="U39" s="5">
        <f>IF($E39&gt;=U$2,VLOOKUP($E39-U$2,'data input'!$D$3:$E$130,2,FALSE),0)</f>
        <v>0.92292139944792817</v>
      </c>
      <c r="V39" s="5">
        <f>IF($E39&gt;=V$2,VLOOKUP($E39-V$2,'data input'!$D$3:$E$130,2,FALSE),0)</f>
        <v>0.93319279873114191</v>
      </c>
      <c r="W39" s="5">
        <f>IF($E39&gt;=W$2,VLOOKUP($E39-W$2,'data input'!$D$3:$E$130,2,FALSE),0)</f>
        <v>0.94237177772384684</v>
      </c>
      <c r="X39" s="5">
        <f>IF($E39&gt;=X$2,VLOOKUP($E39-X$2,'data input'!$D$3:$E$130,2,FALSE),0)</f>
        <v>0.9505285319663519</v>
      </c>
      <c r="Y39" s="5">
        <f>IF($E39&gt;=Y$2,VLOOKUP($E39-Y$2,'data input'!$D$3:$E$130,2,FALSE),0)</f>
        <v>0.95773626374204757</v>
      </c>
      <c r="Z39" s="5">
        <f>IF($E39&gt;=Z$2,VLOOKUP($E39-Z$2,'data input'!$D$3:$E$130,2,FALSE),0)</f>
        <v>0.96406968088707423</v>
      </c>
      <c r="AA39" s="5">
        <f>IF($E39&gt;=AA$2,VLOOKUP($E39-AA$2,'data input'!$D$3:$E$130,2,FALSE),0)</f>
        <v>0.96960363823473861</v>
      </c>
      <c r="AB39" s="5">
        <f>IF($E39&gt;=AB$2,VLOOKUP($E39-AB$2,'data input'!$D$3:$E$130,2,FALSE),0)</f>
        <v>0.97441194047836144</v>
      </c>
      <c r="AC39" s="5">
        <f>IF($E39&gt;=AC$2,VLOOKUP($E39-AC$2,'data input'!$D$3:$E$130,2,FALSE),0)</f>
        <v>0.97856631788584703</v>
      </c>
      <c r="AD39" s="5">
        <f>IF($E39&gt;=AD$2,VLOOKUP($E39-AD$2,'data input'!$D$3:$E$130,2,FALSE),0)</f>
        <v>0.98213557943718344</v>
      </c>
      <c r="AE39" s="5">
        <f>IF($E39&gt;=AE$2,VLOOKUP($E39-AE$2,'data input'!$D$3:$E$130,2,FALSE),0)</f>
        <v>0.98518494180739014</v>
      </c>
      <c r="AF39" s="5">
        <f>IF($E39&gt;=AF$2,VLOOKUP($E39-AF$2,'data input'!$D$3:$E$130,2,FALSE),0)</f>
        <v>0.98777552734495533</v>
      </c>
      <c r="AG39" s="5">
        <f>IF($E39&gt;=AG$2,VLOOKUP($E39-AG$2,'data input'!$D$3:$E$130,2,FALSE),0)</f>
        <v>0.98996401989972593</v>
      </c>
      <c r="AH39" s="5">
        <f>IF($E39&gt;=AH$2,VLOOKUP($E39-AH$2,'data input'!$D$3:$E$130,2,FALSE),0)</f>
        <v>0.99180246407540384</v>
      </c>
      <c r="AI39" s="5">
        <f>IF($E39&gt;=AI$2,VLOOKUP($E39-AI$2,'data input'!$D$3:$E$130,2,FALSE),0)</f>
        <v>0.99333819120801725</v>
      </c>
      <c r="AJ39" s="5">
        <f>IF($E39&gt;=AJ$2,VLOOKUP($E39-AJ$2,'data input'!$D$3:$E$130,2,FALSE),0)</f>
        <v>0.99461385404593328</v>
      </c>
      <c r="AK39" s="5">
        <f>IF($E39&gt;=AK$2,VLOOKUP($E39-AK$2,'data input'!$D$3:$E$130,2,FALSE),0)</f>
        <v>0.99566755163698739</v>
      </c>
      <c r="AL39" s="5">
        <f>IF($E39&gt;=AL$2,VLOOKUP($E39-AL$2,'data input'!$D$3:$E$130,2,FALSE),0)</f>
        <v>0.99653302619695938</v>
      </c>
      <c r="AM39" s="5">
        <f>IF($E39&gt;=AM$2,VLOOKUP($E39-AM$2,'data input'!$D$3:$E$130,2,FALSE),0)</f>
        <v>0.99723991460873751</v>
      </c>
      <c r="AN39" s="5">
        <f>IF($E39&gt;=AN$2,VLOOKUP($E39-AN$2,'data input'!$D$3:$E$130,2,FALSE),0)</f>
        <v>0.99781403854508677</v>
      </c>
      <c r="AO39" s="5">
        <f>IF($E39&gt;=AO$2,VLOOKUP($E39-AO$2,'data input'!$D$3:$E$130,2,FALSE),0)</f>
        <v>0.99827771888413241</v>
      </c>
      <c r="AP39" s="5">
        <f>IF($E39&gt;=AP$2,VLOOKUP($E39-AP$2,'data input'!$D$3:$E$130,2,FALSE),0)</f>
        <v>0.9986501019683699</v>
      </c>
      <c r="AQ39" s="5">
        <f>IF($E39&gt;=AQ$2,VLOOKUP($E39-AQ$2,'data input'!$D$3:$E$130,2,FALSE),0)</f>
        <v>0</v>
      </c>
      <c r="AR39" s="5">
        <f>IF($E39&gt;=AR$2,VLOOKUP($E39-AR$2,'data input'!$D$3:$E$130,2,FALSE),0)</f>
        <v>0</v>
      </c>
      <c r="AS39" s="5">
        <f>IF($E39&gt;=AS$2,VLOOKUP($E39-AS$2,'data input'!$D$3:$E$130,2,FALSE),0)</f>
        <v>0</v>
      </c>
      <c r="AT39" s="5">
        <f>IF($E39&gt;=AT$2,VLOOKUP($E39-AT$2,'data input'!$D$3:$E$130,2,FALSE),0)</f>
        <v>0</v>
      </c>
      <c r="AU39" s="5">
        <f>IF($E39&gt;=AU$2,VLOOKUP($E39-AU$2,'data input'!$D$3:$E$130,2,FALSE),0)</f>
        <v>0</v>
      </c>
      <c r="AV39" s="5">
        <f>IF($E39&gt;=AV$2,VLOOKUP($E39-AV$2,'data input'!$D$3:$E$130,2,FALSE),0)</f>
        <v>0</v>
      </c>
      <c r="AW39" s="5">
        <f>IF($E39&gt;=AW$2,VLOOKUP($E39-AW$2,'data input'!$D$3:$E$130,2,FALSE),0)</f>
        <v>0</v>
      </c>
      <c r="AX39" s="5">
        <f>IF($E39&gt;=AX$2,VLOOKUP($E39-AX$2,'data input'!$D$3:$E$130,2,FALSE),0)</f>
        <v>0</v>
      </c>
      <c r="AY39" s="5">
        <f>IF($E39&gt;=AY$2,VLOOKUP($E39-AY$2,'data input'!$D$3:$E$130,2,FALSE),0)</f>
        <v>0</v>
      </c>
      <c r="AZ39" s="5">
        <f>IF($E39&gt;=AZ$2,VLOOKUP($E39-AZ$2,'data input'!$D$3:$E$130,2,FALSE),0)</f>
        <v>0</v>
      </c>
      <c r="BA39" s="5">
        <f>IF($E39&gt;=BA$2,VLOOKUP($E39-BA$2,'data input'!$D$3:$E$130,2,FALSE),0)</f>
        <v>0</v>
      </c>
      <c r="BB39" s="5">
        <f>IF($E39&gt;=BB$2,VLOOKUP($E39-BB$2,'data input'!$D$3:$E$130,2,FALSE),0)</f>
        <v>0</v>
      </c>
      <c r="BC39" s="5">
        <f>IF($E39&gt;=BC$2,VLOOKUP($E39-BC$2,'data input'!$D$3:$E$130,2,FALSE),0)</f>
        <v>0</v>
      </c>
      <c r="BD39" s="5">
        <f>IF($E39&gt;=BD$2,VLOOKUP($E39-BD$2,'data input'!$D$3:$E$130,2,FALSE),0)</f>
        <v>0</v>
      </c>
      <c r="BE39" s="5">
        <f>IF($E39&gt;=BE$2,VLOOKUP($E39-BE$2,'data input'!$D$3:$E$130,2,FALSE),0)</f>
        <v>0</v>
      </c>
      <c r="BF39" s="5">
        <f>IF($E39&gt;=BF$2,VLOOKUP($E39-BF$2,'data input'!$D$3:$E$130,2,FALSE),0)</f>
        <v>0</v>
      </c>
      <c r="BG39" s="5">
        <f>IF($E39&gt;=BG$2,VLOOKUP($E39-BG$2,'data input'!$D$3:$E$130,2,FALSE),0)</f>
        <v>0</v>
      </c>
      <c r="BH39" s="5">
        <f>IF($E39&gt;=BH$2,VLOOKUP($E39-BH$2,'data input'!$D$3:$E$130,2,FALSE),0)</f>
        <v>0</v>
      </c>
      <c r="BI39" s="5">
        <f>IF($E39&gt;=BI$2,VLOOKUP($E39-BI$2,'data input'!$D$3:$E$130,2,FALSE),0)</f>
        <v>0</v>
      </c>
      <c r="BJ39" s="5">
        <f>IF($E39&gt;=BJ$2,VLOOKUP($E39-BJ$2,'data input'!$D$3:$E$130,2,FALSE),0)</f>
        <v>0</v>
      </c>
      <c r="BK39" s="5">
        <f>IF($E39&gt;=BK$2,VLOOKUP($E39-BK$2,'data input'!$D$3:$E$130,2,FALSE),0)</f>
        <v>0</v>
      </c>
      <c r="BL39" s="5">
        <f>IF($E39&gt;=BL$2,VLOOKUP($E39-BL$2,'data input'!$D$3:$E$130,2,FALSE),0)</f>
        <v>0</v>
      </c>
      <c r="BM39" s="5">
        <f>IF($E39&gt;=BM$2,VLOOKUP($E39-BM$2,'data input'!$D$3:$E$130,2,FALSE),0)</f>
        <v>0</v>
      </c>
      <c r="BN39" s="5">
        <f>IF($E39&gt;=BN$2,VLOOKUP($E39-BN$2,'data input'!$D$3:$E$130,2,FALSE),0)</f>
        <v>0</v>
      </c>
      <c r="BO39" s="5">
        <f>IF($E39&gt;=BO$2,VLOOKUP($E39-BO$2,'data input'!$D$3:$E$130,2,FALSE),0)</f>
        <v>0</v>
      </c>
      <c r="BP39" s="5">
        <f>IF($E39&gt;=BP$2,VLOOKUP($E39-BP$2,'data input'!$D$3:$E$130,2,FALSE),0)</f>
        <v>0</v>
      </c>
      <c r="BQ39" s="5">
        <f>IF($E39&gt;=BQ$2,VLOOKUP($E39-BQ$2,'data input'!$D$3:$E$130,2,FALSE),0)</f>
        <v>0</v>
      </c>
      <c r="BR39" s="5">
        <f>IF($E39&gt;=BR$2,VLOOKUP($E39-BR$2,'data input'!$D$3:$E$130,2,FALSE),0)</f>
        <v>0</v>
      </c>
      <c r="BS39" s="5">
        <f>IF($E39&gt;=BS$2,VLOOKUP($E39-BS$2,'data input'!$D$3:$E$130,2,FALSE),0)</f>
        <v>0</v>
      </c>
      <c r="BT39" s="5">
        <f>IF($E39&gt;=BT$2,VLOOKUP($E39-BT$2,'data input'!$D$3:$E$130,2,FALSE),0)</f>
        <v>0</v>
      </c>
      <c r="BU39" s="5">
        <f>IF($E39&gt;=BU$2,VLOOKUP($E39-BU$2,'data input'!$D$3:$E$130,2,FALSE),0)</f>
        <v>0</v>
      </c>
      <c r="BV39" s="5">
        <f>IF($E39&gt;=BV$2,VLOOKUP($E39-BV$2,'data input'!$D$3:$E$130,2,FALSE),0)</f>
        <v>0</v>
      </c>
      <c r="BW39" s="5">
        <f>IF($E39&gt;=BW$2,VLOOKUP($E39-BW$2,'data input'!$D$3:$E$130,2,FALSE),0)</f>
        <v>0</v>
      </c>
      <c r="BX39" s="5">
        <f>IF($E39&gt;=BX$2,VLOOKUP($E39-BX$2,'data input'!$D$3:$E$130,2,FALSE),0)</f>
        <v>0</v>
      </c>
      <c r="BY39" s="5">
        <f>IF($E39&gt;=BY$2,VLOOKUP($E39-BY$2,'data input'!$D$3:$E$130,2,FALSE),0)</f>
        <v>0</v>
      </c>
      <c r="BZ39" s="5">
        <f>IF($E39&gt;=BZ$2,VLOOKUP($E39-BZ$2,'data input'!$D$3:$E$130,2,FALSE),0)</f>
        <v>0</v>
      </c>
      <c r="CA39" s="5">
        <f>IF($E39&gt;=CA$2,VLOOKUP($E39-CA$2,'data input'!$D$3:$E$130,2,FALSE),0)</f>
        <v>0</v>
      </c>
      <c r="CB39" s="5">
        <f>IF($E39&gt;=CB$2,VLOOKUP($E39-CB$2,'data input'!$D$3:$E$130,2,FALSE),0)</f>
        <v>0</v>
      </c>
      <c r="CC39" s="5">
        <f>IF($E39&gt;=CC$2,VLOOKUP($E39-CC$2,'data input'!$D$3:$E$130,2,FALSE),0)</f>
        <v>0</v>
      </c>
      <c r="CD39" s="5">
        <f>IF($E39&gt;=CD$2,VLOOKUP($E39-CD$2,'data input'!$D$3:$E$130,2,FALSE),0)</f>
        <v>0</v>
      </c>
      <c r="CE39" s="5">
        <f>IF($E39&gt;=CE$2,VLOOKUP($E39-CE$2,'data input'!$D$3:$E$130,2,FALSE),0)</f>
        <v>0</v>
      </c>
      <c r="CF39" s="5">
        <f>IF($E39&gt;=CF$2,VLOOKUP($E39-CF$2,'data input'!$D$3:$E$130,2,FALSE),0)</f>
        <v>0</v>
      </c>
      <c r="CG39" s="5">
        <f>IF($E39&gt;=CG$2,VLOOKUP($E39-CG$2,'data input'!$D$3:$E$130,2,FALSE),0)</f>
        <v>0</v>
      </c>
      <c r="CH39" s="5">
        <f>IF($E39&gt;=CH$2,VLOOKUP($E39-CH$2,'data input'!$D$3:$E$130,2,FALSE),0)</f>
        <v>0</v>
      </c>
      <c r="CI39" s="5">
        <f>IF($E39&gt;=CI$2,VLOOKUP($E39-CI$2,'data input'!$D$3:$E$130,2,FALSE),0)</f>
        <v>0</v>
      </c>
      <c r="CJ39" s="5">
        <f>IF($E39&gt;=CJ$2,VLOOKUP($E39-CJ$2,'data input'!$D$3:$E$130,2,FALSE),0)</f>
        <v>0</v>
      </c>
      <c r="CK39" s="5">
        <f>IF($E39&gt;=CK$2,VLOOKUP($E39-CK$2,'data input'!$D$3:$E$130,2,FALSE),0)</f>
        <v>0</v>
      </c>
      <c r="CL39" s="5">
        <f>IF($E39&gt;=CL$2,VLOOKUP($E39-CL$2,'data input'!$D$3:$E$130,2,FALSE),0)</f>
        <v>0</v>
      </c>
      <c r="CM39" s="5">
        <f>IF($E39&gt;=CM$2,VLOOKUP($E39-CM$2,'data input'!$D$3:$E$130,2,FALSE),0)</f>
        <v>0</v>
      </c>
      <c r="CN39" s="5">
        <f>IF($E39&gt;=CN$2,VLOOKUP($E39-CN$2,'data input'!$D$3:$E$130,2,FALSE),0)</f>
        <v>0</v>
      </c>
      <c r="CO39" s="5">
        <f>IF($E39&gt;=CO$2,VLOOKUP($E39-CO$2,'data input'!$D$3:$E$130,2,FALSE),0)</f>
        <v>0</v>
      </c>
      <c r="CP39" s="5">
        <f>IF($E39&gt;=CP$2,VLOOKUP($E39-CP$2,'data input'!$D$3:$E$130,2,FALSE),0)</f>
        <v>0</v>
      </c>
      <c r="CQ39" s="5">
        <f>IF($E39&gt;=CQ$2,VLOOKUP($E39-CQ$2,'data input'!$D$3:$E$130,2,FALSE),0)</f>
        <v>0</v>
      </c>
      <c r="CR39" s="5">
        <f>IF($E39&gt;=CR$2,VLOOKUP($E39-CR$2,'data input'!$D$3:$E$130,2,FALSE),0)</f>
        <v>0</v>
      </c>
      <c r="CS39" s="5">
        <f>IF($E39&gt;=CS$2,VLOOKUP($E39-CS$2,'data input'!$D$3:$E$130,2,FALSE),0)</f>
        <v>0</v>
      </c>
      <c r="CT39" s="5">
        <f>IF($E39&gt;=CT$2,VLOOKUP($E39-CT$2,'data input'!$D$3:$E$130,2,FALSE),0)</f>
        <v>0</v>
      </c>
      <c r="CU39" s="5">
        <f>IF($E39&gt;=CU$2,VLOOKUP($E39-CU$2,'data input'!$D$3:$E$130,2,FALSE),0)</f>
        <v>0</v>
      </c>
      <c r="CV39" s="5">
        <f>IF($E39&gt;=CV$2,VLOOKUP($E39-CV$2,'data input'!$D$3:$E$130,2,FALSE),0)</f>
        <v>0</v>
      </c>
      <c r="CW39" s="5">
        <f>IF($E39&gt;=CW$2,VLOOKUP($E39-CW$2,'data input'!$D$3:$E$130,2,FALSE),0)</f>
        <v>0</v>
      </c>
      <c r="CX39" s="5">
        <f>IF($E39&gt;=CX$2,VLOOKUP($E39-CX$2,'data input'!$D$3:$E$130,2,FALSE),0)</f>
        <v>0</v>
      </c>
      <c r="CY39" s="5">
        <f>IF($E39&gt;=CY$2,VLOOKUP($E39-CY$2,'data input'!$D$3:$E$130,2,FALSE),0)</f>
        <v>0</v>
      </c>
      <c r="CZ39" s="5">
        <f>IF($E39&gt;=CZ$2,VLOOKUP($E39-CZ$2,'data input'!$D$3:$E$130,2,FALSE),0)</f>
        <v>0</v>
      </c>
      <c r="DA39" s="5">
        <f>IF($E39&gt;=DA$2,VLOOKUP($E39-DA$2,'data input'!$D$3:$E$130,2,FALSE),0)</f>
        <v>0</v>
      </c>
      <c r="DB39" s="5">
        <f>IF($E39&gt;=DB$2,VLOOKUP($E39-DB$2,'data input'!$D$3:$E$130,2,FALSE),0)</f>
        <v>0</v>
      </c>
      <c r="DC39" s="5">
        <f>IF($E39&gt;=DC$2,VLOOKUP($E39-DC$2,'data input'!$D$3:$E$130,2,FALSE),0)</f>
        <v>0</v>
      </c>
      <c r="DD39" s="5">
        <f>IF($E39&gt;=DD$2,VLOOKUP($E39-DD$2,'data input'!$D$3:$E$130,2,FALSE),0)</f>
        <v>0</v>
      </c>
      <c r="DE39" s="5">
        <f>IF($E39&gt;=DE$2,VLOOKUP($E39-DE$2,'data input'!$D$3:$E$130,2,FALSE),0)</f>
        <v>0</v>
      </c>
      <c r="DF39" s="5">
        <f>IF($E39&gt;=DF$2,VLOOKUP($E39-DF$2,'data input'!$D$3:$E$130,2,FALSE),0)</f>
        <v>0</v>
      </c>
      <c r="DG39" s="5">
        <f>IF($E39&gt;=DG$2,VLOOKUP($E39-DG$2,'data input'!$D$3:$E$130,2,FALSE),0)</f>
        <v>0</v>
      </c>
      <c r="DH39" s="5">
        <f>IF($E39&gt;=DH$2,VLOOKUP($E39-DH$2,'data input'!$D$3:$E$130,2,FALSE),0)</f>
        <v>0</v>
      </c>
      <c r="DI39" s="5">
        <f>IF($E39&gt;=DI$2,VLOOKUP($E39-DI$2,'data input'!$D$3:$E$130,2,FALSE),0)</f>
        <v>0</v>
      </c>
      <c r="DJ39" s="5">
        <f>IF($E39&gt;=DJ$2,VLOOKUP($E39-DJ$2,'data input'!$D$3:$E$130,2,FALSE),0)</f>
        <v>0</v>
      </c>
      <c r="DK39" s="5">
        <f>IF($E39&gt;=DK$2,VLOOKUP($E39-DK$2,'data input'!$D$3:$E$130,2,FALSE),0)</f>
        <v>0</v>
      </c>
      <c r="DL39" s="5">
        <f>IF($E39&gt;=DL$2,VLOOKUP($E39-DL$2,'data input'!$D$3:$E$130,2,FALSE),0)</f>
        <v>0</v>
      </c>
      <c r="DM39" s="5">
        <f>IF($E39&gt;=DM$2,VLOOKUP($E39-DM$2,'data input'!$D$3:$E$130,2,FALSE),0)</f>
        <v>0</v>
      </c>
      <c r="DN39" s="5">
        <f>IF($E39&gt;=DN$2,VLOOKUP($E39-DN$2,'data input'!$D$3:$E$130,2,FALSE),0)</f>
        <v>0</v>
      </c>
      <c r="DO39" s="5">
        <f>IF($E39&gt;=DO$2,VLOOKUP($E39-DO$2,'data input'!$D$3:$E$130,2,FALSE),0)</f>
        <v>0</v>
      </c>
      <c r="DP39" s="5">
        <f>IF($E39&gt;=DP$2,VLOOKUP($E39-DP$2,'data input'!$D$3:$E$130,2,FALSE),0)</f>
        <v>0</v>
      </c>
      <c r="DQ39" s="5">
        <f>IF($E39&gt;=DQ$2,VLOOKUP($E39-DQ$2,'data input'!$D$3:$E$130,2,FALSE),0)</f>
        <v>0</v>
      </c>
      <c r="DR39" s="5">
        <f>IF($E39&gt;=DR$2,VLOOKUP($E39-DR$2,'data input'!$D$3:$E$130,2,FALSE),0)</f>
        <v>0</v>
      </c>
      <c r="DS39" s="5">
        <f>IF($E39&gt;=DS$2,VLOOKUP($E39-DS$2,'data input'!$D$3:$E$130,2,FALSE),0)</f>
        <v>0</v>
      </c>
      <c r="DT39" s="5">
        <f>IF($E39&gt;=DT$2,VLOOKUP($E39-DT$2,'data input'!$D$3:$E$130,2,FALSE),0)</f>
        <v>0</v>
      </c>
      <c r="DU39" s="5">
        <f>IF($E39&gt;=DU$2,VLOOKUP($E39-DU$2,'data input'!$D$3:$E$130,2,FALSE),0)</f>
        <v>0</v>
      </c>
      <c r="DV39" s="5">
        <f>IF($E39&gt;=DV$2,VLOOKUP($E39-DV$2,'data input'!$D$3:$E$130,2,FALSE),0)</f>
        <v>0</v>
      </c>
      <c r="DW39" s="5">
        <f>IF($E39&gt;=DW$2,VLOOKUP($E39-DW$2,'data input'!$D$3:$E$130,2,FALSE),0)</f>
        <v>0</v>
      </c>
      <c r="DX39" s="5">
        <f>IF($E39&gt;=DX$2,VLOOKUP($E39-DX$2,'data input'!$D$3:$E$130,2,FALSE),0)</f>
        <v>0</v>
      </c>
      <c r="DY39" s="5">
        <f>IF($E39&gt;=DY$2,VLOOKUP($E39-DY$2,'data input'!$D$3:$E$130,2,FALSE),0)</f>
        <v>0</v>
      </c>
      <c r="DZ39" s="5">
        <f>IF($E39&gt;=DZ$2,VLOOKUP($E39-DZ$2,'data input'!$D$3:$E$130,2,FALSE),0)</f>
        <v>0</v>
      </c>
      <c r="EA39" s="5">
        <f>IF($E39&gt;=EA$2,VLOOKUP($E39-EA$2,'data input'!$D$3:$E$130,2,FALSE),0)</f>
        <v>0</v>
      </c>
      <c r="EB39" s="5">
        <f>IF($E39&gt;=EB$2,VLOOKUP($E39-EB$2,'data input'!$D$3:$E$130,2,FALSE),0)</f>
        <v>0</v>
      </c>
      <c r="EC39" s="5">
        <f>IF($E39&gt;=EC$2,VLOOKUP($E39-EC$2,'data input'!$D$3:$E$130,2,FALSE),0)</f>
        <v>0</v>
      </c>
    </row>
    <row r="40" spans="5:133">
      <c r="E40" s="7">
        <f>'data input'!B40</f>
        <v>1915</v>
      </c>
      <c r="F40" s="5">
        <f>IF($E40&gt;=F$2,VLOOKUP($E40-F$2,'data input'!$D$3:$E$130,2,FALSE),0)</f>
        <v>0.58901036286872965</v>
      </c>
      <c r="G40" s="5">
        <f>IF($E40&gt;=G$2,VLOOKUP($E40-G$2,'data input'!$D$3:$E$130,2,FALSE),0)</f>
        <v>0.61791142218895267</v>
      </c>
      <c r="H40" s="5">
        <f>IF($E40&gt;=H$2,VLOOKUP($E40-H$2,'data input'!$D$3:$E$130,2,FALSE),0)</f>
        <v>0.64616976667272386</v>
      </c>
      <c r="I40" s="5">
        <f>IF($E40&gt;=I$2,VLOOKUP($E40-I$2,'data input'!$D$3:$E$130,2,FALSE),0)</f>
        <v>0.67364477971207992</v>
      </c>
      <c r="J40" s="5">
        <f>IF($E40&gt;=J$2,VLOOKUP($E40-J$2,'data input'!$D$3:$E$130,2,FALSE),0)</f>
        <v>0.70020840453130417</v>
      </c>
      <c r="K40" s="5">
        <f>IF($E40&gt;=K$2,VLOOKUP($E40-K$2,'data input'!$D$3:$E$130,2,FALSE),0)</f>
        <v>0.72574688224992645</v>
      </c>
      <c r="L40" s="5">
        <f>IF($E40&gt;=L$2,VLOOKUP($E40-L$2,'data input'!$D$3:$E$130,2,FALSE),0)</f>
        <v>0.75016211752822304</v>
      </c>
      <c r="M40" s="5">
        <f>IF($E40&gt;=M$2,VLOOKUP($E40-M$2,'data input'!$D$3:$E$130,2,FALSE),0)</f>
        <v>0.77337264762313174</v>
      </c>
      <c r="N40" s="5">
        <f>IF($E40&gt;=N$2,VLOOKUP($E40-N$2,'data input'!$D$3:$E$130,2,FALSE),0)</f>
        <v>0.79531420465274738</v>
      </c>
      <c r="O40" s="5">
        <f>IF($E40&gt;=O$2,VLOOKUP($E40-O$2,'data input'!$D$3:$E$130,2,FALSE),0)</f>
        <v>0.81593987465324047</v>
      </c>
      <c r="P40" s="5">
        <f>IF($E40&gt;=P$2,VLOOKUP($E40-P$2,'data input'!$D$3:$E$130,2,FALSE),0)</f>
        <v>0.83521987001968967</v>
      </c>
      <c r="Q40" s="5">
        <f>IF($E40&gt;=Q$2,VLOOKUP($E40-Q$2,'data input'!$D$3:$E$130,2,FALSE),0)</f>
        <v>0.85314094362410409</v>
      </c>
      <c r="R40" s="5">
        <f>IF($E40&gt;=R$2,VLOOKUP($E40-R$2,'data input'!$D$3:$E$130,2,FALSE),0)</f>
        <v>0.86970548286319116</v>
      </c>
      <c r="S40" s="5">
        <f>IF($E40&gt;=S$2,VLOOKUP($E40-S$2,'data input'!$D$3:$E$130,2,FALSE),0)</f>
        <v>0.88493032977829178</v>
      </c>
      <c r="T40" s="5">
        <f>IF($E40&gt;=T$2,VLOOKUP($E40-T$2,'data input'!$D$3:$E$130,2,FALSE),0)</f>
        <v>0.89884537900441408</v>
      </c>
      <c r="U40" s="5">
        <f>IF($E40&gt;=U$2,VLOOKUP($E40-U$2,'data input'!$D$3:$E$130,2,FALSE),0)</f>
        <v>0.91149200856259793</v>
      </c>
      <c r="V40" s="5">
        <f>IF($E40&gt;=V$2,VLOOKUP($E40-V$2,'data input'!$D$3:$E$130,2,FALSE),0)</f>
        <v>0.92292139944792817</v>
      </c>
      <c r="W40" s="5">
        <f>IF($E40&gt;=W$2,VLOOKUP($E40-W$2,'data input'!$D$3:$E$130,2,FALSE),0)</f>
        <v>0.93319279873114191</v>
      </c>
      <c r="X40" s="5">
        <f>IF($E40&gt;=X$2,VLOOKUP($E40-X$2,'data input'!$D$3:$E$130,2,FALSE),0)</f>
        <v>0.94237177772384684</v>
      </c>
      <c r="Y40" s="5">
        <f>IF($E40&gt;=Y$2,VLOOKUP($E40-Y$2,'data input'!$D$3:$E$130,2,FALSE),0)</f>
        <v>0.9505285319663519</v>
      </c>
      <c r="Z40" s="5">
        <f>IF($E40&gt;=Z$2,VLOOKUP($E40-Z$2,'data input'!$D$3:$E$130,2,FALSE),0)</f>
        <v>0.95773626374204757</v>
      </c>
      <c r="AA40" s="5">
        <f>IF($E40&gt;=AA$2,VLOOKUP($E40-AA$2,'data input'!$D$3:$E$130,2,FALSE),0)</f>
        <v>0.96406968088707423</v>
      </c>
      <c r="AB40" s="5">
        <f>IF($E40&gt;=AB$2,VLOOKUP($E40-AB$2,'data input'!$D$3:$E$130,2,FALSE),0)</f>
        <v>0.96960363823473861</v>
      </c>
      <c r="AC40" s="5">
        <f>IF($E40&gt;=AC$2,VLOOKUP($E40-AC$2,'data input'!$D$3:$E$130,2,FALSE),0)</f>
        <v>0.97441194047836144</v>
      </c>
      <c r="AD40" s="5">
        <f>IF($E40&gt;=AD$2,VLOOKUP($E40-AD$2,'data input'!$D$3:$E$130,2,FALSE),0)</f>
        <v>0.97856631788584703</v>
      </c>
      <c r="AE40" s="5">
        <f>IF($E40&gt;=AE$2,VLOOKUP($E40-AE$2,'data input'!$D$3:$E$130,2,FALSE),0)</f>
        <v>0.98213557943718344</v>
      </c>
      <c r="AF40" s="5">
        <f>IF($E40&gt;=AF$2,VLOOKUP($E40-AF$2,'data input'!$D$3:$E$130,2,FALSE),0)</f>
        <v>0.98518494180739014</v>
      </c>
      <c r="AG40" s="5">
        <f>IF($E40&gt;=AG$2,VLOOKUP($E40-AG$2,'data input'!$D$3:$E$130,2,FALSE),0)</f>
        <v>0.98777552734495533</v>
      </c>
      <c r="AH40" s="5">
        <f>IF($E40&gt;=AH$2,VLOOKUP($E40-AH$2,'data input'!$D$3:$E$130,2,FALSE),0)</f>
        <v>0.98996401989972593</v>
      </c>
      <c r="AI40" s="5">
        <f>IF($E40&gt;=AI$2,VLOOKUP($E40-AI$2,'data input'!$D$3:$E$130,2,FALSE),0)</f>
        <v>0.99180246407540384</v>
      </c>
      <c r="AJ40" s="5">
        <f>IF($E40&gt;=AJ$2,VLOOKUP($E40-AJ$2,'data input'!$D$3:$E$130,2,FALSE),0)</f>
        <v>0.99333819120801725</v>
      </c>
      <c r="AK40" s="5">
        <f>IF($E40&gt;=AK$2,VLOOKUP($E40-AK$2,'data input'!$D$3:$E$130,2,FALSE),0)</f>
        <v>0.99461385404593328</v>
      </c>
      <c r="AL40" s="5">
        <f>IF($E40&gt;=AL$2,VLOOKUP($E40-AL$2,'data input'!$D$3:$E$130,2,FALSE),0)</f>
        <v>0.99566755163698739</v>
      </c>
      <c r="AM40" s="5">
        <f>IF($E40&gt;=AM$2,VLOOKUP($E40-AM$2,'data input'!$D$3:$E$130,2,FALSE),0)</f>
        <v>0.99653302619695938</v>
      </c>
      <c r="AN40" s="5">
        <f>IF($E40&gt;=AN$2,VLOOKUP($E40-AN$2,'data input'!$D$3:$E$130,2,FALSE),0)</f>
        <v>0.99723991460873751</v>
      </c>
      <c r="AO40" s="5">
        <f>IF($E40&gt;=AO$2,VLOOKUP($E40-AO$2,'data input'!$D$3:$E$130,2,FALSE),0)</f>
        <v>0.99781403854508677</v>
      </c>
      <c r="AP40" s="5">
        <f>IF($E40&gt;=AP$2,VLOOKUP($E40-AP$2,'data input'!$D$3:$E$130,2,FALSE),0)</f>
        <v>0.99827771888413241</v>
      </c>
      <c r="AQ40" s="5">
        <f>IF($E40&gt;=AQ$2,VLOOKUP($E40-AQ$2,'data input'!$D$3:$E$130,2,FALSE),0)</f>
        <v>0.9986501019683699</v>
      </c>
      <c r="AR40" s="5">
        <f>IF($E40&gt;=AR$2,VLOOKUP($E40-AR$2,'data input'!$D$3:$E$130,2,FALSE),0)</f>
        <v>0</v>
      </c>
      <c r="AS40" s="5">
        <f>IF($E40&gt;=AS$2,VLOOKUP($E40-AS$2,'data input'!$D$3:$E$130,2,FALSE),0)</f>
        <v>0</v>
      </c>
      <c r="AT40" s="5">
        <f>IF($E40&gt;=AT$2,VLOOKUP($E40-AT$2,'data input'!$D$3:$E$130,2,FALSE),0)</f>
        <v>0</v>
      </c>
      <c r="AU40" s="5">
        <f>IF($E40&gt;=AU$2,VLOOKUP($E40-AU$2,'data input'!$D$3:$E$130,2,FALSE),0)</f>
        <v>0</v>
      </c>
      <c r="AV40" s="5">
        <f>IF($E40&gt;=AV$2,VLOOKUP($E40-AV$2,'data input'!$D$3:$E$130,2,FALSE),0)</f>
        <v>0</v>
      </c>
      <c r="AW40" s="5">
        <f>IF($E40&gt;=AW$2,VLOOKUP($E40-AW$2,'data input'!$D$3:$E$130,2,FALSE),0)</f>
        <v>0</v>
      </c>
      <c r="AX40" s="5">
        <f>IF($E40&gt;=AX$2,VLOOKUP($E40-AX$2,'data input'!$D$3:$E$130,2,FALSE),0)</f>
        <v>0</v>
      </c>
      <c r="AY40" s="5">
        <f>IF($E40&gt;=AY$2,VLOOKUP($E40-AY$2,'data input'!$D$3:$E$130,2,FALSE),0)</f>
        <v>0</v>
      </c>
      <c r="AZ40" s="5">
        <f>IF($E40&gt;=AZ$2,VLOOKUP($E40-AZ$2,'data input'!$D$3:$E$130,2,FALSE),0)</f>
        <v>0</v>
      </c>
      <c r="BA40" s="5">
        <f>IF($E40&gt;=BA$2,VLOOKUP($E40-BA$2,'data input'!$D$3:$E$130,2,FALSE),0)</f>
        <v>0</v>
      </c>
      <c r="BB40" s="5">
        <f>IF($E40&gt;=BB$2,VLOOKUP($E40-BB$2,'data input'!$D$3:$E$130,2,FALSE),0)</f>
        <v>0</v>
      </c>
      <c r="BC40" s="5">
        <f>IF($E40&gt;=BC$2,VLOOKUP($E40-BC$2,'data input'!$D$3:$E$130,2,FALSE),0)</f>
        <v>0</v>
      </c>
      <c r="BD40" s="5">
        <f>IF($E40&gt;=BD$2,VLOOKUP($E40-BD$2,'data input'!$D$3:$E$130,2,FALSE),0)</f>
        <v>0</v>
      </c>
      <c r="BE40" s="5">
        <f>IF($E40&gt;=BE$2,VLOOKUP($E40-BE$2,'data input'!$D$3:$E$130,2,FALSE),0)</f>
        <v>0</v>
      </c>
      <c r="BF40" s="5">
        <f>IF($E40&gt;=BF$2,VLOOKUP($E40-BF$2,'data input'!$D$3:$E$130,2,FALSE),0)</f>
        <v>0</v>
      </c>
      <c r="BG40" s="5">
        <f>IF($E40&gt;=BG$2,VLOOKUP($E40-BG$2,'data input'!$D$3:$E$130,2,FALSE),0)</f>
        <v>0</v>
      </c>
      <c r="BH40" s="5">
        <f>IF($E40&gt;=BH$2,VLOOKUP($E40-BH$2,'data input'!$D$3:$E$130,2,FALSE),0)</f>
        <v>0</v>
      </c>
      <c r="BI40" s="5">
        <f>IF($E40&gt;=BI$2,VLOOKUP($E40-BI$2,'data input'!$D$3:$E$130,2,FALSE),0)</f>
        <v>0</v>
      </c>
      <c r="BJ40" s="5">
        <f>IF($E40&gt;=BJ$2,VLOOKUP($E40-BJ$2,'data input'!$D$3:$E$130,2,FALSE),0)</f>
        <v>0</v>
      </c>
      <c r="BK40" s="5">
        <f>IF($E40&gt;=BK$2,VLOOKUP($E40-BK$2,'data input'!$D$3:$E$130,2,FALSE),0)</f>
        <v>0</v>
      </c>
      <c r="BL40" s="5">
        <f>IF($E40&gt;=BL$2,VLOOKUP($E40-BL$2,'data input'!$D$3:$E$130,2,FALSE),0)</f>
        <v>0</v>
      </c>
      <c r="BM40" s="5">
        <f>IF($E40&gt;=BM$2,VLOOKUP($E40-BM$2,'data input'!$D$3:$E$130,2,FALSE),0)</f>
        <v>0</v>
      </c>
      <c r="BN40" s="5">
        <f>IF($E40&gt;=BN$2,VLOOKUP($E40-BN$2,'data input'!$D$3:$E$130,2,FALSE),0)</f>
        <v>0</v>
      </c>
      <c r="BO40" s="5">
        <f>IF($E40&gt;=BO$2,VLOOKUP($E40-BO$2,'data input'!$D$3:$E$130,2,FALSE),0)</f>
        <v>0</v>
      </c>
      <c r="BP40" s="5">
        <f>IF($E40&gt;=BP$2,VLOOKUP($E40-BP$2,'data input'!$D$3:$E$130,2,FALSE),0)</f>
        <v>0</v>
      </c>
      <c r="BQ40" s="5">
        <f>IF($E40&gt;=BQ$2,VLOOKUP($E40-BQ$2,'data input'!$D$3:$E$130,2,FALSE),0)</f>
        <v>0</v>
      </c>
      <c r="BR40" s="5">
        <f>IF($E40&gt;=BR$2,VLOOKUP($E40-BR$2,'data input'!$D$3:$E$130,2,FALSE),0)</f>
        <v>0</v>
      </c>
      <c r="BS40" s="5">
        <f>IF($E40&gt;=BS$2,VLOOKUP($E40-BS$2,'data input'!$D$3:$E$130,2,FALSE),0)</f>
        <v>0</v>
      </c>
      <c r="BT40" s="5">
        <f>IF($E40&gt;=BT$2,VLOOKUP($E40-BT$2,'data input'!$D$3:$E$130,2,FALSE),0)</f>
        <v>0</v>
      </c>
      <c r="BU40" s="5">
        <f>IF($E40&gt;=BU$2,VLOOKUP($E40-BU$2,'data input'!$D$3:$E$130,2,FALSE),0)</f>
        <v>0</v>
      </c>
      <c r="BV40" s="5">
        <f>IF($E40&gt;=BV$2,VLOOKUP($E40-BV$2,'data input'!$D$3:$E$130,2,FALSE),0)</f>
        <v>0</v>
      </c>
      <c r="BW40" s="5">
        <f>IF($E40&gt;=BW$2,VLOOKUP($E40-BW$2,'data input'!$D$3:$E$130,2,FALSE),0)</f>
        <v>0</v>
      </c>
      <c r="BX40" s="5">
        <f>IF($E40&gt;=BX$2,VLOOKUP($E40-BX$2,'data input'!$D$3:$E$130,2,FALSE),0)</f>
        <v>0</v>
      </c>
      <c r="BY40" s="5">
        <f>IF($E40&gt;=BY$2,VLOOKUP($E40-BY$2,'data input'!$D$3:$E$130,2,FALSE),0)</f>
        <v>0</v>
      </c>
      <c r="BZ40" s="5">
        <f>IF($E40&gt;=BZ$2,VLOOKUP($E40-BZ$2,'data input'!$D$3:$E$130,2,FALSE),0)</f>
        <v>0</v>
      </c>
      <c r="CA40" s="5">
        <f>IF($E40&gt;=CA$2,VLOOKUP($E40-CA$2,'data input'!$D$3:$E$130,2,FALSE),0)</f>
        <v>0</v>
      </c>
      <c r="CB40" s="5">
        <f>IF($E40&gt;=CB$2,VLOOKUP($E40-CB$2,'data input'!$D$3:$E$130,2,FALSE),0)</f>
        <v>0</v>
      </c>
      <c r="CC40" s="5">
        <f>IF($E40&gt;=CC$2,VLOOKUP($E40-CC$2,'data input'!$D$3:$E$130,2,FALSE),0)</f>
        <v>0</v>
      </c>
      <c r="CD40" s="5">
        <f>IF($E40&gt;=CD$2,VLOOKUP($E40-CD$2,'data input'!$D$3:$E$130,2,FALSE),0)</f>
        <v>0</v>
      </c>
      <c r="CE40" s="5">
        <f>IF($E40&gt;=CE$2,VLOOKUP($E40-CE$2,'data input'!$D$3:$E$130,2,FALSE),0)</f>
        <v>0</v>
      </c>
      <c r="CF40" s="5">
        <f>IF($E40&gt;=CF$2,VLOOKUP($E40-CF$2,'data input'!$D$3:$E$130,2,FALSE),0)</f>
        <v>0</v>
      </c>
      <c r="CG40" s="5">
        <f>IF($E40&gt;=CG$2,VLOOKUP($E40-CG$2,'data input'!$D$3:$E$130,2,FALSE),0)</f>
        <v>0</v>
      </c>
      <c r="CH40" s="5">
        <f>IF($E40&gt;=CH$2,VLOOKUP($E40-CH$2,'data input'!$D$3:$E$130,2,FALSE),0)</f>
        <v>0</v>
      </c>
      <c r="CI40" s="5">
        <f>IF($E40&gt;=CI$2,VLOOKUP($E40-CI$2,'data input'!$D$3:$E$130,2,FALSE),0)</f>
        <v>0</v>
      </c>
      <c r="CJ40" s="5">
        <f>IF($E40&gt;=CJ$2,VLOOKUP($E40-CJ$2,'data input'!$D$3:$E$130,2,FALSE),0)</f>
        <v>0</v>
      </c>
      <c r="CK40" s="5">
        <f>IF($E40&gt;=CK$2,VLOOKUP($E40-CK$2,'data input'!$D$3:$E$130,2,FALSE),0)</f>
        <v>0</v>
      </c>
      <c r="CL40" s="5">
        <f>IF($E40&gt;=CL$2,VLOOKUP($E40-CL$2,'data input'!$D$3:$E$130,2,FALSE),0)</f>
        <v>0</v>
      </c>
      <c r="CM40" s="5">
        <f>IF($E40&gt;=CM$2,VLOOKUP($E40-CM$2,'data input'!$D$3:$E$130,2,FALSE),0)</f>
        <v>0</v>
      </c>
      <c r="CN40" s="5">
        <f>IF($E40&gt;=CN$2,VLOOKUP($E40-CN$2,'data input'!$D$3:$E$130,2,FALSE),0)</f>
        <v>0</v>
      </c>
      <c r="CO40" s="5">
        <f>IF($E40&gt;=CO$2,VLOOKUP($E40-CO$2,'data input'!$D$3:$E$130,2,FALSE),0)</f>
        <v>0</v>
      </c>
      <c r="CP40" s="5">
        <f>IF($E40&gt;=CP$2,VLOOKUP($E40-CP$2,'data input'!$D$3:$E$130,2,FALSE),0)</f>
        <v>0</v>
      </c>
      <c r="CQ40" s="5">
        <f>IF($E40&gt;=CQ$2,VLOOKUP($E40-CQ$2,'data input'!$D$3:$E$130,2,FALSE),0)</f>
        <v>0</v>
      </c>
      <c r="CR40" s="5">
        <f>IF($E40&gt;=CR$2,VLOOKUP($E40-CR$2,'data input'!$D$3:$E$130,2,FALSE),0)</f>
        <v>0</v>
      </c>
      <c r="CS40" s="5">
        <f>IF($E40&gt;=CS$2,VLOOKUP($E40-CS$2,'data input'!$D$3:$E$130,2,FALSE),0)</f>
        <v>0</v>
      </c>
      <c r="CT40" s="5">
        <f>IF($E40&gt;=CT$2,VLOOKUP($E40-CT$2,'data input'!$D$3:$E$130,2,FALSE),0)</f>
        <v>0</v>
      </c>
      <c r="CU40" s="5">
        <f>IF($E40&gt;=CU$2,VLOOKUP($E40-CU$2,'data input'!$D$3:$E$130,2,FALSE),0)</f>
        <v>0</v>
      </c>
      <c r="CV40" s="5">
        <f>IF($E40&gt;=CV$2,VLOOKUP($E40-CV$2,'data input'!$D$3:$E$130,2,FALSE),0)</f>
        <v>0</v>
      </c>
      <c r="CW40" s="5">
        <f>IF($E40&gt;=CW$2,VLOOKUP($E40-CW$2,'data input'!$D$3:$E$130,2,FALSE),0)</f>
        <v>0</v>
      </c>
      <c r="CX40" s="5">
        <f>IF($E40&gt;=CX$2,VLOOKUP($E40-CX$2,'data input'!$D$3:$E$130,2,FALSE),0)</f>
        <v>0</v>
      </c>
      <c r="CY40" s="5">
        <f>IF($E40&gt;=CY$2,VLOOKUP($E40-CY$2,'data input'!$D$3:$E$130,2,FALSE),0)</f>
        <v>0</v>
      </c>
      <c r="CZ40" s="5">
        <f>IF($E40&gt;=CZ$2,VLOOKUP($E40-CZ$2,'data input'!$D$3:$E$130,2,FALSE),0)</f>
        <v>0</v>
      </c>
      <c r="DA40" s="5">
        <f>IF($E40&gt;=DA$2,VLOOKUP($E40-DA$2,'data input'!$D$3:$E$130,2,FALSE),0)</f>
        <v>0</v>
      </c>
      <c r="DB40" s="5">
        <f>IF($E40&gt;=DB$2,VLOOKUP($E40-DB$2,'data input'!$D$3:$E$130,2,FALSE),0)</f>
        <v>0</v>
      </c>
      <c r="DC40" s="5">
        <f>IF($E40&gt;=DC$2,VLOOKUP($E40-DC$2,'data input'!$D$3:$E$130,2,FALSE),0)</f>
        <v>0</v>
      </c>
      <c r="DD40" s="5">
        <f>IF($E40&gt;=DD$2,VLOOKUP($E40-DD$2,'data input'!$D$3:$E$130,2,FALSE),0)</f>
        <v>0</v>
      </c>
      <c r="DE40" s="5">
        <f>IF($E40&gt;=DE$2,VLOOKUP($E40-DE$2,'data input'!$D$3:$E$130,2,FALSE),0)</f>
        <v>0</v>
      </c>
      <c r="DF40" s="5">
        <f>IF($E40&gt;=DF$2,VLOOKUP($E40-DF$2,'data input'!$D$3:$E$130,2,FALSE),0)</f>
        <v>0</v>
      </c>
      <c r="DG40" s="5">
        <f>IF($E40&gt;=DG$2,VLOOKUP($E40-DG$2,'data input'!$D$3:$E$130,2,FALSE),0)</f>
        <v>0</v>
      </c>
      <c r="DH40" s="5">
        <f>IF($E40&gt;=DH$2,VLOOKUP($E40-DH$2,'data input'!$D$3:$E$130,2,FALSE),0)</f>
        <v>0</v>
      </c>
      <c r="DI40" s="5">
        <f>IF($E40&gt;=DI$2,VLOOKUP($E40-DI$2,'data input'!$D$3:$E$130,2,FALSE),0)</f>
        <v>0</v>
      </c>
      <c r="DJ40" s="5">
        <f>IF($E40&gt;=DJ$2,VLOOKUP($E40-DJ$2,'data input'!$D$3:$E$130,2,FALSE),0)</f>
        <v>0</v>
      </c>
      <c r="DK40" s="5">
        <f>IF($E40&gt;=DK$2,VLOOKUP($E40-DK$2,'data input'!$D$3:$E$130,2,FALSE),0)</f>
        <v>0</v>
      </c>
      <c r="DL40" s="5">
        <f>IF($E40&gt;=DL$2,VLOOKUP($E40-DL$2,'data input'!$D$3:$E$130,2,FALSE),0)</f>
        <v>0</v>
      </c>
      <c r="DM40" s="5">
        <f>IF($E40&gt;=DM$2,VLOOKUP($E40-DM$2,'data input'!$D$3:$E$130,2,FALSE),0)</f>
        <v>0</v>
      </c>
      <c r="DN40" s="5">
        <f>IF($E40&gt;=DN$2,VLOOKUP($E40-DN$2,'data input'!$D$3:$E$130,2,FALSE),0)</f>
        <v>0</v>
      </c>
      <c r="DO40" s="5">
        <f>IF($E40&gt;=DO$2,VLOOKUP($E40-DO$2,'data input'!$D$3:$E$130,2,FALSE),0)</f>
        <v>0</v>
      </c>
      <c r="DP40" s="5">
        <f>IF($E40&gt;=DP$2,VLOOKUP($E40-DP$2,'data input'!$D$3:$E$130,2,FALSE),0)</f>
        <v>0</v>
      </c>
      <c r="DQ40" s="5">
        <f>IF($E40&gt;=DQ$2,VLOOKUP($E40-DQ$2,'data input'!$D$3:$E$130,2,FALSE),0)</f>
        <v>0</v>
      </c>
      <c r="DR40" s="5">
        <f>IF($E40&gt;=DR$2,VLOOKUP($E40-DR$2,'data input'!$D$3:$E$130,2,FALSE),0)</f>
        <v>0</v>
      </c>
      <c r="DS40" s="5">
        <f>IF($E40&gt;=DS$2,VLOOKUP($E40-DS$2,'data input'!$D$3:$E$130,2,FALSE),0)</f>
        <v>0</v>
      </c>
      <c r="DT40" s="5">
        <f>IF($E40&gt;=DT$2,VLOOKUP($E40-DT$2,'data input'!$D$3:$E$130,2,FALSE),0)</f>
        <v>0</v>
      </c>
      <c r="DU40" s="5">
        <f>IF($E40&gt;=DU$2,VLOOKUP($E40-DU$2,'data input'!$D$3:$E$130,2,FALSE),0)</f>
        <v>0</v>
      </c>
      <c r="DV40" s="5">
        <f>IF($E40&gt;=DV$2,VLOOKUP($E40-DV$2,'data input'!$D$3:$E$130,2,FALSE),0)</f>
        <v>0</v>
      </c>
      <c r="DW40" s="5">
        <f>IF($E40&gt;=DW$2,VLOOKUP($E40-DW$2,'data input'!$D$3:$E$130,2,FALSE),0)</f>
        <v>0</v>
      </c>
      <c r="DX40" s="5">
        <f>IF($E40&gt;=DX$2,VLOOKUP($E40-DX$2,'data input'!$D$3:$E$130,2,FALSE),0)</f>
        <v>0</v>
      </c>
      <c r="DY40" s="5">
        <f>IF($E40&gt;=DY$2,VLOOKUP($E40-DY$2,'data input'!$D$3:$E$130,2,FALSE),0)</f>
        <v>0</v>
      </c>
      <c r="DZ40" s="5">
        <f>IF($E40&gt;=DZ$2,VLOOKUP($E40-DZ$2,'data input'!$D$3:$E$130,2,FALSE),0)</f>
        <v>0</v>
      </c>
      <c r="EA40" s="5">
        <f>IF($E40&gt;=EA$2,VLOOKUP($E40-EA$2,'data input'!$D$3:$E$130,2,FALSE),0)</f>
        <v>0</v>
      </c>
      <c r="EB40" s="5">
        <f>IF($E40&gt;=EB$2,VLOOKUP($E40-EB$2,'data input'!$D$3:$E$130,2,FALSE),0)</f>
        <v>0</v>
      </c>
      <c r="EC40" s="5">
        <f>IF($E40&gt;=EC$2,VLOOKUP($E40-EC$2,'data input'!$D$3:$E$130,2,FALSE),0)</f>
        <v>0</v>
      </c>
    </row>
    <row r="41" spans="5:133">
      <c r="E41" s="7">
        <f>'data input'!B41</f>
        <v>1916</v>
      </c>
      <c r="F41" s="5">
        <f>IF($E41&gt;=F$2,VLOOKUP($E41-F$2,'data input'!$D$3:$E$130,2,FALSE),0)</f>
        <v>0.5596176923702425</v>
      </c>
      <c r="G41" s="5">
        <f>IF($E41&gt;=G$2,VLOOKUP($E41-G$2,'data input'!$D$3:$E$130,2,FALSE),0)</f>
        <v>0.58901036286872965</v>
      </c>
      <c r="H41" s="5">
        <f>IF($E41&gt;=H$2,VLOOKUP($E41-H$2,'data input'!$D$3:$E$130,2,FALSE),0)</f>
        <v>0.61791142218895267</v>
      </c>
      <c r="I41" s="5">
        <f>IF($E41&gt;=I$2,VLOOKUP($E41-I$2,'data input'!$D$3:$E$130,2,FALSE),0)</f>
        <v>0.64616976667272386</v>
      </c>
      <c r="J41" s="5">
        <f>IF($E41&gt;=J$2,VLOOKUP($E41-J$2,'data input'!$D$3:$E$130,2,FALSE),0)</f>
        <v>0.67364477971207992</v>
      </c>
      <c r="K41" s="5">
        <f>IF($E41&gt;=K$2,VLOOKUP($E41-K$2,'data input'!$D$3:$E$130,2,FALSE),0)</f>
        <v>0.70020840453130417</v>
      </c>
      <c r="L41" s="5">
        <f>IF($E41&gt;=L$2,VLOOKUP($E41-L$2,'data input'!$D$3:$E$130,2,FALSE),0)</f>
        <v>0.72574688224992645</v>
      </c>
      <c r="M41" s="5">
        <f>IF($E41&gt;=M$2,VLOOKUP($E41-M$2,'data input'!$D$3:$E$130,2,FALSE),0)</f>
        <v>0.75016211752822304</v>
      </c>
      <c r="N41" s="5">
        <f>IF($E41&gt;=N$2,VLOOKUP($E41-N$2,'data input'!$D$3:$E$130,2,FALSE),0)</f>
        <v>0.77337264762313174</v>
      </c>
      <c r="O41" s="5">
        <f>IF($E41&gt;=O$2,VLOOKUP($E41-O$2,'data input'!$D$3:$E$130,2,FALSE),0)</f>
        <v>0.79531420465274738</v>
      </c>
      <c r="P41" s="5">
        <f>IF($E41&gt;=P$2,VLOOKUP($E41-P$2,'data input'!$D$3:$E$130,2,FALSE),0)</f>
        <v>0.81593987465324047</v>
      </c>
      <c r="Q41" s="5">
        <f>IF($E41&gt;=Q$2,VLOOKUP($E41-Q$2,'data input'!$D$3:$E$130,2,FALSE),0)</f>
        <v>0.83521987001968967</v>
      </c>
      <c r="R41" s="5">
        <f>IF($E41&gt;=R$2,VLOOKUP($E41-R$2,'data input'!$D$3:$E$130,2,FALSE),0)</f>
        <v>0.85314094362410409</v>
      </c>
      <c r="S41" s="5">
        <f>IF($E41&gt;=S$2,VLOOKUP($E41-S$2,'data input'!$D$3:$E$130,2,FALSE),0)</f>
        <v>0.86970548286319116</v>
      </c>
      <c r="T41" s="5">
        <f>IF($E41&gt;=T$2,VLOOKUP($E41-T$2,'data input'!$D$3:$E$130,2,FALSE),0)</f>
        <v>0.88493032977829178</v>
      </c>
      <c r="U41" s="5">
        <f>IF($E41&gt;=U$2,VLOOKUP($E41-U$2,'data input'!$D$3:$E$130,2,FALSE),0)</f>
        <v>0.89884537900441408</v>
      </c>
      <c r="V41" s="5">
        <f>IF($E41&gt;=V$2,VLOOKUP($E41-V$2,'data input'!$D$3:$E$130,2,FALSE),0)</f>
        <v>0.91149200856259793</v>
      </c>
      <c r="W41" s="5">
        <f>IF($E41&gt;=W$2,VLOOKUP($E41-W$2,'data input'!$D$3:$E$130,2,FALSE),0)</f>
        <v>0.92292139944792817</v>
      </c>
      <c r="X41" s="5">
        <f>IF($E41&gt;=X$2,VLOOKUP($E41-X$2,'data input'!$D$3:$E$130,2,FALSE),0)</f>
        <v>0.93319279873114191</v>
      </c>
      <c r="Y41" s="5">
        <f>IF($E41&gt;=Y$2,VLOOKUP($E41-Y$2,'data input'!$D$3:$E$130,2,FALSE),0)</f>
        <v>0.94237177772384684</v>
      </c>
      <c r="Z41" s="5">
        <f>IF($E41&gt;=Z$2,VLOOKUP($E41-Z$2,'data input'!$D$3:$E$130,2,FALSE),0)</f>
        <v>0.9505285319663519</v>
      </c>
      <c r="AA41" s="5">
        <f>IF($E41&gt;=AA$2,VLOOKUP($E41-AA$2,'data input'!$D$3:$E$130,2,FALSE),0)</f>
        <v>0.95773626374204757</v>
      </c>
      <c r="AB41" s="5">
        <f>IF($E41&gt;=AB$2,VLOOKUP($E41-AB$2,'data input'!$D$3:$E$130,2,FALSE),0)</f>
        <v>0.96406968088707423</v>
      </c>
      <c r="AC41" s="5">
        <f>IF($E41&gt;=AC$2,VLOOKUP($E41-AC$2,'data input'!$D$3:$E$130,2,FALSE),0)</f>
        <v>0.96960363823473861</v>
      </c>
      <c r="AD41" s="5">
        <f>IF($E41&gt;=AD$2,VLOOKUP($E41-AD$2,'data input'!$D$3:$E$130,2,FALSE),0)</f>
        <v>0.97441194047836144</v>
      </c>
      <c r="AE41" s="5">
        <f>IF($E41&gt;=AE$2,VLOOKUP($E41-AE$2,'data input'!$D$3:$E$130,2,FALSE),0)</f>
        <v>0.97856631788584703</v>
      </c>
      <c r="AF41" s="5">
        <f>IF($E41&gt;=AF$2,VLOOKUP($E41-AF$2,'data input'!$D$3:$E$130,2,FALSE),0)</f>
        <v>0.98213557943718344</v>
      </c>
      <c r="AG41" s="5">
        <f>IF($E41&gt;=AG$2,VLOOKUP($E41-AG$2,'data input'!$D$3:$E$130,2,FALSE),0)</f>
        <v>0.98518494180739014</v>
      </c>
      <c r="AH41" s="5">
        <f>IF($E41&gt;=AH$2,VLOOKUP($E41-AH$2,'data input'!$D$3:$E$130,2,FALSE),0)</f>
        <v>0.98777552734495533</v>
      </c>
      <c r="AI41" s="5">
        <f>IF($E41&gt;=AI$2,VLOOKUP($E41-AI$2,'data input'!$D$3:$E$130,2,FALSE),0)</f>
        <v>0.98996401989972593</v>
      </c>
      <c r="AJ41" s="5">
        <f>IF($E41&gt;=AJ$2,VLOOKUP($E41-AJ$2,'data input'!$D$3:$E$130,2,FALSE),0)</f>
        <v>0.99180246407540384</v>
      </c>
      <c r="AK41" s="5">
        <f>IF($E41&gt;=AK$2,VLOOKUP($E41-AK$2,'data input'!$D$3:$E$130,2,FALSE),0)</f>
        <v>0.99333819120801725</v>
      </c>
      <c r="AL41" s="5">
        <f>IF($E41&gt;=AL$2,VLOOKUP($E41-AL$2,'data input'!$D$3:$E$130,2,FALSE),0)</f>
        <v>0.99461385404593328</v>
      </c>
      <c r="AM41" s="5">
        <f>IF($E41&gt;=AM$2,VLOOKUP($E41-AM$2,'data input'!$D$3:$E$130,2,FALSE),0)</f>
        <v>0.99566755163698739</v>
      </c>
      <c r="AN41" s="5">
        <f>IF($E41&gt;=AN$2,VLOOKUP($E41-AN$2,'data input'!$D$3:$E$130,2,FALSE),0)</f>
        <v>0.99653302619695938</v>
      </c>
      <c r="AO41" s="5">
        <f>IF($E41&gt;=AO$2,VLOOKUP($E41-AO$2,'data input'!$D$3:$E$130,2,FALSE),0)</f>
        <v>0.99723991460873751</v>
      </c>
      <c r="AP41" s="5">
        <f>IF($E41&gt;=AP$2,VLOOKUP($E41-AP$2,'data input'!$D$3:$E$130,2,FALSE),0)</f>
        <v>0.99781403854508677</v>
      </c>
      <c r="AQ41" s="5">
        <f>IF($E41&gt;=AQ$2,VLOOKUP($E41-AQ$2,'data input'!$D$3:$E$130,2,FALSE),0)</f>
        <v>0.99827771888413241</v>
      </c>
      <c r="AR41" s="5">
        <f>IF($E41&gt;=AR$2,VLOOKUP($E41-AR$2,'data input'!$D$3:$E$130,2,FALSE),0)</f>
        <v>0.9986501019683699</v>
      </c>
      <c r="AS41" s="5">
        <f>IF($E41&gt;=AS$2,VLOOKUP($E41-AS$2,'data input'!$D$3:$E$130,2,FALSE),0)</f>
        <v>0</v>
      </c>
      <c r="AT41" s="5">
        <f>IF($E41&gt;=AT$2,VLOOKUP($E41-AT$2,'data input'!$D$3:$E$130,2,FALSE),0)</f>
        <v>0</v>
      </c>
      <c r="AU41" s="5">
        <f>IF($E41&gt;=AU$2,VLOOKUP($E41-AU$2,'data input'!$D$3:$E$130,2,FALSE),0)</f>
        <v>0</v>
      </c>
      <c r="AV41" s="5">
        <f>IF($E41&gt;=AV$2,VLOOKUP($E41-AV$2,'data input'!$D$3:$E$130,2,FALSE),0)</f>
        <v>0</v>
      </c>
      <c r="AW41" s="5">
        <f>IF($E41&gt;=AW$2,VLOOKUP($E41-AW$2,'data input'!$D$3:$E$130,2,FALSE),0)</f>
        <v>0</v>
      </c>
      <c r="AX41" s="5">
        <f>IF($E41&gt;=AX$2,VLOOKUP($E41-AX$2,'data input'!$D$3:$E$130,2,FALSE),0)</f>
        <v>0</v>
      </c>
      <c r="AY41" s="5">
        <f>IF($E41&gt;=AY$2,VLOOKUP($E41-AY$2,'data input'!$D$3:$E$130,2,FALSE),0)</f>
        <v>0</v>
      </c>
      <c r="AZ41" s="5">
        <f>IF($E41&gt;=AZ$2,VLOOKUP($E41-AZ$2,'data input'!$D$3:$E$130,2,FALSE),0)</f>
        <v>0</v>
      </c>
      <c r="BA41" s="5">
        <f>IF($E41&gt;=BA$2,VLOOKUP($E41-BA$2,'data input'!$D$3:$E$130,2,FALSE),0)</f>
        <v>0</v>
      </c>
      <c r="BB41" s="5">
        <f>IF($E41&gt;=BB$2,VLOOKUP($E41-BB$2,'data input'!$D$3:$E$130,2,FALSE),0)</f>
        <v>0</v>
      </c>
      <c r="BC41" s="5">
        <f>IF($E41&gt;=BC$2,VLOOKUP($E41-BC$2,'data input'!$D$3:$E$130,2,FALSE),0)</f>
        <v>0</v>
      </c>
      <c r="BD41" s="5">
        <f>IF($E41&gt;=BD$2,VLOOKUP($E41-BD$2,'data input'!$D$3:$E$130,2,FALSE),0)</f>
        <v>0</v>
      </c>
      <c r="BE41" s="5">
        <f>IF($E41&gt;=BE$2,VLOOKUP($E41-BE$2,'data input'!$D$3:$E$130,2,FALSE),0)</f>
        <v>0</v>
      </c>
      <c r="BF41" s="5">
        <f>IF($E41&gt;=BF$2,VLOOKUP($E41-BF$2,'data input'!$D$3:$E$130,2,FALSE),0)</f>
        <v>0</v>
      </c>
      <c r="BG41" s="5">
        <f>IF($E41&gt;=BG$2,VLOOKUP($E41-BG$2,'data input'!$D$3:$E$130,2,FALSE),0)</f>
        <v>0</v>
      </c>
      <c r="BH41" s="5">
        <f>IF($E41&gt;=BH$2,VLOOKUP($E41-BH$2,'data input'!$D$3:$E$130,2,FALSE),0)</f>
        <v>0</v>
      </c>
      <c r="BI41" s="5">
        <f>IF($E41&gt;=BI$2,VLOOKUP($E41-BI$2,'data input'!$D$3:$E$130,2,FALSE),0)</f>
        <v>0</v>
      </c>
      <c r="BJ41" s="5">
        <f>IF($E41&gt;=BJ$2,VLOOKUP($E41-BJ$2,'data input'!$D$3:$E$130,2,FALSE),0)</f>
        <v>0</v>
      </c>
      <c r="BK41" s="5">
        <f>IF($E41&gt;=BK$2,VLOOKUP($E41-BK$2,'data input'!$D$3:$E$130,2,FALSE),0)</f>
        <v>0</v>
      </c>
      <c r="BL41" s="5">
        <f>IF($E41&gt;=BL$2,VLOOKUP($E41-BL$2,'data input'!$D$3:$E$130,2,FALSE),0)</f>
        <v>0</v>
      </c>
      <c r="BM41" s="5">
        <f>IF($E41&gt;=BM$2,VLOOKUP($E41-BM$2,'data input'!$D$3:$E$130,2,FALSE),0)</f>
        <v>0</v>
      </c>
      <c r="BN41" s="5">
        <f>IF($E41&gt;=BN$2,VLOOKUP($E41-BN$2,'data input'!$D$3:$E$130,2,FALSE),0)</f>
        <v>0</v>
      </c>
      <c r="BO41" s="5">
        <f>IF($E41&gt;=BO$2,VLOOKUP($E41-BO$2,'data input'!$D$3:$E$130,2,FALSE),0)</f>
        <v>0</v>
      </c>
      <c r="BP41" s="5">
        <f>IF($E41&gt;=BP$2,VLOOKUP($E41-BP$2,'data input'!$D$3:$E$130,2,FALSE),0)</f>
        <v>0</v>
      </c>
      <c r="BQ41" s="5">
        <f>IF($E41&gt;=BQ$2,VLOOKUP($E41-BQ$2,'data input'!$D$3:$E$130,2,FALSE),0)</f>
        <v>0</v>
      </c>
      <c r="BR41" s="5">
        <f>IF($E41&gt;=BR$2,VLOOKUP($E41-BR$2,'data input'!$D$3:$E$130,2,FALSE),0)</f>
        <v>0</v>
      </c>
      <c r="BS41" s="5">
        <f>IF($E41&gt;=BS$2,VLOOKUP($E41-BS$2,'data input'!$D$3:$E$130,2,FALSE),0)</f>
        <v>0</v>
      </c>
      <c r="BT41" s="5">
        <f>IF($E41&gt;=BT$2,VLOOKUP($E41-BT$2,'data input'!$D$3:$E$130,2,FALSE),0)</f>
        <v>0</v>
      </c>
      <c r="BU41" s="5">
        <f>IF($E41&gt;=BU$2,VLOOKUP($E41-BU$2,'data input'!$D$3:$E$130,2,FALSE),0)</f>
        <v>0</v>
      </c>
      <c r="BV41" s="5">
        <f>IF($E41&gt;=BV$2,VLOOKUP($E41-BV$2,'data input'!$D$3:$E$130,2,FALSE),0)</f>
        <v>0</v>
      </c>
      <c r="BW41" s="5">
        <f>IF($E41&gt;=BW$2,VLOOKUP($E41-BW$2,'data input'!$D$3:$E$130,2,FALSE),0)</f>
        <v>0</v>
      </c>
      <c r="BX41" s="5">
        <f>IF($E41&gt;=BX$2,VLOOKUP($E41-BX$2,'data input'!$D$3:$E$130,2,FALSE),0)</f>
        <v>0</v>
      </c>
      <c r="BY41" s="5">
        <f>IF($E41&gt;=BY$2,VLOOKUP($E41-BY$2,'data input'!$D$3:$E$130,2,FALSE),0)</f>
        <v>0</v>
      </c>
      <c r="BZ41" s="5">
        <f>IF($E41&gt;=BZ$2,VLOOKUP($E41-BZ$2,'data input'!$D$3:$E$130,2,FALSE),0)</f>
        <v>0</v>
      </c>
      <c r="CA41" s="5">
        <f>IF($E41&gt;=CA$2,VLOOKUP($E41-CA$2,'data input'!$D$3:$E$130,2,FALSE),0)</f>
        <v>0</v>
      </c>
      <c r="CB41" s="5">
        <f>IF($E41&gt;=CB$2,VLOOKUP($E41-CB$2,'data input'!$D$3:$E$130,2,FALSE),0)</f>
        <v>0</v>
      </c>
      <c r="CC41" s="5">
        <f>IF($E41&gt;=CC$2,VLOOKUP($E41-CC$2,'data input'!$D$3:$E$130,2,FALSE),0)</f>
        <v>0</v>
      </c>
      <c r="CD41" s="5">
        <f>IF($E41&gt;=CD$2,VLOOKUP($E41-CD$2,'data input'!$D$3:$E$130,2,FALSE),0)</f>
        <v>0</v>
      </c>
      <c r="CE41" s="5">
        <f>IF($E41&gt;=CE$2,VLOOKUP($E41-CE$2,'data input'!$D$3:$E$130,2,FALSE),0)</f>
        <v>0</v>
      </c>
      <c r="CF41" s="5">
        <f>IF($E41&gt;=CF$2,VLOOKUP($E41-CF$2,'data input'!$D$3:$E$130,2,FALSE),0)</f>
        <v>0</v>
      </c>
      <c r="CG41" s="5">
        <f>IF($E41&gt;=CG$2,VLOOKUP($E41-CG$2,'data input'!$D$3:$E$130,2,FALSE),0)</f>
        <v>0</v>
      </c>
      <c r="CH41" s="5">
        <f>IF($E41&gt;=CH$2,VLOOKUP($E41-CH$2,'data input'!$D$3:$E$130,2,FALSE),0)</f>
        <v>0</v>
      </c>
      <c r="CI41" s="5">
        <f>IF($E41&gt;=CI$2,VLOOKUP($E41-CI$2,'data input'!$D$3:$E$130,2,FALSE),0)</f>
        <v>0</v>
      </c>
      <c r="CJ41" s="5">
        <f>IF($E41&gt;=CJ$2,VLOOKUP($E41-CJ$2,'data input'!$D$3:$E$130,2,FALSE),0)</f>
        <v>0</v>
      </c>
      <c r="CK41" s="5">
        <f>IF($E41&gt;=CK$2,VLOOKUP($E41-CK$2,'data input'!$D$3:$E$130,2,FALSE),0)</f>
        <v>0</v>
      </c>
      <c r="CL41" s="5">
        <f>IF($E41&gt;=CL$2,VLOOKUP($E41-CL$2,'data input'!$D$3:$E$130,2,FALSE),0)</f>
        <v>0</v>
      </c>
      <c r="CM41" s="5">
        <f>IF($E41&gt;=CM$2,VLOOKUP($E41-CM$2,'data input'!$D$3:$E$130,2,FALSE),0)</f>
        <v>0</v>
      </c>
      <c r="CN41" s="5">
        <f>IF($E41&gt;=CN$2,VLOOKUP($E41-CN$2,'data input'!$D$3:$E$130,2,FALSE),0)</f>
        <v>0</v>
      </c>
      <c r="CO41" s="5">
        <f>IF($E41&gt;=CO$2,VLOOKUP($E41-CO$2,'data input'!$D$3:$E$130,2,FALSE),0)</f>
        <v>0</v>
      </c>
      <c r="CP41" s="5">
        <f>IF($E41&gt;=CP$2,VLOOKUP($E41-CP$2,'data input'!$D$3:$E$130,2,FALSE),0)</f>
        <v>0</v>
      </c>
      <c r="CQ41" s="5">
        <f>IF($E41&gt;=CQ$2,VLOOKUP($E41-CQ$2,'data input'!$D$3:$E$130,2,FALSE),0)</f>
        <v>0</v>
      </c>
      <c r="CR41" s="5">
        <f>IF($E41&gt;=CR$2,VLOOKUP($E41-CR$2,'data input'!$D$3:$E$130,2,FALSE),0)</f>
        <v>0</v>
      </c>
      <c r="CS41" s="5">
        <f>IF($E41&gt;=CS$2,VLOOKUP($E41-CS$2,'data input'!$D$3:$E$130,2,FALSE),0)</f>
        <v>0</v>
      </c>
      <c r="CT41" s="5">
        <f>IF($E41&gt;=CT$2,VLOOKUP($E41-CT$2,'data input'!$D$3:$E$130,2,FALSE),0)</f>
        <v>0</v>
      </c>
      <c r="CU41" s="5">
        <f>IF($E41&gt;=CU$2,VLOOKUP($E41-CU$2,'data input'!$D$3:$E$130,2,FALSE),0)</f>
        <v>0</v>
      </c>
      <c r="CV41" s="5">
        <f>IF($E41&gt;=CV$2,VLOOKUP($E41-CV$2,'data input'!$D$3:$E$130,2,FALSE),0)</f>
        <v>0</v>
      </c>
      <c r="CW41" s="5">
        <f>IF($E41&gt;=CW$2,VLOOKUP($E41-CW$2,'data input'!$D$3:$E$130,2,FALSE),0)</f>
        <v>0</v>
      </c>
      <c r="CX41" s="5">
        <f>IF($E41&gt;=CX$2,VLOOKUP($E41-CX$2,'data input'!$D$3:$E$130,2,FALSE),0)</f>
        <v>0</v>
      </c>
      <c r="CY41" s="5">
        <f>IF($E41&gt;=CY$2,VLOOKUP($E41-CY$2,'data input'!$D$3:$E$130,2,FALSE),0)</f>
        <v>0</v>
      </c>
      <c r="CZ41" s="5">
        <f>IF($E41&gt;=CZ$2,VLOOKUP($E41-CZ$2,'data input'!$D$3:$E$130,2,FALSE),0)</f>
        <v>0</v>
      </c>
      <c r="DA41" s="5">
        <f>IF($E41&gt;=DA$2,VLOOKUP($E41-DA$2,'data input'!$D$3:$E$130,2,FALSE),0)</f>
        <v>0</v>
      </c>
      <c r="DB41" s="5">
        <f>IF($E41&gt;=DB$2,VLOOKUP($E41-DB$2,'data input'!$D$3:$E$130,2,FALSE),0)</f>
        <v>0</v>
      </c>
      <c r="DC41" s="5">
        <f>IF($E41&gt;=DC$2,VLOOKUP($E41-DC$2,'data input'!$D$3:$E$130,2,FALSE),0)</f>
        <v>0</v>
      </c>
      <c r="DD41" s="5">
        <f>IF($E41&gt;=DD$2,VLOOKUP($E41-DD$2,'data input'!$D$3:$E$130,2,FALSE),0)</f>
        <v>0</v>
      </c>
      <c r="DE41" s="5">
        <f>IF($E41&gt;=DE$2,VLOOKUP($E41-DE$2,'data input'!$D$3:$E$130,2,FALSE),0)</f>
        <v>0</v>
      </c>
      <c r="DF41" s="5">
        <f>IF($E41&gt;=DF$2,VLOOKUP($E41-DF$2,'data input'!$D$3:$E$130,2,FALSE),0)</f>
        <v>0</v>
      </c>
      <c r="DG41" s="5">
        <f>IF($E41&gt;=DG$2,VLOOKUP($E41-DG$2,'data input'!$D$3:$E$130,2,FALSE),0)</f>
        <v>0</v>
      </c>
      <c r="DH41" s="5">
        <f>IF($E41&gt;=DH$2,VLOOKUP($E41-DH$2,'data input'!$D$3:$E$130,2,FALSE),0)</f>
        <v>0</v>
      </c>
      <c r="DI41" s="5">
        <f>IF($E41&gt;=DI$2,VLOOKUP($E41-DI$2,'data input'!$D$3:$E$130,2,FALSE),0)</f>
        <v>0</v>
      </c>
      <c r="DJ41" s="5">
        <f>IF($E41&gt;=DJ$2,VLOOKUP($E41-DJ$2,'data input'!$D$3:$E$130,2,FALSE),0)</f>
        <v>0</v>
      </c>
      <c r="DK41" s="5">
        <f>IF($E41&gt;=DK$2,VLOOKUP($E41-DK$2,'data input'!$D$3:$E$130,2,FALSE),0)</f>
        <v>0</v>
      </c>
      <c r="DL41" s="5">
        <f>IF($E41&gt;=DL$2,VLOOKUP($E41-DL$2,'data input'!$D$3:$E$130,2,FALSE),0)</f>
        <v>0</v>
      </c>
      <c r="DM41" s="5">
        <f>IF($E41&gt;=DM$2,VLOOKUP($E41-DM$2,'data input'!$D$3:$E$130,2,FALSE),0)</f>
        <v>0</v>
      </c>
      <c r="DN41" s="5">
        <f>IF($E41&gt;=DN$2,VLOOKUP($E41-DN$2,'data input'!$D$3:$E$130,2,FALSE),0)</f>
        <v>0</v>
      </c>
      <c r="DO41" s="5">
        <f>IF($E41&gt;=DO$2,VLOOKUP($E41-DO$2,'data input'!$D$3:$E$130,2,FALSE),0)</f>
        <v>0</v>
      </c>
      <c r="DP41" s="5">
        <f>IF($E41&gt;=DP$2,VLOOKUP($E41-DP$2,'data input'!$D$3:$E$130,2,FALSE),0)</f>
        <v>0</v>
      </c>
      <c r="DQ41" s="5">
        <f>IF($E41&gt;=DQ$2,VLOOKUP($E41-DQ$2,'data input'!$D$3:$E$130,2,FALSE),0)</f>
        <v>0</v>
      </c>
      <c r="DR41" s="5">
        <f>IF($E41&gt;=DR$2,VLOOKUP($E41-DR$2,'data input'!$D$3:$E$130,2,FALSE),0)</f>
        <v>0</v>
      </c>
      <c r="DS41" s="5">
        <f>IF($E41&gt;=DS$2,VLOOKUP($E41-DS$2,'data input'!$D$3:$E$130,2,FALSE),0)</f>
        <v>0</v>
      </c>
      <c r="DT41" s="5">
        <f>IF($E41&gt;=DT$2,VLOOKUP($E41-DT$2,'data input'!$D$3:$E$130,2,FALSE),0)</f>
        <v>0</v>
      </c>
      <c r="DU41" s="5">
        <f>IF($E41&gt;=DU$2,VLOOKUP($E41-DU$2,'data input'!$D$3:$E$130,2,FALSE),0)</f>
        <v>0</v>
      </c>
      <c r="DV41" s="5">
        <f>IF($E41&gt;=DV$2,VLOOKUP($E41-DV$2,'data input'!$D$3:$E$130,2,FALSE),0)</f>
        <v>0</v>
      </c>
      <c r="DW41" s="5">
        <f>IF($E41&gt;=DW$2,VLOOKUP($E41-DW$2,'data input'!$D$3:$E$130,2,FALSE),0)</f>
        <v>0</v>
      </c>
      <c r="DX41" s="5">
        <f>IF($E41&gt;=DX$2,VLOOKUP($E41-DX$2,'data input'!$D$3:$E$130,2,FALSE),0)</f>
        <v>0</v>
      </c>
      <c r="DY41" s="5">
        <f>IF($E41&gt;=DY$2,VLOOKUP($E41-DY$2,'data input'!$D$3:$E$130,2,FALSE),0)</f>
        <v>0</v>
      </c>
      <c r="DZ41" s="5">
        <f>IF($E41&gt;=DZ$2,VLOOKUP($E41-DZ$2,'data input'!$D$3:$E$130,2,FALSE),0)</f>
        <v>0</v>
      </c>
      <c r="EA41" s="5">
        <f>IF($E41&gt;=EA$2,VLOOKUP($E41-EA$2,'data input'!$D$3:$E$130,2,FALSE),0)</f>
        <v>0</v>
      </c>
      <c r="EB41" s="5">
        <f>IF($E41&gt;=EB$2,VLOOKUP($E41-EB$2,'data input'!$D$3:$E$130,2,FALSE),0)</f>
        <v>0</v>
      </c>
      <c r="EC41" s="5">
        <f>IF($E41&gt;=EC$2,VLOOKUP($E41-EC$2,'data input'!$D$3:$E$130,2,FALSE),0)</f>
        <v>0</v>
      </c>
    </row>
    <row r="42" spans="5:133">
      <c r="E42" s="7">
        <f>'data input'!B42</f>
        <v>1917</v>
      </c>
      <c r="F42" s="5">
        <f>IF($E42&gt;=F$2,VLOOKUP($E42-F$2,'data input'!$D$3:$E$130,2,FALSE),0)</f>
        <v>0.52989264405289482</v>
      </c>
      <c r="G42" s="5">
        <f>IF($E42&gt;=G$2,VLOOKUP($E42-G$2,'data input'!$D$3:$E$130,2,FALSE),0)</f>
        <v>0.5596176923702425</v>
      </c>
      <c r="H42" s="5">
        <f>IF($E42&gt;=H$2,VLOOKUP($E42-H$2,'data input'!$D$3:$E$130,2,FALSE),0)</f>
        <v>0.58901036286872965</v>
      </c>
      <c r="I42" s="5">
        <f>IF($E42&gt;=I$2,VLOOKUP($E42-I$2,'data input'!$D$3:$E$130,2,FALSE),0)</f>
        <v>0.61791142218895267</v>
      </c>
      <c r="J42" s="5">
        <f>IF($E42&gt;=J$2,VLOOKUP($E42-J$2,'data input'!$D$3:$E$130,2,FALSE),0)</f>
        <v>0.64616976667272386</v>
      </c>
      <c r="K42" s="5">
        <f>IF($E42&gt;=K$2,VLOOKUP($E42-K$2,'data input'!$D$3:$E$130,2,FALSE),0)</f>
        <v>0.67364477971207992</v>
      </c>
      <c r="L42" s="5">
        <f>IF($E42&gt;=L$2,VLOOKUP($E42-L$2,'data input'!$D$3:$E$130,2,FALSE),0)</f>
        <v>0.70020840453130417</v>
      </c>
      <c r="M42" s="5">
        <f>IF($E42&gt;=M$2,VLOOKUP($E42-M$2,'data input'!$D$3:$E$130,2,FALSE),0)</f>
        <v>0.72574688224992645</v>
      </c>
      <c r="N42" s="5">
        <f>IF($E42&gt;=N$2,VLOOKUP($E42-N$2,'data input'!$D$3:$E$130,2,FALSE),0)</f>
        <v>0.75016211752822304</v>
      </c>
      <c r="O42" s="5">
        <f>IF($E42&gt;=O$2,VLOOKUP($E42-O$2,'data input'!$D$3:$E$130,2,FALSE),0)</f>
        <v>0.77337264762313174</v>
      </c>
      <c r="P42" s="5">
        <f>IF($E42&gt;=P$2,VLOOKUP($E42-P$2,'data input'!$D$3:$E$130,2,FALSE),0)</f>
        <v>0.79531420465274738</v>
      </c>
      <c r="Q42" s="5">
        <f>IF($E42&gt;=Q$2,VLOOKUP($E42-Q$2,'data input'!$D$3:$E$130,2,FALSE),0)</f>
        <v>0.81593987465324047</v>
      </c>
      <c r="R42" s="5">
        <f>IF($E42&gt;=R$2,VLOOKUP($E42-R$2,'data input'!$D$3:$E$130,2,FALSE),0)</f>
        <v>0.83521987001968967</v>
      </c>
      <c r="S42" s="5">
        <f>IF($E42&gt;=S$2,VLOOKUP($E42-S$2,'data input'!$D$3:$E$130,2,FALSE),0)</f>
        <v>0.85314094362410409</v>
      </c>
      <c r="T42" s="5">
        <f>IF($E42&gt;=T$2,VLOOKUP($E42-T$2,'data input'!$D$3:$E$130,2,FALSE),0)</f>
        <v>0.86970548286319116</v>
      </c>
      <c r="U42" s="5">
        <f>IF($E42&gt;=U$2,VLOOKUP($E42-U$2,'data input'!$D$3:$E$130,2,FALSE),0)</f>
        <v>0.88493032977829178</v>
      </c>
      <c r="V42" s="5">
        <f>IF($E42&gt;=V$2,VLOOKUP($E42-V$2,'data input'!$D$3:$E$130,2,FALSE),0)</f>
        <v>0.89884537900441408</v>
      </c>
      <c r="W42" s="5">
        <f>IF($E42&gt;=W$2,VLOOKUP($E42-W$2,'data input'!$D$3:$E$130,2,FALSE),0)</f>
        <v>0.91149200856259793</v>
      </c>
      <c r="X42" s="5">
        <f>IF($E42&gt;=X$2,VLOOKUP($E42-X$2,'data input'!$D$3:$E$130,2,FALSE),0)</f>
        <v>0.92292139944792817</v>
      </c>
      <c r="Y42" s="5">
        <f>IF($E42&gt;=Y$2,VLOOKUP($E42-Y$2,'data input'!$D$3:$E$130,2,FALSE),0)</f>
        <v>0.93319279873114191</v>
      </c>
      <c r="Z42" s="5">
        <f>IF($E42&gt;=Z$2,VLOOKUP($E42-Z$2,'data input'!$D$3:$E$130,2,FALSE),0)</f>
        <v>0.94237177772384684</v>
      </c>
      <c r="AA42" s="5">
        <f>IF($E42&gt;=AA$2,VLOOKUP($E42-AA$2,'data input'!$D$3:$E$130,2,FALSE),0)</f>
        <v>0.9505285319663519</v>
      </c>
      <c r="AB42" s="5">
        <f>IF($E42&gt;=AB$2,VLOOKUP($E42-AB$2,'data input'!$D$3:$E$130,2,FALSE),0)</f>
        <v>0.95773626374204757</v>
      </c>
      <c r="AC42" s="5">
        <f>IF($E42&gt;=AC$2,VLOOKUP($E42-AC$2,'data input'!$D$3:$E$130,2,FALSE),0)</f>
        <v>0.96406968088707423</v>
      </c>
      <c r="AD42" s="5">
        <f>IF($E42&gt;=AD$2,VLOOKUP($E42-AD$2,'data input'!$D$3:$E$130,2,FALSE),0)</f>
        <v>0.96960363823473861</v>
      </c>
      <c r="AE42" s="5">
        <f>IF($E42&gt;=AE$2,VLOOKUP($E42-AE$2,'data input'!$D$3:$E$130,2,FALSE),0)</f>
        <v>0.97441194047836144</v>
      </c>
      <c r="AF42" s="5">
        <f>IF($E42&gt;=AF$2,VLOOKUP($E42-AF$2,'data input'!$D$3:$E$130,2,FALSE),0)</f>
        <v>0.97856631788584703</v>
      </c>
      <c r="AG42" s="5">
        <f>IF($E42&gt;=AG$2,VLOOKUP($E42-AG$2,'data input'!$D$3:$E$130,2,FALSE),0)</f>
        <v>0.98213557943718344</v>
      </c>
      <c r="AH42" s="5">
        <f>IF($E42&gt;=AH$2,VLOOKUP($E42-AH$2,'data input'!$D$3:$E$130,2,FALSE),0)</f>
        <v>0.98518494180739014</v>
      </c>
      <c r="AI42" s="5">
        <f>IF($E42&gt;=AI$2,VLOOKUP($E42-AI$2,'data input'!$D$3:$E$130,2,FALSE),0)</f>
        <v>0.98777552734495533</v>
      </c>
      <c r="AJ42" s="5">
        <f>IF($E42&gt;=AJ$2,VLOOKUP($E42-AJ$2,'data input'!$D$3:$E$130,2,FALSE),0)</f>
        <v>0.98996401989972593</v>
      </c>
      <c r="AK42" s="5">
        <f>IF($E42&gt;=AK$2,VLOOKUP($E42-AK$2,'data input'!$D$3:$E$130,2,FALSE),0)</f>
        <v>0.99180246407540384</v>
      </c>
      <c r="AL42" s="5">
        <f>IF($E42&gt;=AL$2,VLOOKUP($E42-AL$2,'data input'!$D$3:$E$130,2,FALSE),0)</f>
        <v>0.99333819120801725</v>
      </c>
      <c r="AM42" s="5">
        <f>IF($E42&gt;=AM$2,VLOOKUP($E42-AM$2,'data input'!$D$3:$E$130,2,FALSE),0)</f>
        <v>0.99461385404593328</v>
      </c>
      <c r="AN42" s="5">
        <f>IF($E42&gt;=AN$2,VLOOKUP($E42-AN$2,'data input'!$D$3:$E$130,2,FALSE),0)</f>
        <v>0.99566755163698739</v>
      </c>
      <c r="AO42" s="5">
        <f>IF($E42&gt;=AO$2,VLOOKUP($E42-AO$2,'data input'!$D$3:$E$130,2,FALSE),0)</f>
        <v>0.99653302619695938</v>
      </c>
      <c r="AP42" s="5">
        <f>IF($E42&gt;=AP$2,VLOOKUP($E42-AP$2,'data input'!$D$3:$E$130,2,FALSE),0)</f>
        <v>0.99723991460873751</v>
      </c>
      <c r="AQ42" s="5">
        <f>IF($E42&gt;=AQ$2,VLOOKUP($E42-AQ$2,'data input'!$D$3:$E$130,2,FALSE),0)</f>
        <v>0.99781403854508677</v>
      </c>
      <c r="AR42" s="5">
        <f>IF($E42&gt;=AR$2,VLOOKUP($E42-AR$2,'data input'!$D$3:$E$130,2,FALSE),0)</f>
        <v>0.99827771888413241</v>
      </c>
      <c r="AS42" s="5">
        <f>IF($E42&gt;=AS$2,VLOOKUP($E42-AS$2,'data input'!$D$3:$E$130,2,FALSE),0)</f>
        <v>0.9986501019683699</v>
      </c>
      <c r="AT42" s="5">
        <f>IF($E42&gt;=AT$2,VLOOKUP($E42-AT$2,'data input'!$D$3:$E$130,2,FALSE),0)</f>
        <v>0</v>
      </c>
      <c r="AU42" s="5">
        <f>IF($E42&gt;=AU$2,VLOOKUP($E42-AU$2,'data input'!$D$3:$E$130,2,FALSE),0)</f>
        <v>0</v>
      </c>
      <c r="AV42" s="5">
        <f>IF($E42&gt;=AV$2,VLOOKUP($E42-AV$2,'data input'!$D$3:$E$130,2,FALSE),0)</f>
        <v>0</v>
      </c>
      <c r="AW42" s="5">
        <f>IF($E42&gt;=AW$2,VLOOKUP($E42-AW$2,'data input'!$D$3:$E$130,2,FALSE),0)</f>
        <v>0</v>
      </c>
      <c r="AX42" s="5">
        <f>IF($E42&gt;=AX$2,VLOOKUP($E42-AX$2,'data input'!$D$3:$E$130,2,FALSE),0)</f>
        <v>0</v>
      </c>
      <c r="AY42" s="5">
        <f>IF($E42&gt;=AY$2,VLOOKUP($E42-AY$2,'data input'!$D$3:$E$130,2,FALSE),0)</f>
        <v>0</v>
      </c>
      <c r="AZ42" s="5">
        <f>IF($E42&gt;=AZ$2,VLOOKUP($E42-AZ$2,'data input'!$D$3:$E$130,2,FALSE),0)</f>
        <v>0</v>
      </c>
      <c r="BA42" s="5">
        <f>IF($E42&gt;=BA$2,VLOOKUP($E42-BA$2,'data input'!$D$3:$E$130,2,FALSE),0)</f>
        <v>0</v>
      </c>
      <c r="BB42" s="5">
        <f>IF($E42&gt;=BB$2,VLOOKUP($E42-BB$2,'data input'!$D$3:$E$130,2,FALSE),0)</f>
        <v>0</v>
      </c>
      <c r="BC42" s="5">
        <f>IF($E42&gt;=BC$2,VLOOKUP($E42-BC$2,'data input'!$D$3:$E$130,2,FALSE),0)</f>
        <v>0</v>
      </c>
      <c r="BD42" s="5">
        <f>IF($E42&gt;=BD$2,VLOOKUP($E42-BD$2,'data input'!$D$3:$E$130,2,FALSE),0)</f>
        <v>0</v>
      </c>
      <c r="BE42" s="5">
        <f>IF($E42&gt;=BE$2,VLOOKUP($E42-BE$2,'data input'!$D$3:$E$130,2,FALSE),0)</f>
        <v>0</v>
      </c>
      <c r="BF42" s="5">
        <f>IF($E42&gt;=BF$2,VLOOKUP($E42-BF$2,'data input'!$D$3:$E$130,2,FALSE),0)</f>
        <v>0</v>
      </c>
      <c r="BG42" s="5">
        <f>IF($E42&gt;=BG$2,VLOOKUP($E42-BG$2,'data input'!$D$3:$E$130,2,FALSE),0)</f>
        <v>0</v>
      </c>
      <c r="BH42" s="5">
        <f>IF($E42&gt;=BH$2,VLOOKUP($E42-BH$2,'data input'!$D$3:$E$130,2,FALSE),0)</f>
        <v>0</v>
      </c>
      <c r="BI42" s="5">
        <f>IF($E42&gt;=BI$2,VLOOKUP($E42-BI$2,'data input'!$D$3:$E$130,2,FALSE),0)</f>
        <v>0</v>
      </c>
      <c r="BJ42" s="5">
        <f>IF($E42&gt;=BJ$2,VLOOKUP($E42-BJ$2,'data input'!$D$3:$E$130,2,FALSE),0)</f>
        <v>0</v>
      </c>
      <c r="BK42" s="5">
        <f>IF($E42&gt;=BK$2,VLOOKUP($E42-BK$2,'data input'!$D$3:$E$130,2,FALSE),0)</f>
        <v>0</v>
      </c>
      <c r="BL42" s="5">
        <f>IF($E42&gt;=BL$2,VLOOKUP($E42-BL$2,'data input'!$D$3:$E$130,2,FALSE),0)</f>
        <v>0</v>
      </c>
      <c r="BM42" s="5">
        <f>IF($E42&gt;=BM$2,VLOOKUP($E42-BM$2,'data input'!$D$3:$E$130,2,FALSE),0)</f>
        <v>0</v>
      </c>
      <c r="BN42" s="5">
        <f>IF($E42&gt;=BN$2,VLOOKUP($E42-BN$2,'data input'!$D$3:$E$130,2,FALSE),0)</f>
        <v>0</v>
      </c>
      <c r="BO42" s="5">
        <f>IF($E42&gt;=BO$2,VLOOKUP($E42-BO$2,'data input'!$D$3:$E$130,2,FALSE),0)</f>
        <v>0</v>
      </c>
      <c r="BP42" s="5">
        <f>IF($E42&gt;=BP$2,VLOOKUP($E42-BP$2,'data input'!$D$3:$E$130,2,FALSE),0)</f>
        <v>0</v>
      </c>
      <c r="BQ42" s="5">
        <f>IF($E42&gt;=BQ$2,VLOOKUP($E42-BQ$2,'data input'!$D$3:$E$130,2,FALSE),0)</f>
        <v>0</v>
      </c>
      <c r="BR42" s="5">
        <f>IF($E42&gt;=BR$2,VLOOKUP($E42-BR$2,'data input'!$D$3:$E$130,2,FALSE),0)</f>
        <v>0</v>
      </c>
      <c r="BS42" s="5">
        <f>IF($E42&gt;=BS$2,VLOOKUP($E42-BS$2,'data input'!$D$3:$E$130,2,FALSE),0)</f>
        <v>0</v>
      </c>
      <c r="BT42" s="5">
        <f>IF($E42&gt;=BT$2,VLOOKUP($E42-BT$2,'data input'!$D$3:$E$130,2,FALSE),0)</f>
        <v>0</v>
      </c>
      <c r="BU42" s="5">
        <f>IF($E42&gt;=BU$2,VLOOKUP($E42-BU$2,'data input'!$D$3:$E$130,2,FALSE),0)</f>
        <v>0</v>
      </c>
      <c r="BV42" s="5">
        <f>IF($E42&gt;=BV$2,VLOOKUP($E42-BV$2,'data input'!$D$3:$E$130,2,FALSE),0)</f>
        <v>0</v>
      </c>
      <c r="BW42" s="5">
        <f>IF($E42&gt;=BW$2,VLOOKUP($E42-BW$2,'data input'!$D$3:$E$130,2,FALSE),0)</f>
        <v>0</v>
      </c>
      <c r="BX42" s="5">
        <f>IF($E42&gt;=BX$2,VLOOKUP($E42-BX$2,'data input'!$D$3:$E$130,2,FALSE),0)</f>
        <v>0</v>
      </c>
      <c r="BY42" s="5">
        <f>IF($E42&gt;=BY$2,VLOOKUP($E42-BY$2,'data input'!$D$3:$E$130,2,FALSE),0)</f>
        <v>0</v>
      </c>
      <c r="BZ42" s="5">
        <f>IF($E42&gt;=BZ$2,VLOOKUP($E42-BZ$2,'data input'!$D$3:$E$130,2,FALSE),0)</f>
        <v>0</v>
      </c>
      <c r="CA42" s="5">
        <f>IF($E42&gt;=CA$2,VLOOKUP($E42-CA$2,'data input'!$D$3:$E$130,2,FALSE),0)</f>
        <v>0</v>
      </c>
      <c r="CB42" s="5">
        <f>IF($E42&gt;=CB$2,VLOOKUP($E42-CB$2,'data input'!$D$3:$E$130,2,FALSE),0)</f>
        <v>0</v>
      </c>
      <c r="CC42" s="5">
        <f>IF($E42&gt;=CC$2,VLOOKUP($E42-CC$2,'data input'!$D$3:$E$130,2,FALSE),0)</f>
        <v>0</v>
      </c>
      <c r="CD42" s="5">
        <f>IF($E42&gt;=CD$2,VLOOKUP($E42-CD$2,'data input'!$D$3:$E$130,2,FALSE),0)</f>
        <v>0</v>
      </c>
      <c r="CE42" s="5">
        <f>IF($E42&gt;=CE$2,VLOOKUP($E42-CE$2,'data input'!$D$3:$E$130,2,FALSE),0)</f>
        <v>0</v>
      </c>
      <c r="CF42" s="5">
        <f>IF($E42&gt;=CF$2,VLOOKUP($E42-CF$2,'data input'!$D$3:$E$130,2,FALSE),0)</f>
        <v>0</v>
      </c>
      <c r="CG42" s="5">
        <f>IF($E42&gt;=CG$2,VLOOKUP($E42-CG$2,'data input'!$D$3:$E$130,2,FALSE),0)</f>
        <v>0</v>
      </c>
      <c r="CH42" s="5">
        <f>IF($E42&gt;=CH$2,VLOOKUP($E42-CH$2,'data input'!$D$3:$E$130,2,FALSE),0)</f>
        <v>0</v>
      </c>
      <c r="CI42" s="5">
        <f>IF($E42&gt;=CI$2,VLOOKUP($E42-CI$2,'data input'!$D$3:$E$130,2,FALSE),0)</f>
        <v>0</v>
      </c>
      <c r="CJ42" s="5">
        <f>IF($E42&gt;=CJ$2,VLOOKUP($E42-CJ$2,'data input'!$D$3:$E$130,2,FALSE),0)</f>
        <v>0</v>
      </c>
      <c r="CK42" s="5">
        <f>IF($E42&gt;=CK$2,VLOOKUP($E42-CK$2,'data input'!$D$3:$E$130,2,FALSE),0)</f>
        <v>0</v>
      </c>
      <c r="CL42" s="5">
        <f>IF($E42&gt;=CL$2,VLOOKUP($E42-CL$2,'data input'!$D$3:$E$130,2,FALSE),0)</f>
        <v>0</v>
      </c>
      <c r="CM42" s="5">
        <f>IF($E42&gt;=CM$2,VLOOKUP($E42-CM$2,'data input'!$D$3:$E$130,2,FALSE),0)</f>
        <v>0</v>
      </c>
      <c r="CN42" s="5">
        <f>IF($E42&gt;=CN$2,VLOOKUP($E42-CN$2,'data input'!$D$3:$E$130,2,FALSE),0)</f>
        <v>0</v>
      </c>
      <c r="CO42" s="5">
        <f>IF($E42&gt;=CO$2,VLOOKUP($E42-CO$2,'data input'!$D$3:$E$130,2,FALSE),0)</f>
        <v>0</v>
      </c>
      <c r="CP42" s="5">
        <f>IF($E42&gt;=CP$2,VLOOKUP($E42-CP$2,'data input'!$D$3:$E$130,2,FALSE),0)</f>
        <v>0</v>
      </c>
      <c r="CQ42" s="5">
        <f>IF($E42&gt;=CQ$2,VLOOKUP($E42-CQ$2,'data input'!$D$3:$E$130,2,FALSE),0)</f>
        <v>0</v>
      </c>
      <c r="CR42" s="5">
        <f>IF($E42&gt;=CR$2,VLOOKUP($E42-CR$2,'data input'!$D$3:$E$130,2,FALSE),0)</f>
        <v>0</v>
      </c>
      <c r="CS42" s="5">
        <f>IF($E42&gt;=CS$2,VLOOKUP($E42-CS$2,'data input'!$D$3:$E$130,2,FALSE),0)</f>
        <v>0</v>
      </c>
      <c r="CT42" s="5">
        <f>IF($E42&gt;=CT$2,VLOOKUP($E42-CT$2,'data input'!$D$3:$E$130,2,FALSE),0)</f>
        <v>0</v>
      </c>
      <c r="CU42" s="5">
        <f>IF($E42&gt;=CU$2,VLOOKUP($E42-CU$2,'data input'!$D$3:$E$130,2,FALSE),0)</f>
        <v>0</v>
      </c>
      <c r="CV42" s="5">
        <f>IF($E42&gt;=CV$2,VLOOKUP($E42-CV$2,'data input'!$D$3:$E$130,2,FALSE),0)</f>
        <v>0</v>
      </c>
      <c r="CW42" s="5">
        <f>IF($E42&gt;=CW$2,VLOOKUP($E42-CW$2,'data input'!$D$3:$E$130,2,FALSE),0)</f>
        <v>0</v>
      </c>
      <c r="CX42" s="5">
        <f>IF($E42&gt;=CX$2,VLOOKUP($E42-CX$2,'data input'!$D$3:$E$130,2,FALSE),0)</f>
        <v>0</v>
      </c>
      <c r="CY42" s="5">
        <f>IF($E42&gt;=CY$2,VLOOKUP($E42-CY$2,'data input'!$D$3:$E$130,2,FALSE),0)</f>
        <v>0</v>
      </c>
      <c r="CZ42" s="5">
        <f>IF($E42&gt;=CZ$2,VLOOKUP($E42-CZ$2,'data input'!$D$3:$E$130,2,FALSE),0)</f>
        <v>0</v>
      </c>
      <c r="DA42" s="5">
        <f>IF($E42&gt;=DA$2,VLOOKUP($E42-DA$2,'data input'!$D$3:$E$130,2,FALSE),0)</f>
        <v>0</v>
      </c>
      <c r="DB42" s="5">
        <f>IF($E42&gt;=DB$2,VLOOKUP($E42-DB$2,'data input'!$D$3:$E$130,2,FALSE),0)</f>
        <v>0</v>
      </c>
      <c r="DC42" s="5">
        <f>IF($E42&gt;=DC$2,VLOOKUP($E42-DC$2,'data input'!$D$3:$E$130,2,FALSE),0)</f>
        <v>0</v>
      </c>
      <c r="DD42" s="5">
        <f>IF($E42&gt;=DD$2,VLOOKUP($E42-DD$2,'data input'!$D$3:$E$130,2,FALSE),0)</f>
        <v>0</v>
      </c>
      <c r="DE42" s="5">
        <f>IF($E42&gt;=DE$2,VLOOKUP($E42-DE$2,'data input'!$D$3:$E$130,2,FALSE),0)</f>
        <v>0</v>
      </c>
      <c r="DF42" s="5">
        <f>IF($E42&gt;=DF$2,VLOOKUP($E42-DF$2,'data input'!$D$3:$E$130,2,FALSE),0)</f>
        <v>0</v>
      </c>
      <c r="DG42" s="5">
        <f>IF($E42&gt;=DG$2,VLOOKUP($E42-DG$2,'data input'!$D$3:$E$130,2,FALSE),0)</f>
        <v>0</v>
      </c>
      <c r="DH42" s="5">
        <f>IF($E42&gt;=DH$2,VLOOKUP($E42-DH$2,'data input'!$D$3:$E$130,2,FALSE),0)</f>
        <v>0</v>
      </c>
      <c r="DI42" s="5">
        <f>IF($E42&gt;=DI$2,VLOOKUP($E42-DI$2,'data input'!$D$3:$E$130,2,FALSE),0)</f>
        <v>0</v>
      </c>
      <c r="DJ42" s="5">
        <f>IF($E42&gt;=DJ$2,VLOOKUP($E42-DJ$2,'data input'!$D$3:$E$130,2,FALSE),0)</f>
        <v>0</v>
      </c>
      <c r="DK42" s="5">
        <f>IF($E42&gt;=DK$2,VLOOKUP($E42-DK$2,'data input'!$D$3:$E$130,2,FALSE),0)</f>
        <v>0</v>
      </c>
      <c r="DL42" s="5">
        <f>IF($E42&gt;=DL$2,VLOOKUP($E42-DL$2,'data input'!$D$3:$E$130,2,FALSE),0)</f>
        <v>0</v>
      </c>
      <c r="DM42" s="5">
        <f>IF($E42&gt;=DM$2,VLOOKUP($E42-DM$2,'data input'!$D$3:$E$130,2,FALSE),0)</f>
        <v>0</v>
      </c>
      <c r="DN42" s="5">
        <f>IF($E42&gt;=DN$2,VLOOKUP($E42-DN$2,'data input'!$D$3:$E$130,2,FALSE),0)</f>
        <v>0</v>
      </c>
      <c r="DO42" s="5">
        <f>IF($E42&gt;=DO$2,VLOOKUP($E42-DO$2,'data input'!$D$3:$E$130,2,FALSE),0)</f>
        <v>0</v>
      </c>
      <c r="DP42" s="5">
        <f>IF($E42&gt;=DP$2,VLOOKUP($E42-DP$2,'data input'!$D$3:$E$130,2,FALSE),0)</f>
        <v>0</v>
      </c>
      <c r="DQ42" s="5">
        <f>IF($E42&gt;=DQ$2,VLOOKUP($E42-DQ$2,'data input'!$D$3:$E$130,2,FALSE),0)</f>
        <v>0</v>
      </c>
      <c r="DR42" s="5">
        <f>IF($E42&gt;=DR$2,VLOOKUP($E42-DR$2,'data input'!$D$3:$E$130,2,FALSE),0)</f>
        <v>0</v>
      </c>
      <c r="DS42" s="5">
        <f>IF($E42&gt;=DS$2,VLOOKUP($E42-DS$2,'data input'!$D$3:$E$130,2,FALSE),0)</f>
        <v>0</v>
      </c>
      <c r="DT42" s="5">
        <f>IF($E42&gt;=DT$2,VLOOKUP($E42-DT$2,'data input'!$D$3:$E$130,2,FALSE),0)</f>
        <v>0</v>
      </c>
      <c r="DU42" s="5">
        <f>IF($E42&gt;=DU$2,VLOOKUP($E42-DU$2,'data input'!$D$3:$E$130,2,FALSE),0)</f>
        <v>0</v>
      </c>
      <c r="DV42" s="5">
        <f>IF($E42&gt;=DV$2,VLOOKUP($E42-DV$2,'data input'!$D$3:$E$130,2,FALSE),0)</f>
        <v>0</v>
      </c>
      <c r="DW42" s="5">
        <f>IF($E42&gt;=DW$2,VLOOKUP($E42-DW$2,'data input'!$D$3:$E$130,2,FALSE),0)</f>
        <v>0</v>
      </c>
      <c r="DX42" s="5">
        <f>IF($E42&gt;=DX$2,VLOOKUP($E42-DX$2,'data input'!$D$3:$E$130,2,FALSE),0)</f>
        <v>0</v>
      </c>
      <c r="DY42" s="5">
        <f>IF($E42&gt;=DY$2,VLOOKUP($E42-DY$2,'data input'!$D$3:$E$130,2,FALSE),0)</f>
        <v>0</v>
      </c>
      <c r="DZ42" s="5">
        <f>IF($E42&gt;=DZ$2,VLOOKUP($E42-DZ$2,'data input'!$D$3:$E$130,2,FALSE),0)</f>
        <v>0</v>
      </c>
      <c r="EA42" s="5">
        <f>IF($E42&gt;=EA$2,VLOOKUP($E42-EA$2,'data input'!$D$3:$E$130,2,FALSE),0)</f>
        <v>0</v>
      </c>
      <c r="EB42" s="5">
        <f>IF($E42&gt;=EB$2,VLOOKUP($E42-EB$2,'data input'!$D$3:$E$130,2,FALSE),0)</f>
        <v>0</v>
      </c>
      <c r="EC42" s="5">
        <f>IF($E42&gt;=EC$2,VLOOKUP($E42-EC$2,'data input'!$D$3:$E$130,2,FALSE),0)</f>
        <v>0</v>
      </c>
    </row>
    <row r="43" spans="5:133">
      <c r="E43" s="7">
        <f>'data input'!B43</f>
        <v>1918</v>
      </c>
      <c r="F43" s="5">
        <f>IF($E43&gt;=F$2,VLOOKUP($E43-F$2,'data input'!$D$3:$E$130,2,FALSE),0)</f>
        <v>0.5</v>
      </c>
      <c r="G43" s="5">
        <f>IF($E43&gt;=G$2,VLOOKUP($E43-G$2,'data input'!$D$3:$E$130,2,FALSE),0)</f>
        <v>0.52989264405289482</v>
      </c>
      <c r="H43" s="5">
        <f>IF($E43&gt;=H$2,VLOOKUP($E43-H$2,'data input'!$D$3:$E$130,2,FALSE),0)</f>
        <v>0.5596176923702425</v>
      </c>
      <c r="I43" s="5">
        <f>IF($E43&gt;=I$2,VLOOKUP($E43-I$2,'data input'!$D$3:$E$130,2,FALSE),0)</f>
        <v>0.58901036286872965</v>
      </c>
      <c r="J43" s="5">
        <f>IF($E43&gt;=J$2,VLOOKUP($E43-J$2,'data input'!$D$3:$E$130,2,FALSE),0)</f>
        <v>0.61791142218895267</v>
      </c>
      <c r="K43" s="5">
        <f>IF($E43&gt;=K$2,VLOOKUP($E43-K$2,'data input'!$D$3:$E$130,2,FALSE),0)</f>
        <v>0.64616976667272386</v>
      </c>
      <c r="L43" s="5">
        <f>IF($E43&gt;=L$2,VLOOKUP($E43-L$2,'data input'!$D$3:$E$130,2,FALSE),0)</f>
        <v>0.67364477971207992</v>
      </c>
      <c r="M43" s="5">
        <f>IF($E43&gt;=M$2,VLOOKUP($E43-M$2,'data input'!$D$3:$E$130,2,FALSE),0)</f>
        <v>0.70020840453130417</v>
      </c>
      <c r="N43" s="5">
        <f>IF($E43&gt;=N$2,VLOOKUP($E43-N$2,'data input'!$D$3:$E$130,2,FALSE),0)</f>
        <v>0.72574688224992645</v>
      </c>
      <c r="O43" s="5">
        <f>IF($E43&gt;=O$2,VLOOKUP($E43-O$2,'data input'!$D$3:$E$130,2,FALSE),0)</f>
        <v>0.75016211752822304</v>
      </c>
      <c r="P43" s="5">
        <f>IF($E43&gt;=P$2,VLOOKUP($E43-P$2,'data input'!$D$3:$E$130,2,FALSE),0)</f>
        <v>0.77337264762313174</v>
      </c>
      <c r="Q43" s="5">
        <f>IF($E43&gt;=Q$2,VLOOKUP($E43-Q$2,'data input'!$D$3:$E$130,2,FALSE),0)</f>
        <v>0.79531420465274738</v>
      </c>
      <c r="R43" s="5">
        <f>IF($E43&gt;=R$2,VLOOKUP($E43-R$2,'data input'!$D$3:$E$130,2,FALSE),0)</f>
        <v>0.81593987465324047</v>
      </c>
      <c r="S43" s="5">
        <f>IF($E43&gt;=S$2,VLOOKUP($E43-S$2,'data input'!$D$3:$E$130,2,FALSE),0)</f>
        <v>0.83521987001968967</v>
      </c>
      <c r="T43" s="5">
        <f>IF($E43&gt;=T$2,VLOOKUP($E43-T$2,'data input'!$D$3:$E$130,2,FALSE),0)</f>
        <v>0.85314094362410409</v>
      </c>
      <c r="U43" s="5">
        <f>IF($E43&gt;=U$2,VLOOKUP($E43-U$2,'data input'!$D$3:$E$130,2,FALSE),0)</f>
        <v>0.86970548286319116</v>
      </c>
      <c r="V43" s="5">
        <f>IF($E43&gt;=V$2,VLOOKUP($E43-V$2,'data input'!$D$3:$E$130,2,FALSE),0)</f>
        <v>0.88493032977829178</v>
      </c>
      <c r="W43" s="5">
        <f>IF($E43&gt;=W$2,VLOOKUP($E43-W$2,'data input'!$D$3:$E$130,2,FALSE),0)</f>
        <v>0.89884537900441408</v>
      </c>
      <c r="X43" s="5">
        <f>IF($E43&gt;=X$2,VLOOKUP($E43-X$2,'data input'!$D$3:$E$130,2,FALSE),0)</f>
        <v>0.91149200856259793</v>
      </c>
      <c r="Y43" s="5">
        <f>IF($E43&gt;=Y$2,VLOOKUP($E43-Y$2,'data input'!$D$3:$E$130,2,FALSE),0)</f>
        <v>0.92292139944792817</v>
      </c>
      <c r="Z43" s="5">
        <f>IF($E43&gt;=Z$2,VLOOKUP($E43-Z$2,'data input'!$D$3:$E$130,2,FALSE),0)</f>
        <v>0.93319279873114191</v>
      </c>
      <c r="AA43" s="5">
        <f>IF($E43&gt;=AA$2,VLOOKUP($E43-AA$2,'data input'!$D$3:$E$130,2,FALSE),0)</f>
        <v>0.94237177772384684</v>
      </c>
      <c r="AB43" s="5">
        <f>IF($E43&gt;=AB$2,VLOOKUP($E43-AB$2,'data input'!$D$3:$E$130,2,FALSE),0)</f>
        <v>0.9505285319663519</v>
      </c>
      <c r="AC43" s="5">
        <f>IF($E43&gt;=AC$2,VLOOKUP($E43-AC$2,'data input'!$D$3:$E$130,2,FALSE),0)</f>
        <v>0.95773626374204757</v>
      </c>
      <c r="AD43" s="5">
        <f>IF($E43&gt;=AD$2,VLOOKUP($E43-AD$2,'data input'!$D$3:$E$130,2,FALSE),0)</f>
        <v>0.96406968088707423</v>
      </c>
      <c r="AE43" s="5">
        <f>IF($E43&gt;=AE$2,VLOOKUP($E43-AE$2,'data input'!$D$3:$E$130,2,FALSE),0)</f>
        <v>0.96960363823473861</v>
      </c>
      <c r="AF43" s="5">
        <f>IF($E43&gt;=AF$2,VLOOKUP($E43-AF$2,'data input'!$D$3:$E$130,2,FALSE),0)</f>
        <v>0.97441194047836144</v>
      </c>
      <c r="AG43" s="5">
        <f>IF($E43&gt;=AG$2,VLOOKUP($E43-AG$2,'data input'!$D$3:$E$130,2,FALSE),0)</f>
        <v>0.97856631788584703</v>
      </c>
      <c r="AH43" s="5">
        <f>IF($E43&gt;=AH$2,VLOOKUP($E43-AH$2,'data input'!$D$3:$E$130,2,FALSE),0)</f>
        <v>0.98213557943718344</v>
      </c>
      <c r="AI43" s="5">
        <f>IF($E43&gt;=AI$2,VLOOKUP($E43-AI$2,'data input'!$D$3:$E$130,2,FALSE),0)</f>
        <v>0.98518494180739014</v>
      </c>
      <c r="AJ43" s="5">
        <f>IF($E43&gt;=AJ$2,VLOOKUP($E43-AJ$2,'data input'!$D$3:$E$130,2,FALSE),0)</f>
        <v>0.98777552734495533</v>
      </c>
      <c r="AK43" s="5">
        <f>IF($E43&gt;=AK$2,VLOOKUP($E43-AK$2,'data input'!$D$3:$E$130,2,FALSE),0)</f>
        <v>0.98996401989972593</v>
      </c>
      <c r="AL43" s="5">
        <f>IF($E43&gt;=AL$2,VLOOKUP($E43-AL$2,'data input'!$D$3:$E$130,2,FALSE),0)</f>
        <v>0.99180246407540384</v>
      </c>
      <c r="AM43" s="5">
        <f>IF($E43&gt;=AM$2,VLOOKUP($E43-AM$2,'data input'!$D$3:$E$130,2,FALSE),0)</f>
        <v>0.99333819120801725</v>
      </c>
      <c r="AN43" s="5">
        <f>IF($E43&gt;=AN$2,VLOOKUP($E43-AN$2,'data input'!$D$3:$E$130,2,FALSE),0)</f>
        <v>0.99461385404593328</v>
      </c>
      <c r="AO43" s="5">
        <f>IF($E43&gt;=AO$2,VLOOKUP($E43-AO$2,'data input'!$D$3:$E$130,2,FALSE),0)</f>
        <v>0.99566755163698739</v>
      </c>
      <c r="AP43" s="5">
        <f>IF($E43&gt;=AP$2,VLOOKUP($E43-AP$2,'data input'!$D$3:$E$130,2,FALSE),0)</f>
        <v>0.99653302619695938</v>
      </c>
      <c r="AQ43" s="5">
        <f>IF($E43&gt;=AQ$2,VLOOKUP($E43-AQ$2,'data input'!$D$3:$E$130,2,FALSE),0)</f>
        <v>0.99723991460873751</v>
      </c>
      <c r="AR43" s="5">
        <f>IF($E43&gt;=AR$2,VLOOKUP($E43-AR$2,'data input'!$D$3:$E$130,2,FALSE),0)</f>
        <v>0.99781403854508677</v>
      </c>
      <c r="AS43" s="5">
        <f>IF($E43&gt;=AS$2,VLOOKUP($E43-AS$2,'data input'!$D$3:$E$130,2,FALSE),0)</f>
        <v>0.99827771888413241</v>
      </c>
      <c r="AT43" s="5">
        <f>IF($E43&gt;=AT$2,VLOOKUP($E43-AT$2,'data input'!$D$3:$E$130,2,FALSE),0)</f>
        <v>0.9986501019683699</v>
      </c>
      <c r="AU43" s="5">
        <f>IF($E43&gt;=AU$2,VLOOKUP($E43-AU$2,'data input'!$D$3:$E$130,2,FALSE),0)</f>
        <v>0</v>
      </c>
      <c r="AV43" s="5">
        <f>IF($E43&gt;=AV$2,VLOOKUP($E43-AV$2,'data input'!$D$3:$E$130,2,FALSE),0)</f>
        <v>0</v>
      </c>
      <c r="AW43" s="5">
        <f>IF($E43&gt;=AW$2,VLOOKUP($E43-AW$2,'data input'!$D$3:$E$130,2,FALSE),0)</f>
        <v>0</v>
      </c>
      <c r="AX43" s="5">
        <f>IF($E43&gt;=AX$2,VLOOKUP($E43-AX$2,'data input'!$D$3:$E$130,2,FALSE),0)</f>
        <v>0</v>
      </c>
      <c r="AY43" s="5">
        <f>IF($E43&gt;=AY$2,VLOOKUP($E43-AY$2,'data input'!$D$3:$E$130,2,FALSE),0)</f>
        <v>0</v>
      </c>
      <c r="AZ43" s="5">
        <f>IF($E43&gt;=AZ$2,VLOOKUP($E43-AZ$2,'data input'!$D$3:$E$130,2,FALSE),0)</f>
        <v>0</v>
      </c>
      <c r="BA43" s="5">
        <f>IF($E43&gt;=BA$2,VLOOKUP($E43-BA$2,'data input'!$D$3:$E$130,2,FALSE),0)</f>
        <v>0</v>
      </c>
      <c r="BB43" s="5">
        <f>IF($E43&gt;=BB$2,VLOOKUP($E43-BB$2,'data input'!$D$3:$E$130,2,FALSE),0)</f>
        <v>0</v>
      </c>
      <c r="BC43" s="5">
        <f>IF($E43&gt;=BC$2,VLOOKUP($E43-BC$2,'data input'!$D$3:$E$130,2,FALSE),0)</f>
        <v>0</v>
      </c>
      <c r="BD43" s="5">
        <f>IF($E43&gt;=BD$2,VLOOKUP($E43-BD$2,'data input'!$D$3:$E$130,2,FALSE),0)</f>
        <v>0</v>
      </c>
      <c r="BE43" s="5">
        <f>IF($E43&gt;=BE$2,VLOOKUP($E43-BE$2,'data input'!$D$3:$E$130,2,FALSE),0)</f>
        <v>0</v>
      </c>
      <c r="BF43" s="5">
        <f>IF($E43&gt;=BF$2,VLOOKUP($E43-BF$2,'data input'!$D$3:$E$130,2,FALSE),0)</f>
        <v>0</v>
      </c>
      <c r="BG43" s="5">
        <f>IF($E43&gt;=BG$2,VLOOKUP($E43-BG$2,'data input'!$D$3:$E$130,2,FALSE),0)</f>
        <v>0</v>
      </c>
      <c r="BH43" s="5">
        <f>IF($E43&gt;=BH$2,VLOOKUP($E43-BH$2,'data input'!$D$3:$E$130,2,FALSE),0)</f>
        <v>0</v>
      </c>
      <c r="BI43" s="5">
        <f>IF($E43&gt;=BI$2,VLOOKUP($E43-BI$2,'data input'!$D$3:$E$130,2,FALSE),0)</f>
        <v>0</v>
      </c>
      <c r="BJ43" s="5">
        <f>IF($E43&gt;=BJ$2,VLOOKUP($E43-BJ$2,'data input'!$D$3:$E$130,2,FALSE),0)</f>
        <v>0</v>
      </c>
      <c r="BK43" s="5">
        <f>IF($E43&gt;=BK$2,VLOOKUP($E43-BK$2,'data input'!$D$3:$E$130,2,FALSE),0)</f>
        <v>0</v>
      </c>
      <c r="BL43" s="5">
        <f>IF($E43&gt;=BL$2,VLOOKUP($E43-BL$2,'data input'!$D$3:$E$130,2,FALSE),0)</f>
        <v>0</v>
      </c>
      <c r="BM43" s="5">
        <f>IF($E43&gt;=BM$2,VLOOKUP($E43-BM$2,'data input'!$D$3:$E$130,2,FALSE),0)</f>
        <v>0</v>
      </c>
      <c r="BN43" s="5">
        <f>IF($E43&gt;=BN$2,VLOOKUP($E43-BN$2,'data input'!$D$3:$E$130,2,FALSE),0)</f>
        <v>0</v>
      </c>
      <c r="BO43" s="5">
        <f>IF($E43&gt;=BO$2,VLOOKUP($E43-BO$2,'data input'!$D$3:$E$130,2,FALSE),0)</f>
        <v>0</v>
      </c>
      <c r="BP43" s="5">
        <f>IF($E43&gt;=BP$2,VLOOKUP($E43-BP$2,'data input'!$D$3:$E$130,2,FALSE),0)</f>
        <v>0</v>
      </c>
      <c r="BQ43" s="5">
        <f>IF($E43&gt;=BQ$2,VLOOKUP($E43-BQ$2,'data input'!$D$3:$E$130,2,FALSE),0)</f>
        <v>0</v>
      </c>
      <c r="BR43" s="5">
        <f>IF($E43&gt;=BR$2,VLOOKUP($E43-BR$2,'data input'!$D$3:$E$130,2,FALSE),0)</f>
        <v>0</v>
      </c>
      <c r="BS43" s="5">
        <f>IF($E43&gt;=BS$2,VLOOKUP($E43-BS$2,'data input'!$D$3:$E$130,2,FALSE),0)</f>
        <v>0</v>
      </c>
      <c r="BT43" s="5">
        <f>IF($E43&gt;=BT$2,VLOOKUP($E43-BT$2,'data input'!$D$3:$E$130,2,FALSE),0)</f>
        <v>0</v>
      </c>
      <c r="BU43" s="5">
        <f>IF($E43&gt;=BU$2,VLOOKUP($E43-BU$2,'data input'!$D$3:$E$130,2,FALSE),0)</f>
        <v>0</v>
      </c>
      <c r="BV43" s="5">
        <f>IF($E43&gt;=BV$2,VLOOKUP($E43-BV$2,'data input'!$D$3:$E$130,2,FALSE),0)</f>
        <v>0</v>
      </c>
      <c r="BW43" s="5">
        <f>IF($E43&gt;=BW$2,VLOOKUP($E43-BW$2,'data input'!$D$3:$E$130,2,FALSE),0)</f>
        <v>0</v>
      </c>
      <c r="BX43" s="5">
        <f>IF($E43&gt;=BX$2,VLOOKUP($E43-BX$2,'data input'!$D$3:$E$130,2,FALSE),0)</f>
        <v>0</v>
      </c>
      <c r="BY43" s="5">
        <f>IF($E43&gt;=BY$2,VLOOKUP($E43-BY$2,'data input'!$D$3:$E$130,2,FALSE),0)</f>
        <v>0</v>
      </c>
      <c r="BZ43" s="5">
        <f>IF($E43&gt;=BZ$2,VLOOKUP($E43-BZ$2,'data input'!$D$3:$E$130,2,FALSE),0)</f>
        <v>0</v>
      </c>
      <c r="CA43" s="5">
        <f>IF($E43&gt;=CA$2,VLOOKUP($E43-CA$2,'data input'!$D$3:$E$130,2,FALSE),0)</f>
        <v>0</v>
      </c>
      <c r="CB43" s="5">
        <f>IF($E43&gt;=CB$2,VLOOKUP($E43-CB$2,'data input'!$D$3:$E$130,2,FALSE),0)</f>
        <v>0</v>
      </c>
      <c r="CC43" s="5">
        <f>IF($E43&gt;=CC$2,VLOOKUP($E43-CC$2,'data input'!$D$3:$E$130,2,FALSE),0)</f>
        <v>0</v>
      </c>
      <c r="CD43" s="5">
        <f>IF($E43&gt;=CD$2,VLOOKUP($E43-CD$2,'data input'!$D$3:$E$130,2,FALSE),0)</f>
        <v>0</v>
      </c>
      <c r="CE43" s="5">
        <f>IF($E43&gt;=CE$2,VLOOKUP($E43-CE$2,'data input'!$D$3:$E$130,2,FALSE),0)</f>
        <v>0</v>
      </c>
      <c r="CF43" s="5">
        <f>IF($E43&gt;=CF$2,VLOOKUP($E43-CF$2,'data input'!$D$3:$E$130,2,FALSE),0)</f>
        <v>0</v>
      </c>
      <c r="CG43" s="5">
        <f>IF($E43&gt;=CG$2,VLOOKUP($E43-CG$2,'data input'!$D$3:$E$130,2,FALSE),0)</f>
        <v>0</v>
      </c>
      <c r="CH43" s="5">
        <f>IF($E43&gt;=CH$2,VLOOKUP($E43-CH$2,'data input'!$D$3:$E$130,2,FALSE),0)</f>
        <v>0</v>
      </c>
      <c r="CI43" s="5">
        <f>IF($E43&gt;=CI$2,VLOOKUP($E43-CI$2,'data input'!$D$3:$E$130,2,FALSE),0)</f>
        <v>0</v>
      </c>
      <c r="CJ43" s="5">
        <f>IF($E43&gt;=CJ$2,VLOOKUP($E43-CJ$2,'data input'!$D$3:$E$130,2,FALSE),0)</f>
        <v>0</v>
      </c>
      <c r="CK43" s="5">
        <f>IF($E43&gt;=CK$2,VLOOKUP($E43-CK$2,'data input'!$D$3:$E$130,2,FALSE),0)</f>
        <v>0</v>
      </c>
      <c r="CL43" s="5">
        <f>IF($E43&gt;=CL$2,VLOOKUP($E43-CL$2,'data input'!$D$3:$E$130,2,FALSE),0)</f>
        <v>0</v>
      </c>
      <c r="CM43" s="5">
        <f>IF($E43&gt;=CM$2,VLOOKUP($E43-CM$2,'data input'!$D$3:$E$130,2,FALSE),0)</f>
        <v>0</v>
      </c>
      <c r="CN43" s="5">
        <f>IF($E43&gt;=CN$2,VLOOKUP($E43-CN$2,'data input'!$D$3:$E$130,2,FALSE),0)</f>
        <v>0</v>
      </c>
      <c r="CO43" s="5">
        <f>IF($E43&gt;=CO$2,VLOOKUP($E43-CO$2,'data input'!$D$3:$E$130,2,FALSE),0)</f>
        <v>0</v>
      </c>
      <c r="CP43" s="5">
        <f>IF($E43&gt;=CP$2,VLOOKUP($E43-CP$2,'data input'!$D$3:$E$130,2,FALSE),0)</f>
        <v>0</v>
      </c>
      <c r="CQ43" s="5">
        <f>IF($E43&gt;=CQ$2,VLOOKUP($E43-CQ$2,'data input'!$D$3:$E$130,2,FALSE),0)</f>
        <v>0</v>
      </c>
      <c r="CR43" s="5">
        <f>IF($E43&gt;=CR$2,VLOOKUP($E43-CR$2,'data input'!$D$3:$E$130,2,FALSE),0)</f>
        <v>0</v>
      </c>
      <c r="CS43" s="5">
        <f>IF($E43&gt;=CS$2,VLOOKUP($E43-CS$2,'data input'!$D$3:$E$130,2,FALSE),0)</f>
        <v>0</v>
      </c>
      <c r="CT43" s="5">
        <f>IF($E43&gt;=CT$2,VLOOKUP($E43-CT$2,'data input'!$D$3:$E$130,2,FALSE),0)</f>
        <v>0</v>
      </c>
      <c r="CU43" s="5">
        <f>IF($E43&gt;=CU$2,VLOOKUP($E43-CU$2,'data input'!$D$3:$E$130,2,FALSE),0)</f>
        <v>0</v>
      </c>
      <c r="CV43" s="5">
        <f>IF($E43&gt;=CV$2,VLOOKUP($E43-CV$2,'data input'!$D$3:$E$130,2,FALSE),0)</f>
        <v>0</v>
      </c>
      <c r="CW43" s="5">
        <f>IF($E43&gt;=CW$2,VLOOKUP($E43-CW$2,'data input'!$D$3:$E$130,2,FALSE),0)</f>
        <v>0</v>
      </c>
      <c r="CX43" s="5">
        <f>IF($E43&gt;=CX$2,VLOOKUP($E43-CX$2,'data input'!$D$3:$E$130,2,FALSE),0)</f>
        <v>0</v>
      </c>
      <c r="CY43" s="5">
        <f>IF($E43&gt;=CY$2,VLOOKUP($E43-CY$2,'data input'!$D$3:$E$130,2,FALSE),0)</f>
        <v>0</v>
      </c>
      <c r="CZ43" s="5">
        <f>IF($E43&gt;=CZ$2,VLOOKUP($E43-CZ$2,'data input'!$D$3:$E$130,2,FALSE),0)</f>
        <v>0</v>
      </c>
      <c r="DA43" s="5">
        <f>IF($E43&gt;=DA$2,VLOOKUP($E43-DA$2,'data input'!$D$3:$E$130,2,FALSE),0)</f>
        <v>0</v>
      </c>
      <c r="DB43" s="5">
        <f>IF($E43&gt;=DB$2,VLOOKUP($E43-DB$2,'data input'!$D$3:$E$130,2,FALSE),0)</f>
        <v>0</v>
      </c>
      <c r="DC43" s="5">
        <f>IF($E43&gt;=DC$2,VLOOKUP($E43-DC$2,'data input'!$D$3:$E$130,2,FALSE),0)</f>
        <v>0</v>
      </c>
      <c r="DD43" s="5">
        <f>IF($E43&gt;=DD$2,VLOOKUP($E43-DD$2,'data input'!$D$3:$E$130,2,FALSE),0)</f>
        <v>0</v>
      </c>
      <c r="DE43" s="5">
        <f>IF($E43&gt;=DE$2,VLOOKUP($E43-DE$2,'data input'!$D$3:$E$130,2,FALSE),0)</f>
        <v>0</v>
      </c>
      <c r="DF43" s="5">
        <f>IF($E43&gt;=DF$2,VLOOKUP($E43-DF$2,'data input'!$D$3:$E$130,2,FALSE),0)</f>
        <v>0</v>
      </c>
      <c r="DG43" s="5">
        <f>IF($E43&gt;=DG$2,VLOOKUP($E43-DG$2,'data input'!$D$3:$E$130,2,FALSE),0)</f>
        <v>0</v>
      </c>
      <c r="DH43" s="5">
        <f>IF($E43&gt;=DH$2,VLOOKUP($E43-DH$2,'data input'!$D$3:$E$130,2,FALSE),0)</f>
        <v>0</v>
      </c>
      <c r="DI43" s="5">
        <f>IF($E43&gt;=DI$2,VLOOKUP($E43-DI$2,'data input'!$D$3:$E$130,2,FALSE),0)</f>
        <v>0</v>
      </c>
      <c r="DJ43" s="5">
        <f>IF($E43&gt;=DJ$2,VLOOKUP($E43-DJ$2,'data input'!$D$3:$E$130,2,FALSE),0)</f>
        <v>0</v>
      </c>
      <c r="DK43" s="5">
        <f>IF($E43&gt;=DK$2,VLOOKUP($E43-DK$2,'data input'!$D$3:$E$130,2,FALSE),0)</f>
        <v>0</v>
      </c>
      <c r="DL43" s="5">
        <f>IF($E43&gt;=DL$2,VLOOKUP($E43-DL$2,'data input'!$D$3:$E$130,2,FALSE),0)</f>
        <v>0</v>
      </c>
      <c r="DM43" s="5">
        <f>IF($E43&gt;=DM$2,VLOOKUP($E43-DM$2,'data input'!$D$3:$E$130,2,FALSE),0)</f>
        <v>0</v>
      </c>
      <c r="DN43" s="5">
        <f>IF($E43&gt;=DN$2,VLOOKUP($E43-DN$2,'data input'!$D$3:$E$130,2,FALSE),0)</f>
        <v>0</v>
      </c>
      <c r="DO43" s="5">
        <f>IF($E43&gt;=DO$2,VLOOKUP($E43-DO$2,'data input'!$D$3:$E$130,2,FALSE),0)</f>
        <v>0</v>
      </c>
      <c r="DP43" s="5">
        <f>IF($E43&gt;=DP$2,VLOOKUP($E43-DP$2,'data input'!$D$3:$E$130,2,FALSE),0)</f>
        <v>0</v>
      </c>
      <c r="DQ43" s="5">
        <f>IF($E43&gt;=DQ$2,VLOOKUP($E43-DQ$2,'data input'!$D$3:$E$130,2,FALSE),0)</f>
        <v>0</v>
      </c>
      <c r="DR43" s="5">
        <f>IF($E43&gt;=DR$2,VLOOKUP($E43-DR$2,'data input'!$D$3:$E$130,2,FALSE),0)</f>
        <v>0</v>
      </c>
      <c r="DS43" s="5">
        <f>IF($E43&gt;=DS$2,VLOOKUP($E43-DS$2,'data input'!$D$3:$E$130,2,FALSE),0)</f>
        <v>0</v>
      </c>
      <c r="DT43" s="5">
        <f>IF($E43&gt;=DT$2,VLOOKUP($E43-DT$2,'data input'!$D$3:$E$130,2,FALSE),0)</f>
        <v>0</v>
      </c>
      <c r="DU43" s="5">
        <f>IF($E43&gt;=DU$2,VLOOKUP($E43-DU$2,'data input'!$D$3:$E$130,2,FALSE),0)</f>
        <v>0</v>
      </c>
      <c r="DV43" s="5">
        <f>IF($E43&gt;=DV$2,VLOOKUP($E43-DV$2,'data input'!$D$3:$E$130,2,FALSE),0)</f>
        <v>0</v>
      </c>
      <c r="DW43" s="5">
        <f>IF($E43&gt;=DW$2,VLOOKUP($E43-DW$2,'data input'!$D$3:$E$130,2,FALSE),0)</f>
        <v>0</v>
      </c>
      <c r="DX43" s="5">
        <f>IF($E43&gt;=DX$2,VLOOKUP($E43-DX$2,'data input'!$D$3:$E$130,2,FALSE),0)</f>
        <v>0</v>
      </c>
      <c r="DY43" s="5">
        <f>IF($E43&gt;=DY$2,VLOOKUP($E43-DY$2,'data input'!$D$3:$E$130,2,FALSE),0)</f>
        <v>0</v>
      </c>
      <c r="DZ43" s="5">
        <f>IF($E43&gt;=DZ$2,VLOOKUP($E43-DZ$2,'data input'!$D$3:$E$130,2,FALSE),0)</f>
        <v>0</v>
      </c>
      <c r="EA43" s="5">
        <f>IF($E43&gt;=EA$2,VLOOKUP($E43-EA$2,'data input'!$D$3:$E$130,2,FALSE),0)</f>
        <v>0</v>
      </c>
      <c r="EB43" s="5">
        <f>IF($E43&gt;=EB$2,VLOOKUP($E43-EB$2,'data input'!$D$3:$E$130,2,FALSE),0)</f>
        <v>0</v>
      </c>
      <c r="EC43" s="5">
        <f>IF($E43&gt;=EC$2,VLOOKUP($E43-EC$2,'data input'!$D$3:$E$130,2,FALSE),0)</f>
        <v>0</v>
      </c>
    </row>
    <row r="44" spans="5:133">
      <c r="E44" s="7">
        <f>'data input'!B44</f>
        <v>1919</v>
      </c>
      <c r="F44" s="5">
        <f>IF($E44&gt;=F$2,VLOOKUP($E44-F$2,'data input'!$D$3:$E$130,2,FALSE),0)</f>
        <v>0.47010735594710518</v>
      </c>
      <c r="G44" s="5">
        <f>IF($E44&gt;=G$2,VLOOKUP($E44-G$2,'data input'!$D$3:$E$130,2,FALSE),0)</f>
        <v>0.5</v>
      </c>
      <c r="H44" s="5">
        <f>IF($E44&gt;=H$2,VLOOKUP($E44-H$2,'data input'!$D$3:$E$130,2,FALSE),0)</f>
        <v>0.52989264405289482</v>
      </c>
      <c r="I44" s="5">
        <f>IF($E44&gt;=I$2,VLOOKUP($E44-I$2,'data input'!$D$3:$E$130,2,FALSE),0)</f>
        <v>0.5596176923702425</v>
      </c>
      <c r="J44" s="5">
        <f>IF($E44&gt;=J$2,VLOOKUP($E44-J$2,'data input'!$D$3:$E$130,2,FALSE),0)</f>
        <v>0.58901036286872965</v>
      </c>
      <c r="K44" s="5">
        <f>IF($E44&gt;=K$2,VLOOKUP($E44-K$2,'data input'!$D$3:$E$130,2,FALSE),0)</f>
        <v>0.61791142218895267</v>
      </c>
      <c r="L44" s="5">
        <f>IF($E44&gt;=L$2,VLOOKUP($E44-L$2,'data input'!$D$3:$E$130,2,FALSE),0)</f>
        <v>0.64616976667272386</v>
      </c>
      <c r="M44" s="5">
        <f>IF($E44&gt;=M$2,VLOOKUP($E44-M$2,'data input'!$D$3:$E$130,2,FALSE),0)</f>
        <v>0.67364477971207992</v>
      </c>
      <c r="N44" s="5">
        <f>IF($E44&gt;=N$2,VLOOKUP($E44-N$2,'data input'!$D$3:$E$130,2,FALSE),0)</f>
        <v>0.70020840453130417</v>
      </c>
      <c r="O44" s="5">
        <f>IF($E44&gt;=O$2,VLOOKUP($E44-O$2,'data input'!$D$3:$E$130,2,FALSE),0)</f>
        <v>0.72574688224992645</v>
      </c>
      <c r="P44" s="5">
        <f>IF($E44&gt;=P$2,VLOOKUP($E44-P$2,'data input'!$D$3:$E$130,2,FALSE),0)</f>
        <v>0.75016211752822304</v>
      </c>
      <c r="Q44" s="5">
        <f>IF($E44&gt;=Q$2,VLOOKUP($E44-Q$2,'data input'!$D$3:$E$130,2,FALSE),0)</f>
        <v>0.77337264762313174</v>
      </c>
      <c r="R44" s="5">
        <f>IF($E44&gt;=R$2,VLOOKUP($E44-R$2,'data input'!$D$3:$E$130,2,FALSE),0)</f>
        <v>0.79531420465274738</v>
      </c>
      <c r="S44" s="5">
        <f>IF($E44&gt;=S$2,VLOOKUP($E44-S$2,'data input'!$D$3:$E$130,2,FALSE),0)</f>
        <v>0.81593987465324047</v>
      </c>
      <c r="T44" s="5">
        <f>IF($E44&gt;=T$2,VLOOKUP($E44-T$2,'data input'!$D$3:$E$130,2,FALSE),0)</f>
        <v>0.83521987001968967</v>
      </c>
      <c r="U44" s="5">
        <f>IF($E44&gt;=U$2,VLOOKUP($E44-U$2,'data input'!$D$3:$E$130,2,FALSE),0)</f>
        <v>0.85314094362410409</v>
      </c>
      <c r="V44" s="5">
        <f>IF($E44&gt;=V$2,VLOOKUP($E44-V$2,'data input'!$D$3:$E$130,2,FALSE),0)</f>
        <v>0.86970548286319116</v>
      </c>
      <c r="W44" s="5">
        <f>IF($E44&gt;=W$2,VLOOKUP($E44-W$2,'data input'!$D$3:$E$130,2,FALSE),0)</f>
        <v>0.88493032977829178</v>
      </c>
      <c r="X44" s="5">
        <f>IF($E44&gt;=X$2,VLOOKUP($E44-X$2,'data input'!$D$3:$E$130,2,FALSE),0)</f>
        <v>0.89884537900441408</v>
      </c>
      <c r="Y44" s="5">
        <f>IF($E44&gt;=Y$2,VLOOKUP($E44-Y$2,'data input'!$D$3:$E$130,2,FALSE),0)</f>
        <v>0.91149200856259793</v>
      </c>
      <c r="Z44" s="5">
        <f>IF($E44&gt;=Z$2,VLOOKUP($E44-Z$2,'data input'!$D$3:$E$130,2,FALSE),0)</f>
        <v>0.92292139944792817</v>
      </c>
      <c r="AA44" s="5">
        <f>IF($E44&gt;=AA$2,VLOOKUP($E44-AA$2,'data input'!$D$3:$E$130,2,FALSE),0)</f>
        <v>0.93319279873114191</v>
      </c>
      <c r="AB44" s="5">
        <f>IF($E44&gt;=AB$2,VLOOKUP($E44-AB$2,'data input'!$D$3:$E$130,2,FALSE),0)</f>
        <v>0.94237177772384684</v>
      </c>
      <c r="AC44" s="5">
        <f>IF($E44&gt;=AC$2,VLOOKUP($E44-AC$2,'data input'!$D$3:$E$130,2,FALSE),0)</f>
        <v>0.9505285319663519</v>
      </c>
      <c r="AD44" s="5">
        <f>IF($E44&gt;=AD$2,VLOOKUP($E44-AD$2,'data input'!$D$3:$E$130,2,FALSE),0)</f>
        <v>0.95773626374204757</v>
      </c>
      <c r="AE44" s="5">
        <f>IF($E44&gt;=AE$2,VLOOKUP($E44-AE$2,'data input'!$D$3:$E$130,2,FALSE),0)</f>
        <v>0.96406968088707423</v>
      </c>
      <c r="AF44" s="5">
        <f>IF($E44&gt;=AF$2,VLOOKUP($E44-AF$2,'data input'!$D$3:$E$130,2,FALSE),0)</f>
        <v>0.96960363823473861</v>
      </c>
      <c r="AG44" s="5">
        <f>IF($E44&gt;=AG$2,VLOOKUP($E44-AG$2,'data input'!$D$3:$E$130,2,FALSE),0)</f>
        <v>0.97441194047836144</v>
      </c>
      <c r="AH44" s="5">
        <f>IF($E44&gt;=AH$2,VLOOKUP($E44-AH$2,'data input'!$D$3:$E$130,2,FALSE),0)</f>
        <v>0.97856631788584703</v>
      </c>
      <c r="AI44" s="5">
        <f>IF($E44&gt;=AI$2,VLOOKUP($E44-AI$2,'data input'!$D$3:$E$130,2,FALSE),0)</f>
        <v>0.98213557943718344</v>
      </c>
      <c r="AJ44" s="5">
        <f>IF($E44&gt;=AJ$2,VLOOKUP($E44-AJ$2,'data input'!$D$3:$E$130,2,FALSE),0)</f>
        <v>0.98518494180739014</v>
      </c>
      <c r="AK44" s="5">
        <f>IF($E44&gt;=AK$2,VLOOKUP($E44-AK$2,'data input'!$D$3:$E$130,2,FALSE),0)</f>
        <v>0.98777552734495533</v>
      </c>
      <c r="AL44" s="5">
        <f>IF($E44&gt;=AL$2,VLOOKUP($E44-AL$2,'data input'!$D$3:$E$130,2,FALSE),0)</f>
        <v>0.98996401989972593</v>
      </c>
      <c r="AM44" s="5">
        <f>IF($E44&gt;=AM$2,VLOOKUP($E44-AM$2,'data input'!$D$3:$E$130,2,FALSE),0)</f>
        <v>0.99180246407540384</v>
      </c>
      <c r="AN44" s="5">
        <f>IF($E44&gt;=AN$2,VLOOKUP($E44-AN$2,'data input'!$D$3:$E$130,2,FALSE),0)</f>
        <v>0.99333819120801725</v>
      </c>
      <c r="AO44" s="5">
        <f>IF($E44&gt;=AO$2,VLOOKUP($E44-AO$2,'data input'!$D$3:$E$130,2,FALSE),0)</f>
        <v>0.99461385404593328</v>
      </c>
      <c r="AP44" s="5">
        <f>IF($E44&gt;=AP$2,VLOOKUP($E44-AP$2,'data input'!$D$3:$E$130,2,FALSE),0)</f>
        <v>0.99566755163698739</v>
      </c>
      <c r="AQ44" s="5">
        <f>IF($E44&gt;=AQ$2,VLOOKUP($E44-AQ$2,'data input'!$D$3:$E$130,2,FALSE),0)</f>
        <v>0.99653302619695938</v>
      </c>
      <c r="AR44" s="5">
        <f>IF($E44&gt;=AR$2,VLOOKUP($E44-AR$2,'data input'!$D$3:$E$130,2,FALSE),0)</f>
        <v>0.99723991460873751</v>
      </c>
      <c r="AS44" s="5">
        <f>IF($E44&gt;=AS$2,VLOOKUP($E44-AS$2,'data input'!$D$3:$E$130,2,FALSE),0)</f>
        <v>0.99781403854508677</v>
      </c>
      <c r="AT44" s="5">
        <f>IF($E44&gt;=AT$2,VLOOKUP($E44-AT$2,'data input'!$D$3:$E$130,2,FALSE),0)</f>
        <v>0.99827771888413241</v>
      </c>
      <c r="AU44" s="5">
        <f>IF($E44&gt;=AU$2,VLOOKUP($E44-AU$2,'data input'!$D$3:$E$130,2,FALSE),0)</f>
        <v>0.9986501019683699</v>
      </c>
      <c r="AV44" s="5">
        <f>IF($E44&gt;=AV$2,VLOOKUP($E44-AV$2,'data input'!$D$3:$E$130,2,FALSE),0)</f>
        <v>0</v>
      </c>
      <c r="AW44" s="5">
        <f>IF($E44&gt;=AW$2,VLOOKUP($E44-AW$2,'data input'!$D$3:$E$130,2,FALSE),0)</f>
        <v>0</v>
      </c>
      <c r="AX44" s="5">
        <f>IF($E44&gt;=AX$2,VLOOKUP($E44-AX$2,'data input'!$D$3:$E$130,2,FALSE),0)</f>
        <v>0</v>
      </c>
      <c r="AY44" s="5">
        <f>IF($E44&gt;=AY$2,VLOOKUP($E44-AY$2,'data input'!$D$3:$E$130,2,FALSE),0)</f>
        <v>0</v>
      </c>
      <c r="AZ44" s="5">
        <f>IF($E44&gt;=AZ$2,VLOOKUP($E44-AZ$2,'data input'!$D$3:$E$130,2,FALSE),0)</f>
        <v>0</v>
      </c>
      <c r="BA44" s="5">
        <f>IF($E44&gt;=BA$2,VLOOKUP($E44-BA$2,'data input'!$D$3:$E$130,2,FALSE),0)</f>
        <v>0</v>
      </c>
      <c r="BB44" s="5">
        <f>IF($E44&gt;=BB$2,VLOOKUP($E44-BB$2,'data input'!$D$3:$E$130,2,FALSE),0)</f>
        <v>0</v>
      </c>
      <c r="BC44" s="5">
        <f>IF($E44&gt;=BC$2,VLOOKUP($E44-BC$2,'data input'!$D$3:$E$130,2,FALSE),0)</f>
        <v>0</v>
      </c>
      <c r="BD44" s="5">
        <f>IF($E44&gt;=BD$2,VLOOKUP($E44-BD$2,'data input'!$D$3:$E$130,2,FALSE),0)</f>
        <v>0</v>
      </c>
      <c r="BE44" s="5">
        <f>IF($E44&gt;=BE$2,VLOOKUP($E44-BE$2,'data input'!$D$3:$E$130,2,FALSE),0)</f>
        <v>0</v>
      </c>
      <c r="BF44" s="5">
        <f>IF($E44&gt;=BF$2,VLOOKUP($E44-BF$2,'data input'!$D$3:$E$130,2,FALSE),0)</f>
        <v>0</v>
      </c>
      <c r="BG44" s="5">
        <f>IF($E44&gt;=BG$2,VLOOKUP($E44-BG$2,'data input'!$D$3:$E$130,2,FALSE),0)</f>
        <v>0</v>
      </c>
      <c r="BH44" s="5">
        <f>IF($E44&gt;=BH$2,VLOOKUP($E44-BH$2,'data input'!$D$3:$E$130,2,FALSE),0)</f>
        <v>0</v>
      </c>
      <c r="BI44" s="5">
        <f>IF($E44&gt;=BI$2,VLOOKUP($E44-BI$2,'data input'!$D$3:$E$130,2,FALSE),0)</f>
        <v>0</v>
      </c>
      <c r="BJ44" s="5">
        <f>IF($E44&gt;=BJ$2,VLOOKUP($E44-BJ$2,'data input'!$D$3:$E$130,2,FALSE),0)</f>
        <v>0</v>
      </c>
      <c r="BK44" s="5">
        <f>IF($E44&gt;=BK$2,VLOOKUP($E44-BK$2,'data input'!$D$3:$E$130,2,FALSE),0)</f>
        <v>0</v>
      </c>
      <c r="BL44" s="5">
        <f>IF($E44&gt;=BL$2,VLOOKUP($E44-BL$2,'data input'!$D$3:$E$130,2,FALSE),0)</f>
        <v>0</v>
      </c>
      <c r="BM44" s="5">
        <f>IF($E44&gt;=BM$2,VLOOKUP($E44-BM$2,'data input'!$D$3:$E$130,2,FALSE),0)</f>
        <v>0</v>
      </c>
      <c r="BN44" s="5">
        <f>IF($E44&gt;=BN$2,VLOOKUP($E44-BN$2,'data input'!$D$3:$E$130,2,FALSE),0)</f>
        <v>0</v>
      </c>
      <c r="BO44" s="5">
        <f>IF($E44&gt;=BO$2,VLOOKUP($E44-BO$2,'data input'!$D$3:$E$130,2,FALSE),0)</f>
        <v>0</v>
      </c>
      <c r="BP44" s="5">
        <f>IF($E44&gt;=BP$2,VLOOKUP($E44-BP$2,'data input'!$D$3:$E$130,2,FALSE),0)</f>
        <v>0</v>
      </c>
      <c r="BQ44" s="5">
        <f>IF($E44&gt;=BQ$2,VLOOKUP($E44-BQ$2,'data input'!$D$3:$E$130,2,FALSE),0)</f>
        <v>0</v>
      </c>
      <c r="BR44" s="5">
        <f>IF($E44&gt;=BR$2,VLOOKUP($E44-BR$2,'data input'!$D$3:$E$130,2,FALSE),0)</f>
        <v>0</v>
      </c>
      <c r="BS44" s="5">
        <f>IF($E44&gt;=BS$2,VLOOKUP($E44-BS$2,'data input'!$D$3:$E$130,2,FALSE),0)</f>
        <v>0</v>
      </c>
      <c r="BT44" s="5">
        <f>IF($E44&gt;=BT$2,VLOOKUP($E44-BT$2,'data input'!$D$3:$E$130,2,FALSE),0)</f>
        <v>0</v>
      </c>
      <c r="BU44" s="5">
        <f>IF($E44&gt;=BU$2,VLOOKUP($E44-BU$2,'data input'!$D$3:$E$130,2,FALSE),0)</f>
        <v>0</v>
      </c>
      <c r="BV44" s="5">
        <f>IF($E44&gt;=BV$2,VLOOKUP($E44-BV$2,'data input'!$D$3:$E$130,2,FALSE),0)</f>
        <v>0</v>
      </c>
      <c r="BW44" s="5">
        <f>IF($E44&gt;=BW$2,VLOOKUP($E44-BW$2,'data input'!$D$3:$E$130,2,FALSE),0)</f>
        <v>0</v>
      </c>
      <c r="BX44" s="5">
        <f>IF($E44&gt;=BX$2,VLOOKUP($E44-BX$2,'data input'!$D$3:$E$130,2,FALSE),0)</f>
        <v>0</v>
      </c>
      <c r="BY44" s="5">
        <f>IF($E44&gt;=BY$2,VLOOKUP($E44-BY$2,'data input'!$D$3:$E$130,2,FALSE),0)</f>
        <v>0</v>
      </c>
      <c r="BZ44" s="5">
        <f>IF($E44&gt;=BZ$2,VLOOKUP($E44-BZ$2,'data input'!$D$3:$E$130,2,FALSE),0)</f>
        <v>0</v>
      </c>
      <c r="CA44" s="5">
        <f>IF($E44&gt;=CA$2,VLOOKUP($E44-CA$2,'data input'!$D$3:$E$130,2,FALSE),0)</f>
        <v>0</v>
      </c>
      <c r="CB44" s="5">
        <f>IF($E44&gt;=CB$2,VLOOKUP($E44-CB$2,'data input'!$D$3:$E$130,2,FALSE),0)</f>
        <v>0</v>
      </c>
      <c r="CC44" s="5">
        <f>IF($E44&gt;=CC$2,VLOOKUP($E44-CC$2,'data input'!$D$3:$E$130,2,FALSE),0)</f>
        <v>0</v>
      </c>
      <c r="CD44" s="5">
        <f>IF($E44&gt;=CD$2,VLOOKUP($E44-CD$2,'data input'!$D$3:$E$130,2,FALSE),0)</f>
        <v>0</v>
      </c>
      <c r="CE44" s="5">
        <f>IF($E44&gt;=CE$2,VLOOKUP($E44-CE$2,'data input'!$D$3:$E$130,2,FALSE),0)</f>
        <v>0</v>
      </c>
      <c r="CF44" s="5">
        <f>IF($E44&gt;=CF$2,VLOOKUP($E44-CF$2,'data input'!$D$3:$E$130,2,FALSE),0)</f>
        <v>0</v>
      </c>
      <c r="CG44" s="5">
        <f>IF($E44&gt;=CG$2,VLOOKUP($E44-CG$2,'data input'!$D$3:$E$130,2,FALSE),0)</f>
        <v>0</v>
      </c>
      <c r="CH44" s="5">
        <f>IF($E44&gt;=CH$2,VLOOKUP($E44-CH$2,'data input'!$D$3:$E$130,2,FALSE),0)</f>
        <v>0</v>
      </c>
      <c r="CI44" s="5">
        <f>IF($E44&gt;=CI$2,VLOOKUP($E44-CI$2,'data input'!$D$3:$E$130,2,FALSE),0)</f>
        <v>0</v>
      </c>
      <c r="CJ44" s="5">
        <f>IF($E44&gt;=CJ$2,VLOOKUP($E44-CJ$2,'data input'!$D$3:$E$130,2,FALSE),0)</f>
        <v>0</v>
      </c>
      <c r="CK44" s="5">
        <f>IF($E44&gt;=CK$2,VLOOKUP($E44-CK$2,'data input'!$D$3:$E$130,2,FALSE),0)</f>
        <v>0</v>
      </c>
      <c r="CL44" s="5">
        <f>IF($E44&gt;=CL$2,VLOOKUP($E44-CL$2,'data input'!$D$3:$E$130,2,FALSE),0)</f>
        <v>0</v>
      </c>
      <c r="CM44" s="5">
        <f>IF($E44&gt;=CM$2,VLOOKUP($E44-CM$2,'data input'!$D$3:$E$130,2,FALSE),0)</f>
        <v>0</v>
      </c>
      <c r="CN44" s="5">
        <f>IF($E44&gt;=CN$2,VLOOKUP($E44-CN$2,'data input'!$D$3:$E$130,2,FALSE),0)</f>
        <v>0</v>
      </c>
      <c r="CO44" s="5">
        <f>IF($E44&gt;=CO$2,VLOOKUP($E44-CO$2,'data input'!$D$3:$E$130,2,FALSE),0)</f>
        <v>0</v>
      </c>
      <c r="CP44" s="5">
        <f>IF($E44&gt;=CP$2,VLOOKUP($E44-CP$2,'data input'!$D$3:$E$130,2,FALSE),0)</f>
        <v>0</v>
      </c>
      <c r="CQ44" s="5">
        <f>IF($E44&gt;=CQ$2,VLOOKUP($E44-CQ$2,'data input'!$D$3:$E$130,2,FALSE),0)</f>
        <v>0</v>
      </c>
      <c r="CR44" s="5">
        <f>IF($E44&gt;=CR$2,VLOOKUP($E44-CR$2,'data input'!$D$3:$E$130,2,FALSE),0)</f>
        <v>0</v>
      </c>
      <c r="CS44" s="5">
        <f>IF($E44&gt;=CS$2,VLOOKUP($E44-CS$2,'data input'!$D$3:$E$130,2,FALSE),0)</f>
        <v>0</v>
      </c>
      <c r="CT44" s="5">
        <f>IF($E44&gt;=CT$2,VLOOKUP($E44-CT$2,'data input'!$D$3:$E$130,2,FALSE),0)</f>
        <v>0</v>
      </c>
      <c r="CU44" s="5">
        <f>IF($E44&gt;=CU$2,VLOOKUP($E44-CU$2,'data input'!$D$3:$E$130,2,FALSE),0)</f>
        <v>0</v>
      </c>
      <c r="CV44" s="5">
        <f>IF($E44&gt;=CV$2,VLOOKUP($E44-CV$2,'data input'!$D$3:$E$130,2,FALSE),0)</f>
        <v>0</v>
      </c>
      <c r="CW44" s="5">
        <f>IF($E44&gt;=CW$2,VLOOKUP($E44-CW$2,'data input'!$D$3:$E$130,2,FALSE),0)</f>
        <v>0</v>
      </c>
      <c r="CX44" s="5">
        <f>IF($E44&gt;=CX$2,VLOOKUP($E44-CX$2,'data input'!$D$3:$E$130,2,FALSE),0)</f>
        <v>0</v>
      </c>
      <c r="CY44" s="5">
        <f>IF($E44&gt;=CY$2,VLOOKUP($E44-CY$2,'data input'!$D$3:$E$130,2,FALSE),0)</f>
        <v>0</v>
      </c>
      <c r="CZ44" s="5">
        <f>IF($E44&gt;=CZ$2,VLOOKUP($E44-CZ$2,'data input'!$D$3:$E$130,2,FALSE),0)</f>
        <v>0</v>
      </c>
      <c r="DA44" s="5">
        <f>IF($E44&gt;=DA$2,VLOOKUP($E44-DA$2,'data input'!$D$3:$E$130,2,FALSE),0)</f>
        <v>0</v>
      </c>
      <c r="DB44" s="5">
        <f>IF($E44&gt;=DB$2,VLOOKUP($E44-DB$2,'data input'!$D$3:$E$130,2,FALSE),0)</f>
        <v>0</v>
      </c>
      <c r="DC44" s="5">
        <f>IF($E44&gt;=DC$2,VLOOKUP($E44-DC$2,'data input'!$D$3:$E$130,2,FALSE),0)</f>
        <v>0</v>
      </c>
      <c r="DD44" s="5">
        <f>IF($E44&gt;=DD$2,VLOOKUP($E44-DD$2,'data input'!$D$3:$E$130,2,FALSE),0)</f>
        <v>0</v>
      </c>
      <c r="DE44" s="5">
        <f>IF($E44&gt;=DE$2,VLOOKUP($E44-DE$2,'data input'!$D$3:$E$130,2,FALSE),0)</f>
        <v>0</v>
      </c>
      <c r="DF44" s="5">
        <f>IF($E44&gt;=DF$2,VLOOKUP($E44-DF$2,'data input'!$D$3:$E$130,2,FALSE),0)</f>
        <v>0</v>
      </c>
      <c r="DG44" s="5">
        <f>IF($E44&gt;=DG$2,VLOOKUP($E44-DG$2,'data input'!$D$3:$E$130,2,FALSE),0)</f>
        <v>0</v>
      </c>
      <c r="DH44" s="5">
        <f>IF($E44&gt;=DH$2,VLOOKUP($E44-DH$2,'data input'!$D$3:$E$130,2,FALSE),0)</f>
        <v>0</v>
      </c>
      <c r="DI44" s="5">
        <f>IF($E44&gt;=DI$2,VLOOKUP($E44-DI$2,'data input'!$D$3:$E$130,2,FALSE),0)</f>
        <v>0</v>
      </c>
      <c r="DJ44" s="5">
        <f>IF($E44&gt;=DJ$2,VLOOKUP($E44-DJ$2,'data input'!$D$3:$E$130,2,FALSE),0)</f>
        <v>0</v>
      </c>
      <c r="DK44" s="5">
        <f>IF($E44&gt;=DK$2,VLOOKUP($E44-DK$2,'data input'!$D$3:$E$130,2,FALSE),0)</f>
        <v>0</v>
      </c>
      <c r="DL44" s="5">
        <f>IF($E44&gt;=DL$2,VLOOKUP($E44-DL$2,'data input'!$D$3:$E$130,2,FALSE),0)</f>
        <v>0</v>
      </c>
      <c r="DM44" s="5">
        <f>IF($E44&gt;=DM$2,VLOOKUP($E44-DM$2,'data input'!$D$3:$E$130,2,FALSE),0)</f>
        <v>0</v>
      </c>
      <c r="DN44" s="5">
        <f>IF($E44&gt;=DN$2,VLOOKUP($E44-DN$2,'data input'!$D$3:$E$130,2,FALSE),0)</f>
        <v>0</v>
      </c>
      <c r="DO44" s="5">
        <f>IF($E44&gt;=DO$2,VLOOKUP($E44-DO$2,'data input'!$D$3:$E$130,2,FALSE),0)</f>
        <v>0</v>
      </c>
      <c r="DP44" s="5">
        <f>IF($E44&gt;=DP$2,VLOOKUP($E44-DP$2,'data input'!$D$3:$E$130,2,FALSE),0)</f>
        <v>0</v>
      </c>
      <c r="DQ44" s="5">
        <f>IF($E44&gt;=DQ$2,VLOOKUP($E44-DQ$2,'data input'!$D$3:$E$130,2,FALSE),0)</f>
        <v>0</v>
      </c>
      <c r="DR44" s="5">
        <f>IF($E44&gt;=DR$2,VLOOKUP($E44-DR$2,'data input'!$D$3:$E$130,2,FALSE),0)</f>
        <v>0</v>
      </c>
      <c r="DS44" s="5">
        <f>IF($E44&gt;=DS$2,VLOOKUP($E44-DS$2,'data input'!$D$3:$E$130,2,FALSE),0)</f>
        <v>0</v>
      </c>
      <c r="DT44" s="5">
        <f>IF($E44&gt;=DT$2,VLOOKUP($E44-DT$2,'data input'!$D$3:$E$130,2,FALSE),0)</f>
        <v>0</v>
      </c>
      <c r="DU44" s="5">
        <f>IF($E44&gt;=DU$2,VLOOKUP($E44-DU$2,'data input'!$D$3:$E$130,2,FALSE),0)</f>
        <v>0</v>
      </c>
      <c r="DV44" s="5">
        <f>IF($E44&gt;=DV$2,VLOOKUP($E44-DV$2,'data input'!$D$3:$E$130,2,FALSE),0)</f>
        <v>0</v>
      </c>
      <c r="DW44" s="5">
        <f>IF($E44&gt;=DW$2,VLOOKUP($E44-DW$2,'data input'!$D$3:$E$130,2,FALSE),0)</f>
        <v>0</v>
      </c>
      <c r="DX44" s="5">
        <f>IF($E44&gt;=DX$2,VLOOKUP($E44-DX$2,'data input'!$D$3:$E$130,2,FALSE),0)</f>
        <v>0</v>
      </c>
      <c r="DY44" s="5">
        <f>IF($E44&gt;=DY$2,VLOOKUP($E44-DY$2,'data input'!$D$3:$E$130,2,FALSE),0)</f>
        <v>0</v>
      </c>
      <c r="DZ44" s="5">
        <f>IF($E44&gt;=DZ$2,VLOOKUP($E44-DZ$2,'data input'!$D$3:$E$130,2,FALSE),0)</f>
        <v>0</v>
      </c>
      <c r="EA44" s="5">
        <f>IF($E44&gt;=EA$2,VLOOKUP($E44-EA$2,'data input'!$D$3:$E$130,2,FALSE),0)</f>
        <v>0</v>
      </c>
      <c r="EB44" s="5">
        <f>IF($E44&gt;=EB$2,VLOOKUP($E44-EB$2,'data input'!$D$3:$E$130,2,FALSE),0)</f>
        <v>0</v>
      </c>
      <c r="EC44" s="5">
        <f>IF($E44&gt;=EC$2,VLOOKUP($E44-EC$2,'data input'!$D$3:$E$130,2,FALSE),0)</f>
        <v>0</v>
      </c>
    </row>
    <row r="45" spans="5:133">
      <c r="E45" s="7">
        <f>'data input'!B45</f>
        <v>1920</v>
      </c>
      <c r="F45" s="5">
        <f>IF($E45&gt;=F$2,VLOOKUP($E45-F$2,'data input'!$D$3:$E$130,2,FALSE),0)</f>
        <v>0.4403823076297575</v>
      </c>
      <c r="G45" s="5">
        <f>IF($E45&gt;=G$2,VLOOKUP($E45-G$2,'data input'!$D$3:$E$130,2,FALSE),0)</f>
        <v>0.47010735594710518</v>
      </c>
      <c r="H45" s="5">
        <f>IF($E45&gt;=H$2,VLOOKUP($E45-H$2,'data input'!$D$3:$E$130,2,FALSE),0)</f>
        <v>0.5</v>
      </c>
      <c r="I45" s="5">
        <f>IF($E45&gt;=I$2,VLOOKUP($E45-I$2,'data input'!$D$3:$E$130,2,FALSE),0)</f>
        <v>0.52989264405289482</v>
      </c>
      <c r="J45" s="5">
        <f>IF($E45&gt;=J$2,VLOOKUP($E45-J$2,'data input'!$D$3:$E$130,2,FALSE),0)</f>
        <v>0.5596176923702425</v>
      </c>
      <c r="K45" s="5">
        <f>IF($E45&gt;=K$2,VLOOKUP($E45-K$2,'data input'!$D$3:$E$130,2,FALSE),0)</f>
        <v>0.58901036286872965</v>
      </c>
      <c r="L45" s="5">
        <f>IF($E45&gt;=L$2,VLOOKUP($E45-L$2,'data input'!$D$3:$E$130,2,FALSE),0)</f>
        <v>0.61791142218895267</v>
      </c>
      <c r="M45" s="5">
        <f>IF($E45&gt;=M$2,VLOOKUP($E45-M$2,'data input'!$D$3:$E$130,2,FALSE),0)</f>
        <v>0.64616976667272386</v>
      </c>
      <c r="N45" s="5">
        <f>IF($E45&gt;=N$2,VLOOKUP($E45-N$2,'data input'!$D$3:$E$130,2,FALSE),0)</f>
        <v>0.67364477971207992</v>
      </c>
      <c r="O45" s="5">
        <f>IF($E45&gt;=O$2,VLOOKUP($E45-O$2,'data input'!$D$3:$E$130,2,FALSE),0)</f>
        <v>0.70020840453130417</v>
      </c>
      <c r="P45" s="5">
        <f>IF($E45&gt;=P$2,VLOOKUP($E45-P$2,'data input'!$D$3:$E$130,2,FALSE),0)</f>
        <v>0.72574688224992645</v>
      </c>
      <c r="Q45" s="5">
        <f>IF($E45&gt;=Q$2,VLOOKUP($E45-Q$2,'data input'!$D$3:$E$130,2,FALSE),0)</f>
        <v>0.75016211752822304</v>
      </c>
      <c r="R45" s="5">
        <f>IF($E45&gt;=R$2,VLOOKUP($E45-R$2,'data input'!$D$3:$E$130,2,FALSE),0)</f>
        <v>0.77337264762313174</v>
      </c>
      <c r="S45" s="5">
        <f>IF($E45&gt;=S$2,VLOOKUP($E45-S$2,'data input'!$D$3:$E$130,2,FALSE),0)</f>
        <v>0.79531420465274738</v>
      </c>
      <c r="T45" s="5">
        <f>IF($E45&gt;=T$2,VLOOKUP($E45-T$2,'data input'!$D$3:$E$130,2,FALSE),0)</f>
        <v>0.81593987465324047</v>
      </c>
      <c r="U45" s="5">
        <f>IF($E45&gt;=U$2,VLOOKUP($E45-U$2,'data input'!$D$3:$E$130,2,FALSE),0)</f>
        <v>0.83521987001968967</v>
      </c>
      <c r="V45" s="5">
        <f>IF($E45&gt;=V$2,VLOOKUP($E45-V$2,'data input'!$D$3:$E$130,2,FALSE),0)</f>
        <v>0.85314094362410409</v>
      </c>
      <c r="W45" s="5">
        <f>IF($E45&gt;=W$2,VLOOKUP($E45-W$2,'data input'!$D$3:$E$130,2,FALSE),0)</f>
        <v>0.86970548286319116</v>
      </c>
      <c r="X45" s="5">
        <f>IF($E45&gt;=X$2,VLOOKUP($E45-X$2,'data input'!$D$3:$E$130,2,FALSE),0)</f>
        <v>0.88493032977829178</v>
      </c>
      <c r="Y45" s="5">
        <f>IF($E45&gt;=Y$2,VLOOKUP($E45-Y$2,'data input'!$D$3:$E$130,2,FALSE),0)</f>
        <v>0.89884537900441408</v>
      </c>
      <c r="Z45" s="5">
        <f>IF($E45&gt;=Z$2,VLOOKUP($E45-Z$2,'data input'!$D$3:$E$130,2,FALSE),0)</f>
        <v>0.91149200856259793</v>
      </c>
      <c r="AA45" s="5">
        <f>IF($E45&gt;=AA$2,VLOOKUP($E45-AA$2,'data input'!$D$3:$E$130,2,FALSE),0)</f>
        <v>0.92292139944792817</v>
      </c>
      <c r="AB45" s="5">
        <f>IF($E45&gt;=AB$2,VLOOKUP($E45-AB$2,'data input'!$D$3:$E$130,2,FALSE),0)</f>
        <v>0.93319279873114191</v>
      </c>
      <c r="AC45" s="5">
        <f>IF($E45&gt;=AC$2,VLOOKUP($E45-AC$2,'data input'!$D$3:$E$130,2,FALSE),0)</f>
        <v>0.94237177772384684</v>
      </c>
      <c r="AD45" s="5">
        <f>IF($E45&gt;=AD$2,VLOOKUP($E45-AD$2,'data input'!$D$3:$E$130,2,FALSE),0)</f>
        <v>0.9505285319663519</v>
      </c>
      <c r="AE45" s="5">
        <f>IF($E45&gt;=AE$2,VLOOKUP($E45-AE$2,'data input'!$D$3:$E$130,2,FALSE),0)</f>
        <v>0.95773626374204757</v>
      </c>
      <c r="AF45" s="5">
        <f>IF($E45&gt;=AF$2,VLOOKUP($E45-AF$2,'data input'!$D$3:$E$130,2,FALSE),0)</f>
        <v>0.96406968088707423</v>
      </c>
      <c r="AG45" s="5">
        <f>IF($E45&gt;=AG$2,VLOOKUP($E45-AG$2,'data input'!$D$3:$E$130,2,FALSE),0)</f>
        <v>0.96960363823473861</v>
      </c>
      <c r="AH45" s="5">
        <f>IF($E45&gt;=AH$2,VLOOKUP($E45-AH$2,'data input'!$D$3:$E$130,2,FALSE),0)</f>
        <v>0.97441194047836144</v>
      </c>
      <c r="AI45" s="5">
        <f>IF($E45&gt;=AI$2,VLOOKUP($E45-AI$2,'data input'!$D$3:$E$130,2,FALSE),0)</f>
        <v>0.97856631788584703</v>
      </c>
      <c r="AJ45" s="5">
        <f>IF($E45&gt;=AJ$2,VLOOKUP($E45-AJ$2,'data input'!$D$3:$E$130,2,FALSE),0)</f>
        <v>0.98213557943718344</v>
      </c>
      <c r="AK45" s="5">
        <f>IF($E45&gt;=AK$2,VLOOKUP($E45-AK$2,'data input'!$D$3:$E$130,2,FALSE),0)</f>
        <v>0.98518494180739014</v>
      </c>
      <c r="AL45" s="5">
        <f>IF($E45&gt;=AL$2,VLOOKUP($E45-AL$2,'data input'!$D$3:$E$130,2,FALSE),0)</f>
        <v>0.98777552734495533</v>
      </c>
      <c r="AM45" s="5">
        <f>IF($E45&gt;=AM$2,VLOOKUP($E45-AM$2,'data input'!$D$3:$E$130,2,FALSE),0)</f>
        <v>0.98996401989972593</v>
      </c>
      <c r="AN45" s="5">
        <f>IF($E45&gt;=AN$2,VLOOKUP($E45-AN$2,'data input'!$D$3:$E$130,2,FALSE),0)</f>
        <v>0.99180246407540384</v>
      </c>
      <c r="AO45" s="5">
        <f>IF($E45&gt;=AO$2,VLOOKUP($E45-AO$2,'data input'!$D$3:$E$130,2,FALSE),0)</f>
        <v>0.99333819120801725</v>
      </c>
      <c r="AP45" s="5">
        <f>IF($E45&gt;=AP$2,VLOOKUP($E45-AP$2,'data input'!$D$3:$E$130,2,FALSE),0)</f>
        <v>0.99461385404593328</v>
      </c>
      <c r="AQ45" s="5">
        <f>IF($E45&gt;=AQ$2,VLOOKUP($E45-AQ$2,'data input'!$D$3:$E$130,2,FALSE),0)</f>
        <v>0.99566755163698739</v>
      </c>
      <c r="AR45" s="5">
        <f>IF($E45&gt;=AR$2,VLOOKUP($E45-AR$2,'data input'!$D$3:$E$130,2,FALSE),0)</f>
        <v>0.99653302619695938</v>
      </c>
      <c r="AS45" s="5">
        <f>IF($E45&gt;=AS$2,VLOOKUP($E45-AS$2,'data input'!$D$3:$E$130,2,FALSE),0)</f>
        <v>0.99723991460873751</v>
      </c>
      <c r="AT45" s="5">
        <f>IF($E45&gt;=AT$2,VLOOKUP($E45-AT$2,'data input'!$D$3:$E$130,2,FALSE),0)</f>
        <v>0.99781403854508677</v>
      </c>
      <c r="AU45" s="5">
        <f>IF($E45&gt;=AU$2,VLOOKUP($E45-AU$2,'data input'!$D$3:$E$130,2,FALSE),0)</f>
        <v>0.99827771888413241</v>
      </c>
      <c r="AV45" s="5">
        <f>IF($E45&gt;=AV$2,VLOOKUP($E45-AV$2,'data input'!$D$3:$E$130,2,FALSE),0)</f>
        <v>0.9986501019683699</v>
      </c>
      <c r="AW45" s="5">
        <f>IF($E45&gt;=AW$2,VLOOKUP($E45-AW$2,'data input'!$D$3:$E$130,2,FALSE),0)</f>
        <v>0</v>
      </c>
      <c r="AX45" s="5">
        <f>IF($E45&gt;=AX$2,VLOOKUP($E45-AX$2,'data input'!$D$3:$E$130,2,FALSE),0)</f>
        <v>0</v>
      </c>
      <c r="AY45" s="5">
        <f>IF($E45&gt;=AY$2,VLOOKUP($E45-AY$2,'data input'!$D$3:$E$130,2,FALSE),0)</f>
        <v>0</v>
      </c>
      <c r="AZ45" s="5">
        <f>IF($E45&gt;=AZ$2,VLOOKUP($E45-AZ$2,'data input'!$D$3:$E$130,2,FALSE),0)</f>
        <v>0</v>
      </c>
      <c r="BA45" s="5">
        <f>IF($E45&gt;=BA$2,VLOOKUP($E45-BA$2,'data input'!$D$3:$E$130,2,FALSE),0)</f>
        <v>0</v>
      </c>
      <c r="BB45" s="5">
        <f>IF($E45&gt;=BB$2,VLOOKUP($E45-BB$2,'data input'!$D$3:$E$130,2,FALSE),0)</f>
        <v>0</v>
      </c>
      <c r="BC45" s="5">
        <f>IF($E45&gt;=BC$2,VLOOKUP($E45-BC$2,'data input'!$D$3:$E$130,2,FALSE),0)</f>
        <v>0</v>
      </c>
      <c r="BD45" s="5">
        <f>IF($E45&gt;=BD$2,VLOOKUP($E45-BD$2,'data input'!$D$3:$E$130,2,FALSE),0)</f>
        <v>0</v>
      </c>
      <c r="BE45" s="5">
        <f>IF($E45&gt;=BE$2,VLOOKUP($E45-BE$2,'data input'!$D$3:$E$130,2,FALSE),0)</f>
        <v>0</v>
      </c>
      <c r="BF45" s="5">
        <f>IF($E45&gt;=BF$2,VLOOKUP($E45-BF$2,'data input'!$D$3:$E$130,2,FALSE),0)</f>
        <v>0</v>
      </c>
      <c r="BG45" s="5">
        <f>IF($E45&gt;=BG$2,VLOOKUP($E45-BG$2,'data input'!$D$3:$E$130,2,FALSE),0)</f>
        <v>0</v>
      </c>
      <c r="BH45" s="5">
        <f>IF($E45&gt;=BH$2,VLOOKUP($E45-BH$2,'data input'!$D$3:$E$130,2,FALSE),0)</f>
        <v>0</v>
      </c>
      <c r="BI45" s="5">
        <f>IF($E45&gt;=BI$2,VLOOKUP($E45-BI$2,'data input'!$D$3:$E$130,2,FALSE),0)</f>
        <v>0</v>
      </c>
      <c r="BJ45" s="5">
        <f>IF($E45&gt;=BJ$2,VLOOKUP($E45-BJ$2,'data input'!$D$3:$E$130,2,FALSE),0)</f>
        <v>0</v>
      </c>
      <c r="BK45" s="5">
        <f>IF($E45&gt;=BK$2,VLOOKUP($E45-BK$2,'data input'!$D$3:$E$130,2,FALSE),0)</f>
        <v>0</v>
      </c>
      <c r="BL45" s="5">
        <f>IF($E45&gt;=BL$2,VLOOKUP($E45-BL$2,'data input'!$D$3:$E$130,2,FALSE),0)</f>
        <v>0</v>
      </c>
      <c r="BM45" s="5">
        <f>IF($E45&gt;=BM$2,VLOOKUP($E45-BM$2,'data input'!$D$3:$E$130,2,FALSE),0)</f>
        <v>0</v>
      </c>
      <c r="BN45" s="5">
        <f>IF($E45&gt;=BN$2,VLOOKUP($E45-BN$2,'data input'!$D$3:$E$130,2,FALSE),0)</f>
        <v>0</v>
      </c>
      <c r="BO45" s="5">
        <f>IF($E45&gt;=BO$2,VLOOKUP($E45-BO$2,'data input'!$D$3:$E$130,2,FALSE),0)</f>
        <v>0</v>
      </c>
      <c r="BP45" s="5">
        <f>IF($E45&gt;=BP$2,VLOOKUP($E45-BP$2,'data input'!$D$3:$E$130,2,FALSE),0)</f>
        <v>0</v>
      </c>
      <c r="BQ45" s="5">
        <f>IF($E45&gt;=BQ$2,VLOOKUP($E45-BQ$2,'data input'!$D$3:$E$130,2,FALSE),0)</f>
        <v>0</v>
      </c>
      <c r="BR45" s="5">
        <f>IF($E45&gt;=BR$2,VLOOKUP($E45-BR$2,'data input'!$D$3:$E$130,2,FALSE),0)</f>
        <v>0</v>
      </c>
      <c r="BS45" s="5">
        <f>IF($E45&gt;=BS$2,VLOOKUP($E45-BS$2,'data input'!$D$3:$E$130,2,FALSE),0)</f>
        <v>0</v>
      </c>
      <c r="BT45" s="5">
        <f>IF($E45&gt;=BT$2,VLOOKUP($E45-BT$2,'data input'!$D$3:$E$130,2,FALSE),0)</f>
        <v>0</v>
      </c>
      <c r="BU45" s="5">
        <f>IF($E45&gt;=BU$2,VLOOKUP($E45-BU$2,'data input'!$D$3:$E$130,2,FALSE),0)</f>
        <v>0</v>
      </c>
      <c r="BV45" s="5">
        <f>IF($E45&gt;=BV$2,VLOOKUP($E45-BV$2,'data input'!$D$3:$E$130,2,FALSE),0)</f>
        <v>0</v>
      </c>
      <c r="BW45" s="5">
        <f>IF($E45&gt;=BW$2,VLOOKUP($E45-BW$2,'data input'!$D$3:$E$130,2,FALSE),0)</f>
        <v>0</v>
      </c>
      <c r="BX45" s="5">
        <f>IF($E45&gt;=BX$2,VLOOKUP($E45-BX$2,'data input'!$D$3:$E$130,2,FALSE),0)</f>
        <v>0</v>
      </c>
      <c r="BY45" s="5">
        <f>IF($E45&gt;=BY$2,VLOOKUP($E45-BY$2,'data input'!$D$3:$E$130,2,FALSE),0)</f>
        <v>0</v>
      </c>
      <c r="BZ45" s="5">
        <f>IF($E45&gt;=BZ$2,VLOOKUP($E45-BZ$2,'data input'!$D$3:$E$130,2,FALSE),0)</f>
        <v>0</v>
      </c>
      <c r="CA45" s="5">
        <f>IF($E45&gt;=CA$2,VLOOKUP($E45-CA$2,'data input'!$D$3:$E$130,2,FALSE),0)</f>
        <v>0</v>
      </c>
      <c r="CB45" s="5">
        <f>IF($E45&gt;=CB$2,VLOOKUP($E45-CB$2,'data input'!$D$3:$E$130,2,FALSE),0)</f>
        <v>0</v>
      </c>
      <c r="CC45" s="5">
        <f>IF($E45&gt;=CC$2,VLOOKUP($E45-CC$2,'data input'!$D$3:$E$130,2,FALSE),0)</f>
        <v>0</v>
      </c>
      <c r="CD45" s="5">
        <f>IF($E45&gt;=CD$2,VLOOKUP($E45-CD$2,'data input'!$D$3:$E$130,2,FALSE),0)</f>
        <v>0</v>
      </c>
      <c r="CE45" s="5">
        <f>IF($E45&gt;=CE$2,VLOOKUP($E45-CE$2,'data input'!$D$3:$E$130,2,FALSE),0)</f>
        <v>0</v>
      </c>
      <c r="CF45" s="5">
        <f>IF($E45&gt;=CF$2,VLOOKUP($E45-CF$2,'data input'!$D$3:$E$130,2,FALSE),0)</f>
        <v>0</v>
      </c>
      <c r="CG45" s="5">
        <f>IF($E45&gt;=CG$2,VLOOKUP($E45-CG$2,'data input'!$D$3:$E$130,2,FALSE),0)</f>
        <v>0</v>
      </c>
      <c r="CH45" s="5">
        <f>IF($E45&gt;=CH$2,VLOOKUP($E45-CH$2,'data input'!$D$3:$E$130,2,FALSE),0)</f>
        <v>0</v>
      </c>
      <c r="CI45" s="5">
        <f>IF($E45&gt;=CI$2,VLOOKUP($E45-CI$2,'data input'!$D$3:$E$130,2,FALSE),0)</f>
        <v>0</v>
      </c>
      <c r="CJ45" s="5">
        <f>IF($E45&gt;=CJ$2,VLOOKUP($E45-CJ$2,'data input'!$D$3:$E$130,2,FALSE),0)</f>
        <v>0</v>
      </c>
      <c r="CK45" s="5">
        <f>IF($E45&gt;=CK$2,VLOOKUP($E45-CK$2,'data input'!$D$3:$E$130,2,FALSE),0)</f>
        <v>0</v>
      </c>
      <c r="CL45" s="5">
        <f>IF($E45&gt;=CL$2,VLOOKUP($E45-CL$2,'data input'!$D$3:$E$130,2,FALSE),0)</f>
        <v>0</v>
      </c>
      <c r="CM45" s="5">
        <f>IF($E45&gt;=CM$2,VLOOKUP($E45-CM$2,'data input'!$D$3:$E$130,2,FALSE),0)</f>
        <v>0</v>
      </c>
      <c r="CN45" s="5">
        <f>IF($E45&gt;=CN$2,VLOOKUP($E45-CN$2,'data input'!$D$3:$E$130,2,FALSE),0)</f>
        <v>0</v>
      </c>
      <c r="CO45" s="5">
        <f>IF($E45&gt;=CO$2,VLOOKUP($E45-CO$2,'data input'!$D$3:$E$130,2,FALSE),0)</f>
        <v>0</v>
      </c>
      <c r="CP45" s="5">
        <f>IF($E45&gt;=CP$2,VLOOKUP($E45-CP$2,'data input'!$D$3:$E$130,2,FALSE),0)</f>
        <v>0</v>
      </c>
      <c r="CQ45" s="5">
        <f>IF($E45&gt;=CQ$2,VLOOKUP($E45-CQ$2,'data input'!$D$3:$E$130,2,FALSE),0)</f>
        <v>0</v>
      </c>
      <c r="CR45" s="5">
        <f>IF($E45&gt;=CR$2,VLOOKUP($E45-CR$2,'data input'!$D$3:$E$130,2,FALSE),0)</f>
        <v>0</v>
      </c>
      <c r="CS45" s="5">
        <f>IF($E45&gt;=CS$2,VLOOKUP($E45-CS$2,'data input'!$D$3:$E$130,2,FALSE),0)</f>
        <v>0</v>
      </c>
      <c r="CT45" s="5">
        <f>IF($E45&gt;=CT$2,VLOOKUP($E45-CT$2,'data input'!$D$3:$E$130,2,FALSE),0)</f>
        <v>0</v>
      </c>
      <c r="CU45" s="5">
        <f>IF($E45&gt;=CU$2,VLOOKUP($E45-CU$2,'data input'!$D$3:$E$130,2,FALSE),0)</f>
        <v>0</v>
      </c>
      <c r="CV45" s="5">
        <f>IF($E45&gt;=CV$2,VLOOKUP($E45-CV$2,'data input'!$D$3:$E$130,2,FALSE),0)</f>
        <v>0</v>
      </c>
      <c r="CW45" s="5">
        <f>IF($E45&gt;=CW$2,VLOOKUP($E45-CW$2,'data input'!$D$3:$E$130,2,FALSE),0)</f>
        <v>0</v>
      </c>
      <c r="CX45" s="5">
        <f>IF($E45&gt;=CX$2,VLOOKUP($E45-CX$2,'data input'!$D$3:$E$130,2,FALSE),0)</f>
        <v>0</v>
      </c>
      <c r="CY45" s="5">
        <f>IF($E45&gt;=CY$2,VLOOKUP($E45-CY$2,'data input'!$D$3:$E$130,2,FALSE),0)</f>
        <v>0</v>
      </c>
      <c r="CZ45" s="5">
        <f>IF($E45&gt;=CZ$2,VLOOKUP($E45-CZ$2,'data input'!$D$3:$E$130,2,FALSE),0)</f>
        <v>0</v>
      </c>
      <c r="DA45" s="5">
        <f>IF($E45&gt;=DA$2,VLOOKUP($E45-DA$2,'data input'!$D$3:$E$130,2,FALSE),0)</f>
        <v>0</v>
      </c>
      <c r="DB45" s="5">
        <f>IF($E45&gt;=DB$2,VLOOKUP($E45-DB$2,'data input'!$D$3:$E$130,2,FALSE),0)</f>
        <v>0</v>
      </c>
      <c r="DC45" s="5">
        <f>IF($E45&gt;=DC$2,VLOOKUP($E45-DC$2,'data input'!$D$3:$E$130,2,FALSE),0)</f>
        <v>0</v>
      </c>
      <c r="DD45" s="5">
        <f>IF($E45&gt;=DD$2,VLOOKUP($E45-DD$2,'data input'!$D$3:$E$130,2,FALSE),0)</f>
        <v>0</v>
      </c>
      <c r="DE45" s="5">
        <f>IF($E45&gt;=DE$2,VLOOKUP($E45-DE$2,'data input'!$D$3:$E$130,2,FALSE),0)</f>
        <v>0</v>
      </c>
      <c r="DF45" s="5">
        <f>IF($E45&gt;=DF$2,VLOOKUP($E45-DF$2,'data input'!$D$3:$E$130,2,FALSE),0)</f>
        <v>0</v>
      </c>
      <c r="DG45" s="5">
        <f>IF($E45&gt;=DG$2,VLOOKUP($E45-DG$2,'data input'!$D$3:$E$130,2,FALSE),0)</f>
        <v>0</v>
      </c>
      <c r="DH45" s="5">
        <f>IF($E45&gt;=DH$2,VLOOKUP($E45-DH$2,'data input'!$D$3:$E$130,2,FALSE),0)</f>
        <v>0</v>
      </c>
      <c r="DI45" s="5">
        <f>IF($E45&gt;=DI$2,VLOOKUP($E45-DI$2,'data input'!$D$3:$E$130,2,FALSE),0)</f>
        <v>0</v>
      </c>
      <c r="DJ45" s="5">
        <f>IF($E45&gt;=DJ$2,VLOOKUP($E45-DJ$2,'data input'!$D$3:$E$130,2,FALSE),0)</f>
        <v>0</v>
      </c>
      <c r="DK45" s="5">
        <f>IF($E45&gt;=DK$2,VLOOKUP($E45-DK$2,'data input'!$D$3:$E$130,2,FALSE),0)</f>
        <v>0</v>
      </c>
      <c r="DL45" s="5">
        <f>IF($E45&gt;=DL$2,VLOOKUP($E45-DL$2,'data input'!$D$3:$E$130,2,FALSE),0)</f>
        <v>0</v>
      </c>
      <c r="DM45" s="5">
        <f>IF($E45&gt;=DM$2,VLOOKUP($E45-DM$2,'data input'!$D$3:$E$130,2,FALSE),0)</f>
        <v>0</v>
      </c>
      <c r="DN45" s="5">
        <f>IF($E45&gt;=DN$2,VLOOKUP($E45-DN$2,'data input'!$D$3:$E$130,2,FALSE),0)</f>
        <v>0</v>
      </c>
      <c r="DO45" s="5">
        <f>IF($E45&gt;=DO$2,VLOOKUP($E45-DO$2,'data input'!$D$3:$E$130,2,FALSE),0)</f>
        <v>0</v>
      </c>
      <c r="DP45" s="5">
        <f>IF($E45&gt;=DP$2,VLOOKUP($E45-DP$2,'data input'!$D$3:$E$130,2,FALSE),0)</f>
        <v>0</v>
      </c>
      <c r="DQ45" s="5">
        <f>IF($E45&gt;=DQ$2,VLOOKUP($E45-DQ$2,'data input'!$D$3:$E$130,2,FALSE),0)</f>
        <v>0</v>
      </c>
      <c r="DR45" s="5">
        <f>IF($E45&gt;=DR$2,VLOOKUP($E45-DR$2,'data input'!$D$3:$E$130,2,FALSE),0)</f>
        <v>0</v>
      </c>
      <c r="DS45" s="5">
        <f>IF($E45&gt;=DS$2,VLOOKUP($E45-DS$2,'data input'!$D$3:$E$130,2,FALSE),0)</f>
        <v>0</v>
      </c>
      <c r="DT45" s="5">
        <f>IF($E45&gt;=DT$2,VLOOKUP($E45-DT$2,'data input'!$D$3:$E$130,2,FALSE),0)</f>
        <v>0</v>
      </c>
      <c r="DU45" s="5">
        <f>IF($E45&gt;=DU$2,VLOOKUP($E45-DU$2,'data input'!$D$3:$E$130,2,FALSE),0)</f>
        <v>0</v>
      </c>
      <c r="DV45" s="5">
        <f>IF($E45&gt;=DV$2,VLOOKUP($E45-DV$2,'data input'!$D$3:$E$130,2,FALSE),0)</f>
        <v>0</v>
      </c>
      <c r="DW45" s="5">
        <f>IF($E45&gt;=DW$2,VLOOKUP($E45-DW$2,'data input'!$D$3:$E$130,2,FALSE),0)</f>
        <v>0</v>
      </c>
      <c r="DX45" s="5">
        <f>IF($E45&gt;=DX$2,VLOOKUP($E45-DX$2,'data input'!$D$3:$E$130,2,FALSE),0)</f>
        <v>0</v>
      </c>
      <c r="DY45" s="5">
        <f>IF($E45&gt;=DY$2,VLOOKUP($E45-DY$2,'data input'!$D$3:$E$130,2,FALSE),0)</f>
        <v>0</v>
      </c>
      <c r="DZ45" s="5">
        <f>IF($E45&gt;=DZ$2,VLOOKUP($E45-DZ$2,'data input'!$D$3:$E$130,2,FALSE),0)</f>
        <v>0</v>
      </c>
      <c r="EA45" s="5">
        <f>IF($E45&gt;=EA$2,VLOOKUP($E45-EA$2,'data input'!$D$3:$E$130,2,FALSE),0)</f>
        <v>0</v>
      </c>
      <c r="EB45" s="5">
        <f>IF($E45&gt;=EB$2,VLOOKUP($E45-EB$2,'data input'!$D$3:$E$130,2,FALSE),0)</f>
        <v>0</v>
      </c>
      <c r="EC45" s="5">
        <f>IF($E45&gt;=EC$2,VLOOKUP($E45-EC$2,'data input'!$D$3:$E$130,2,FALSE),0)</f>
        <v>0</v>
      </c>
    </row>
    <row r="46" spans="5:133">
      <c r="E46" s="7">
        <f>'data input'!B46</f>
        <v>1921</v>
      </c>
      <c r="F46" s="5">
        <f>IF($E46&gt;=F$2,VLOOKUP($E46-F$2,'data input'!$D$3:$E$130,2,FALSE),0)</f>
        <v>0.41098963713127035</v>
      </c>
      <c r="G46" s="5">
        <f>IF($E46&gt;=G$2,VLOOKUP($E46-G$2,'data input'!$D$3:$E$130,2,FALSE),0)</f>
        <v>0.4403823076297575</v>
      </c>
      <c r="H46" s="5">
        <f>IF($E46&gt;=H$2,VLOOKUP($E46-H$2,'data input'!$D$3:$E$130,2,FALSE),0)</f>
        <v>0.47010735594710518</v>
      </c>
      <c r="I46" s="5">
        <f>IF($E46&gt;=I$2,VLOOKUP($E46-I$2,'data input'!$D$3:$E$130,2,FALSE),0)</f>
        <v>0.5</v>
      </c>
      <c r="J46" s="5">
        <f>IF($E46&gt;=J$2,VLOOKUP($E46-J$2,'data input'!$D$3:$E$130,2,FALSE),0)</f>
        <v>0.52989264405289482</v>
      </c>
      <c r="K46" s="5">
        <f>IF($E46&gt;=K$2,VLOOKUP($E46-K$2,'data input'!$D$3:$E$130,2,FALSE),0)</f>
        <v>0.5596176923702425</v>
      </c>
      <c r="L46" s="5">
        <f>IF($E46&gt;=L$2,VLOOKUP($E46-L$2,'data input'!$D$3:$E$130,2,FALSE),0)</f>
        <v>0.58901036286872965</v>
      </c>
      <c r="M46" s="5">
        <f>IF($E46&gt;=M$2,VLOOKUP($E46-M$2,'data input'!$D$3:$E$130,2,FALSE),0)</f>
        <v>0.61791142218895267</v>
      </c>
      <c r="N46" s="5">
        <f>IF($E46&gt;=N$2,VLOOKUP($E46-N$2,'data input'!$D$3:$E$130,2,FALSE),0)</f>
        <v>0.64616976667272386</v>
      </c>
      <c r="O46" s="5">
        <f>IF($E46&gt;=O$2,VLOOKUP($E46-O$2,'data input'!$D$3:$E$130,2,FALSE),0)</f>
        <v>0.67364477971207992</v>
      </c>
      <c r="P46" s="5">
        <f>IF($E46&gt;=P$2,VLOOKUP($E46-P$2,'data input'!$D$3:$E$130,2,FALSE),0)</f>
        <v>0.70020840453130417</v>
      </c>
      <c r="Q46" s="5">
        <f>IF($E46&gt;=Q$2,VLOOKUP($E46-Q$2,'data input'!$D$3:$E$130,2,FALSE),0)</f>
        <v>0.72574688224992645</v>
      </c>
      <c r="R46" s="5">
        <f>IF($E46&gt;=R$2,VLOOKUP($E46-R$2,'data input'!$D$3:$E$130,2,FALSE),0)</f>
        <v>0.75016211752822304</v>
      </c>
      <c r="S46" s="5">
        <f>IF($E46&gt;=S$2,VLOOKUP($E46-S$2,'data input'!$D$3:$E$130,2,FALSE),0)</f>
        <v>0.77337264762313174</v>
      </c>
      <c r="T46" s="5">
        <f>IF($E46&gt;=T$2,VLOOKUP($E46-T$2,'data input'!$D$3:$E$130,2,FALSE),0)</f>
        <v>0.79531420465274738</v>
      </c>
      <c r="U46" s="5">
        <f>IF($E46&gt;=U$2,VLOOKUP($E46-U$2,'data input'!$D$3:$E$130,2,FALSE),0)</f>
        <v>0.81593987465324047</v>
      </c>
      <c r="V46" s="5">
        <f>IF($E46&gt;=V$2,VLOOKUP($E46-V$2,'data input'!$D$3:$E$130,2,FALSE),0)</f>
        <v>0.83521987001968967</v>
      </c>
      <c r="W46" s="5">
        <f>IF($E46&gt;=W$2,VLOOKUP($E46-W$2,'data input'!$D$3:$E$130,2,FALSE),0)</f>
        <v>0.85314094362410409</v>
      </c>
      <c r="X46" s="5">
        <f>IF($E46&gt;=X$2,VLOOKUP($E46-X$2,'data input'!$D$3:$E$130,2,FALSE),0)</f>
        <v>0.86970548286319116</v>
      </c>
      <c r="Y46" s="5">
        <f>IF($E46&gt;=Y$2,VLOOKUP($E46-Y$2,'data input'!$D$3:$E$130,2,FALSE),0)</f>
        <v>0.88493032977829178</v>
      </c>
      <c r="Z46" s="5">
        <f>IF($E46&gt;=Z$2,VLOOKUP($E46-Z$2,'data input'!$D$3:$E$130,2,FALSE),0)</f>
        <v>0.89884537900441408</v>
      </c>
      <c r="AA46" s="5">
        <f>IF($E46&gt;=AA$2,VLOOKUP($E46-AA$2,'data input'!$D$3:$E$130,2,FALSE),0)</f>
        <v>0.91149200856259793</v>
      </c>
      <c r="AB46" s="5">
        <f>IF($E46&gt;=AB$2,VLOOKUP($E46-AB$2,'data input'!$D$3:$E$130,2,FALSE),0)</f>
        <v>0.92292139944792817</v>
      </c>
      <c r="AC46" s="5">
        <f>IF($E46&gt;=AC$2,VLOOKUP($E46-AC$2,'data input'!$D$3:$E$130,2,FALSE),0)</f>
        <v>0.93319279873114191</v>
      </c>
      <c r="AD46" s="5">
        <f>IF($E46&gt;=AD$2,VLOOKUP($E46-AD$2,'data input'!$D$3:$E$130,2,FALSE),0)</f>
        <v>0.94237177772384684</v>
      </c>
      <c r="AE46" s="5">
        <f>IF($E46&gt;=AE$2,VLOOKUP($E46-AE$2,'data input'!$D$3:$E$130,2,FALSE),0)</f>
        <v>0.9505285319663519</v>
      </c>
      <c r="AF46" s="5">
        <f>IF($E46&gt;=AF$2,VLOOKUP($E46-AF$2,'data input'!$D$3:$E$130,2,FALSE),0)</f>
        <v>0.95773626374204757</v>
      </c>
      <c r="AG46" s="5">
        <f>IF($E46&gt;=AG$2,VLOOKUP($E46-AG$2,'data input'!$D$3:$E$130,2,FALSE),0)</f>
        <v>0.96406968088707423</v>
      </c>
      <c r="AH46" s="5">
        <f>IF($E46&gt;=AH$2,VLOOKUP($E46-AH$2,'data input'!$D$3:$E$130,2,FALSE),0)</f>
        <v>0.96960363823473861</v>
      </c>
      <c r="AI46" s="5">
        <f>IF($E46&gt;=AI$2,VLOOKUP($E46-AI$2,'data input'!$D$3:$E$130,2,FALSE),0)</f>
        <v>0.97441194047836144</v>
      </c>
      <c r="AJ46" s="5">
        <f>IF($E46&gt;=AJ$2,VLOOKUP($E46-AJ$2,'data input'!$D$3:$E$130,2,FALSE),0)</f>
        <v>0.97856631788584703</v>
      </c>
      <c r="AK46" s="5">
        <f>IF($E46&gt;=AK$2,VLOOKUP($E46-AK$2,'data input'!$D$3:$E$130,2,FALSE),0)</f>
        <v>0.98213557943718344</v>
      </c>
      <c r="AL46" s="5">
        <f>IF($E46&gt;=AL$2,VLOOKUP($E46-AL$2,'data input'!$D$3:$E$130,2,FALSE),0)</f>
        <v>0.98518494180739014</v>
      </c>
      <c r="AM46" s="5">
        <f>IF($E46&gt;=AM$2,VLOOKUP($E46-AM$2,'data input'!$D$3:$E$130,2,FALSE),0)</f>
        <v>0.98777552734495533</v>
      </c>
      <c r="AN46" s="5">
        <f>IF($E46&gt;=AN$2,VLOOKUP($E46-AN$2,'data input'!$D$3:$E$130,2,FALSE),0)</f>
        <v>0.98996401989972593</v>
      </c>
      <c r="AO46" s="5">
        <f>IF($E46&gt;=AO$2,VLOOKUP($E46-AO$2,'data input'!$D$3:$E$130,2,FALSE),0)</f>
        <v>0.99180246407540384</v>
      </c>
      <c r="AP46" s="5">
        <f>IF($E46&gt;=AP$2,VLOOKUP($E46-AP$2,'data input'!$D$3:$E$130,2,FALSE),0)</f>
        <v>0.99333819120801725</v>
      </c>
      <c r="AQ46" s="5">
        <f>IF($E46&gt;=AQ$2,VLOOKUP($E46-AQ$2,'data input'!$D$3:$E$130,2,FALSE),0)</f>
        <v>0.99461385404593328</v>
      </c>
      <c r="AR46" s="5">
        <f>IF($E46&gt;=AR$2,VLOOKUP($E46-AR$2,'data input'!$D$3:$E$130,2,FALSE),0)</f>
        <v>0.99566755163698739</v>
      </c>
      <c r="AS46" s="5">
        <f>IF($E46&gt;=AS$2,VLOOKUP($E46-AS$2,'data input'!$D$3:$E$130,2,FALSE),0)</f>
        <v>0.99653302619695938</v>
      </c>
      <c r="AT46" s="5">
        <f>IF($E46&gt;=AT$2,VLOOKUP($E46-AT$2,'data input'!$D$3:$E$130,2,FALSE),0)</f>
        <v>0.99723991460873751</v>
      </c>
      <c r="AU46" s="5">
        <f>IF($E46&gt;=AU$2,VLOOKUP($E46-AU$2,'data input'!$D$3:$E$130,2,FALSE),0)</f>
        <v>0.99781403854508677</v>
      </c>
      <c r="AV46" s="5">
        <f>IF($E46&gt;=AV$2,VLOOKUP($E46-AV$2,'data input'!$D$3:$E$130,2,FALSE),0)</f>
        <v>0.99827771888413241</v>
      </c>
      <c r="AW46" s="5">
        <f>IF($E46&gt;=AW$2,VLOOKUP($E46-AW$2,'data input'!$D$3:$E$130,2,FALSE),0)</f>
        <v>0.9986501019683699</v>
      </c>
      <c r="AX46" s="5">
        <f>IF($E46&gt;=AX$2,VLOOKUP($E46-AX$2,'data input'!$D$3:$E$130,2,FALSE),0)</f>
        <v>0</v>
      </c>
      <c r="AY46" s="5">
        <f>IF($E46&gt;=AY$2,VLOOKUP($E46-AY$2,'data input'!$D$3:$E$130,2,FALSE),0)</f>
        <v>0</v>
      </c>
      <c r="AZ46" s="5">
        <f>IF($E46&gt;=AZ$2,VLOOKUP($E46-AZ$2,'data input'!$D$3:$E$130,2,FALSE),0)</f>
        <v>0</v>
      </c>
      <c r="BA46" s="5">
        <f>IF($E46&gt;=BA$2,VLOOKUP($E46-BA$2,'data input'!$D$3:$E$130,2,FALSE),0)</f>
        <v>0</v>
      </c>
      <c r="BB46" s="5">
        <f>IF($E46&gt;=BB$2,VLOOKUP($E46-BB$2,'data input'!$D$3:$E$130,2,FALSE),0)</f>
        <v>0</v>
      </c>
      <c r="BC46" s="5">
        <f>IF($E46&gt;=BC$2,VLOOKUP($E46-BC$2,'data input'!$D$3:$E$130,2,FALSE),0)</f>
        <v>0</v>
      </c>
      <c r="BD46" s="5">
        <f>IF($E46&gt;=BD$2,VLOOKUP($E46-BD$2,'data input'!$D$3:$E$130,2,FALSE),0)</f>
        <v>0</v>
      </c>
      <c r="BE46" s="5">
        <f>IF($E46&gt;=BE$2,VLOOKUP($E46-BE$2,'data input'!$D$3:$E$130,2,FALSE),0)</f>
        <v>0</v>
      </c>
      <c r="BF46" s="5">
        <f>IF($E46&gt;=BF$2,VLOOKUP($E46-BF$2,'data input'!$D$3:$E$130,2,FALSE),0)</f>
        <v>0</v>
      </c>
      <c r="BG46" s="5">
        <f>IF($E46&gt;=BG$2,VLOOKUP($E46-BG$2,'data input'!$D$3:$E$130,2,FALSE),0)</f>
        <v>0</v>
      </c>
      <c r="BH46" s="5">
        <f>IF($E46&gt;=BH$2,VLOOKUP($E46-BH$2,'data input'!$D$3:$E$130,2,FALSE),0)</f>
        <v>0</v>
      </c>
      <c r="BI46" s="5">
        <f>IF($E46&gt;=BI$2,VLOOKUP($E46-BI$2,'data input'!$D$3:$E$130,2,FALSE),0)</f>
        <v>0</v>
      </c>
      <c r="BJ46" s="5">
        <f>IF($E46&gt;=BJ$2,VLOOKUP($E46-BJ$2,'data input'!$D$3:$E$130,2,FALSE),0)</f>
        <v>0</v>
      </c>
      <c r="BK46" s="5">
        <f>IF($E46&gt;=BK$2,VLOOKUP($E46-BK$2,'data input'!$D$3:$E$130,2,FALSE),0)</f>
        <v>0</v>
      </c>
      <c r="BL46" s="5">
        <f>IF($E46&gt;=BL$2,VLOOKUP($E46-BL$2,'data input'!$D$3:$E$130,2,FALSE),0)</f>
        <v>0</v>
      </c>
      <c r="BM46" s="5">
        <f>IF($E46&gt;=BM$2,VLOOKUP($E46-BM$2,'data input'!$D$3:$E$130,2,FALSE),0)</f>
        <v>0</v>
      </c>
      <c r="BN46" s="5">
        <f>IF($E46&gt;=BN$2,VLOOKUP($E46-BN$2,'data input'!$D$3:$E$130,2,FALSE),0)</f>
        <v>0</v>
      </c>
      <c r="BO46" s="5">
        <f>IF($E46&gt;=BO$2,VLOOKUP($E46-BO$2,'data input'!$D$3:$E$130,2,FALSE),0)</f>
        <v>0</v>
      </c>
      <c r="BP46" s="5">
        <f>IF($E46&gt;=BP$2,VLOOKUP($E46-BP$2,'data input'!$D$3:$E$130,2,FALSE),0)</f>
        <v>0</v>
      </c>
      <c r="BQ46" s="5">
        <f>IF($E46&gt;=BQ$2,VLOOKUP($E46-BQ$2,'data input'!$D$3:$E$130,2,FALSE),0)</f>
        <v>0</v>
      </c>
      <c r="BR46" s="5">
        <f>IF($E46&gt;=BR$2,VLOOKUP($E46-BR$2,'data input'!$D$3:$E$130,2,FALSE),0)</f>
        <v>0</v>
      </c>
      <c r="BS46" s="5">
        <f>IF($E46&gt;=BS$2,VLOOKUP($E46-BS$2,'data input'!$D$3:$E$130,2,FALSE),0)</f>
        <v>0</v>
      </c>
      <c r="BT46" s="5">
        <f>IF($E46&gt;=BT$2,VLOOKUP($E46-BT$2,'data input'!$D$3:$E$130,2,FALSE),0)</f>
        <v>0</v>
      </c>
      <c r="BU46" s="5">
        <f>IF($E46&gt;=BU$2,VLOOKUP($E46-BU$2,'data input'!$D$3:$E$130,2,FALSE),0)</f>
        <v>0</v>
      </c>
      <c r="BV46" s="5">
        <f>IF($E46&gt;=BV$2,VLOOKUP($E46-BV$2,'data input'!$D$3:$E$130,2,FALSE),0)</f>
        <v>0</v>
      </c>
      <c r="BW46" s="5">
        <f>IF($E46&gt;=BW$2,VLOOKUP($E46-BW$2,'data input'!$D$3:$E$130,2,FALSE),0)</f>
        <v>0</v>
      </c>
      <c r="BX46" s="5">
        <f>IF($E46&gt;=BX$2,VLOOKUP($E46-BX$2,'data input'!$D$3:$E$130,2,FALSE),0)</f>
        <v>0</v>
      </c>
      <c r="BY46" s="5">
        <f>IF($E46&gt;=BY$2,VLOOKUP($E46-BY$2,'data input'!$D$3:$E$130,2,FALSE),0)</f>
        <v>0</v>
      </c>
      <c r="BZ46" s="5">
        <f>IF($E46&gt;=BZ$2,VLOOKUP($E46-BZ$2,'data input'!$D$3:$E$130,2,FALSE),0)</f>
        <v>0</v>
      </c>
      <c r="CA46" s="5">
        <f>IF($E46&gt;=CA$2,VLOOKUP($E46-CA$2,'data input'!$D$3:$E$130,2,FALSE),0)</f>
        <v>0</v>
      </c>
      <c r="CB46" s="5">
        <f>IF($E46&gt;=CB$2,VLOOKUP($E46-CB$2,'data input'!$D$3:$E$130,2,FALSE),0)</f>
        <v>0</v>
      </c>
      <c r="CC46" s="5">
        <f>IF($E46&gt;=CC$2,VLOOKUP($E46-CC$2,'data input'!$D$3:$E$130,2,FALSE),0)</f>
        <v>0</v>
      </c>
      <c r="CD46" s="5">
        <f>IF($E46&gt;=CD$2,VLOOKUP($E46-CD$2,'data input'!$D$3:$E$130,2,FALSE),0)</f>
        <v>0</v>
      </c>
      <c r="CE46" s="5">
        <f>IF($E46&gt;=CE$2,VLOOKUP($E46-CE$2,'data input'!$D$3:$E$130,2,FALSE),0)</f>
        <v>0</v>
      </c>
      <c r="CF46" s="5">
        <f>IF($E46&gt;=CF$2,VLOOKUP($E46-CF$2,'data input'!$D$3:$E$130,2,FALSE),0)</f>
        <v>0</v>
      </c>
      <c r="CG46" s="5">
        <f>IF($E46&gt;=CG$2,VLOOKUP($E46-CG$2,'data input'!$D$3:$E$130,2,FALSE),0)</f>
        <v>0</v>
      </c>
      <c r="CH46" s="5">
        <f>IF($E46&gt;=CH$2,VLOOKUP($E46-CH$2,'data input'!$D$3:$E$130,2,FALSE),0)</f>
        <v>0</v>
      </c>
      <c r="CI46" s="5">
        <f>IF($E46&gt;=CI$2,VLOOKUP($E46-CI$2,'data input'!$D$3:$E$130,2,FALSE),0)</f>
        <v>0</v>
      </c>
      <c r="CJ46" s="5">
        <f>IF($E46&gt;=CJ$2,VLOOKUP($E46-CJ$2,'data input'!$D$3:$E$130,2,FALSE),0)</f>
        <v>0</v>
      </c>
      <c r="CK46" s="5">
        <f>IF($E46&gt;=CK$2,VLOOKUP($E46-CK$2,'data input'!$D$3:$E$130,2,FALSE),0)</f>
        <v>0</v>
      </c>
      <c r="CL46" s="5">
        <f>IF($E46&gt;=CL$2,VLOOKUP($E46-CL$2,'data input'!$D$3:$E$130,2,FALSE),0)</f>
        <v>0</v>
      </c>
      <c r="CM46" s="5">
        <f>IF($E46&gt;=CM$2,VLOOKUP($E46-CM$2,'data input'!$D$3:$E$130,2,FALSE),0)</f>
        <v>0</v>
      </c>
      <c r="CN46" s="5">
        <f>IF($E46&gt;=CN$2,VLOOKUP($E46-CN$2,'data input'!$D$3:$E$130,2,FALSE),0)</f>
        <v>0</v>
      </c>
      <c r="CO46" s="5">
        <f>IF($E46&gt;=CO$2,VLOOKUP($E46-CO$2,'data input'!$D$3:$E$130,2,FALSE),0)</f>
        <v>0</v>
      </c>
      <c r="CP46" s="5">
        <f>IF($E46&gt;=CP$2,VLOOKUP($E46-CP$2,'data input'!$D$3:$E$130,2,FALSE),0)</f>
        <v>0</v>
      </c>
      <c r="CQ46" s="5">
        <f>IF($E46&gt;=CQ$2,VLOOKUP($E46-CQ$2,'data input'!$D$3:$E$130,2,FALSE),0)</f>
        <v>0</v>
      </c>
      <c r="CR46" s="5">
        <f>IF($E46&gt;=CR$2,VLOOKUP($E46-CR$2,'data input'!$D$3:$E$130,2,FALSE),0)</f>
        <v>0</v>
      </c>
      <c r="CS46" s="5">
        <f>IF($E46&gt;=CS$2,VLOOKUP($E46-CS$2,'data input'!$D$3:$E$130,2,FALSE),0)</f>
        <v>0</v>
      </c>
      <c r="CT46" s="5">
        <f>IF($E46&gt;=CT$2,VLOOKUP($E46-CT$2,'data input'!$D$3:$E$130,2,FALSE),0)</f>
        <v>0</v>
      </c>
      <c r="CU46" s="5">
        <f>IF($E46&gt;=CU$2,VLOOKUP($E46-CU$2,'data input'!$D$3:$E$130,2,FALSE),0)</f>
        <v>0</v>
      </c>
      <c r="CV46" s="5">
        <f>IF($E46&gt;=CV$2,VLOOKUP($E46-CV$2,'data input'!$D$3:$E$130,2,FALSE),0)</f>
        <v>0</v>
      </c>
      <c r="CW46" s="5">
        <f>IF($E46&gt;=CW$2,VLOOKUP($E46-CW$2,'data input'!$D$3:$E$130,2,FALSE),0)</f>
        <v>0</v>
      </c>
      <c r="CX46" s="5">
        <f>IF($E46&gt;=CX$2,VLOOKUP($E46-CX$2,'data input'!$D$3:$E$130,2,FALSE),0)</f>
        <v>0</v>
      </c>
      <c r="CY46" s="5">
        <f>IF($E46&gt;=CY$2,VLOOKUP($E46-CY$2,'data input'!$D$3:$E$130,2,FALSE),0)</f>
        <v>0</v>
      </c>
      <c r="CZ46" s="5">
        <f>IF($E46&gt;=CZ$2,VLOOKUP($E46-CZ$2,'data input'!$D$3:$E$130,2,FALSE),0)</f>
        <v>0</v>
      </c>
      <c r="DA46" s="5">
        <f>IF($E46&gt;=DA$2,VLOOKUP($E46-DA$2,'data input'!$D$3:$E$130,2,FALSE),0)</f>
        <v>0</v>
      </c>
      <c r="DB46" s="5">
        <f>IF($E46&gt;=DB$2,VLOOKUP($E46-DB$2,'data input'!$D$3:$E$130,2,FALSE),0)</f>
        <v>0</v>
      </c>
      <c r="DC46" s="5">
        <f>IF($E46&gt;=DC$2,VLOOKUP($E46-DC$2,'data input'!$D$3:$E$130,2,FALSE),0)</f>
        <v>0</v>
      </c>
      <c r="DD46" s="5">
        <f>IF($E46&gt;=DD$2,VLOOKUP($E46-DD$2,'data input'!$D$3:$E$130,2,FALSE),0)</f>
        <v>0</v>
      </c>
      <c r="DE46" s="5">
        <f>IF($E46&gt;=DE$2,VLOOKUP($E46-DE$2,'data input'!$D$3:$E$130,2,FALSE),0)</f>
        <v>0</v>
      </c>
      <c r="DF46" s="5">
        <f>IF($E46&gt;=DF$2,VLOOKUP($E46-DF$2,'data input'!$D$3:$E$130,2,FALSE),0)</f>
        <v>0</v>
      </c>
      <c r="DG46" s="5">
        <f>IF($E46&gt;=DG$2,VLOOKUP($E46-DG$2,'data input'!$D$3:$E$130,2,FALSE),0)</f>
        <v>0</v>
      </c>
      <c r="DH46" s="5">
        <f>IF($E46&gt;=DH$2,VLOOKUP($E46-DH$2,'data input'!$D$3:$E$130,2,FALSE),0)</f>
        <v>0</v>
      </c>
      <c r="DI46" s="5">
        <f>IF($E46&gt;=DI$2,VLOOKUP($E46-DI$2,'data input'!$D$3:$E$130,2,FALSE),0)</f>
        <v>0</v>
      </c>
      <c r="DJ46" s="5">
        <f>IF($E46&gt;=DJ$2,VLOOKUP($E46-DJ$2,'data input'!$D$3:$E$130,2,FALSE),0)</f>
        <v>0</v>
      </c>
      <c r="DK46" s="5">
        <f>IF($E46&gt;=DK$2,VLOOKUP($E46-DK$2,'data input'!$D$3:$E$130,2,FALSE),0)</f>
        <v>0</v>
      </c>
      <c r="DL46" s="5">
        <f>IF($E46&gt;=DL$2,VLOOKUP($E46-DL$2,'data input'!$D$3:$E$130,2,FALSE),0)</f>
        <v>0</v>
      </c>
      <c r="DM46" s="5">
        <f>IF($E46&gt;=DM$2,VLOOKUP($E46-DM$2,'data input'!$D$3:$E$130,2,FALSE),0)</f>
        <v>0</v>
      </c>
      <c r="DN46" s="5">
        <f>IF($E46&gt;=DN$2,VLOOKUP($E46-DN$2,'data input'!$D$3:$E$130,2,FALSE),0)</f>
        <v>0</v>
      </c>
      <c r="DO46" s="5">
        <f>IF($E46&gt;=DO$2,VLOOKUP($E46-DO$2,'data input'!$D$3:$E$130,2,FALSE),0)</f>
        <v>0</v>
      </c>
      <c r="DP46" s="5">
        <f>IF($E46&gt;=DP$2,VLOOKUP($E46-DP$2,'data input'!$D$3:$E$130,2,FALSE),0)</f>
        <v>0</v>
      </c>
      <c r="DQ46" s="5">
        <f>IF($E46&gt;=DQ$2,VLOOKUP($E46-DQ$2,'data input'!$D$3:$E$130,2,FALSE),0)</f>
        <v>0</v>
      </c>
      <c r="DR46" s="5">
        <f>IF($E46&gt;=DR$2,VLOOKUP($E46-DR$2,'data input'!$D$3:$E$130,2,FALSE),0)</f>
        <v>0</v>
      </c>
      <c r="DS46" s="5">
        <f>IF($E46&gt;=DS$2,VLOOKUP($E46-DS$2,'data input'!$D$3:$E$130,2,FALSE),0)</f>
        <v>0</v>
      </c>
      <c r="DT46" s="5">
        <f>IF($E46&gt;=DT$2,VLOOKUP($E46-DT$2,'data input'!$D$3:$E$130,2,FALSE),0)</f>
        <v>0</v>
      </c>
      <c r="DU46" s="5">
        <f>IF($E46&gt;=DU$2,VLOOKUP($E46-DU$2,'data input'!$D$3:$E$130,2,FALSE),0)</f>
        <v>0</v>
      </c>
      <c r="DV46" s="5">
        <f>IF($E46&gt;=DV$2,VLOOKUP($E46-DV$2,'data input'!$D$3:$E$130,2,FALSE),0)</f>
        <v>0</v>
      </c>
      <c r="DW46" s="5">
        <f>IF($E46&gt;=DW$2,VLOOKUP($E46-DW$2,'data input'!$D$3:$E$130,2,FALSE),0)</f>
        <v>0</v>
      </c>
      <c r="DX46" s="5">
        <f>IF($E46&gt;=DX$2,VLOOKUP($E46-DX$2,'data input'!$D$3:$E$130,2,FALSE),0)</f>
        <v>0</v>
      </c>
      <c r="DY46" s="5">
        <f>IF($E46&gt;=DY$2,VLOOKUP($E46-DY$2,'data input'!$D$3:$E$130,2,FALSE),0)</f>
        <v>0</v>
      </c>
      <c r="DZ46" s="5">
        <f>IF($E46&gt;=DZ$2,VLOOKUP($E46-DZ$2,'data input'!$D$3:$E$130,2,FALSE),0)</f>
        <v>0</v>
      </c>
      <c r="EA46" s="5">
        <f>IF($E46&gt;=EA$2,VLOOKUP($E46-EA$2,'data input'!$D$3:$E$130,2,FALSE),0)</f>
        <v>0</v>
      </c>
      <c r="EB46" s="5">
        <f>IF($E46&gt;=EB$2,VLOOKUP($E46-EB$2,'data input'!$D$3:$E$130,2,FALSE),0)</f>
        <v>0</v>
      </c>
      <c r="EC46" s="5">
        <f>IF($E46&gt;=EC$2,VLOOKUP($E46-EC$2,'data input'!$D$3:$E$130,2,FALSE),0)</f>
        <v>0</v>
      </c>
    </row>
    <row r="47" spans="5:133">
      <c r="E47" s="7">
        <f>'data input'!B47</f>
        <v>1922</v>
      </c>
      <c r="F47" s="5">
        <f>IF($E47&gt;=F$2,VLOOKUP($E47-F$2,'data input'!$D$3:$E$130,2,FALSE),0)</f>
        <v>0.38208857781104733</v>
      </c>
      <c r="G47" s="5">
        <f>IF($E47&gt;=G$2,VLOOKUP($E47-G$2,'data input'!$D$3:$E$130,2,FALSE),0)</f>
        <v>0.41098963713127035</v>
      </c>
      <c r="H47" s="5">
        <f>IF($E47&gt;=H$2,VLOOKUP($E47-H$2,'data input'!$D$3:$E$130,2,FALSE),0)</f>
        <v>0.4403823076297575</v>
      </c>
      <c r="I47" s="5">
        <f>IF($E47&gt;=I$2,VLOOKUP($E47-I$2,'data input'!$D$3:$E$130,2,FALSE),0)</f>
        <v>0.47010735594710518</v>
      </c>
      <c r="J47" s="5">
        <f>IF($E47&gt;=J$2,VLOOKUP($E47-J$2,'data input'!$D$3:$E$130,2,FALSE),0)</f>
        <v>0.5</v>
      </c>
      <c r="K47" s="5">
        <f>IF($E47&gt;=K$2,VLOOKUP($E47-K$2,'data input'!$D$3:$E$130,2,FALSE),0)</f>
        <v>0.52989264405289482</v>
      </c>
      <c r="L47" s="5">
        <f>IF($E47&gt;=L$2,VLOOKUP($E47-L$2,'data input'!$D$3:$E$130,2,FALSE),0)</f>
        <v>0.5596176923702425</v>
      </c>
      <c r="M47" s="5">
        <f>IF($E47&gt;=M$2,VLOOKUP($E47-M$2,'data input'!$D$3:$E$130,2,FALSE),0)</f>
        <v>0.58901036286872965</v>
      </c>
      <c r="N47" s="5">
        <f>IF($E47&gt;=N$2,VLOOKUP($E47-N$2,'data input'!$D$3:$E$130,2,FALSE),0)</f>
        <v>0.61791142218895267</v>
      </c>
      <c r="O47" s="5">
        <f>IF($E47&gt;=O$2,VLOOKUP($E47-O$2,'data input'!$D$3:$E$130,2,FALSE),0)</f>
        <v>0.64616976667272386</v>
      </c>
      <c r="P47" s="5">
        <f>IF($E47&gt;=P$2,VLOOKUP($E47-P$2,'data input'!$D$3:$E$130,2,FALSE),0)</f>
        <v>0.67364477971207992</v>
      </c>
      <c r="Q47" s="5">
        <f>IF($E47&gt;=Q$2,VLOOKUP($E47-Q$2,'data input'!$D$3:$E$130,2,FALSE),0)</f>
        <v>0.70020840453130417</v>
      </c>
      <c r="R47" s="5">
        <f>IF($E47&gt;=R$2,VLOOKUP($E47-R$2,'data input'!$D$3:$E$130,2,FALSE),0)</f>
        <v>0.72574688224992645</v>
      </c>
      <c r="S47" s="5">
        <f>IF($E47&gt;=S$2,VLOOKUP($E47-S$2,'data input'!$D$3:$E$130,2,FALSE),0)</f>
        <v>0.75016211752822304</v>
      </c>
      <c r="T47" s="5">
        <f>IF($E47&gt;=T$2,VLOOKUP($E47-T$2,'data input'!$D$3:$E$130,2,FALSE),0)</f>
        <v>0.77337264762313174</v>
      </c>
      <c r="U47" s="5">
        <f>IF($E47&gt;=U$2,VLOOKUP($E47-U$2,'data input'!$D$3:$E$130,2,FALSE),0)</f>
        <v>0.79531420465274738</v>
      </c>
      <c r="V47" s="5">
        <f>IF($E47&gt;=V$2,VLOOKUP($E47-V$2,'data input'!$D$3:$E$130,2,FALSE),0)</f>
        <v>0.81593987465324047</v>
      </c>
      <c r="W47" s="5">
        <f>IF($E47&gt;=W$2,VLOOKUP($E47-W$2,'data input'!$D$3:$E$130,2,FALSE),0)</f>
        <v>0.83521987001968967</v>
      </c>
      <c r="X47" s="5">
        <f>IF($E47&gt;=X$2,VLOOKUP($E47-X$2,'data input'!$D$3:$E$130,2,FALSE),0)</f>
        <v>0.85314094362410409</v>
      </c>
      <c r="Y47" s="5">
        <f>IF($E47&gt;=Y$2,VLOOKUP($E47-Y$2,'data input'!$D$3:$E$130,2,FALSE),0)</f>
        <v>0.86970548286319116</v>
      </c>
      <c r="Z47" s="5">
        <f>IF($E47&gt;=Z$2,VLOOKUP($E47-Z$2,'data input'!$D$3:$E$130,2,FALSE),0)</f>
        <v>0.88493032977829178</v>
      </c>
      <c r="AA47" s="5">
        <f>IF($E47&gt;=AA$2,VLOOKUP($E47-AA$2,'data input'!$D$3:$E$130,2,FALSE),0)</f>
        <v>0.89884537900441408</v>
      </c>
      <c r="AB47" s="5">
        <f>IF($E47&gt;=AB$2,VLOOKUP($E47-AB$2,'data input'!$D$3:$E$130,2,FALSE),0)</f>
        <v>0.91149200856259793</v>
      </c>
      <c r="AC47" s="5">
        <f>IF($E47&gt;=AC$2,VLOOKUP($E47-AC$2,'data input'!$D$3:$E$130,2,FALSE),0)</f>
        <v>0.92292139944792817</v>
      </c>
      <c r="AD47" s="5">
        <f>IF($E47&gt;=AD$2,VLOOKUP($E47-AD$2,'data input'!$D$3:$E$130,2,FALSE),0)</f>
        <v>0.93319279873114191</v>
      </c>
      <c r="AE47" s="5">
        <f>IF($E47&gt;=AE$2,VLOOKUP($E47-AE$2,'data input'!$D$3:$E$130,2,FALSE),0)</f>
        <v>0.94237177772384684</v>
      </c>
      <c r="AF47" s="5">
        <f>IF($E47&gt;=AF$2,VLOOKUP($E47-AF$2,'data input'!$D$3:$E$130,2,FALSE),0)</f>
        <v>0.9505285319663519</v>
      </c>
      <c r="AG47" s="5">
        <f>IF($E47&gt;=AG$2,VLOOKUP($E47-AG$2,'data input'!$D$3:$E$130,2,FALSE),0)</f>
        <v>0.95773626374204757</v>
      </c>
      <c r="AH47" s="5">
        <f>IF($E47&gt;=AH$2,VLOOKUP($E47-AH$2,'data input'!$D$3:$E$130,2,FALSE),0)</f>
        <v>0.96406968088707423</v>
      </c>
      <c r="AI47" s="5">
        <f>IF($E47&gt;=AI$2,VLOOKUP($E47-AI$2,'data input'!$D$3:$E$130,2,FALSE),0)</f>
        <v>0.96960363823473861</v>
      </c>
      <c r="AJ47" s="5">
        <f>IF($E47&gt;=AJ$2,VLOOKUP($E47-AJ$2,'data input'!$D$3:$E$130,2,FALSE),0)</f>
        <v>0.97441194047836144</v>
      </c>
      <c r="AK47" s="5">
        <f>IF($E47&gt;=AK$2,VLOOKUP($E47-AK$2,'data input'!$D$3:$E$130,2,FALSE),0)</f>
        <v>0.97856631788584703</v>
      </c>
      <c r="AL47" s="5">
        <f>IF($E47&gt;=AL$2,VLOOKUP($E47-AL$2,'data input'!$D$3:$E$130,2,FALSE),0)</f>
        <v>0.98213557943718344</v>
      </c>
      <c r="AM47" s="5">
        <f>IF($E47&gt;=AM$2,VLOOKUP($E47-AM$2,'data input'!$D$3:$E$130,2,FALSE),0)</f>
        <v>0.98518494180739014</v>
      </c>
      <c r="AN47" s="5">
        <f>IF($E47&gt;=AN$2,VLOOKUP($E47-AN$2,'data input'!$D$3:$E$130,2,FALSE),0)</f>
        <v>0.98777552734495533</v>
      </c>
      <c r="AO47" s="5">
        <f>IF($E47&gt;=AO$2,VLOOKUP($E47-AO$2,'data input'!$D$3:$E$130,2,FALSE),0)</f>
        <v>0.98996401989972593</v>
      </c>
      <c r="AP47" s="5">
        <f>IF($E47&gt;=AP$2,VLOOKUP($E47-AP$2,'data input'!$D$3:$E$130,2,FALSE),0)</f>
        <v>0.99180246407540384</v>
      </c>
      <c r="AQ47" s="5">
        <f>IF($E47&gt;=AQ$2,VLOOKUP($E47-AQ$2,'data input'!$D$3:$E$130,2,FALSE),0)</f>
        <v>0.99333819120801725</v>
      </c>
      <c r="AR47" s="5">
        <f>IF($E47&gt;=AR$2,VLOOKUP($E47-AR$2,'data input'!$D$3:$E$130,2,FALSE),0)</f>
        <v>0.99461385404593328</v>
      </c>
      <c r="AS47" s="5">
        <f>IF($E47&gt;=AS$2,VLOOKUP($E47-AS$2,'data input'!$D$3:$E$130,2,FALSE),0)</f>
        <v>0.99566755163698739</v>
      </c>
      <c r="AT47" s="5">
        <f>IF($E47&gt;=AT$2,VLOOKUP($E47-AT$2,'data input'!$D$3:$E$130,2,FALSE),0)</f>
        <v>0.99653302619695938</v>
      </c>
      <c r="AU47" s="5">
        <f>IF($E47&gt;=AU$2,VLOOKUP($E47-AU$2,'data input'!$D$3:$E$130,2,FALSE),0)</f>
        <v>0.99723991460873751</v>
      </c>
      <c r="AV47" s="5">
        <f>IF($E47&gt;=AV$2,VLOOKUP($E47-AV$2,'data input'!$D$3:$E$130,2,FALSE),0)</f>
        <v>0.99781403854508677</v>
      </c>
      <c r="AW47" s="5">
        <f>IF($E47&gt;=AW$2,VLOOKUP($E47-AW$2,'data input'!$D$3:$E$130,2,FALSE),0)</f>
        <v>0.99827771888413241</v>
      </c>
      <c r="AX47" s="5">
        <f>IF($E47&gt;=AX$2,VLOOKUP($E47-AX$2,'data input'!$D$3:$E$130,2,FALSE),0)</f>
        <v>0.9986501019683699</v>
      </c>
      <c r="AY47" s="5">
        <f>IF($E47&gt;=AY$2,VLOOKUP($E47-AY$2,'data input'!$D$3:$E$130,2,FALSE),0)</f>
        <v>0</v>
      </c>
      <c r="AZ47" s="5">
        <f>IF($E47&gt;=AZ$2,VLOOKUP($E47-AZ$2,'data input'!$D$3:$E$130,2,FALSE),0)</f>
        <v>0</v>
      </c>
      <c r="BA47" s="5">
        <f>IF($E47&gt;=BA$2,VLOOKUP($E47-BA$2,'data input'!$D$3:$E$130,2,FALSE),0)</f>
        <v>0</v>
      </c>
      <c r="BB47" s="5">
        <f>IF($E47&gt;=BB$2,VLOOKUP($E47-BB$2,'data input'!$D$3:$E$130,2,FALSE),0)</f>
        <v>0</v>
      </c>
      <c r="BC47" s="5">
        <f>IF($E47&gt;=BC$2,VLOOKUP($E47-BC$2,'data input'!$D$3:$E$130,2,FALSE),0)</f>
        <v>0</v>
      </c>
      <c r="BD47" s="5">
        <f>IF($E47&gt;=BD$2,VLOOKUP($E47-BD$2,'data input'!$D$3:$E$130,2,FALSE),0)</f>
        <v>0</v>
      </c>
      <c r="BE47" s="5">
        <f>IF($E47&gt;=BE$2,VLOOKUP($E47-BE$2,'data input'!$D$3:$E$130,2,FALSE),0)</f>
        <v>0</v>
      </c>
      <c r="BF47" s="5">
        <f>IF($E47&gt;=BF$2,VLOOKUP($E47-BF$2,'data input'!$D$3:$E$130,2,FALSE),0)</f>
        <v>0</v>
      </c>
      <c r="BG47" s="5">
        <f>IF($E47&gt;=BG$2,VLOOKUP($E47-BG$2,'data input'!$D$3:$E$130,2,FALSE),0)</f>
        <v>0</v>
      </c>
      <c r="BH47" s="5">
        <f>IF($E47&gt;=BH$2,VLOOKUP($E47-BH$2,'data input'!$D$3:$E$130,2,FALSE),0)</f>
        <v>0</v>
      </c>
      <c r="BI47" s="5">
        <f>IF($E47&gt;=BI$2,VLOOKUP($E47-BI$2,'data input'!$D$3:$E$130,2,FALSE),0)</f>
        <v>0</v>
      </c>
      <c r="BJ47" s="5">
        <f>IF($E47&gt;=BJ$2,VLOOKUP($E47-BJ$2,'data input'!$D$3:$E$130,2,FALSE),0)</f>
        <v>0</v>
      </c>
      <c r="BK47" s="5">
        <f>IF($E47&gt;=BK$2,VLOOKUP($E47-BK$2,'data input'!$D$3:$E$130,2,FALSE),0)</f>
        <v>0</v>
      </c>
      <c r="BL47" s="5">
        <f>IF($E47&gt;=BL$2,VLOOKUP($E47-BL$2,'data input'!$D$3:$E$130,2,FALSE),0)</f>
        <v>0</v>
      </c>
      <c r="BM47" s="5">
        <f>IF($E47&gt;=BM$2,VLOOKUP($E47-BM$2,'data input'!$D$3:$E$130,2,FALSE),0)</f>
        <v>0</v>
      </c>
      <c r="BN47" s="5">
        <f>IF($E47&gt;=BN$2,VLOOKUP($E47-BN$2,'data input'!$D$3:$E$130,2,FALSE),0)</f>
        <v>0</v>
      </c>
      <c r="BO47" s="5">
        <f>IF($E47&gt;=BO$2,VLOOKUP($E47-BO$2,'data input'!$D$3:$E$130,2,FALSE),0)</f>
        <v>0</v>
      </c>
      <c r="BP47" s="5">
        <f>IF($E47&gt;=BP$2,VLOOKUP($E47-BP$2,'data input'!$D$3:$E$130,2,FALSE),0)</f>
        <v>0</v>
      </c>
      <c r="BQ47" s="5">
        <f>IF($E47&gt;=BQ$2,VLOOKUP($E47-BQ$2,'data input'!$D$3:$E$130,2,FALSE),0)</f>
        <v>0</v>
      </c>
      <c r="BR47" s="5">
        <f>IF($E47&gt;=BR$2,VLOOKUP($E47-BR$2,'data input'!$D$3:$E$130,2,FALSE),0)</f>
        <v>0</v>
      </c>
      <c r="BS47" s="5">
        <f>IF($E47&gt;=BS$2,VLOOKUP($E47-BS$2,'data input'!$D$3:$E$130,2,FALSE),0)</f>
        <v>0</v>
      </c>
      <c r="BT47" s="5">
        <f>IF($E47&gt;=BT$2,VLOOKUP($E47-BT$2,'data input'!$D$3:$E$130,2,FALSE),0)</f>
        <v>0</v>
      </c>
      <c r="BU47" s="5">
        <f>IF($E47&gt;=BU$2,VLOOKUP($E47-BU$2,'data input'!$D$3:$E$130,2,FALSE),0)</f>
        <v>0</v>
      </c>
      <c r="BV47" s="5">
        <f>IF($E47&gt;=BV$2,VLOOKUP($E47-BV$2,'data input'!$D$3:$E$130,2,FALSE),0)</f>
        <v>0</v>
      </c>
      <c r="BW47" s="5">
        <f>IF($E47&gt;=BW$2,VLOOKUP($E47-BW$2,'data input'!$D$3:$E$130,2,FALSE),0)</f>
        <v>0</v>
      </c>
      <c r="BX47" s="5">
        <f>IF($E47&gt;=BX$2,VLOOKUP($E47-BX$2,'data input'!$D$3:$E$130,2,FALSE),0)</f>
        <v>0</v>
      </c>
      <c r="BY47" s="5">
        <f>IF($E47&gt;=BY$2,VLOOKUP($E47-BY$2,'data input'!$D$3:$E$130,2,FALSE),0)</f>
        <v>0</v>
      </c>
      <c r="BZ47" s="5">
        <f>IF($E47&gt;=BZ$2,VLOOKUP($E47-BZ$2,'data input'!$D$3:$E$130,2,FALSE),0)</f>
        <v>0</v>
      </c>
      <c r="CA47" s="5">
        <f>IF($E47&gt;=CA$2,VLOOKUP($E47-CA$2,'data input'!$D$3:$E$130,2,FALSE),0)</f>
        <v>0</v>
      </c>
      <c r="CB47" s="5">
        <f>IF($E47&gt;=CB$2,VLOOKUP($E47-CB$2,'data input'!$D$3:$E$130,2,FALSE),0)</f>
        <v>0</v>
      </c>
      <c r="CC47" s="5">
        <f>IF($E47&gt;=CC$2,VLOOKUP($E47-CC$2,'data input'!$D$3:$E$130,2,FALSE),0)</f>
        <v>0</v>
      </c>
      <c r="CD47" s="5">
        <f>IF($E47&gt;=CD$2,VLOOKUP($E47-CD$2,'data input'!$D$3:$E$130,2,FALSE),0)</f>
        <v>0</v>
      </c>
      <c r="CE47" s="5">
        <f>IF($E47&gt;=CE$2,VLOOKUP($E47-CE$2,'data input'!$D$3:$E$130,2,FALSE),0)</f>
        <v>0</v>
      </c>
      <c r="CF47" s="5">
        <f>IF($E47&gt;=CF$2,VLOOKUP($E47-CF$2,'data input'!$D$3:$E$130,2,FALSE),0)</f>
        <v>0</v>
      </c>
      <c r="CG47" s="5">
        <f>IF($E47&gt;=CG$2,VLOOKUP($E47-CG$2,'data input'!$D$3:$E$130,2,FALSE),0)</f>
        <v>0</v>
      </c>
      <c r="CH47" s="5">
        <f>IF($E47&gt;=CH$2,VLOOKUP($E47-CH$2,'data input'!$D$3:$E$130,2,FALSE),0)</f>
        <v>0</v>
      </c>
      <c r="CI47" s="5">
        <f>IF($E47&gt;=CI$2,VLOOKUP($E47-CI$2,'data input'!$D$3:$E$130,2,FALSE),0)</f>
        <v>0</v>
      </c>
      <c r="CJ47" s="5">
        <f>IF($E47&gt;=CJ$2,VLOOKUP($E47-CJ$2,'data input'!$D$3:$E$130,2,FALSE),0)</f>
        <v>0</v>
      </c>
      <c r="CK47" s="5">
        <f>IF($E47&gt;=CK$2,VLOOKUP($E47-CK$2,'data input'!$D$3:$E$130,2,FALSE),0)</f>
        <v>0</v>
      </c>
      <c r="CL47" s="5">
        <f>IF($E47&gt;=CL$2,VLOOKUP($E47-CL$2,'data input'!$D$3:$E$130,2,FALSE),0)</f>
        <v>0</v>
      </c>
      <c r="CM47" s="5">
        <f>IF($E47&gt;=CM$2,VLOOKUP($E47-CM$2,'data input'!$D$3:$E$130,2,FALSE),0)</f>
        <v>0</v>
      </c>
      <c r="CN47" s="5">
        <f>IF($E47&gt;=CN$2,VLOOKUP($E47-CN$2,'data input'!$D$3:$E$130,2,FALSE),0)</f>
        <v>0</v>
      </c>
      <c r="CO47" s="5">
        <f>IF($E47&gt;=CO$2,VLOOKUP($E47-CO$2,'data input'!$D$3:$E$130,2,FALSE),0)</f>
        <v>0</v>
      </c>
      <c r="CP47" s="5">
        <f>IF($E47&gt;=CP$2,VLOOKUP($E47-CP$2,'data input'!$D$3:$E$130,2,FALSE),0)</f>
        <v>0</v>
      </c>
      <c r="CQ47" s="5">
        <f>IF($E47&gt;=CQ$2,VLOOKUP($E47-CQ$2,'data input'!$D$3:$E$130,2,FALSE),0)</f>
        <v>0</v>
      </c>
      <c r="CR47" s="5">
        <f>IF($E47&gt;=CR$2,VLOOKUP($E47-CR$2,'data input'!$D$3:$E$130,2,FALSE),0)</f>
        <v>0</v>
      </c>
      <c r="CS47" s="5">
        <f>IF($E47&gt;=CS$2,VLOOKUP($E47-CS$2,'data input'!$D$3:$E$130,2,FALSE),0)</f>
        <v>0</v>
      </c>
      <c r="CT47" s="5">
        <f>IF($E47&gt;=CT$2,VLOOKUP($E47-CT$2,'data input'!$D$3:$E$130,2,FALSE),0)</f>
        <v>0</v>
      </c>
      <c r="CU47" s="5">
        <f>IF($E47&gt;=CU$2,VLOOKUP($E47-CU$2,'data input'!$D$3:$E$130,2,FALSE),0)</f>
        <v>0</v>
      </c>
      <c r="CV47" s="5">
        <f>IF($E47&gt;=CV$2,VLOOKUP($E47-CV$2,'data input'!$D$3:$E$130,2,FALSE),0)</f>
        <v>0</v>
      </c>
      <c r="CW47" s="5">
        <f>IF($E47&gt;=CW$2,VLOOKUP($E47-CW$2,'data input'!$D$3:$E$130,2,FALSE),0)</f>
        <v>0</v>
      </c>
      <c r="CX47" s="5">
        <f>IF($E47&gt;=CX$2,VLOOKUP($E47-CX$2,'data input'!$D$3:$E$130,2,FALSE),0)</f>
        <v>0</v>
      </c>
      <c r="CY47" s="5">
        <f>IF($E47&gt;=CY$2,VLOOKUP($E47-CY$2,'data input'!$D$3:$E$130,2,FALSE),0)</f>
        <v>0</v>
      </c>
      <c r="CZ47" s="5">
        <f>IF($E47&gt;=CZ$2,VLOOKUP($E47-CZ$2,'data input'!$D$3:$E$130,2,FALSE),0)</f>
        <v>0</v>
      </c>
      <c r="DA47" s="5">
        <f>IF($E47&gt;=DA$2,VLOOKUP($E47-DA$2,'data input'!$D$3:$E$130,2,FALSE),0)</f>
        <v>0</v>
      </c>
      <c r="DB47" s="5">
        <f>IF($E47&gt;=DB$2,VLOOKUP($E47-DB$2,'data input'!$D$3:$E$130,2,FALSE),0)</f>
        <v>0</v>
      </c>
      <c r="DC47" s="5">
        <f>IF($E47&gt;=DC$2,VLOOKUP($E47-DC$2,'data input'!$D$3:$E$130,2,FALSE),0)</f>
        <v>0</v>
      </c>
      <c r="DD47" s="5">
        <f>IF($E47&gt;=DD$2,VLOOKUP($E47-DD$2,'data input'!$D$3:$E$130,2,FALSE),0)</f>
        <v>0</v>
      </c>
      <c r="DE47" s="5">
        <f>IF($E47&gt;=DE$2,VLOOKUP($E47-DE$2,'data input'!$D$3:$E$130,2,FALSE),0)</f>
        <v>0</v>
      </c>
      <c r="DF47" s="5">
        <f>IF($E47&gt;=DF$2,VLOOKUP($E47-DF$2,'data input'!$D$3:$E$130,2,FALSE),0)</f>
        <v>0</v>
      </c>
      <c r="DG47" s="5">
        <f>IF($E47&gt;=DG$2,VLOOKUP($E47-DG$2,'data input'!$D$3:$E$130,2,FALSE),0)</f>
        <v>0</v>
      </c>
      <c r="DH47" s="5">
        <f>IF($E47&gt;=DH$2,VLOOKUP($E47-DH$2,'data input'!$D$3:$E$130,2,FALSE),0)</f>
        <v>0</v>
      </c>
      <c r="DI47" s="5">
        <f>IF($E47&gt;=DI$2,VLOOKUP($E47-DI$2,'data input'!$D$3:$E$130,2,FALSE),0)</f>
        <v>0</v>
      </c>
      <c r="DJ47" s="5">
        <f>IF($E47&gt;=DJ$2,VLOOKUP($E47-DJ$2,'data input'!$D$3:$E$130,2,FALSE),0)</f>
        <v>0</v>
      </c>
      <c r="DK47" s="5">
        <f>IF($E47&gt;=DK$2,VLOOKUP($E47-DK$2,'data input'!$D$3:$E$130,2,FALSE),0)</f>
        <v>0</v>
      </c>
      <c r="DL47" s="5">
        <f>IF($E47&gt;=DL$2,VLOOKUP($E47-DL$2,'data input'!$D$3:$E$130,2,FALSE),0)</f>
        <v>0</v>
      </c>
      <c r="DM47" s="5">
        <f>IF($E47&gt;=DM$2,VLOOKUP($E47-DM$2,'data input'!$D$3:$E$130,2,FALSE),0)</f>
        <v>0</v>
      </c>
      <c r="DN47" s="5">
        <f>IF($E47&gt;=DN$2,VLOOKUP($E47-DN$2,'data input'!$D$3:$E$130,2,FALSE),0)</f>
        <v>0</v>
      </c>
      <c r="DO47" s="5">
        <f>IF($E47&gt;=DO$2,VLOOKUP($E47-DO$2,'data input'!$D$3:$E$130,2,FALSE),0)</f>
        <v>0</v>
      </c>
      <c r="DP47" s="5">
        <f>IF($E47&gt;=DP$2,VLOOKUP($E47-DP$2,'data input'!$D$3:$E$130,2,FALSE),0)</f>
        <v>0</v>
      </c>
      <c r="DQ47" s="5">
        <f>IF($E47&gt;=DQ$2,VLOOKUP($E47-DQ$2,'data input'!$D$3:$E$130,2,FALSE),0)</f>
        <v>0</v>
      </c>
      <c r="DR47" s="5">
        <f>IF($E47&gt;=DR$2,VLOOKUP($E47-DR$2,'data input'!$D$3:$E$130,2,FALSE),0)</f>
        <v>0</v>
      </c>
      <c r="DS47" s="5">
        <f>IF($E47&gt;=DS$2,VLOOKUP($E47-DS$2,'data input'!$D$3:$E$130,2,FALSE),0)</f>
        <v>0</v>
      </c>
      <c r="DT47" s="5">
        <f>IF($E47&gt;=DT$2,VLOOKUP($E47-DT$2,'data input'!$D$3:$E$130,2,FALSE),0)</f>
        <v>0</v>
      </c>
      <c r="DU47" s="5">
        <f>IF($E47&gt;=DU$2,VLOOKUP($E47-DU$2,'data input'!$D$3:$E$130,2,FALSE),0)</f>
        <v>0</v>
      </c>
      <c r="DV47" s="5">
        <f>IF($E47&gt;=DV$2,VLOOKUP($E47-DV$2,'data input'!$D$3:$E$130,2,FALSE),0)</f>
        <v>0</v>
      </c>
      <c r="DW47" s="5">
        <f>IF($E47&gt;=DW$2,VLOOKUP($E47-DW$2,'data input'!$D$3:$E$130,2,FALSE),0)</f>
        <v>0</v>
      </c>
      <c r="DX47" s="5">
        <f>IF($E47&gt;=DX$2,VLOOKUP($E47-DX$2,'data input'!$D$3:$E$130,2,FALSE),0)</f>
        <v>0</v>
      </c>
      <c r="DY47" s="5">
        <f>IF($E47&gt;=DY$2,VLOOKUP($E47-DY$2,'data input'!$D$3:$E$130,2,FALSE),0)</f>
        <v>0</v>
      </c>
      <c r="DZ47" s="5">
        <f>IF($E47&gt;=DZ$2,VLOOKUP($E47-DZ$2,'data input'!$D$3:$E$130,2,FALSE),0)</f>
        <v>0</v>
      </c>
      <c r="EA47" s="5">
        <f>IF($E47&gt;=EA$2,VLOOKUP($E47-EA$2,'data input'!$D$3:$E$130,2,FALSE),0)</f>
        <v>0</v>
      </c>
      <c r="EB47" s="5">
        <f>IF($E47&gt;=EB$2,VLOOKUP($E47-EB$2,'data input'!$D$3:$E$130,2,FALSE),0)</f>
        <v>0</v>
      </c>
      <c r="EC47" s="5">
        <f>IF($E47&gt;=EC$2,VLOOKUP($E47-EC$2,'data input'!$D$3:$E$130,2,FALSE),0)</f>
        <v>0</v>
      </c>
    </row>
    <row r="48" spans="5:133">
      <c r="E48" s="7">
        <f>'data input'!B48</f>
        <v>1923</v>
      </c>
      <c r="F48" s="5">
        <f>IF($E48&gt;=F$2,VLOOKUP($E48-F$2,'data input'!$D$3:$E$130,2,FALSE),0)</f>
        <v>0.35383023332727614</v>
      </c>
      <c r="G48" s="5">
        <f>IF($E48&gt;=G$2,VLOOKUP($E48-G$2,'data input'!$D$3:$E$130,2,FALSE),0)</f>
        <v>0.38208857781104733</v>
      </c>
      <c r="H48" s="5">
        <f>IF($E48&gt;=H$2,VLOOKUP($E48-H$2,'data input'!$D$3:$E$130,2,FALSE),0)</f>
        <v>0.41098963713127035</v>
      </c>
      <c r="I48" s="5">
        <f>IF($E48&gt;=I$2,VLOOKUP($E48-I$2,'data input'!$D$3:$E$130,2,FALSE),0)</f>
        <v>0.4403823076297575</v>
      </c>
      <c r="J48" s="5">
        <f>IF($E48&gt;=J$2,VLOOKUP($E48-J$2,'data input'!$D$3:$E$130,2,FALSE),0)</f>
        <v>0.47010735594710518</v>
      </c>
      <c r="K48" s="5">
        <f>IF($E48&gt;=K$2,VLOOKUP($E48-K$2,'data input'!$D$3:$E$130,2,FALSE),0)</f>
        <v>0.5</v>
      </c>
      <c r="L48" s="5">
        <f>IF($E48&gt;=L$2,VLOOKUP($E48-L$2,'data input'!$D$3:$E$130,2,FALSE),0)</f>
        <v>0.52989264405289482</v>
      </c>
      <c r="M48" s="5">
        <f>IF($E48&gt;=M$2,VLOOKUP($E48-M$2,'data input'!$D$3:$E$130,2,FALSE),0)</f>
        <v>0.5596176923702425</v>
      </c>
      <c r="N48" s="5">
        <f>IF($E48&gt;=N$2,VLOOKUP($E48-N$2,'data input'!$D$3:$E$130,2,FALSE),0)</f>
        <v>0.58901036286872965</v>
      </c>
      <c r="O48" s="5">
        <f>IF($E48&gt;=O$2,VLOOKUP($E48-O$2,'data input'!$D$3:$E$130,2,FALSE),0)</f>
        <v>0.61791142218895267</v>
      </c>
      <c r="P48" s="5">
        <f>IF($E48&gt;=P$2,VLOOKUP($E48-P$2,'data input'!$D$3:$E$130,2,FALSE),0)</f>
        <v>0.64616976667272386</v>
      </c>
      <c r="Q48" s="5">
        <f>IF($E48&gt;=Q$2,VLOOKUP($E48-Q$2,'data input'!$D$3:$E$130,2,FALSE),0)</f>
        <v>0.67364477971207992</v>
      </c>
      <c r="R48" s="5">
        <f>IF($E48&gt;=R$2,VLOOKUP($E48-R$2,'data input'!$D$3:$E$130,2,FALSE),0)</f>
        <v>0.70020840453130417</v>
      </c>
      <c r="S48" s="5">
        <f>IF($E48&gt;=S$2,VLOOKUP($E48-S$2,'data input'!$D$3:$E$130,2,FALSE),0)</f>
        <v>0.72574688224992645</v>
      </c>
      <c r="T48" s="5">
        <f>IF($E48&gt;=T$2,VLOOKUP($E48-T$2,'data input'!$D$3:$E$130,2,FALSE),0)</f>
        <v>0.75016211752822304</v>
      </c>
      <c r="U48" s="5">
        <f>IF($E48&gt;=U$2,VLOOKUP($E48-U$2,'data input'!$D$3:$E$130,2,FALSE),0)</f>
        <v>0.77337264762313174</v>
      </c>
      <c r="V48" s="5">
        <f>IF($E48&gt;=V$2,VLOOKUP($E48-V$2,'data input'!$D$3:$E$130,2,FALSE),0)</f>
        <v>0.79531420465274738</v>
      </c>
      <c r="W48" s="5">
        <f>IF($E48&gt;=W$2,VLOOKUP($E48-W$2,'data input'!$D$3:$E$130,2,FALSE),0)</f>
        <v>0.81593987465324047</v>
      </c>
      <c r="X48" s="5">
        <f>IF($E48&gt;=X$2,VLOOKUP($E48-X$2,'data input'!$D$3:$E$130,2,FALSE),0)</f>
        <v>0.83521987001968967</v>
      </c>
      <c r="Y48" s="5">
        <f>IF($E48&gt;=Y$2,VLOOKUP($E48-Y$2,'data input'!$D$3:$E$130,2,FALSE),0)</f>
        <v>0.85314094362410409</v>
      </c>
      <c r="Z48" s="5">
        <f>IF($E48&gt;=Z$2,VLOOKUP($E48-Z$2,'data input'!$D$3:$E$130,2,FALSE),0)</f>
        <v>0.86970548286319116</v>
      </c>
      <c r="AA48" s="5">
        <f>IF($E48&gt;=AA$2,VLOOKUP($E48-AA$2,'data input'!$D$3:$E$130,2,FALSE),0)</f>
        <v>0.88493032977829178</v>
      </c>
      <c r="AB48" s="5">
        <f>IF($E48&gt;=AB$2,VLOOKUP($E48-AB$2,'data input'!$D$3:$E$130,2,FALSE),0)</f>
        <v>0.89884537900441408</v>
      </c>
      <c r="AC48" s="5">
        <f>IF($E48&gt;=AC$2,VLOOKUP($E48-AC$2,'data input'!$D$3:$E$130,2,FALSE),0)</f>
        <v>0.91149200856259793</v>
      </c>
      <c r="AD48" s="5">
        <f>IF($E48&gt;=AD$2,VLOOKUP($E48-AD$2,'data input'!$D$3:$E$130,2,FALSE),0)</f>
        <v>0.92292139944792817</v>
      </c>
      <c r="AE48" s="5">
        <f>IF($E48&gt;=AE$2,VLOOKUP($E48-AE$2,'data input'!$D$3:$E$130,2,FALSE),0)</f>
        <v>0.93319279873114191</v>
      </c>
      <c r="AF48" s="5">
        <f>IF($E48&gt;=AF$2,VLOOKUP($E48-AF$2,'data input'!$D$3:$E$130,2,FALSE),0)</f>
        <v>0.94237177772384684</v>
      </c>
      <c r="AG48" s="5">
        <f>IF($E48&gt;=AG$2,VLOOKUP($E48-AG$2,'data input'!$D$3:$E$130,2,FALSE),0)</f>
        <v>0.9505285319663519</v>
      </c>
      <c r="AH48" s="5">
        <f>IF($E48&gt;=AH$2,VLOOKUP($E48-AH$2,'data input'!$D$3:$E$130,2,FALSE),0)</f>
        <v>0.95773626374204757</v>
      </c>
      <c r="AI48" s="5">
        <f>IF($E48&gt;=AI$2,VLOOKUP($E48-AI$2,'data input'!$D$3:$E$130,2,FALSE),0)</f>
        <v>0.96406968088707423</v>
      </c>
      <c r="AJ48" s="5">
        <f>IF($E48&gt;=AJ$2,VLOOKUP($E48-AJ$2,'data input'!$D$3:$E$130,2,FALSE),0)</f>
        <v>0.96960363823473861</v>
      </c>
      <c r="AK48" s="5">
        <f>IF($E48&gt;=AK$2,VLOOKUP($E48-AK$2,'data input'!$D$3:$E$130,2,FALSE),0)</f>
        <v>0.97441194047836144</v>
      </c>
      <c r="AL48" s="5">
        <f>IF($E48&gt;=AL$2,VLOOKUP($E48-AL$2,'data input'!$D$3:$E$130,2,FALSE),0)</f>
        <v>0.97856631788584703</v>
      </c>
      <c r="AM48" s="5">
        <f>IF($E48&gt;=AM$2,VLOOKUP($E48-AM$2,'data input'!$D$3:$E$130,2,FALSE),0)</f>
        <v>0.98213557943718344</v>
      </c>
      <c r="AN48" s="5">
        <f>IF($E48&gt;=AN$2,VLOOKUP($E48-AN$2,'data input'!$D$3:$E$130,2,FALSE),0)</f>
        <v>0.98518494180739014</v>
      </c>
      <c r="AO48" s="5">
        <f>IF($E48&gt;=AO$2,VLOOKUP($E48-AO$2,'data input'!$D$3:$E$130,2,FALSE),0)</f>
        <v>0.98777552734495533</v>
      </c>
      <c r="AP48" s="5">
        <f>IF($E48&gt;=AP$2,VLOOKUP($E48-AP$2,'data input'!$D$3:$E$130,2,FALSE),0)</f>
        <v>0.98996401989972593</v>
      </c>
      <c r="AQ48" s="5">
        <f>IF($E48&gt;=AQ$2,VLOOKUP($E48-AQ$2,'data input'!$D$3:$E$130,2,FALSE),0)</f>
        <v>0.99180246407540384</v>
      </c>
      <c r="AR48" s="5">
        <f>IF($E48&gt;=AR$2,VLOOKUP($E48-AR$2,'data input'!$D$3:$E$130,2,FALSE),0)</f>
        <v>0.99333819120801725</v>
      </c>
      <c r="AS48" s="5">
        <f>IF($E48&gt;=AS$2,VLOOKUP($E48-AS$2,'data input'!$D$3:$E$130,2,FALSE),0)</f>
        <v>0.99461385404593328</v>
      </c>
      <c r="AT48" s="5">
        <f>IF($E48&gt;=AT$2,VLOOKUP($E48-AT$2,'data input'!$D$3:$E$130,2,FALSE),0)</f>
        <v>0.99566755163698739</v>
      </c>
      <c r="AU48" s="5">
        <f>IF($E48&gt;=AU$2,VLOOKUP($E48-AU$2,'data input'!$D$3:$E$130,2,FALSE),0)</f>
        <v>0.99653302619695938</v>
      </c>
      <c r="AV48" s="5">
        <f>IF($E48&gt;=AV$2,VLOOKUP($E48-AV$2,'data input'!$D$3:$E$130,2,FALSE),0)</f>
        <v>0.99723991460873751</v>
      </c>
      <c r="AW48" s="5">
        <f>IF($E48&gt;=AW$2,VLOOKUP($E48-AW$2,'data input'!$D$3:$E$130,2,FALSE),0)</f>
        <v>0.99781403854508677</v>
      </c>
      <c r="AX48" s="5">
        <f>IF($E48&gt;=AX$2,VLOOKUP($E48-AX$2,'data input'!$D$3:$E$130,2,FALSE),0)</f>
        <v>0.99827771888413241</v>
      </c>
      <c r="AY48" s="5">
        <f>IF($E48&gt;=AY$2,VLOOKUP($E48-AY$2,'data input'!$D$3:$E$130,2,FALSE),0)</f>
        <v>0.9986501019683699</v>
      </c>
      <c r="AZ48" s="5">
        <f>IF($E48&gt;=AZ$2,VLOOKUP($E48-AZ$2,'data input'!$D$3:$E$130,2,FALSE),0)</f>
        <v>0</v>
      </c>
      <c r="BA48" s="5">
        <f>IF($E48&gt;=BA$2,VLOOKUP($E48-BA$2,'data input'!$D$3:$E$130,2,FALSE),0)</f>
        <v>0</v>
      </c>
      <c r="BB48" s="5">
        <f>IF($E48&gt;=BB$2,VLOOKUP($E48-BB$2,'data input'!$D$3:$E$130,2,FALSE),0)</f>
        <v>0</v>
      </c>
      <c r="BC48" s="5">
        <f>IF($E48&gt;=BC$2,VLOOKUP($E48-BC$2,'data input'!$D$3:$E$130,2,FALSE),0)</f>
        <v>0</v>
      </c>
      <c r="BD48" s="5">
        <f>IF($E48&gt;=BD$2,VLOOKUP($E48-BD$2,'data input'!$D$3:$E$130,2,FALSE),0)</f>
        <v>0</v>
      </c>
      <c r="BE48" s="5">
        <f>IF($E48&gt;=BE$2,VLOOKUP($E48-BE$2,'data input'!$D$3:$E$130,2,FALSE),0)</f>
        <v>0</v>
      </c>
      <c r="BF48" s="5">
        <f>IF($E48&gt;=BF$2,VLOOKUP($E48-BF$2,'data input'!$D$3:$E$130,2,FALSE),0)</f>
        <v>0</v>
      </c>
      <c r="BG48" s="5">
        <f>IF($E48&gt;=BG$2,VLOOKUP($E48-BG$2,'data input'!$D$3:$E$130,2,FALSE),0)</f>
        <v>0</v>
      </c>
      <c r="BH48" s="5">
        <f>IF($E48&gt;=BH$2,VLOOKUP($E48-BH$2,'data input'!$D$3:$E$130,2,FALSE),0)</f>
        <v>0</v>
      </c>
      <c r="BI48" s="5">
        <f>IF($E48&gt;=BI$2,VLOOKUP($E48-BI$2,'data input'!$D$3:$E$130,2,FALSE),0)</f>
        <v>0</v>
      </c>
      <c r="BJ48" s="5">
        <f>IF($E48&gt;=BJ$2,VLOOKUP($E48-BJ$2,'data input'!$D$3:$E$130,2,FALSE),0)</f>
        <v>0</v>
      </c>
      <c r="BK48" s="5">
        <f>IF($E48&gt;=BK$2,VLOOKUP($E48-BK$2,'data input'!$D$3:$E$130,2,FALSE),0)</f>
        <v>0</v>
      </c>
      <c r="BL48" s="5">
        <f>IF($E48&gt;=BL$2,VLOOKUP($E48-BL$2,'data input'!$D$3:$E$130,2,FALSE),0)</f>
        <v>0</v>
      </c>
      <c r="BM48" s="5">
        <f>IF($E48&gt;=BM$2,VLOOKUP($E48-BM$2,'data input'!$D$3:$E$130,2,FALSE),0)</f>
        <v>0</v>
      </c>
      <c r="BN48" s="5">
        <f>IF($E48&gt;=BN$2,VLOOKUP($E48-BN$2,'data input'!$D$3:$E$130,2,FALSE),0)</f>
        <v>0</v>
      </c>
      <c r="BO48" s="5">
        <f>IF($E48&gt;=BO$2,VLOOKUP($E48-BO$2,'data input'!$D$3:$E$130,2,FALSE),0)</f>
        <v>0</v>
      </c>
      <c r="BP48" s="5">
        <f>IF($E48&gt;=BP$2,VLOOKUP($E48-BP$2,'data input'!$D$3:$E$130,2,FALSE),0)</f>
        <v>0</v>
      </c>
      <c r="BQ48" s="5">
        <f>IF($E48&gt;=BQ$2,VLOOKUP($E48-BQ$2,'data input'!$D$3:$E$130,2,FALSE),0)</f>
        <v>0</v>
      </c>
      <c r="BR48" s="5">
        <f>IF($E48&gt;=BR$2,VLOOKUP($E48-BR$2,'data input'!$D$3:$E$130,2,FALSE),0)</f>
        <v>0</v>
      </c>
      <c r="BS48" s="5">
        <f>IF($E48&gt;=BS$2,VLOOKUP($E48-BS$2,'data input'!$D$3:$E$130,2,FALSE),0)</f>
        <v>0</v>
      </c>
      <c r="BT48" s="5">
        <f>IF($E48&gt;=BT$2,VLOOKUP($E48-BT$2,'data input'!$D$3:$E$130,2,FALSE),0)</f>
        <v>0</v>
      </c>
      <c r="BU48" s="5">
        <f>IF($E48&gt;=BU$2,VLOOKUP($E48-BU$2,'data input'!$D$3:$E$130,2,FALSE),0)</f>
        <v>0</v>
      </c>
      <c r="BV48" s="5">
        <f>IF($E48&gt;=BV$2,VLOOKUP($E48-BV$2,'data input'!$D$3:$E$130,2,FALSE),0)</f>
        <v>0</v>
      </c>
      <c r="BW48" s="5">
        <f>IF($E48&gt;=BW$2,VLOOKUP($E48-BW$2,'data input'!$D$3:$E$130,2,FALSE),0)</f>
        <v>0</v>
      </c>
      <c r="BX48" s="5">
        <f>IF($E48&gt;=BX$2,VLOOKUP($E48-BX$2,'data input'!$D$3:$E$130,2,FALSE),0)</f>
        <v>0</v>
      </c>
      <c r="BY48" s="5">
        <f>IF($E48&gt;=BY$2,VLOOKUP($E48-BY$2,'data input'!$D$3:$E$130,2,FALSE),0)</f>
        <v>0</v>
      </c>
      <c r="BZ48" s="5">
        <f>IF($E48&gt;=BZ$2,VLOOKUP($E48-BZ$2,'data input'!$D$3:$E$130,2,FALSE),0)</f>
        <v>0</v>
      </c>
      <c r="CA48" s="5">
        <f>IF($E48&gt;=CA$2,VLOOKUP($E48-CA$2,'data input'!$D$3:$E$130,2,FALSE),0)</f>
        <v>0</v>
      </c>
      <c r="CB48" s="5">
        <f>IF($E48&gt;=CB$2,VLOOKUP($E48-CB$2,'data input'!$D$3:$E$130,2,FALSE),0)</f>
        <v>0</v>
      </c>
      <c r="CC48" s="5">
        <f>IF($E48&gt;=CC$2,VLOOKUP($E48-CC$2,'data input'!$D$3:$E$130,2,FALSE),0)</f>
        <v>0</v>
      </c>
      <c r="CD48" s="5">
        <f>IF($E48&gt;=CD$2,VLOOKUP($E48-CD$2,'data input'!$D$3:$E$130,2,FALSE),0)</f>
        <v>0</v>
      </c>
      <c r="CE48" s="5">
        <f>IF($E48&gt;=CE$2,VLOOKUP($E48-CE$2,'data input'!$D$3:$E$130,2,FALSE),0)</f>
        <v>0</v>
      </c>
      <c r="CF48" s="5">
        <f>IF($E48&gt;=CF$2,VLOOKUP($E48-CF$2,'data input'!$D$3:$E$130,2,FALSE),0)</f>
        <v>0</v>
      </c>
      <c r="CG48" s="5">
        <f>IF($E48&gt;=CG$2,VLOOKUP($E48-CG$2,'data input'!$D$3:$E$130,2,FALSE),0)</f>
        <v>0</v>
      </c>
      <c r="CH48" s="5">
        <f>IF($E48&gt;=CH$2,VLOOKUP($E48-CH$2,'data input'!$D$3:$E$130,2,FALSE),0)</f>
        <v>0</v>
      </c>
      <c r="CI48" s="5">
        <f>IF($E48&gt;=CI$2,VLOOKUP($E48-CI$2,'data input'!$D$3:$E$130,2,FALSE),0)</f>
        <v>0</v>
      </c>
      <c r="CJ48" s="5">
        <f>IF($E48&gt;=CJ$2,VLOOKUP($E48-CJ$2,'data input'!$D$3:$E$130,2,FALSE),0)</f>
        <v>0</v>
      </c>
      <c r="CK48" s="5">
        <f>IF($E48&gt;=CK$2,VLOOKUP($E48-CK$2,'data input'!$D$3:$E$130,2,FALSE),0)</f>
        <v>0</v>
      </c>
      <c r="CL48" s="5">
        <f>IF($E48&gt;=CL$2,VLOOKUP($E48-CL$2,'data input'!$D$3:$E$130,2,FALSE),0)</f>
        <v>0</v>
      </c>
      <c r="CM48" s="5">
        <f>IF($E48&gt;=CM$2,VLOOKUP($E48-CM$2,'data input'!$D$3:$E$130,2,FALSE),0)</f>
        <v>0</v>
      </c>
      <c r="CN48" s="5">
        <f>IF($E48&gt;=CN$2,VLOOKUP($E48-CN$2,'data input'!$D$3:$E$130,2,FALSE),0)</f>
        <v>0</v>
      </c>
      <c r="CO48" s="5">
        <f>IF($E48&gt;=CO$2,VLOOKUP($E48-CO$2,'data input'!$D$3:$E$130,2,FALSE),0)</f>
        <v>0</v>
      </c>
      <c r="CP48" s="5">
        <f>IF($E48&gt;=CP$2,VLOOKUP($E48-CP$2,'data input'!$D$3:$E$130,2,FALSE),0)</f>
        <v>0</v>
      </c>
      <c r="CQ48" s="5">
        <f>IF($E48&gt;=CQ$2,VLOOKUP($E48-CQ$2,'data input'!$D$3:$E$130,2,FALSE),0)</f>
        <v>0</v>
      </c>
      <c r="CR48" s="5">
        <f>IF($E48&gt;=CR$2,VLOOKUP($E48-CR$2,'data input'!$D$3:$E$130,2,FALSE),0)</f>
        <v>0</v>
      </c>
      <c r="CS48" s="5">
        <f>IF($E48&gt;=CS$2,VLOOKUP($E48-CS$2,'data input'!$D$3:$E$130,2,FALSE),0)</f>
        <v>0</v>
      </c>
      <c r="CT48" s="5">
        <f>IF($E48&gt;=CT$2,VLOOKUP($E48-CT$2,'data input'!$D$3:$E$130,2,FALSE),0)</f>
        <v>0</v>
      </c>
      <c r="CU48" s="5">
        <f>IF($E48&gt;=CU$2,VLOOKUP($E48-CU$2,'data input'!$D$3:$E$130,2,FALSE),0)</f>
        <v>0</v>
      </c>
      <c r="CV48" s="5">
        <f>IF($E48&gt;=CV$2,VLOOKUP($E48-CV$2,'data input'!$D$3:$E$130,2,FALSE),0)</f>
        <v>0</v>
      </c>
      <c r="CW48" s="5">
        <f>IF($E48&gt;=CW$2,VLOOKUP($E48-CW$2,'data input'!$D$3:$E$130,2,FALSE),0)</f>
        <v>0</v>
      </c>
      <c r="CX48" s="5">
        <f>IF($E48&gt;=CX$2,VLOOKUP($E48-CX$2,'data input'!$D$3:$E$130,2,FALSE),0)</f>
        <v>0</v>
      </c>
      <c r="CY48" s="5">
        <f>IF($E48&gt;=CY$2,VLOOKUP($E48-CY$2,'data input'!$D$3:$E$130,2,FALSE),0)</f>
        <v>0</v>
      </c>
      <c r="CZ48" s="5">
        <f>IF($E48&gt;=CZ$2,VLOOKUP($E48-CZ$2,'data input'!$D$3:$E$130,2,FALSE),0)</f>
        <v>0</v>
      </c>
      <c r="DA48" s="5">
        <f>IF($E48&gt;=DA$2,VLOOKUP($E48-DA$2,'data input'!$D$3:$E$130,2,FALSE),0)</f>
        <v>0</v>
      </c>
      <c r="DB48" s="5">
        <f>IF($E48&gt;=DB$2,VLOOKUP($E48-DB$2,'data input'!$D$3:$E$130,2,FALSE),0)</f>
        <v>0</v>
      </c>
      <c r="DC48" s="5">
        <f>IF($E48&gt;=DC$2,VLOOKUP($E48-DC$2,'data input'!$D$3:$E$130,2,FALSE),0)</f>
        <v>0</v>
      </c>
      <c r="DD48" s="5">
        <f>IF($E48&gt;=DD$2,VLOOKUP($E48-DD$2,'data input'!$D$3:$E$130,2,FALSE),0)</f>
        <v>0</v>
      </c>
      <c r="DE48" s="5">
        <f>IF($E48&gt;=DE$2,VLOOKUP($E48-DE$2,'data input'!$D$3:$E$130,2,FALSE),0)</f>
        <v>0</v>
      </c>
      <c r="DF48" s="5">
        <f>IF($E48&gt;=DF$2,VLOOKUP($E48-DF$2,'data input'!$D$3:$E$130,2,FALSE),0)</f>
        <v>0</v>
      </c>
      <c r="DG48" s="5">
        <f>IF($E48&gt;=DG$2,VLOOKUP($E48-DG$2,'data input'!$D$3:$E$130,2,FALSE),0)</f>
        <v>0</v>
      </c>
      <c r="DH48" s="5">
        <f>IF($E48&gt;=DH$2,VLOOKUP($E48-DH$2,'data input'!$D$3:$E$130,2,FALSE),0)</f>
        <v>0</v>
      </c>
      <c r="DI48" s="5">
        <f>IF($E48&gt;=DI$2,VLOOKUP($E48-DI$2,'data input'!$D$3:$E$130,2,FALSE),0)</f>
        <v>0</v>
      </c>
      <c r="DJ48" s="5">
        <f>IF($E48&gt;=DJ$2,VLOOKUP($E48-DJ$2,'data input'!$D$3:$E$130,2,FALSE),0)</f>
        <v>0</v>
      </c>
      <c r="DK48" s="5">
        <f>IF($E48&gt;=DK$2,VLOOKUP($E48-DK$2,'data input'!$D$3:$E$130,2,FALSE),0)</f>
        <v>0</v>
      </c>
      <c r="DL48" s="5">
        <f>IF($E48&gt;=DL$2,VLOOKUP($E48-DL$2,'data input'!$D$3:$E$130,2,FALSE),0)</f>
        <v>0</v>
      </c>
      <c r="DM48" s="5">
        <f>IF($E48&gt;=DM$2,VLOOKUP($E48-DM$2,'data input'!$D$3:$E$130,2,FALSE),0)</f>
        <v>0</v>
      </c>
      <c r="DN48" s="5">
        <f>IF($E48&gt;=DN$2,VLOOKUP($E48-DN$2,'data input'!$D$3:$E$130,2,FALSE),0)</f>
        <v>0</v>
      </c>
      <c r="DO48" s="5">
        <f>IF($E48&gt;=DO$2,VLOOKUP($E48-DO$2,'data input'!$D$3:$E$130,2,FALSE),0)</f>
        <v>0</v>
      </c>
      <c r="DP48" s="5">
        <f>IF($E48&gt;=DP$2,VLOOKUP($E48-DP$2,'data input'!$D$3:$E$130,2,FALSE),0)</f>
        <v>0</v>
      </c>
      <c r="DQ48" s="5">
        <f>IF($E48&gt;=DQ$2,VLOOKUP($E48-DQ$2,'data input'!$D$3:$E$130,2,FALSE),0)</f>
        <v>0</v>
      </c>
      <c r="DR48" s="5">
        <f>IF($E48&gt;=DR$2,VLOOKUP($E48-DR$2,'data input'!$D$3:$E$130,2,FALSE),0)</f>
        <v>0</v>
      </c>
      <c r="DS48" s="5">
        <f>IF($E48&gt;=DS$2,VLOOKUP($E48-DS$2,'data input'!$D$3:$E$130,2,FALSE),0)</f>
        <v>0</v>
      </c>
      <c r="DT48" s="5">
        <f>IF($E48&gt;=DT$2,VLOOKUP($E48-DT$2,'data input'!$D$3:$E$130,2,FALSE),0)</f>
        <v>0</v>
      </c>
      <c r="DU48" s="5">
        <f>IF($E48&gt;=DU$2,VLOOKUP($E48-DU$2,'data input'!$D$3:$E$130,2,FALSE),0)</f>
        <v>0</v>
      </c>
      <c r="DV48" s="5">
        <f>IF($E48&gt;=DV$2,VLOOKUP($E48-DV$2,'data input'!$D$3:$E$130,2,FALSE),0)</f>
        <v>0</v>
      </c>
      <c r="DW48" s="5">
        <f>IF($E48&gt;=DW$2,VLOOKUP($E48-DW$2,'data input'!$D$3:$E$130,2,FALSE),0)</f>
        <v>0</v>
      </c>
      <c r="DX48" s="5">
        <f>IF($E48&gt;=DX$2,VLOOKUP($E48-DX$2,'data input'!$D$3:$E$130,2,FALSE),0)</f>
        <v>0</v>
      </c>
      <c r="DY48" s="5">
        <f>IF($E48&gt;=DY$2,VLOOKUP($E48-DY$2,'data input'!$D$3:$E$130,2,FALSE),0)</f>
        <v>0</v>
      </c>
      <c r="DZ48" s="5">
        <f>IF($E48&gt;=DZ$2,VLOOKUP($E48-DZ$2,'data input'!$D$3:$E$130,2,FALSE),0)</f>
        <v>0</v>
      </c>
      <c r="EA48" s="5">
        <f>IF($E48&gt;=EA$2,VLOOKUP($E48-EA$2,'data input'!$D$3:$E$130,2,FALSE),0)</f>
        <v>0</v>
      </c>
      <c r="EB48" s="5">
        <f>IF($E48&gt;=EB$2,VLOOKUP($E48-EB$2,'data input'!$D$3:$E$130,2,FALSE),0)</f>
        <v>0</v>
      </c>
      <c r="EC48" s="5">
        <f>IF($E48&gt;=EC$2,VLOOKUP($E48-EC$2,'data input'!$D$3:$E$130,2,FALSE),0)</f>
        <v>0</v>
      </c>
    </row>
    <row r="49" spans="5:133">
      <c r="E49" s="7">
        <f>'data input'!B49</f>
        <v>1924</v>
      </c>
      <c r="F49" s="5">
        <f>IF($E49&gt;=F$2,VLOOKUP($E49-F$2,'data input'!$D$3:$E$130,2,FALSE),0)</f>
        <v>0.32635522028792008</v>
      </c>
      <c r="G49" s="5">
        <f>IF($E49&gt;=G$2,VLOOKUP($E49-G$2,'data input'!$D$3:$E$130,2,FALSE),0)</f>
        <v>0.35383023332727614</v>
      </c>
      <c r="H49" s="5">
        <f>IF($E49&gt;=H$2,VLOOKUP($E49-H$2,'data input'!$D$3:$E$130,2,FALSE),0)</f>
        <v>0.38208857781104733</v>
      </c>
      <c r="I49" s="5">
        <f>IF($E49&gt;=I$2,VLOOKUP($E49-I$2,'data input'!$D$3:$E$130,2,FALSE),0)</f>
        <v>0.41098963713127035</v>
      </c>
      <c r="J49" s="5">
        <f>IF($E49&gt;=J$2,VLOOKUP($E49-J$2,'data input'!$D$3:$E$130,2,FALSE),0)</f>
        <v>0.4403823076297575</v>
      </c>
      <c r="K49" s="5">
        <f>IF($E49&gt;=K$2,VLOOKUP($E49-K$2,'data input'!$D$3:$E$130,2,FALSE),0)</f>
        <v>0.47010735594710518</v>
      </c>
      <c r="L49" s="5">
        <f>IF($E49&gt;=L$2,VLOOKUP($E49-L$2,'data input'!$D$3:$E$130,2,FALSE),0)</f>
        <v>0.5</v>
      </c>
      <c r="M49" s="5">
        <f>IF($E49&gt;=M$2,VLOOKUP($E49-M$2,'data input'!$D$3:$E$130,2,FALSE),0)</f>
        <v>0.52989264405289482</v>
      </c>
      <c r="N49" s="5">
        <f>IF($E49&gt;=N$2,VLOOKUP($E49-N$2,'data input'!$D$3:$E$130,2,FALSE),0)</f>
        <v>0.5596176923702425</v>
      </c>
      <c r="O49" s="5">
        <f>IF($E49&gt;=O$2,VLOOKUP($E49-O$2,'data input'!$D$3:$E$130,2,FALSE),0)</f>
        <v>0.58901036286872965</v>
      </c>
      <c r="P49" s="5">
        <f>IF($E49&gt;=P$2,VLOOKUP($E49-P$2,'data input'!$D$3:$E$130,2,FALSE),0)</f>
        <v>0.61791142218895267</v>
      </c>
      <c r="Q49" s="5">
        <f>IF($E49&gt;=Q$2,VLOOKUP($E49-Q$2,'data input'!$D$3:$E$130,2,FALSE),0)</f>
        <v>0.64616976667272386</v>
      </c>
      <c r="R49" s="5">
        <f>IF($E49&gt;=R$2,VLOOKUP($E49-R$2,'data input'!$D$3:$E$130,2,FALSE),0)</f>
        <v>0.67364477971207992</v>
      </c>
      <c r="S49" s="5">
        <f>IF($E49&gt;=S$2,VLOOKUP($E49-S$2,'data input'!$D$3:$E$130,2,FALSE),0)</f>
        <v>0.70020840453130417</v>
      </c>
      <c r="T49" s="5">
        <f>IF($E49&gt;=T$2,VLOOKUP($E49-T$2,'data input'!$D$3:$E$130,2,FALSE),0)</f>
        <v>0.72574688224992645</v>
      </c>
      <c r="U49" s="5">
        <f>IF($E49&gt;=U$2,VLOOKUP($E49-U$2,'data input'!$D$3:$E$130,2,FALSE),0)</f>
        <v>0.75016211752822304</v>
      </c>
      <c r="V49" s="5">
        <f>IF($E49&gt;=V$2,VLOOKUP($E49-V$2,'data input'!$D$3:$E$130,2,FALSE),0)</f>
        <v>0.77337264762313174</v>
      </c>
      <c r="W49" s="5">
        <f>IF($E49&gt;=W$2,VLOOKUP($E49-W$2,'data input'!$D$3:$E$130,2,FALSE),0)</f>
        <v>0.79531420465274738</v>
      </c>
      <c r="X49" s="5">
        <f>IF($E49&gt;=X$2,VLOOKUP($E49-X$2,'data input'!$D$3:$E$130,2,FALSE),0)</f>
        <v>0.81593987465324047</v>
      </c>
      <c r="Y49" s="5">
        <f>IF($E49&gt;=Y$2,VLOOKUP($E49-Y$2,'data input'!$D$3:$E$130,2,FALSE),0)</f>
        <v>0.83521987001968967</v>
      </c>
      <c r="Z49" s="5">
        <f>IF($E49&gt;=Z$2,VLOOKUP($E49-Z$2,'data input'!$D$3:$E$130,2,FALSE),0)</f>
        <v>0.85314094362410409</v>
      </c>
      <c r="AA49" s="5">
        <f>IF($E49&gt;=AA$2,VLOOKUP($E49-AA$2,'data input'!$D$3:$E$130,2,FALSE),0)</f>
        <v>0.86970548286319116</v>
      </c>
      <c r="AB49" s="5">
        <f>IF($E49&gt;=AB$2,VLOOKUP($E49-AB$2,'data input'!$D$3:$E$130,2,FALSE),0)</f>
        <v>0.88493032977829178</v>
      </c>
      <c r="AC49" s="5">
        <f>IF($E49&gt;=AC$2,VLOOKUP($E49-AC$2,'data input'!$D$3:$E$130,2,FALSE),0)</f>
        <v>0.89884537900441408</v>
      </c>
      <c r="AD49" s="5">
        <f>IF($E49&gt;=AD$2,VLOOKUP($E49-AD$2,'data input'!$D$3:$E$130,2,FALSE),0)</f>
        <v>0.91149200856259793</v>
      </c>
      <c r="AE49" s="5">
        <f>IF($E49&gt;=AE$2,VLOOKUP($E49-AE$2,'data input'!$D$3:$E$130,2,FALSE),0)</f>
        <v>0.92292139944792817</v>
      </c>
      <c r="AF49" s="5">
        <f>IF($E49&gt;=AF$2,VLOOKUP($E49-AF$2,'data input'!$D$3:$E$130,2,FALSE),0)</f>
        <v>0.93319279873114191</v>
      </c>
      <c r="AG49" s="5">
        <f>IF($E49&gt;=AG$2,VLOOKUP($E49-AG$2,'data input'!$D$3:$E$130,2,FALSE),0)</f>
        <v>0.94237177772384684</v>
      </c>
      <c r="AH49" s="5">
        <f>IF($E49&gt;=AH$2,VLOOKUP($E49-AH$2,'data input'!$D$3:$E$130,2,FALSE),0)</f>
        <v>0.9505285319663519</v>
      </c>
      <c r="AI49" s="5">
        <f>IF($E49&gt;=AI$2,VLOOKUP($E49-AI$2,'data input'!$D$3:$E$130,2,FALSE),0)</f>
        <v>0.95773626374204757</v>
      </c>
      <c r="AJ49" s="5">
        <f>IF($E49&gt;=AJ$2,VLOOKUP($E49-AJ$2,'data input'!$D$3:$E$130,2,FALSE),0)</f>
        <v>0.96406968088707423</v>
      </c>
      <c r="AK49" s="5">
        <f>IF($E49&gt;=AK$2,VLOOKUP($E49-AK$2,'data input'!$D$3:$E$130,2,FALSE),0)</f>
        <v>0.96960363823473861</v>
      </c>
      <c r="AL49" s="5">
        <f>IF($E49&gt;=AL$2,VLOOKUP($E49-AL$2,'data input'!$D$3:$E$130,2,FALSE),0)</f>
        <v>0.97441194047836144</v>
      </c>
      <c r="AM49" s="5">
        <f>IF($E49&gt;=AM$2,VLOOKUP($E49-AM$2,'data input'!$D$3:$E$130,2,FALSE),0)</f>
        <v>0.97856631788584703</v>
      </c>
      <c r="AN49" s="5">
        <f>IF($E49&gt;=AN$2,VLOOKUP($E49-AN$2,'data input'!$D$3:$E$130,2,FALSE),0)</f>
        <v>0.98213557943718344</v>
      </c>
      <c r="AO49" s="5">
        <f>IF($E49&gt;=AO$2,VLOOKUP($E49-AO$2,'data input'!$D$3:$E$130,2,FALSE),0)</f>
        <v>0.98518494180739014</v>
      </c>
      <c r="AP49" s="5">
        <f>IF($E49&gt;=AP$2,VLOOKUP($E49-AP$2,'data input'!$D$3:$E$130,2,FALSE),0)</f>
        <v>0.98777552734495533</v>
      </c>
      <c r="AQ49" s="5">
        <f>IF($E49&gt;=AQ$2,VLOOKUP($E49-AQ$2,'data input'!$D$3:$E$130,2,FALSE),0)</f>
        <v>0.98996401989972593</v>
      </c>
      <c r="AR49" s="5">
        <f>IF($E49&gt;=AR$2,VLOOKUP($E49-AR$2,'data input'!$D$3:$E$130,2,FALSE),0)</f>
        <v>0.99180246407540384</v>
      </c>
      <c r="AS49" s="5">
        <f>IF($E49&gt;=AS$2,VLOOKUP($E49-AS$2,'data input'!$D$3:$E$130,2,FALSE),0)</f>
        <v>0.99333819120801725</v>
      </c>
      <c r="AT49" s="5">
        <f>IF($E49&gt;=AT$2,VLOOKUP($E49-AT$2,'data input'!$D$3:$E$130,2,FALSE),0)</f>
        <v>0.99461385404593328</v>
      </c>
      <c r="AU49" s="5">
        <f>IF($E49&gt;=AU$2,VLOOKUP($E49-AU$2,'data input'!$D$3:$E$130,2,FALSE),0)</f>
        <v>0.99566755163698739</v>
      </c>
      <c r="AV49" s="5">
        <f>IF($E49&gt;=AV$2,VLOOKUP($E49-AV$2,'data input'!$D$3:$E$130,2,FALSE),0)</f>
        <v>0.99653302619695938</v>
      </c>
      <c r="AW49" s="5">
        <f>IF($E49&gt;=AW$2,VLOOKUP($E49-AW$2,'data input'!$D$3:$E$130,2,FALSE),0)</f>
        <v>0.99723991460873751</v>
      </c>
      <c r="AX49" s="5">
        <f>IF($E49&gt;=AX$2,VLOOKUP($E49-AX$2,'data input'!$D$3:$E$130,2,FALSE),0)</f>
        <v>0.99781403854508677</v>
      </c>
      <c r="AY49" s="5">
        <f>IF($E49&gt;=AY$2,VLOOKUP($E49-AY$2,'data input'!$D$3:$E$130,2,FALSE),0)</f>
        <v>0.99827771888413241</v>
      </c>
      <c r="AZ49" s="5">
        <f>IF($E49&gt;=AZ$2,VLOOKUP($E49-AZ$2,'data input'!$D$3:$E$130,2,FALSE),0)</f>
        <v>0.9986501019683699</v>
      </c>
      <c r="BA49" s="5">
        <f>IF($E49&gt;=BA$2,VLOOKUP($E49-BA$2,'data input'!$D$3:$E$130,2,FALSE),0)</f>
        <v>0</v>
      </c>
      <c r="BB49" s="5">
        <f>IF($E49&gt;=BB$2,VLOOKUP($E49-BB$2,'data input'!$D$3:$E$130,2,FALSE),0)</f>
        <v>0</v>
      </c>
      <c r="BC49" s="5">
        <f>IF($E49&gt;=BC$2,VLOOKUP($E49-BC$2,'data input'!$D$3:$E$130,2,FALSE),0)</f>
        <v>0</v>
      </c>
      <c r="BD49" s="5">
        <f>IF($E49&gt;=BD$2,VLOOKUP($E49-BD$2,'data input'!$D$3:$E$130,2,FALSE),0)</f>
        <v>0</v>
      </c>
      <c r="BE49" s="5">
        <f>IF($E49&gt;=BE$2,VLOOKUP($E49-BE$2,'data input'!$D$3:$E$130,2,FALSE),0)</f>
        <v>0</v>
      </c>
      <c r="BF49" s="5">
        <f>IF($E49&gt;=BF$2,VLOOKUP($E49-BF$2,'data input'!$D$3:$E$130,2,FALSE),0)</f>
        <v>0</v>
      </c>
      <c r="BG49" s="5">
        <f>IF($E49&gt;=BG$2,VLOOKUP($E49-BG$2,'data input'!$D$3:$E$130,2,FALSE),0)</f>
        <v>0</v>
      </c>
      <c r="BH49" s="5">
        <f>IF($E49&gt;=BH$2,VLOOKUP($E49-BH$2,'data input'!$D$3:$E$130,2,FALSE),0)</f>
        <v>0</v>
      </c>
      <c r="BI49" s="5">
        <f>IF($E49&gt;=BI$2,VLOOKUP($E49-BI$2,'data input'!$D$3:$E$130,2,FALSE),0)</f>
        <v>0</v>
      </c>
      <c r="BJ49" s="5">
        <f>IF($E49&gt;=BJ$2,VLOOKUP($E49-BJ$2,'data input'!$D$3:$E$130,2,FALSE),0)</f>
        <v>0</v>
      </c>
      <c r="BK49" s="5">
        <f>IF($E49&gt;=BK$2,VLOOKUP($E49-BK$2,'data input'!$D$3:$E$130,2,FALSE),0)</f>
        <v>0</v>
      </c>
      <c r="BL49" s="5">
        <f>IF($E49&gt;=BL$2,VLOOKUP($E49-BL$2,'data input'!$D$3:$E$130,2,FALSE),0)</f>
        <v>0</v>
      </c>
      <c r="BM49" s="5">
        <f>IF($E49&gt;=BM$2,VLOOKUP($E49-BM$2,'data input'!$D$3:$E$130,2,FALSE),0)</f>
        <v>0</v>
      </c>
      <c r="BN49" s="5">
        <f>IF($E49&gt;=BN$2,VLOOKUP($E49-BN$2,'data input'!$D$3:$E$130,2,FALSE),0)</f>
        <v>0</v>
      </c>
      <c r="BO49" s="5">
        <f>IF($E49&gt;=BO$2,VLOOKUP($E49-BO$2,'data input'!$D$3:$E$130,2,FALSE),0)</f>
        <v>0</v>
      </c>
      <c r="BP49" s="5">
        <f>IF($E49&gt;=BP$2,VLOOKUP($E49-BP$2,'data input'!$D$3:$E$130,2,FALSE),0)</f>
        <v>0</v>
      </c>
      <c r="BQ49" s="5">
        <f>IF($E49&gt;=BQ$2,VLOOKUP($E49-BQ$2,'data input'!$D$3:$E$130,2,FALSE),0)</f>
        <v>0</v>
      </c>
      <c r="BR49" s="5">
        <f>IF($E49&gt;=BR$2,VLOOKUP($E49-BR$2,'data input'!$D$3:$E$130,2,FALSE),0)</f>
        <v>0</v>
      </c>
      <c r="BS49" s="5">
        <f>IF($E49&gt;=BS$2,VLOOKUP($E49-BS$2,'data input'!$D$3:$E$130,2,FALSE),0)</f>
        <v>0</v>
      </c>
      <c r="BT49" s="5">
        <f>IF($E49&gt;=BT$2,VLOOKUP($E49-BT$2,'data input'!$D$3:$E$130,2,FALSE),0)</f>
        <v>0</v>
      </c>
      <c r="BU49" s="5">
        <f>IF($E49&gt;=BU$2,VLOOKUP($E49-BU$2,'data input'!$D$3:$E$130,2,FALSE),0)</f>
        <v>0</v>
      </c>
      <c r="BV49" s="5">
        <f>IF($E49&gt;=BV$2,VLOOKUP($E49-BV$2,'data input'!$D$3:$E$130,2,FALSE),0)</f>
        <v>0</v>
      </c>
      <c r="BW49" s="5">
        <f>IF($E49&gt;=BW$2,VLOOKUP($E49-BW$2,'data input'!$D$3:$E$130,2,FALSE),0)</f>
        <v>0</v>
      </c>
      <c r="BX49" s="5">
        <f>IF($E49&gt;=BX$2,VLOOKUP($E49-BX$2,'data input'!$D$3:$E$130,2,FALSE),0)</f>
        <v>0</v>
      </c>
      <c r="BY49" s="5">
        <f>IF($E49&gt;=BY$2,VLOOKUP($E49-BY$2,'data input'!$D$3:$E$130,2,FALSE),0)</f>
        <v>0</v>
      </c>
      <c r="BZ49" s="5">
        <f>IF($E49&gt;=BZ$2,VLOOKUP($E49-BZ$2,'data input'!$D$3:$E$130,2,FALSE),0)</f>
        <v>0</v>
      </c>
      <c r="CA49" s="5">
        <f>IF($E49&gt;=CA$2,VLOOKUP($E49-CA$2,'data input'!$D$3:$E$130,2,FALSE),0)</f>
        <v>0</v>
      </c>
      <c r="CB49" s="5">
        <f>IF($E49&gt;=CB$2,VLOOKUP($E49-CB$2,'data input'!$D$3:$E$130,2,FALSE),0)</f>
        <v>0</v>
      </c>
      <c r="CC49" s="5">
        <f>IF($E49&gt;=CC$2,VLOOKUP($E49-CC$2,'data input'!$D$3:$E$130,2,FALSE),0)</f>
        <v>0</v>
      </c>
      <c r="CD49" s="5">
        <f>IF($E49&gt;=CD$2,VLOOKUP($E49-CD$2,'data input'!$D$3:$E$130,2,FALSE),0)</f>
        <v>0</v>
      </c>
      <c r="CE49" s="5">
        <f>IF($E49&gt;=CE$2,VLOOKUP($E49-CE$2,'data input'!$D$3:$E$130,2,FALSE),0)</f>
        <v>0</v>
      </c>
      <c r="CF49" s="5">
        <f>IF($E49&gt;=CF$2,VLOOKUP($E49-CF$2,'data input'!$D$3:$E$130,2,FALSE),0)</f>
        <v>0</v>
      </c>
      <c r="CG49" s="5">
        <f>IF($E49&gt;=CG$2,VLOOKUP($E49-CG$2,'data input'!$D$3:$E$130,2,FALSE),0)</f>
        <v>0</v>
      </c>
      <c r="CH49" s="5">
        <f>IF($E49&gt;=CH$2,VLOOKUP($E49-CH$2,'data input'!$D$3:$E$130,2,FALSE),0)</f>
        <v>0</v>
      </c>
      <c r="CI49" s="5">
        <f>IF($E49&gt;=CI$2,VLOOKUP($E49-CI$2,'data input'!$D$3:$E$130,2,FALSE),0)</f>
        <v>0</v>
      </c>
      <c r="CJ49" s="5">
        <f>IF($E49&gt;=CJ$2,VLOOKUP($E49-CJ$2,'data input'!$D$3:$E$130,2,FALSE),0)</f>
        <v>0</v>
      </c>
      <c r="CK49" s="5">
        <f>IF($E49&gt;=CK$2,VLOOKUP($E49-CK$2,'data input'!$D$3:$E$130,2,FALSE),0)</f>
        <v>0</v>
      </c>
      <c r="CL49" s="5">
        <f>IF($E49&gt;=CL$2,VLOOKUP($E49-CL$2,'data input'!$D$3:$E$130,2,FALSE),0)</f>
        <v>0</v>
      </c>
      <c r="CM49" s="5">
        <f>IF($E49&gt;=CM$2,VLOOKUP($E49-CM$2,'data input'!$D$3:$E$130,2,FALSE),0)</f>
        <v>0</v>
      </c>
      <c r="CN49" s="5">
        <f>IF($E49&gt;=CN$2,VLOOKUP($E49-CN$2,'data input'!$D$3:$E$130,2,FALSE),0)</f>
        <v>0</v>
      </c>
      <c r="CO49" s="5">
        <f>IF($E49&gt;=CO$2,VLOOKUP($E49-CO$2,'data input'!$D$3:$E$130,2,FALSE),0)</f>
        <v>0</v>
      </c>
      <c r="CP49" s="5">
        <f>IF($E49&gt;=CP$2,VLOOKUP($E49-CP$2,'data input'!$D$3:$E$130,2,FALSE),0)</f>
        <v>0</v>
      </c>
      <c r="CQ49" s="5">
        <f>IF($E49&gt;=CQ$2,VLOOKUP($E49-CQ$2,'data input'!$D$3:$E$130,2,FALSE),0)</f>
        <v>0</v>
      </c>
      <c r="CR49" s="5">
        <f>IF($E49&gt;=CR$2,VLOOKUP($E49-CR$2,'data input'!$D$3:$E$130,2,FALSE),0)</f>
        <v>0</v>
      </c>
      <c r="CS49" s="5">
        <f>IF($E49&gt;=CS$2,VLOOKUP($E49-CS$2,'data input'!$D$3:$E$130,2,FALSE),0)</f>
        <v>0</v>
      </c>
      <c r="CT49" s="5">
        <f>IF($E49&gt;=CT$2,VLOOKUP($E49-CT$2,'data input'!$D$3:$E$130,2,FALSE),0)</f>
        <v>0</v>
      </c>
      <c r="CU49" s="5">
        <f>IF($E49&gt;=CU$2,VLOOKUP($E49-CU$2,'data input'!$D$3:$E$130,2,FALSE),0)</f>
        <v>0</v>
      </c>
      <c r="CV49" s="5">
        <f>IF($E49&gt;=CV$2,VLOOKUP($E49-CV$2,'data input'!$D$3:$E$130,2,FALSE),0)</f>
        <v>0</v>
      </c>
      <c r="CW49" s="5">
        <f>IF($E49&gt;=CW$2,VLOOKUP($E49-CW$2,'data input'!$D$3:$E$130,2,FALSE),0)</f>
        <v>0</v>
      </c>
      <c r="CX49" s="5">
        <f>IF($E49&gt;=CX$2,VLOOKUP($E49-CX$2,'data input'!$D$3:$E$130,2,FALSE),0)</f>
        <v>0</v>
      </c>
      <c r="CY49" s="5">
        <f>IF($E49&gt;=CY$2,VLOOKUP($E49-CY$2,'data input'!$D$3:$E$130,2,FALSE),0)</f>
        <v>0</v>
      </c>
      <c r="CZ49" s="5">
        <f>IF($E49&gt;=CZ$2,VLOOKUP($E49-CZ$2,'data input'!$D$3:$E$130,2,FALSE),0)</f>
        <v>0</v>
      </c>
      <c r="DA49" s="5">
        <f>IF($E49&gt;=DA$2,VLOOKUP($E49-DA$2,'data input'!$D$3:$E$130,2,FALSE),0)</f>
        <v>0</v>
      </c>
      <c r="DB49" s="5">
        <f>IF($E49&gt;=DB$2,VLOOKUP($E49-DB$2,'data input'!$D$3:$E$130,2,FALSE),0)</f>
        <v>0</v>
      </c>
      <c r="DC49" s="5">
        <f>IF($E49&gt;=DC$2,VLOOKUP($E49-DC$2,'data input'!$D$3:$E$130,2,FALSE),0)</f>
        <v>0</v>
      </c>
      <c r="DD49" s="5">
        <f>IF($E49&gt;=DD$2,VLOOKUP($E49-DD$2,'data input'!$D$3:$E$130,2,FALSE),0)</f>
        <v>0</v>
      </c>
      <c r="DE49" s="5">
        <f>IF($E49&gt;=DE$2,VLOOKUP($E49-DE$2,'data input'!$D$3:$E$130,2,FALSE),0)</f>
        <v>0</v>
      </c>
      <c r="DF49" s="5">
        <f>IF($E49&gt;=DF$2,VLOOKUP($E49-DF$2,'data input'!$D$3:$E$130,2,FALSE),0)</f>
        <v>0</v>
      </c>
      <c r="DG49" s="5">
        <f>IF($E49&gt;=DG$2,VLOOKUP($E49-DG$2,'data input'!$D$3:$E$130,2,FALSE),0)</f>
        <v>0</v>
      </c>
      <c r="DH49" s="5">
        <f>IF($E49&gt;=DH$2,VLOOKUP($E49-DH$2,'data input'!$D$3:$E$130,2,FALSE),0)</f>
        <v>0</v>
      </c>
      <c r="DI49" s="5">
        <f>IF($E49&gt;=DI$2,VLOOKUP($E49-DI$2,'data input'!$D$3:$E$130,2,FALSE),0)</f>
        <v>0</v>
      </c>
      <c r="DJ49" s="5">
        <f>IF($E49&gt;=DJ$2,VLOOKUP($E49-DJ$2,'data input'!$D$3:$E$130,2,FALSE),0)</f>
        <v>0</v>
      </c>
      <c r="DK49" s="5">
        <f>IF($E49&gt;=DK$2,VLOOKUP($E49-DK$2,'data input'!$D$3:$E$130,2,FALSE),0)</f>
        <v>0</v>
      </c>
      <c r="DL49" s="5">
        <f>IF($E49&gt;=DL$2,VLOOKUP($E49-DL$2,'data input'!$D$3:$E$130,2,FALSE),0)</f>
        <v>0</v>
      </c>
      <c r="DM49" s="5">
        <f>IF($E49&gt;=DM$2,VLOOKUP($E49-DM$2,'data input'!$D$3:$E$130,2,FALSE),0)</f>
        <v>0</v>
      </c>
      <c r="DN49" s="5">
        <f>IF($E49&gt;=DN$2,VLOOKUP($E49-DN$2,'data input'!$D$3:$E$130,2,FALSE),0)</f>
        <v>0</v>
      </c>
      <c r="DO49" s="5">
        <f>IF($E49&gt;=DO$2,VLOOKUP($E49-DO$2,'data input'!$D$3:$E$130,2,FALSE),0)</f>
        <v>0</v>
      </c>
      <c r="DP49" s="5">
        <f>IF($E49&gt;=DP$2,VLOOKUP($E49-DP$2,'data input'!$D$3:$E$130,2,FALSE),0)</f>
        <v>0</v>
      </c>
      <c r="DQ49" s="5">
        <f>IF($E49&gt;=DQ$2,VLOOKUP($E49-DQ$2,'data input'!$D$3:$E$130,2,FALSE),0)</f>
        <v>0</v>
      </c>
      <c r="DR49" s="5">
        <f>IF($E49&gt;=DR$2,VLOOKUP($E49-DR$2,'data input'!$D$3:$E$130,2,FALSE),0)</f>
        <v>0</v>
      </c>
      <c r="DS49" s="5">
        <f>IF($E49&gt;=DS$2,VLOOKUP($E49-DS$2,'data input'!$D$3:$E$130,2,FALSE),0)</f>
        <v>0</v>
      </c>
      <c r="DT49" s="5">
        <f>IF($E49&gt;=DT$2,VLOOKUP($E49-DT$2,'data input'!$D$3:$E$130,2,FALSE),0)</f>
        <v>0</v>
      </c>
      <c r="DU49" s="5">
        <f>IF($E49&gt;=DU$2,VLOOKUP($E49-DU$2,'data input'!$D$3:$E$130,2,FALSE),0)</f>
        <v>0</v>
      </c>
      <c r="DV49" s="5">
        <f>IF($E49&gt;=DV$2,VLOOKUP($E49-DV$2,'data input'!$D$3:$E$130,2,FALSE),0)</f>
        <v>0</v>
      </c>
      <c r="DW49" s="5">
        <f>IF($E49&gt;=DW$2,VLOOKUP($E49-DW$2,'data input'!$D$3:$E$130,2,FALSE),0)</f>
        <v>0</v>
      </c>
      <c r="DX49" s="5">
        <f>IF($E49&gt;=DX$2,VLOOKUP($E49-DX$2,'data input'!$D$3:$E$130,2,FALSE),0)</f>
        <v>0</v>
      </c>
      <c r="DY49" s="5">
        <f>IF($E49&gt;=DY$2,VLOOKUP($E49-DY$2,'data input'!$D$3:$E$130,2,FALSE),0)</f>
        <v>0</v>
      </c>
      <c r="DZ49" s="5">
        <f>IF($E49&gt;=DZ$2,VLOOKUP($E49-DZ$2,'data input'!$D$3:$E$130,2,FALSE),0)</f>
        <v>0</v>
      </c>
      <c r="EA49" s="5">
        <f>IF($E49&gt;=EA$2,VLOOKUP($E49-EA$2,'data input'!$D$3:$E$130,2,FALSE),0)</f>
        <v>0</v>
      </c>
      <c r="EB49" s="5">
        <f>IF($E49&gt;=EB$2,VLOOKUP($E49-EB$2,'data input'!$D$3:$E$130,2,FALSE),0)</f>
        <v>0</v>
      </c>
      <c r="EC49" s="5">
        <f>IF($E49&gt;=EC$2,VLOOKUP($E49-EC$2,'data input'!$D$3:$E$130,2,FALSE),0)</f>
        <v>0</v>
      </c>
    </row>
    <row r="50" spans="5:133">
      <c r="E50" s="7">
        <f>'data input'!B50</f>
        <v>1925</v>
      </c>
      <c r="F50" s="5">
        <f>IF($E50&gt;=F$2,VLOOKUP($E50-F$2,'data input'!$D$3:$E$130,2,FALSE),0)</f>
        <v>0.29979159546869583</v>
      </c>
      <c r="G50" s="5">
        <f>IF($E50&gt;=G$2,VLOOKUP($E50-G$2,'data input'!$D$3:$E$130,2,FALSE),0)</f>
        <v>0.32635522028792008</v>
      </c>
      <c r="H50" s="5">
        <f>IF($E50&gt;=H$2,VLOOKUP($E50-H$2,'data input'!$D$3:$E$130,2,FALSE),0)</f>
        <v>0.35383023332727614</v>
      </c>
      <c r="I50" s="5">
        <f>IF($E50&gt;=I$2,VLOOKUP($E50-I$2,'data input'!$D$3:$E$130,2,FALSE),0)</f>
        <v>0.38208857781104733</v>
      </c>
      <c r="J50" s="5">
        <f>IF($E50&gt;=J$2,VLOOKUP($E50-J$2,'data input'!$D$3:$E$130,2,FALSE),0)</f>
        <v>0.41098963713127035</v>
      </c>
      <c r="K50" s="5">
        <f>IF($E50&gt;=K$2,VLOOKUP($E50-K$2,'data input'!$D$3:$E$130,2,FALSE),0)</f>
        <v>0.4403823076297575</v>
      </c>
      <c r="L50" s="5">
        <f>IF($E50&gt;=L$2,VLOOKUP($E50-L$2,'data input'!$D$3:$E$130,2,FALSE),0)</f>
        <v>0.47010735594710518</v>
      </c>
      <c r="M50" s="5">
        <f>IF($E50&gt;=M$2,VLOOKUP($E50-M$2,'data input'!$D$3:$E$130,2,FALSE),0)</f>
        <v>0.5</v>
      </c>
      <c r="N50" s="5">
        <f>IF($E50&gt;=N$2,VLOOKUP($E50-N$2,'data input'!$D$3:$E$130,2,FALSE),0)</f>
        <v>0.52989264405289482</v>
      </c>
      <c r="O50" s="5">
        <f>IF($E50&gt;=O$2,VLOOKUP($E50-O$2,'data input'!$D$3:$E$130,2,FALSE),0)</f>
        <v>0.5596176923702425</v>
      </c>
      <c r="P50" s="5">
        <f>IF($E50&gt;=P$2,VLOOKUP($E50-P$2,'data input'!$D$3:$E$130,2,FALSE),0)</f>
        <v>0.58901036286872965</v>
      </c>
      <c r="Q50" s="5">
        <f>IF($E50&gt;=Q$2,VLOOKUP($E50-Q$2,'data input'!$D$3:$E$130,2,FALSE),0)</f>
        <v>0.61791142218895267</v>
      </c>
      <c r="R50" s="5">
        <f>IF($E50&gt;=R$2,VLOOKUP($E50-R$2,'data input'!$D$3:$E$130,2,FALSE),0)</f>
        <v>0.64616976667272386</v>
      </c>
      <c r="S50" s="5">
        <f>IF($E50&gt;=S$2,VLOOKUP($E50-S$2,'data input'!$D$3:$E$130,2,FALSE),0)</f>
        <v>0.67364477971207992</v>
      </c>
      <c r="T50" s="5">
        <f>IF($E50&gt;=T$2,VLOOKUP($E50-T$2,'data input'!$D$3:$E$130,2,FALSE),0)</f>
        <v>0.70020840453130417</v>
      </c>
      <c r="U50" s="5">
        <f>IF($E50&gt;=U$2,VLOOKUP($E50-U$2,'data input'!$D$3:$E$130,2,FALSE),0)</f>
        <v>0.72574688224992645</v>
      </c>
      <c r="V50" s="5">
        <f>IF($E50&gt;=V$2,VLOOKUP($E50-V$2,'data input'!$D$3:$E$130,2,FALSE),0)</f>
        <v>0.75016211752822304</v>
      </c>
      <c r="W50" s="5">
        <f>IF($E50&gt;=W$2,VLOOKUP($E50-W$2,'data input'!$D$3:$E$130,2,FALSE),0)</f>
        <v>0.77337264762313174</v>
      </c>
      <c r="X50" s="5">
        <f>IF($E50&gt;=X$2,VLOOKUP($E50-X$2,'data input'!$D$3:$E$130,2,FALSE),0)</f>
        <v>0.79531420465274738</v>
      </c>
      <c r="Y50" s="5">
        <f>IF($E50&gt;=Y$2,VLOOKUP($E50-Y$2,'data input'!$D$3:$E$130,2,FALSE),0)</f>
        <v>0.81593987465324047</v>
      </c>
      <c r="Z50" s="5">
        <f>IF($E50&gt;=Z$2,VLOOKUP($E50-Z$2,'data input'!$D$3:$E$130,2,FALSE),0)</f>
        <v>0.83521987001968967</v>
      </c>
      <c r="AA50" s="5">
        <f>IF($E50&gt;=AA$2,VLOOKUP($E50-AA$2,'data input'!$D$3:$E$130,2,FALSE),0)</f>
        <v>0.85314094362410409</v>
      </c>
      <c r="AB50" s="5">
        <f>IF($E50&gt;=AB$2,VLOOKUP($E50-AB$2,'data input'!$D$3:$E$130,2,FALSE),0)</f>
        <v>0.86970548286319116</v>
      </c>
      <c r="AC50" s="5">
        <f>IF($E50&gt;=AC$2,VLOOKUP($E50-AC$2,'data input'!$D$3:$E$130,2,FALSE),0)</f>
        <v>0.88493032977829178</v>
      </c>
      <c r="AD50" s="5">
        <f>IF($E50&gt;=AD$2,VLOOKUP($E50-AD$2,'data input'!$D$3:$E$130,2,FALSE),0)</f>
        <v>0.89884537900441408</v>
      </c>
      <c r="AE50" s="5">
        <f>IF($E50&gt;=AE$2,VLOOKUP($E50-AE$2,'data input'!$D$3:$E$130,2,FALSE),0)</f>
        <v>0.91149200856259793</v>
      </c>
      <c r="AF50" s="5">
        <f>IF($E50&gt;=AF$2,VLOOKUP($E50-AF$2,'data input'!$D$3:$E$130,2,FALSE),0)</f>
        <v>0.92292139944792817</v>
      </c>
      <c r="AG50" s="5">
        <f>IF($E50&gt;=AG$2,VLOOKUP($E50-AG$2,'data input'!$D$3:$E$130,2,FALSE),0)</f>
        <v>0.93319279873114191</v>
      </c>
      <c r="AH50" s="5">
        <f>IF($E50&gt;=AH$2,VLOOKUP($E50-AH$2,'data input'!$D$3:$E$130,2,FALSE),0)</f>
        <v>0.94237177772384684</v>
      </c>
      <c r="AI50" s="5">
        <f>IF($E50&gt;=AI$2,VLOOKUP($E50-AI$2,'data input'!$D$3:$E$130,2,FALSE),0)</f>
        <v>0.9505285319663519</v>
      </c>
      <c r="AJ50" s="5">
        <f>IF($E50&gt;=AJ$2,VLOOKUP($E50-AJ$2,'data input'!$D$3:$E$130,2,FALSE),0)</f>
        <v>0.95773626374204757</v>
      </c>
      <c r="AK50" s="5">
        <f>IF($E50&gt;=AK$2,VLOOKUP($E50-AK$2,'data input'!$D$3:$E$130,2,FALSE),0)</f>
        <v>0.96406968088707423</v>
      </c>
      <c r="AL50" s="5">
        <f>IF($E50&gt;=AL$2,VLOOKUP($E50-AL$2,'data input'!$D$3:$E$130,2,FALSE),0)</f>
        <v>0.96960363823473861</v>
      </c>
      <c r="AM50" s="5">
        <f>IF($E50&gt;=AM$2,VLOOKUP($E50-AM$2,'data input'!$D$3:$E$130,2,FALSE),0)</f>
        <v>0.97441194047836144</v>
      </c>
      <c r="AN50" s="5">
        <f>IF($E50&gt;=AN$2,VLOOKUP($E50-AN$2,'data input'!$D$3:$E$130,2,FALSE),0)</f>
        <v>0.97856631788584703</v>
      </c>
      <c r="AO50" s="5">
        <f>IF($E50&gt;=AO$2,VLOOKUP($E50-AO$2,'data input'!$D$3:$E$130,2,FALSE),0)</f>
        <v>0.98213557943718344</v>
      </c>
      <c r="AP50" s="5">
        <f>IF($E50&gt;=AP$2,VLOOKUP($E50-AP$2,'data input'!$D$3:$E$130,2,FALSE),0)</f>
        <v>0.98518494180739014</v>
      </c>
      <c r="AQ50" s="5">
        <f>IF($E50&gt;=AQ$2,VLOOKUP($E50-AQ$2,'data input'!$D$3:$E$130,2,FALSE),0)</f>
        <v>0.98777552734495533</v>
      </c>
      <c r="AR50" s="5">
        <f>IF($E50&gt;=AR$2,VLOOKUP($E50-AR$2,'data input'!$D$3:$E$130,2,FALSE),0)</f>
        <v>0.98996401989972593</v>
      </c>
      <c r="AS50" s="5">
        <f>IF($E50&gt;=AS$2,VLOOKUP($E50-AS$2,'data input'!$D$3:$E$130,2,FALSE),0)</f>
        <v>0.99180246407540384</v>
      </c>
      <c r="AT50" s="5">
        <f>IF($E50&gt;=AT$2,VLOOKUP($E50-AT$2,'data input'!$D$3:$E$130,2,FALSE),0)</f>
        <v>0.99333819120801725</v>
      </c>
      <c r="AU50" s="5">
        <f>IF($E50&gt;=AU$2,VLOOKUP($E50-AU$2,'data input'!$D$3:$E$130,2,FALSE),0)</f>
        <v>0.99461385404593328</v>
      </c>
      <c r="AV50" s="5">
        <f>IF($E50&gt;=AV$2,VLOOKUP($E50-AV$2,'data input'!$D$3:$E$130,2,FALSE),0)</f>
        <v>0.99566755163698739</v>
      </c>
      <c r="AW50" s="5">
        <f>IF($E50&gt;=AW$2,VLOOKUP($E50-AW$2,'data input'!$D$3:$E$130,2,FALSE),0)</f>
        <v>0.99653302619695938</v>
      </c>
      <c r="AX50" s="5">
        <f>IF($E50&gt;=AX$2,VLOOKUP($E50-AX$2,'data input'!$D$3:$E$130,2,FALSE),0)</f>
        <v>0.99723991460873751</v>
      </c>
      <c r="AY50" s="5">
        <f>IF($E50&gt;=AY$2,VLOOKUP($E50-AY$2,'data input'!$D$3:$E$130,2,FALSE),0)</f>
        <v>0.99781403854508677</v>
      </c>
      <c r="AZ50" s="5">
        <f>IF($E50&gt;=AZ$2,VLOOKUP($E50-AZ$2,'data input'!$D$3:$E$130,2,FALSE),0)</f>
        <v>0.99827771888413241</v>
      </c>
      <c r="BA50" s="5">
        <f>IF($E50&gt;=BA$2,VLOOKUP($E50-BA$2,'data input'!$D$3:$E$130,2,FALSE),0)</f>
        <v>0.9986501019683699</v>
      </c>
      <c r="BB50" s="5">
        <f>IF($E50&gt;=BB$2,VLOOKUP($E50-BB$2,'data input'!$D$3:$E$130,2,FALSE),0)</f>
        <v>0</v>
      </c>
      <c r="BC50" s="5">
        <f>IF($E50&gt;=BC$2,VLOOKUP($E50-BC$2,'data input'!$D$3:$E$130,2,FALSE),0)</f>
        <v>0</v>
      </c>
      <c r="BD50" s="5">
        <f>IF($E50&gt;=BD$2,VLOOKUP($E50-BD$2,'data input'!$D$3:$E$130,2,FALSE),0)</f>
        <v>0</v>
      </c>
      <c r="BE50" s="5">
        <f>IF($E50&gt;=BE$2,VLOOKUP($E50-BE$2,'data input'!$D$3:$E$130,2,FALSE),0)</f>
        <v>0</v>
      </c>
      <c r="BF50" s="5">
        <f>IF($E50&gt;=BF$2,VLOOKUP($E50-BF$2,'data input'!$D$3:$E$130,2,FALSE),0)</f>
        <v>0</v>
      </c>
      <c r="BG50" s="5">
        <f>IF($E50&gt;=BG$2,VLOOKUP($E50-BG$2,'data input'!$D$3:$E$130,2,FALSE),0)</f>
        <v>0</v>
      </c>
      <c r="BH50" s="5">
        <f>IF($E50&gt;=BH$2,VLOOKUP($E50-BH$2,'data input'!$D$3:$E$130,2,FALSE),0)</f>
        <v>0</v>
      </c>
      <c r="BI50" s="5">
        <f>IF($E50&gt;=BI$2,VLOOKUP($E50-BI$2,'data input'!$D$3:$E$130,2,FALSE),0)</f>
        <v>0</v>
      </c>
      <c r="BJ50" s="5">
        <f>IF($E50&gt;=BJ$2,VLOOKUP($E50-BJ$2,'data input'!$D$3:$E$130,2,FALSE),0)</f>
        <v>0</v>
      </c>
      <c r="BK50" s="5">
        <f>IF($E50&gt;=BK$2,VLOOKUP($E50-BK$2,'data input'!$D$3:$E$130,2,FALSE),0)</f>
        <v>0</v>
      </c>
      <c r="BL50" s="5">
        <f>IF($E50&gt;=BL$2,VLOOKUP($E50-BL$2,'data input'!$D$3:$E$130,2,FALSE),0)</f>
        <v>0</v>
      </c>
      <c r="BM50" s="5">
        <f>IF($E50&gt;=BM$2,VLOOKUP($E50-BM$2,'data input'!$D$3:$E$130,2,FALSE),0)</f>
        <v>0</v>
      </c>
      <c r="BN50" s="5">
        <f>IF($E50&gt;=BN$2,VLOOKUP($E50-BN$2,'data input'!$D$3:$E$130,2,FALSE),0)</f>
        <v>0</v>
      </c>
      <c r="BO50" s="5">
        <f>IF($E50&gt;=BO$2,VLOOKUP($E50-BO$2,'data input'!$D$3:$E$130,2,FALSE),0)</f>
        <v>0</v>
      </c>
      <c r="BP50" s="5">
        <f>IF($E50&gt;=BP$2,VLOOKUP($E50-BP$2,'data input'!$D$3:$E$130,2,FALSE),0)</f>
        <v>0</v>
      </c>
      <c r="BQ50" s="5">
        <f>IF($E50&gt;=BQ$2,VLOOKUP($E50-BQ$2,'data input'!$D$3:$E$130,2,FALSE),0)</f>
        <v>0</v>
      </c>
      <c r="BR50" s="5">
        <f>IF($E50&gt;=BR$2,VLOOKUP($E50-BR$2,'data input'!$D$3:$E$130,2,FALSE),0)</f>
        <v>0</v>
      </c>
      <c r="BS50" s="5">
        <f>IF($E50&gt;=BS$2,VLOOKUP($E50-BS$2,'data input'!$D$3:$E$130,2,FALSE),0)</f>
        <v>0</v>
      </c>
      <c r="BT50" s="5">
        <f>IF($E50&gt;=BT$2,VLOOKUP($E50-BT$2,'data input'!$D$3:$E$130,2,FALSE),0)</f>
        <v>0</v>
      </c>
      <c r="BU50" s="5">
        <f>IF($E50&gt;=BU$2,VLOOKUP($E50-BU$2,'data input'!$D$3:$E$130,2,FALSE),0)</f>
        <v>0</v>
      </c>
      <c r="BV50" s="5">
        <f>IF($E50&gt;=BV$2,VLOOKUP($E50-BV$2,'data input'!$D$3:$E$130,2,FALSE),0)</f>
        <v>0</v>
      </c>
      <c r="BW50" s="5">
        <f>IF($E50&gt;=BW$2,VLOOKUP($E50-BW$2,'data input'!$D$3:$E$130,2,FALSE),0)</f>
        <v>0</v>
      </c>
      <c r="BX50" s="5">
        <f>IF($E50&gt;=BX$2,VLOOKUP($E50-BX$2,'data input'!$D$3:$E$130,2,FALSE),0)</f>
        <v>0</v>
      </c>
      <c r="BY50" s="5">
        <f>IF($E50&gt;=BY$2,VLOOKUP($E50-BY$2,'data input'!$D$3:$E$130,2,FALSE),0)</f>
        <v>0</v>
      </c>
      <c r="BZ50" s="5">
        <f>IF($E50&gt;=BZ$2,VLOOKUP($E50-BZ$2,'data input'!$D$3:$E$130,2,FALSE),0)</f>
        <v>0</v>
      </c>
      <c r="CA50" s="5">
        <f>IF($E50&gt;=CA$2,VLOOKUP($E50-CA$2,'data input'!$D$3:$E$130,2,FALSE),0)</f>
        <v>0</v>
      </c>
      <c r="CB50" s="5">
        <f>IF($E50&gt;=CB$2,VLOOKUP($E50-CB$2,'data input'!$D$3:$E$130,2,FALSE),0)</f>
        <v>0</v>
      </c>
      <c r="CC50" s="5">
        <f>IF($E50&gt;=CC$2,VLOOKUP($E50-CC$2,'data input'!$D$3:$E$130,2,FALSE),0)</f>
        <v>0</v>
      </c>
      <c r="CD50" s="5">
        <f>IF($E50&gt;=CD$2,VLOOKUP($E50-CD$2,'data input'!$D$3:$E$130,2,FALSE),0)</f>
        <v>0</v>
      </c>
      <c r="CE50" s="5">
        <f>IF($E50&gt;=CE$2,VLOOKUP($E50-CE$2,'data input'!$D$3:$E$130,2,FALSE),0)</f>
        <v>0</v>
      </c>
      <c r="CF50" s="5">
        <f>IF($E50&gt;=CF$2,VLOOKUP($E50-CF$2,'data input'!$D$3:$E$130,2,FALSE),0)</f>
        <v>0</v>
      </c>
      <c r="CG50" s="5">
        <f>IF($E50&gt;=CG$2,VLOOKUP($E50-CG$2,'data input'!$D$3:$E$130,2,FALSE),0)</f>
        <v>0</v>
      </c>
      <c r="CH50" s="5">
        <f>IF($E50&gt;=CH$2,VLOOKUP($E50-CH$2,'data input'!$D$3:$E$130,2,FALSE),0)</f>
        <v>0</v>
      </c>
      <c r="CI50" s="5">
        <f>IF($E50&gt;=CI$2,VLOOKUP($E50-CI$2,'data input'!$D$3:$E$130,2,FALSE),0)</f>
        <v>0</v>
      </c>
      <c r="CJ50" s="5">
        <f>IF($E50&gt;=CJ$2,VLOOKUP($E50-CJ$2,'data input'!$D$3:$E$130,2,FALSE),0)</f>
        <v>0</v>
      </c>
      <c r="CK50" s="5">
        <f>IF($E50&gt;=CK$2,VLOOKUP($E50-CK$2,'data input'!$D$3:$E$130,2,FALSE),0)</f>
        <v>0</v>
      </c>
      <c r="CL50" s="5">
        <f>IF($E50&gt;=CL$2,VLOOKUP($E50-CL$2,'data input'!$D$3:$E$130,2,FALSE),0)</f>
        <v>0</v>
      </c>
      <c r="CM50" s="5">
        <f>IF($E50&gt;=CM$2,VLOOKUP($E50-CM$2,'data input'!$D$3:$E$130,2,FALSE),0)</f>
        <v>0</v>
      </c>
      <c r="CN50" s="5">
        <f>IF($E50&gt;=CN$2,VLOOKUP($E50-CN$2,'data input'!$D$3:$E$130,2,FALSE),0)</f>
        <v>0</v>
      </c>
      <c r="CO50" s="5">
        <f>IF($E50&gt;=CO$2,VLOOKUP($E50-CO$2,'data input'!$D$3:$E$130,2,FALSE),0)</f>
        <v>0</v>
      </c>
      <c r="CP50" s="5">
        <f>IF($E50&gt;=CP$2,VLOOKUP($E50-CP$2,'data input'!$D$3:$E$130,2,FALSE),0)</f>
        <v>0</v>
      </c>
      <c r="CQ50" s="5">
        <f>IF($E50&gt;=CQ$2,VLOOKUP($E50-CQ$2,'data input'!$D$3:$E$130,2,FALSE),0)</f>
        <v>0</v>
      </c>
      <c r="CR50" s="5">
        <f>IF($E50&gt;=CR$2,VLOOKUP($E50-CR$2,'data input'!$D$3:$E$130,2,FALSE),0)</f>
        <v>0</v>
      </c>
      <c r="CS50" s="5">
        <f>IF($E50&gt;=CS$2,VLOOKUP($E50-CS$2,'data input'!$D$3:$E$130,2,FALSE),0)</f>
        <v>0</v>
      </c>
      <c r="CT50" s="5">
        <f>IF($E50&gt;=CT$2,VLOOKUP($E50-CT$2,'data input'!$D$3:$E$130,2,FALSE),0)</f>
        <v>0</v>
      </c>
      <c r="CU50" s="5">
        <f>IF($E50&gt;=CU$2,VLOOKUP($E50-CU$2,'data input'!$D$3:$E$130,2,FALSE),0)</f>
        <v>0</v>
      </c>
      <c r="CV50" s="5">
        <f>IF($E50&gt;=CV$2,VLOOKUP($E50-CV$2,'data input'!$D$3:$E$130,2,FALSE),0)</f>
        <v>0</v>
      </c>
      <c r="CW50" s="5">
        <f>IF($E50&gt;=CW$2,VLOOKUP($E50-CW$2,'data input'!$D$3:$E$130,2,FALSE),0)</f>
        <v>0</v>
      </c>
      <c r="CX50" s="5">
        <f>IF($E50&gt;=CX$2,VLOOKUP($E50-CX$2,'data input'!$D$3:$E$130,2,FALSE),0)</f>
        <v>0</v>
      </c>
      <c r="CY50" s="5">
        <f>IF($E50&gt;=CY$2,VLOOKUP($E50-CY$2,'data input'!$D$3:$E$130,2,FALSE),0)</f>
        <v>0</v>
      </c>
      <c r="CZ50" s="5">
        <f>IF($E50&gt;=CZ$2,VLOOKUP($E50-CZ$2,'data input'!$D$3:$E$130,2,FALSE),0)</f>
        <v>0</v>
      </c>
      <c r="DA50" s="5">
        <f>IF($E50&gt;=DA$2,VLOOKUP($E50-DA$2,'data input'!$D$3:$E$130,2,FALSE),0)</f>
        <v>0</v>
      </c>
      <c r="DB50" s="5">
        <f>IF($E50&gt;=DB$2,VLOOKUP($E50-DB$2,'data input'!$D$3:$E$130,2,FALSE),0)</f>
        <v>0</v>
      </c>
      <c r="DC50" s="5">
        <f>IF($E50&gt;=DC$2,VLOOKUP($E50-DC$2,'data input'!$D$3:$E$130,2,FALSE),0)</f>
        <v>0</v>
      </c>
      <c r="DD50" s="5">
        <f>IF($E50&gt;=DD$2,VLOOKUP($E50-DD$2,'data input'!$D$3:$E$130,2,FALSE),0)</f>
        <v>0</v>
      </c>
      <c r="DE50" s="5">
        <f>IF($E50&gt;=DE$2,VLOOKUP($E50-DE$2,'data input'!$D$3:$E$130,2,FALSE),0)</f>
        <v>0</v>
      </c>
      <c r="DF50" s="5">
        <f>IF($E50&gt;=DF$2,VLOOKUP($E50-DF$2,'data input'!$D$3:$E$130,2,FALSE),0)</f>
        <v>0</v>
      </c>
      <c r="DG50" s="5">
        <f>IF($E50&gt;=DG$2,VLOOKUP($E50-DG$2,'data input'!$D$3:$E$130,2,FALSE),0)</f>
        <v>0</v>
      </c>
      <c r="DH50" s="5">
        <f>IF($E50&gt;=DH$2,VLOOKUP($E50-DH$2,'data input'!$D$3:$E$130,2,FALSE),0)</f>
        <v>0</v>
      </c>
      <c r="DI50" s="5">
        <f>IF($E50&gt;=DI$2,VLOOKUP($E50-DI$2,'data input'!$D$3:$E$130,2,FALSE),0)</f>
        <v>0</v>
      </c>
      <c r="DJ50" s="5">
        <f>IF($E50&gt;=DJ$2,VLOOKUP($E50-DJ$2,'data input'!$D$3:$E$130,2,FALSE),0)</f>
        <v>0</v>
      </c>
      <c r="DK50" s="5">
        <f>IF($E50&gt;=DK$2,VLOOKUP($E50-DK$2,'data input'!$D$3:$E$130,2,FALSE),0)</f>
        <v>0</v>
      </c>
      <c r="DL50" s="5">
        <f>IF($E50&gt;=DL$2,VLOOKUP($E50-DL$2,'data input'!$D$3:$E$130,2,FALSE),0)</f>
        <v>0</v>
      </c>
      <c r="DM50" s="5">
        <f>IF($E50&gt;=DM$2,VLOOKUP($E50-DM$2,'data input'!$D$3:$E$130,2,FALSE),0)</f>
        <v>0</v>
      </c>
      <c r="DN50" s="5">
        <f>IF($E50&gt;=DN$2,VLOOKUP($E50-DN$2,'data input'!$D$3:$E$130,2,FALSE),0)</f>
        <v>0</v>
      </c>
      <c r="DO50" s="5">
        <f>IF($E50&gt;=DO$2,VLOOKUP($E50-DO$2,'data input'!$D$3:$E$130,2,FALSE),0)</f>
        <v>0</v>
      </c>
      <c r="DP50" s="5">
        <f>IF($E50&gt;=DP$2,VLOOKUP($E50-DP$2,'data input'!$D$3:$E$130,2,FALSE),0)</f>
        <v>0</v>
      </c>
      <c r="DQ50" s="5">
        <f>IF($E50&gt;=DQ$2,VLOOKUP($E50-DQ$2,'data input'!$D$3:$E$130,2,FALSE),0)</f>
        <v>0</v>
      </c>
      <c r="DR50" s="5">
        <f>IF($E50&gt;=DR$2,VLOOKUP($E50-DR$2,'data input'!$D$3:$E$130,2,FALSE),0)</f>
        <v>0</v>
      </c>
      <c r="DS50" s="5">
        <f>IF($E50&gt;=DS$2,VLOOKUP($E50-DS$2,'data input'!$D$3:$E$130,2,FALSE),0)</f>
        <v>0</v>
      </c>
      <c r="DT50" s="5">
        <f>IF($E50&gt;=DT$2,VLOOKUP($E50-DT$2,'data input'!$D$3:$E$130,2,FALSE),0)</f>
        <v>0</v>
      </c>
      <c r="DU50" s="5">
        <f>IF($E50&gt;=DU$2,VLOOKUP($E50-DU$2,'data input'!$D$3:$E$130,2,FALSE),0)</f>
        <v>0</v>
      </c>
      <c r="DV50" s="5">
        <f>IF($E50&gt;=DV$2,VLOOKUP($E50-DV$2,'data input'!$D$3:$E$130,2,FALSE),0)</f>
        <v>0</v>
      </c>
      <c r="DW50" s="5">
        <f>IF($E50&gt;=DW$2,VLOOKUP($E50-DW$2,'data input'!$D$3:$E$130,2,FALSE),0)</f>
        <v>0</v>
      </c>
      <c r="DX50" s="5">
        <f>IF($E50&gt;=DX$2,VLOOKUP($E50-DX$2,'data input'!$D$3:$E$130,2,FALSE),0)</f>
        <v>0</v>
      </c>
      <c r="DY50" s="5">
        <f>IF($E50&gt;=DY$2,VLOOKUP($E50-DY$2,'data input'!$D$3:$E$130,2,FALSE),0)</f>
        <v>0</v>
      </c>
      <c r="DZ50" s="5">
        <f>IF($E50&gt;=DZ$2,VLOOKUP($E50-DZ$2,'data input'!$D$3:$E$130,2,FALSE),0)</f>
        <v>0</v>
      </c>
      <c r="EA50" s="5">
        <f>IF($E50&gt;=EA$2,VLOOKUP($E50-EA$2,'data input'!$D$3:$E$130,2,FALSE),0)</f>
        <v>0</v>
      </c>
      <c r="EB50" s="5">
        <f>IF($E50&gt;=EB$2,VLOOKUP($E50-EB$2,'data input'!$D$3:$E$130,2,FALSE),0)</f>
        <v>0</v>
      </c>
      <c r="EC50" s="5">
        <f>IF($E50&gt;=EC$2,VLOOKUP($E50-EC$2,'data input'!$D$3:$E$130,2,FALSE),0)</f>
        <v>0</v>
      </c>
    </row>
    <row r="51" spans="5:133">
      <c r="E51" s="7">
        <f>'data input'!B51</f>
        <v>1926</v>
      </c>
      <c r="F51" s="5">
        <f>IF($E51&gt;=F$2,VLOOKUP($E51-F$2,'data input'!$D$3:$E$130,2,FALSE),0)</f>
        <v>0.27425311775007355</v>
      </c>
      <c r="G51" s="5">
        <f>IF($E51&gt;=G$2,VLOOKUP($E51-G$2,'data input'!$D$3:$E$130,2,FALSE),0)</f>
        <v>0.29979159546869583</v>
      </c>
      <c r="H51" s="5">
        <f>IF($E51&gt;=H$2,VLOOKUP($E51-H$2,'data input'!$D$3:$E$130,2,FALSE),0)</f>
        <v>0.32635522028792008</v>
      </c>
      <c r="I51" s="5">
        <f>IF($E51&gt;=I$2,VLOOKUP($E51-I$2,'data input'!$D$3:$E$130,2,FALSE),0)</f>
        <v>0.35383023332727614</v>
      </c>
      <c r="J51" s="5">
        <f>IF($E51&gt;=J$2,VLOOKUP($E51-J$2,'data input'!$D$3:$E$130,2,FALSE),0)</f>
        <v>0.38208857781104733</v>
      </c>
      <c r="K51" s="5">
        <f>IF($E51&gt;=K$2,VLOOKUP($E51-K$2,'data input'!$D$3:$E$130,2,FALSE),0)</f>
        <v>0.41098963713127035</v>
      </c>
      <c r="L51" s="5">
        <f>IF($E51&gt;=L$2,VLOOKUP($E51-L$2,'data input'!$D$3:$E$130,2,FALSE),0)</f>
        <v>0.4403823076297575</v>
      </c>
      <c r="M51" s="5">
        <f>IF($E51&gt;=M$2,VLOOKUP($E51-M$2,'data input'!$D$3:$E$130,2,FALSE),0)</f>
        <v>0.47010735594710518</v>
      </c>
      <c r="N51" s="5">
        <f>IF($E51&gt;=N$2,VLOOKUP($E51-N$2,'data input'!$D$3:$E$130,2,FALSE),0)</f>
        <v>0.5</v>
      </c>
      <c r="O51" s="5">
        <f>IF($E51&gt;=O$2,VLOOKUP($E51-O$2,'data input'!$D$3:$E$130,2,FALSE),0)</f>
        <v>0.52989264405289482</v>
      </c>
      <c r="P51" s="5">
        <f>IF($E51&gt;=P$2,VLOOKUP($E51-P$2,'data input'!$D$3:$E$130,2,FALSE),0)</f>
        <v>0.5596176923702425</v>
      </c>
      <c r="Q51" s="5">
        <f>IF($E51&gt;=Q$2,VLOOKUP($E51-Q$2,'data input'!$D$3:$E$130,2,FALSE),0)</f>
        <v>0.58901036286872965</v>
      </c>
      <c r="R51" s="5">
        <f>IF($E51&gt;=R$2,VLOOKUP($E51-R$2,'data input'!$D$3:$E$130,2,FALSE),0)</f>
        <v>0.61791142218895267</v>
      </c>
      <c r="S51" s="5">
        <f>IF($E51&gt;=S$2,VLOOKUP($E51-S$2,'data input'!$D$3:$E$130,2,FALSE),0)</f>
        <v>0.64616976667272386</v>
      </c>
      <c r="T51" s="5">
        <f>IF($E51&gt;=T$2,VLOOKUP($E51-T$2,'data input'!$D$3:$E$130,2,FALSE),0)</f>
        <v>0.67364477971207992</v>
      </c>
      <c r="U51" s="5">
        <f>IF($E51&gt;=U$2,VLOOKUP($E51-U$2,'data input'!$D$3:$E$130,2,FALSE),0)</f>
        <v>0.70020840453130417</v>
      </c>
      <c r="V51" s="5">
        <f>IF($E51&gt;=V$2,VLOOKUP($E51-V$2,'data input'!$D$3:$E$130,2,FALSE),0)</f>
        <v>0.72574688224992645</v>
      </c>
      <c r="W51" s="5">
        <f>IF($E51&gt;=W$2,VLOOKUP($E51-W$2,'data input'!$D$3:$E$130,2,FALSE),0)</f>
        <v>0.75016211752822304</v>
      </c>
      <c r="X51" s="5">
        <f>IF($E51&gt;=X$2,VLOOKUP($E51-X$2,'data input'!$D$3:$E$130,2,FALSE),0)</f>
        <v>0.77337264762313174</v>
      </c>
      <c r="Y51" s="5">
        <f>IF($E51&gt;=Y$2,VLOOKUP($E51-Y$2,'data input'!$D$3:$E$130,2,FALSE),0)</f>
        <v>0.79531420465274738</v>
      </c>
      <c r="Z51" s="5">
        <f>IF($E51&gt;=Z$2,VLOOKUP($E51-Z$2,'data input'!$D$3:$E$130,2,FALSE),0)</f>
        <v>0.81593987465324047</v>
      </c>
      <c r="AA51" s="5">
        <f>IF($E51&gt;=AA$2,VLOOKUP($E51-AA$2,'data input'!$D$3:$E$130,2,FALSE),0)</f>
        <v>0.83521987001968967</v>
      </c>
      <c r="AB51" s="5">
        <f>IF($E51&gt;=AB$2,VLOOKUP($E51-AB$2,'data input'!$D$3:$E$130,2,FALSE),0)</f>
        <v>0.85314094362410409</v>
      </c>
      <c r="AC51" s="5">
        <f>IF($E51&gt;=AC$2,VLOOKUP($E51-AC$2,'data input'!$D$3:$E$130,2,FALSE),0)</f>
        <v>0.86970548286319116</v>
      </c>
      <c r="AD51" s="5">
        <f>IF($E51&gt;=AD$2,VLOOKUP($E51-AD$2,'data input'!$D$3:$E$130,2,FALSE),0)</f>
        <v>0.88493032977829178</v>
      </c>
      <c r="AE51" s="5">
        <f>IF($E51&gt;=AE$2,VLOOKUP($E51-AE$2,'data input'!$D$3:$E$130,2,FALSE),0)</f>
        <v>0.89884537900441408</v>
      </c>
      <c r="AF51" s="5">
        <f>IF($E51&gt;=AF$2,VLOOKUP($E51-AF$2,'data input'!$D$3:$E$130,2,FALSE),0)</f>
        <v>0.91149200856259793</v>
      </c>
      <c r="AG51" s="5">
        <f>IF($E51&gt;=AG$2,VLOOKUP($E51-AG$2,'data input'!$D$3:$E$130,2,FALSE),0)</f>
        <v>0.92292139944792817</v>
      </c>
      <c r="AH51" s="5">
        <f>IF($E51&gt;=AH$2,VLOOKUP($E51-AH$2,'data input'!$D$3:$E$130,2,FALSE),0)</f>
        <v>0.93319279873114191</v>
      </c>
      <c r="AI51" s="5">
        <f>IF($E51&gt;=AI$2,VLOOKUP($E51-AI$2,'data input'!$D$3:$E$130,2,FALSE),0)</f>
        <v>0.94237177772384684</v>
      </c>
      <c r="AJ51" s="5">
        <f>IF($E51&gt;=AJ$2,VLOOKUP($E51-AJ$2,'data input'!$D$3:$E$130,2,FALSE),0)</f>
        <v>0.9505285319663519</v>
      </c>
      <c r="AK51" s="5">
        <f>IF($E51&gt;=AK$2,VLOOKUP($E51-AK$2,'data input'!$D$3:$E$130,2,FALSE),0)</f>
        <v>0.95773626374204757</v>
      </c>
      <c r="AL51" s="5">
        <f>IF($E51&gt;=AL$2,VLOOKUP($E51-AL$2,'data input'!$D$3:$E$130,2,FALSE),0)</f>
        <v>0.96406968088707423</v>
      </c>
      <c r="AM51" s="5">
        <f>IF($E51&gt;=AM$2,VLOOKUP($E51-AM$2,'data input'!$D$3:$E$130,2,FALSE),0)</f>
        <v>0.96960363823473861</v>
      </c>
      <c r="AN51" s="5">
        <f>IF($E51&gt;=AN$2,VLOOKUP($E51-AN$2,'data input'!$D$3:$E$130,2,FALSE),0)</f>
        <v>0.97441194047836144</v>
      </c>
      <c r="AO51" s="5">
        <f>IF($E51&gt;=AO$2,VLOOKUP($E51-AO$2,'data input'!$D$3:$E$130,2,FALSE),0)</f>
        <v>0.97856631788584703</v>
      </c>
      <c r="AP51" s="5">
        <f>IF($E51&gt;=AP$2,VLOOKUP($E51-AP$2,'data input'!$D$3:$E$130,2,FALSE),0)</f>
        <v>0.98213557943718344</v>
      </c>
      <c r="AQ51" s="5">
        <f>IF($E51&gt;=AQ$2,VLOOKUP($E51-AQ$2,'data input'!$D$3:$E$130,2,FALSE),0)</f>
        <v>0.98518494180739014</v>
      </c>
      <c r="AR51" s="5">
        <f>IF($E51&gt;=AR$2,VLOOKUP($E51-AR$2,'data input'!$D$3:$E$130,2,FALSE),0)</f>
        <v>0.98777552734495533</v>
      </c>
      <c r="AS51" s="5">
        <f>IF($E51&gt;=AS$2,VLOOKUP($E51-AS$2,'data input'!$D$3:$E$130,2,FALSE),0)</f>
        <v>0.98996401989972593</v>
      </c>
      <c r="AT51" s="5">
        <f>IF($E51&gt;=AT$2,VLOOKUP($E51-AT$2,'data input'!$D$3:$E$130,2,FALSE),0)</f>
        <v>0.99180246407540384</v>
      </c>
      <c r="AU51" s="5">
        <f>IF($E51&gt;=AU$2,VLOOKUP($E51-AU$2,'data input'!$D$3:$E$130,2,FALSE),0)</f>
        <v>0.99333819120801725</v>
      </c>
      <c r="AV51" s="5">
        <f>IF($E51&gt;=AV$2,VLOOKUP($E51-AV$2,'data input'!$D$3:$E$130,2,FALSE),0)</f>
        <v>0.99461385404593328</v>
      </c>
      <c r="AW51" s="5">
        <f>IF($E51&gt;=AW$2,VLOOKUP($E51-AW$2,'data input'!$D$3:$E$130,2,FALSE),0)</f>
        <v>0.99566755163698739</v>
      </c>
      <c r="AX51" s="5">
        <f>IF($E51&gt;=AX$2,VLOOKUP($E51-AX$2,'data input'!$D$3:$E$130,2,FALSE),0)</f>
        <v>0.99653302619695938</v>
      </c>
      <c r="AY51" s="5">
        <f>IF($E51&gt;=AY$2,VLOOKUP($E51-AY$2,'data input'!$D$3:$E$130,2,FALSE),0)</f>
        <v>0.99723991460873751</v>
      </c>
      <c r="AZ51" s="5">
        <f>IF($E51&gt;=AZ$2,VLOOKUP($E51-AZ$2,'data input'!$D$3:$E$130,2,FALSE),0)</f>
        <v>0.99781403854508677</v>
      </c>
      <c r="BA51" s="5">
        <f>IF($E51&gt;=BA$2,VLOOKUP($E51-BA$2,'data input'!$D$3:$E$130,2,FALSE),0)</f>
        <v>0.99827771888413241</v>
      </c>
      <c r="BB51" s="5">
        <f>IF($E51&gt;=BB$2,VLOOKUP($E51-BB$2,'data input'!$D$3:$E$130,2,FALSE),0)</f>
        <v>0.9986501019683699</v>
      </c>
      <c r="BC51" s="5">
        <f>IF($E51&gt;=BC$2,VLOOKUP($E51-BC$2,'data input'!$D$3:$E$130,2,FALSE),0)</f>
        <v>0</v>
      </c>
      <c r="BD51" s="5">
        <f>IF($E51&gt;=BD$2,VLOOKUP($E51-BD$2,'data input'!$D$3:$E$130,2,FALSE),0)</f>
        <v>0</v>
      </c>
      <c r="BE51" s="5">
        <f>IF($E51&gt;=BE$2,VLOOKUP($E51-BE$2,'data input'!$D$3:$E$130,2,FALSE),0)</f>
        <v>0</v>
      </c>
      <c r="BF51" s="5">
        <f>IF($E51&gt;=BF$2,VLOOKUP($E51-BF$2,'data input'!$D$3:$E$130,2,FALSE),0)</f>
        <v>0</v>
      </c>
      <c r="BG51" s="5">
        <f>IF($E51&gt;=BG$2,VLOOKUP($E51-BG$2,'data input'!$D$3:$E$130,2,FALSE),0)</f>
        <v>0</v>
      </c>
      <c r="BH51" s="5">
        <f>IF($E51&gt;=BH$2,VLOOKUP($E51-BH$2,'data input'!$D$3:$E$130,2,FALSE),0)</f>
        <v>0</v>
      </c>
      <c r="BI51" s="5">
        <f>IF($E51&gt;=BI$2,VLOOKUP($E51-BI$2,'data input'!$D$3:$E$130,2,FALSE),0)</f>
        <v>0</v>
      </c>
      <c r="BJ51" s="5">
        <f>IF($E51&gt;=BJ$2,VLOOKUP($E51-BJ$2,'data input'!$D$3:$E$130,2,FALSE),0)</f>
        <v>0</v>
      </c>
      <c r="BK51" s="5">
        <f>IF($E51&gt;=BK$2,VLOOKUP($E51-BK$2,'data input'!$D$3:$E$130,2,FALSE),0)</f>
        <v>0</v>
      </c>
      <c r="BL51" s="5">
        <f>IF($E51&gt;=BL$2,VLOOKUP($E51-BL$2,'data input'!$D$3:$E$130,2,FALSE),0)</f>
        <v>0</v>
      </c>
      <c r="BM51" s="5">
        <f>IF($E51&gt;=BM$2,VLOOKUP($E51-BM$2,'data input'!$D$3:$E$130,2,FALSE),0)</f>
        <v>0</v>
      </c>
      <c r="BN51" s="5">
        <f>IF($E51&gt;=BN$2,VLOOKUP($E51-BN$2,'data input'!$D$3:$E$130,2,FALSE),0)</f>
        <v>0</v>
      </c>
      <c r="BO51" s="5">
        <f>IF($E51&gt;=BO$2,VLOOKUP($E51-BO$2,'data input'!$D$3:$E$130,2,FALSE),0)</f>
        <v>0</v>
      </c>
      <c r="BP51" s="5">
        <f>IF($E51&gt;=BP$2,VLOOKUP($E51-BP$2,'data input'!$D$3:$E$130,2,FALSE),0)</f>
        <v>0</v>
      </c>
      <c r="BQ51" s="5">
        <f>IF($E51&gt;=BQ$2,VLOOKUP($E51-BQ$2,'data input'!$D$3:$E$130,2,FALSE),0)</f>
        <v>0</v>
      </c>
      <c r="BR51" s="5">
        <f>IF($E51&gt;=BR$2,VLOOKUP($E51-BR$2,'data input'!$D$3:$E$130,2,FALSE),0)</f>
        <v>0</v>
      </c>
      <c r="BS51" s="5">
        <f>IF($E51&gt;=BS$2,VLOOKUP($E51-BS$2,'data input'!$D$3:$E$130,2,FALSE),0)</f>
        <v>0</v>
      </c>
      <c r="BT51" s="5">
        <f>IF($E51&gt;=BT$2,VLOOKUP($E51-BT$2,'data input'!$D$3:$E$130,2,FALSE),0)</f>
        <v>0</v>
      </c>
      <c r="BU51" s="5">
        <f>IF($E51&gt;=BU$2,VLOOKUP($E51-BU$2,'data input'!$D$3:$E$130,2,FALSE),0)</f>
        <v>0</v>
      </c>
      <c r="BV51" s="5">
        <f>IF($E51&gt;=BV$2,VLOOKUP($E51-BV$2,'data input'!$D$3:$E$130,2,FALSE),0)</f>
        <v>0</v>
      </c>
      <c r="BW51" s="5">
        <f>IF($E51&gt;=BW$2,VLOOKUP($E51-BW$2,'data input'!$D$3:$E$130,2,FALSE),0)</f>
        <v>0</v>
      </c>
      <c r="BX51" s="5">
        <f>IF($E51&gt;=BX$2,VLOOKUP($E51-BX$2,'data input'!$D$3:$E$130,2,FALSE),0)</f>
        <v>0</v>
      </c>
      <c r="BY51" s="5">
        <f>IF($E51&gt;=BY$2,VLOOKUP($E51-BY$2,'data input'!$D$3:$E$130,2,FALSE),0)</f>
        <v>0</v>
      </c>
      <c r="BZ51" s="5">
        <f>IF($E51&gt;=BZ$2,VLOOKUP($E51-BZ$2,'data input'!$D$3:$E$130,2,FALSE),0)</f>
        <v>0</v>
      </c>
      <c r="CA51" s="5">
        <f>IF($E51&gt;=CA$2,VLOOKUP($E51-CA$2,'data input'!$D$3:$E$130,2,FALSE),0)</f>
        <v>0</v>
      </c>
      <c r="CB51" s="5">
        <f>IF($E51&gt;=CB$2,VLOOKUP($E51-CB$2,'data input'!$D$3:$E$130,2,FALSE),0)</f>
        <v>0</v>
      </c>
      <c r="CC51" s="5">
        <f>IF($E51&gt;=CC$2,VLOOKUP($E51-CC$2,'data input'!$D$3:$E$130,2,FALSE),0)</f>
        <v>0</v>
      </c>
      <c r="CD51" s="5">
        <f>IF($E51&gt;=CD$2,VLOOKUP($E51-CD$2,'data input'!$D$3:$E$130,2,FALSE),0)</f>
        <v>0</v>
      </c>
      <c r="CE51" s="5">
        <f>IF($E51&gt;=CE$2,VLOOKUP($E51-CE$2,'data input'!$D$3:$E$130,2,FALSE),0)</f>
        <v>0</v>
      </c>
      <c r="CF51" s="5">
        <f>IF($E51&gt;=CF$2,VLOOKUP($E51-CF$2,'data input'!$D$3:$E$130,2,FALSE),0)</f>
        <v>0</v>
      </c>
      <c r="CG51" s="5">
        <f>IF($E51&gt;=CG$2,VLOOKUP($E51-CG$2,'data input'!$D$3:$E$130,2,FALSE),0)</f>
        <v>0</v>
      </c>
      <c r="CH51" s="5">
        <f>IF($E51&gt;=CH$2,VLOOKUP($E51-CH$2,'data input'!$D$3:$E$130,2,FALSE),0)</f>
        <v>0</v>
      </c>
      <c r="CI51" s="5">
        <f>IF($E51&gt;=CI$2,VLOOKUP($E51-CI$2,'data input'!$D$3:$E$130,2,FALSE),0)</f>
        <v>0</v>
      </c>
      <c r="CJ51" s="5">
        <f>IF($E51&gt;=CJ$2,VLOOKUP($E51-CJ$2,'data input'!$D$3:$E$130,2,FALSE),0)</f>
        <v>0</v>
      </c>
      <c r="CK51" s="5">
        <f>IF($E51&gt;=CK$2,VLOOKUP($E51-CK$2,'data input'!$D$3:$E$130,2,FALSE),0)</f>
        <v>0</v>
      </c>
      <c r="CL51" s="5">
        <f>IF($E51&gt;=CL$2,VLOOKUP($E51-CL$2,'data input'!$D$3:$E$130,2,FALSE),0)</f>
        <v>0</v>
      </c>
      <c r="CM51" s="5">
        <f>IF($E51&gt;=CM$2,VLOOKUP($E51-CM$2,'data input'!$D$3:$E$130,2,FALSE),0)</f>
        <v>0</v>
      </c>
      <c r="CN51" s="5">
        <f>IF($E51&gt;=CN$2,VLOOKUP($E51-CN$2,'data input'!$D$3:$E$130,2,FALSE),0)</f>
        <v>0</v>
      </c>
      <c r="CO51" s="5">
        <f>IF($E51&gt;=CO$2,VLOOKUP($E51-CO$2,'data input'!$D$3:$E$130,2,FALSE),0)</f>
        <v>0</v>
      </c>
      <c r="CP51" s="5">
        <f>IF($E51&gt;=CP$2,VLOOKUP($E51-CP$2,'data input'!$D$3:$E$130,2,FALSE),0)</f>
        <v>0</v>
      </c>
      <c r="CQ51" s="5">
        <f>IF($E51&gt;=CQ$2,VLOOKUP($E51-CQ$2,'data input'!$D$3:$E$130,2,FALSE),0)</f>
        <v>0</v>
      </c>
      <c r="CR51" s="5">
        <f>IF($E51&gt;=CR$2,VLOOKUP($E51-CR$2,'data input'!$D$3:$E$130,2,FALSE),0)</f>
        <v>0</v>
      </c>
      <c r="CS51" s="5">
        <f>IF($E51&gt;=CS$2,VLOOKUP($E51-CS$2,'data input'!$D$3:$E$130,2,FALSE),0)</f>
        <v>0</v>
      </c>
      <c r="CT51" s="5">
        <f>IF($E51&gt;=CT$2,VLOOKUP($E51-CT$2,'data input'!$D$3:$E$130,2,FALSE),0)</f>
        <v>0</v>
      </c>
      <c r="CU51" s="5">
        <f>IF($E51&gt;=CU$2,VLOOKUP($E51-CU$2,'data input'!$D$3:$E$130,2,FALSE),0)</f>
        <v>0</v>
      </c>
      <c r="CV51" s="5">
        <f>IF($E51&gt;=CV$2,VLOOKUP($E51-CV$2,'data input'!$D$3:$E$130,2,FALSE),0)</f>
        <v>0</v>
      </c>
      <c r="CW51" s="5">
        <f>IF($E51&gt;=CW$2,VLOOKUP($E51-CW$2,'data input'!$D$3:$E$130,2,FALSE),0)</f>
        <v>0</v>
      </c>
      <c r="CX51" s="5">
        <f>IF($E51&gt;=CX$2,VLOOKUP($E51-CX$2,'data input'!$D$3:$E$130,2,FALSE),0)</f>
        <v>0</v>
      </c>
      <c r="CY51" s="5">
        <f>IF($E51&gt;=CY$2,VLOOKUP($E51-CY$2,'data input'!$D$3:$E$130,2,FALSE),0)</f>
        <v>0</v>
      </c>
      <c r="CZ51" s="5">
        <f>IF($E51&gt;=CZ$2,VLOOKUP($E51-CZ$2,'data input'!$D$3:$E$130,2,FALSE),0)</f>
        <v>0</v>
      </c>
      <c r="DA51" s="5">
        <f>IF($E51&gt;=DA$2,VLOOKUP($E51-DA$2,'data input'!$D$3:$E$130,2,FALSE),0)</f>
        <v>0</v>
      </c>
      <c r="DB51" s="5">
        <f>IF($E51&gt;=DB$2,VLOOKUP($E51-DB$2,'data input'!$D$3:$E$130,2,FALSE),0)</f>
        <v>0</v>
      </c>
      <c r="DC51" s="5">
        <f>IF($E51&gt;=DC$2,VLOOKUP($E51-DC$2,'data input'!$D$3:$E$130,2,FALSE),0)</f>
        <v>0</v>
      </c>
      <c r="DD51" s="5">
        <f>IF($E51&gt;=DD$2,VLOOKUP($E51-DD$2,'data input'!$D$3:$E$130,2,FALSE),0)</f>
        <v>0</v>
      </c>
      <c r="DE51" s="5">
        <f>IF($E51&gt;=DE$2,VLOOKUP($E51-DE$2,'data input'!$D$3:$E$130,2,FALSE),0)</f>
        <v>0</v>
      </c>
      <c r="DF51" s="5">
        <f>IF($E51&gt;=DF$2,VLOOKUP($E51-DF$2,'data input'!$D$3:$E$130,2,FALSE),0)</f>
        <v>0</v>
      </c>
      <c r="DG51" s="5">
        <f>IF($E51&gt;=DG$2,VLOOKUP($E51-DG$2,'data input'!$D$3:$E$130,2,FALSE),0)</f>
        <v>0</v>
      </c>
      <c r="DH51" s="5">
        <f>IF($E51&gt;=DH$2,VLOOKUP($E51-DH$2,'data input'!$D$3:$E$130,2,FALSE),0)</f>
        <v>0</v>
      </c>
      <c r="DI51" s="5">
        <f>IF($E51&gt;=DI$2,VLOOKUP($E51-DI$2,'data input'!$D$3:$E$130,2,FALSE),0)</f>
        <v>0</v>
      </c>
      <c r="DJ51" s="5">
        <f>IF($E51&gt;=DJ$2,VLOOKUP($E51-DJ$2,'data input'!$D$3:$E$130,2,FALSE),0)</f>
        <v>0</v>
      </c>
      <c r="DK51" s="5">
        <f>IF($E51&gt;=DK$2,VLOOKUP($E51-DK$2,'data input'!$D$3:$E$130,2,FALSE),0)</f>
        <v>0</v>
      </c>
      <c r="DL51" s="5">
        <f>IF($E51&gt;=DL$2,VLOOKUP($E51-DL$2,'data input'!$D$3:$E$130,2,FALSE),0)</f>
        <v>0</v>
      </c>
      <c r="DM51" s="5">
        <f>IF($E51&gt;=DM$2,VLOOKUP($E51-DM$2,'data input'!$D$3:$E$130,2,FALSE),0)</f>
        <v>0</v>
      </c>
      <c r="DN51" s="5">
        <f>IF($E51&gt;=DN$2,VLOOKUP($E51-DN$2,'data input'!$D$3:$E$130,2,FALSE),0)</f>
        <v>0</v>
      </c>
      <c r="DO51" s="5">
        <f>IF($E51&gt;=DO$2,VLOOKUP($E51-DO$2,'data input'!$D$3:$E$130,2,FALSE),0)</f>
        <v>0</v>
      </c>
      <c r="DP51" s="5">
        <f>IF($E51&gt;=DP$2,VLOOKUP($E51-DP$2,'data input'!$D$3:$E$130,2,FALSE),0)</f>
        <v>0</v>
      </c>
      <c r="DQ51" s="5">
        <f>IF($E51&gt;=DQ$2,VLOOKUP($E51-DQ$2,'data input'!$D$3:$E$130,2,FALSE),0)</f>
        <v>0</v>
      </c>
      <c r="DR51" s="5">
        <f>IF($E51&gt;=DR$2,VLOOKUP($E51-DR$2,'data input'!$D$3:$E$130,2,FALSE),0)</f>
        <v>0</v>
      </c>
      <c r="DS51" s="5">
        <f>IF($E51&gt;=DS$2,VLOOKUP($E51-DS$2,'data input'!$D$3:$E$130,2,FALSE),0)</f>
        <v>0</v>
      </c>
      <c r="DT51" s="5">
        <f>IF($E51&gt;=DT$2,VLOOKUP($E51-DT$2,'data input'!$D$3:$E$130,2,FALSE),0)</f>
        <v>0</v>
      </c>
      <c r="DU51" s="5">
        <f>IF($E51&gt;=DU$2,VLOOKUP($E51-DU$2,'data input'!$D$3:$E$130,2,FALSE),0)</f>
        <v>0</v>
      </c>
      <c r="DV51" s="5">
        <f>IF($E51&gt;=DV$2,VLOOKUP($E51-DV$2,'data input'!$D$3:$E$130,2,FALSE),0)</f>
        <v>0</v>
      </c>
      <c r="DW51" s="5">
        <f>IF($E51&gt;=DW$2,VLOOKUP($E51-DW$2,'data input'!$D$3:$E$130,2,FALSE),0)</f>
        <v>0</v>
      </c>
      <c r="DX51" s="5">
        <f>IF($E51&gt;=DX$2,VLOOKUP($E51-DX$2,'data input'!$D$3:$E$130,2,FALSE),0)</f>
        <v>0</v>
      </c>
      <c r="DY51" s="5">
        <f>IF($E51&gt;=DY$2,VLOOKUP($E51-DY$2,'data input'!$D$3:$E$130,2,FALSE),0)</f>
        <v>0</v>
      </c>
      <c r="DZ51" s="5">
        <f>IF($E51&gt;=DZ$2,VLOOKUP($E51-DZ$2,'data input'!$D$3:$E$130,2,FALSE),0)</f>
        <v>0</v>
      </c>
      <c r="EA51" s="5">
        <f>IF($E51&gt;=EA$2,VLOOKUP($E51-EA$2,'data input'!$D$3:$E$130,2,FALSE),0)</f>
        <v>0</v>
      </c>
      <c r="EB51" s="5">
        <f>IF($E51&gt;=EB$2,VLOOKUP($E51-EB$2,'data input'!$D$3:$E$130,2,FALSE),0)</f>
        <v>0</v>
      </c>
      <c r="EC51" s="5">
        <f>IF($E51&gt;=EC$2,VLOOKUP($E51-EC$2,'data input'!$D$3:$E$130,2,FALSE),0)</f>
        <v>0</v>
      </c>
    </row>
    <row r="52" spans="5:133">
      <c r="E52" s="7">
        <f>'data input'!B52</f>
        <v>1927</v>
      </c>
      <c r="F52" s="5">
        <f>IF($E52&gt;=F$2,VLOOKUP($E52-F$2,'data input'!$D$3:$E$130,2,FALSE),0)</f>
        <v>0.24983788247177696</v>
      </c>
      <c r="G52" s="5">
        <f>IF($E52&gt;=G$2,VLOOKUP($E52-G$2,'data input'!$D$3:$E$130,2,FALSE),0)</f>
        <v>0.27425311775007355</v>
      </c>
      <c r="H52" s="5">
        <f>IF($E52&gt;=H$2,VLOOKUP($E52-H$2,'data input'!$D$3:$E$130,2,FALSE),0)</f>
        <v>0.29979159546869583</v>
      </c>
      <c r="I52" s="5">
        <f>IF($E52&gt;=I$2,VLOOKUP($E52-I$2,'data input'!$D$3:$E$130,2,FALSE),0)</f>
        <v>0.32635522028792008</v>
      </c>
      <c r="J52" s="5">
        <f>IF($E52&gt;=J$2,VLOOKUP($E52-J$2,'data input'!$D$3:$E$130,2,FALSE),0)</f>
        <v>0.35383023332727614</v>
      </c>
      <c r="K52" s="5">
        <f>IF($E52&gt;=K$2,VLOOKUP($E52-K$2,'data input'!$D$3:$E$130,2,FALSE),0)</f>
        <v>0.38208857781104733</v>
      </c>
      <c r="L52" s="5">
        <f>IF($E52&gt;=L$2,VLOOKUP($E52-L$2,'data input'!$D$3:$E$130,2,FALSE),0)</f>
        <v>0.41098963713127035</v>
      </c>
      <c r="M52" s="5">
        <f>IF($E52&gt;=M$2,VLOOKUP($E52-M$2,'data input'!$D$3:$E$130,2,FALSE),0)</f>
        <v>0.4403823076297575</v>
      </c>
      <c r="N52" s="5">
        <f>IF($E52&gt;=N$2,VLOOKUP($E52-N$2,'data input'!$D$3:$E$130,2,FALSE),0)</f>
        <v>0.47010735594710518</v>
      </c>
      <c r="O52" s="5">
        <f>IF($E52&gt;=O$2,VLOOKUP($E52-O$2,'data input'!$D$3:$E$130,2,FALSE),0)</f>
        <v>0.5</v>
      </c>
      <c r="P52" s="5">
        <f>IF($E52&gt;=P$2,VLOOKUP($E52-P$2,'data input'!$D$3:$E$130,2,FALSE),0)</f>
        <v>0.52989264405289482</v>
      </c>
      <c r="Q52" s="5">
        <f>IF($E52&gt;=Q$2,VLOOKUP($E52-Q$2,'data input'!$D$3:$E$130,2,FALSE),0)</f>
        <v>0.5596176923702425</v>
      </c>
      <c r="R52" s="5">
        <f>IF($E52&gt;=R$2,VLOOKUP($E52-R$2,'data input'!$D$3:$E$130,2,FALSE),0)</f>
        <v>0.58901036286872965</v>
      </c>
      <c r="S52" s="5">
        <f>IF($E52&gt;=S$2,VLOOKUP($E52-S$2,'data input'!$D$3:$E$130,2,FALSE),0)</f>
        <v>0.61791142218895267</v>
      </c>
      <c r="T52" s="5">
        <f>IF($E52&gt;=T$2,VLOOKUP($E52-T$2,'data input'!$D$3:$E$130,2,FALSE),0)</f>
        <v>0.64616976667272386</v>
      </c>
      <c r="U52" s="5">
        <f>IF($E52&gt;=U$2,VLOOKUP($E52-U$2,'data input'!$D$3:$E$130,2,FALSE),0)</f>
        <v>0.67364477971207992</v>
      </c>
      <c r="V52" s="5">
        <f>IF($E52&gt;=V$2,VLOOKUP($E52-V$2,'data input'!$D$3:$E$130,2,FALSE),0)</f>
        <v>0.70020840453130417</v>
      </c>
      <c r="W52" s="5">
        <f>IF($E52&gt;=W$2,VLOOKUP($E52-W$2,'data input'!$D$3:$E$130,2,FALSE),0)</f>
        <v>0.72574688224992645</v>
      </c>
      <c r="X52" s="5">
        <f>IF($E52&gt;=X$2,VLOOKUP($E52-X$2,'data input'!$D$3:$E$130,2,FALSE),0)</f>
        <v>0.75016211752822304</v>
      </c>
      <c r="Y52" s="5">
        <f>IF($E52&gt;=Y$2,VLOOKUP($E52-Y$2,'data input'!$D$3:$E$130,2,FALSE),0)</f>
        <v>0.77337264762313174</v>
      </c>
      <c r="Z52" s="5">
        <f>IF($E52&gt;=Z$2,VLOOKUP($E52-Z$2,'data input'!$D$3:$E$130,2,FALSE),0)</f>
        <v>0.79531420465274738</v>
      </c>
      <c r="AA52" s="5">
        <f>IF($E52&gt;=AA$2,VLOOKUP($E52-AA$2,'data input'!$D$3:$E$130,2,FALSE),0)</f>
        <v>0.81593987465324047</v>
      </c>
      <c r="AB52" s="5">
        <f>IF($E52&gt;=AB$2,VLOOKUP($E52-AB$2,'data input'!$D$3:$E$130,2,FALSE),0)</f>
        <v>0.83521987001968967</v>
      </c>
      <c r="AC52" s="5">
        <f>IF($E52&gt;=AC$2,VLOOKUP($E52-AC$2,'data input'!$D$3:$E$130,2,FALSE),0)</f>
        <v>0.85314094362410409</v>
      </c>
      <c r="AD52" s="5">
        <f>IF($E52&gt;=AD$2,VLOOKUP($E52-AD$2,'data input'!$D$3:$E$130,2,FALSE),0)</f>
        <v>0.86970548286319116</v>
      </c>
      <c r="AE52" s="5">
        <f>IF($E52&gt;=AE$2,VLOOKUP($E52-AE$2,'data input'!$D$3:$E$130,2,FALSE),0)</f>
        <v>0.88493032977829178</v>
      </c>
      <c r="AF52" s="5">
        <f>IF($E52&gt;=AF$2,VLOOKUP($E52-AF$2,'data input'!$D$3:$E$130,2,FALSE),0)</f>
        <v>0.89884537900441408</v>
      </c>
      <c r="AG52" s="5">
        <f>IF($E52&gt;=AG$2,VLOOKUP($E52-AG$2,'data input'!$D$3:$E$130,2,FALSE),0)</f>
        <v>0.91149200856259793</v>
      </c>
      <c r="AH52" s="5">
        <f>IF($E52&gt;=AH$2,VLOOKUP($E52-AH$2,'data input'!$D$3:$E$130,2,FALSE),0)</f>
        <v>0.92292139944792817</v>
      </c>
      <c r="AI52" s="5">
        <f>IF($E52&gt;=AI$2,VLOOKUP($E52-AI$2,'data input'!$D$3:$E$130,2,FALSE),0)</f>
        <v>0.93319279873114191</v>
      </c>
      <c r="AJ52" s="5">
        <f>IF($E52&gt;=AJ$2,VLOOKUP($E52-AJ$2,'data input'!$D$3:$E$130,2,FALSE),0)</f>
        <v>0.94237177772384684</v>
      </c>
      <c r="AK52" s="5">
        <f>IF($E52&gt;=AK$2,VLOOKUP($E52-AK$2,'data input'!$D$3:$E$130,2,FALSE),0)</f>
        <v>0.9505285319663519</v>
      </c>
      <c r="AL52" s="5">
        <f>IF($E52&gt;=AL$2,VLOOKUP($E52-AL$2,'data input'!$D$3:$E$130,2,FALSE),0)</f>
        <v>0.95773626374204757</v>
      </c>
      <c r="AM52" s="5">
        <f>IF($E52&gt;=AM$2,VLOOKUP($E52-AM$2,'data input'!$D$3:$E$130,2,FALSE),0)</f>
        <v>0.96406968088707423</v>
      </c>
      <c r="AN52" s="5">
        <f>IF($E52&gt;=AN$2,VLOOKUP($E52-AN$2,'data input'!$D$3:$E$130,2,FALSE),0)</f>
        <v>0.96960363823473861</v>
      </c>
      <c r="AO52" s="5">
        <f>IF($E52&gt;=AO$2,VLOOKUP($E52-AO$2,'data input'!$D$3:$E$130,2,FALSE),0)</f>
        <v>0.97441194047836144</v>
      </c>
      <c r="AP52" s="5">
        <f>IF($E52&gt;=AP$2,VLOOKUP($E52-AP$2,'data input'!$D$3:$E$130,2,FALSE),0)</f>
        <v>0.97856631788584703</v>
      </c>
      <c r="AQ52" s="5">
        <f>IF($E52&gt;=AQ$2,VLOOKUP($E52-AQ$2,'data input'!$D$3:$E$130,2,FALSE),0)</f>
        <v>0.98213557943718344</v>
      </c>
      <c r="AR52" s="5">
        <f>IF($E52&gt;=AR$2,VLOOKUP($E52-AR$2,'data input'!$D$3:$E$130,2,FALSE),0)</f>
        <v>0.98518494180739014</v>
      </c>
      <c r="AS52" s="5">
        <f>IF($E52&gt;=AS$2,VLOOKUP($E52-AS$2,'data input'!$D$3:$E$130,2,FALSE),0)</f>
        <v>0.98777552734495533</v>
      </c>
      <c r="AT52" s="5">
        <f>IF($E52&gt;=AT$2,VLOOKUP($E52-AT$2,'data input'!$D$3:$E$130,2,FALSE),0)</f>
        <v>0.98996401989972593</v>
      </c>
      <c r="AU52" s="5">
        <f>IF($E52&gt;=AU$2,VLOOKUP($E52-AU$2,'data input'!$D$3:$E$130,2,FALSE),0)</f>
        <v>0.99180246407540384</v>
      </c>
      <c r="AV52" s="5">
        <f>IF($E52&gt;=AV$2,VLOOKUP($E52-AV$2,'data input'!$D$3:$E$130,2,FALSE),0)</f>
        <v>0.99333819120801725</v>
      </c>
      <c r="AW52" s="5">
        <f>IF($E52&gt;=AW$2,VLOOKUP($E52-AW$2,'data input'!$D$3:$E$130,2,FALSE),0)</f>
        <v>0.99461385404593328</v>
      </c>
      <c r="AX52" s="5">
        <f>IF($E52&gt;=AX$2,VLOOKUP($E52-AX$2,'data input'!$D$3:$E$130,2,FALSE),0)</f>
        <v>0.99566755163698739</v>
      </c>
      <c r="AY52" s="5">
        <f>IF($E52&gt;=AY$2,VLOOKUP($E52-AY$2,'data input'!$D$3:$E$130,2,FALSE),0)</f>
        <v>0.99653302619695938</v>
      </c>
      <c r="AZ52" s="5">
        <f>IF($E52&gt;=AZ$2,VLOOKUP($E52-AZ$2,'data input'!$D$3:$E$130,2,FALSE),0)</f>
        <v>0.99723991460873751</v>
      </c>
      <c r="BA52" s="5">
        <f>IF($E52&gt;=BA$2,VLOOKUP($E52-BA$2,'data input'!$D$3:$E$130,2,FALSE),0)</f>
        <v>0.99781403854508677</v>
      </c>
      <c r="BB52" s="5">
        <f>IF($E52&gt;=BB$2,VLOOKUP($E52-BB$2,'data input'!$D$3:$E$130,2,FALSE),0)</f>
        <v>0.99827771888413241</v>
      </c>
      <c r="BC52" s="5">
        <f>IF($E52&gt;=BC$2,VLOOKUP($E52-BC$2,'data input'!$D$3:$E$130,2,FALSE),0)</f>
        <v>0.9986501019683699</v>
      </c>
      <c r="BD52" s="5">
        <f>IF($E52&gt;=BD$2,VLOOKUP($E52-BD$2,'data input'!$D$3:$E$130,2,FALSE),0)</f>
        <v>0</v>
      </c>
      <c r="BE52" s="5">
        <f>IF($E52&gt;=BE$2,VLOOKUP($E52-BE$2,'data input'!$D$3:$E$130,2,FALSE),0)</f>
        <v>0</v>
      </c>
      <c r="BF52" s="5">
        <f>IF($E52&gt;=BF$2,VLOOKUP($E52-BF$2,'data input'!$D$3:$E$130,2,FALSE),0)</f>
        <v>0</v>
      </c>
      <c r="BG52" s="5">
        <f>IF($E52&gt;=BG$2,VLOOKUP($E52-BG$2,'data input'!$D$3:$E$130,2,FALSE),0)</f>
        <v>0</v>
      </c>
      <c r="BH52" s="5">
        <f>IF($E52&gt;=BH$2,VLOOKUP($E52-BH$2,'data input'!$D$3:$E$130,2,FALSE),0)</f>
        <v>0</v>
      </c>
      <c r="BI52" s="5">
        <f>IF($E52&gt;=BI$2,VLOOKUP($E52-BI$2,'data input'!$D$3:$E$130,2,FALSE),0)</f>
        <v>0</v>
      </c>
      <c r="BJ52" s="5">
        <f>IF($E52&gt;=BJ$2,VLOOKUP($E52-BJ$2,'data input'!$D$3:$E$130,2,FALSE),0)</f>
        <v>0</v>
      </c>
      <c r="BK52" s="5">
        <f>IF($E52&gt;=BK$2,VLOOKUP($E52-BK$2,'data input'!$D$3:$E$130,2,FALSE),0)</f>
        <v>0</v>
      </c>
      <c r="BL52" s="5">
        <f>IF($E52&gt;=BL$2,VLOOKUP($E52-BL$2,'data input'!$D$3:$E$130,2,FALSE),0)</f>
        <v>0</v>
      </c>
      <c r="BM52" s="5">
        <f>IF($E52&gt;=BM$2,VLOOKUP($E52-BM$2,'data input'!$D$3:$E$130,2,FALSE),0)</f>
        <v>0</v>
      </c>
      <c r="BN52" s="5">
        <f>IF($E52&gt;=BN$2,VLOOKUP($E52-BN$2,'data input'!$D$3:$E$130,2,FALSE),0)</f>
        <v>0</v>
      </c>
      <c r="BO52" s="5">
        <f>IF($E52&gt;=BO$2,VLOOKUP($E52-BO$2,'data input'!$D$3:$E$130,2,FALSE),0)</f>
        <v>0</v>
      </c>
      <c r="BP52" s="5">
        <f>IF($E52&gt;=BP$2,VLOOKUP($E52-BP$2,'data input'!$D$3:$E$130,2,FALSE),0)</f>
        <v>0</v>
      </c>
      <c r="BQ52" s="5">
        <f>IF($E52&gt;=BQ$2,VLOOKUP($E52-BQ$2,'data input'!$D$3:$E$130,2,FALSE),0)</f>
        <v>0</v>
      </c>
      <c r="BR52" s="5">
        <f>IF($E52&gt;=BR$2,VLOOKUP($E52-BR$2,'data input'!$D$3:$E$130,2,FALSE),0)</f>
        <v>0</v>
      </c>
      <c r="BS52" s="5">
        <f>IF($E52&gt;=BS$2,VLOOKUP($E52-BS$2,'data input'!$D$3:$E$130,2,FALSE),0)</f>
        <v>0</v>
      </c>
      <c r="BT52" s="5">
        <f>IF($E52&gt;=BT$2,VLOOKUP($E52-BT$2,'data input'!$D$3:$E$130,2,FALSE),0)</f>
        <v>0</v>
      </c>
      <c r="BU52" s="5">
        <f>IF($E52&gt;=BU$2,VLOOKUP($E52-BU$2,'data input'!$D$3:$E$130,2,FALSE),0)</f>
        <v>0</v>
      </c>
      <c r="BV52" s="5">
        <f>IF($E52&gt;=BV$2,VLOOKUP($E52-BV$2,'data input'!$D$3:$E$130,2,FALSE),0)</f>
        <v>0</v>
      </c>
      <c r="BW52" s="5">
        <f>IF($E52&gt;=BW$2,VLOOKUP($E52-BW$2,'data input'!$D$3:$E$130,2,FALSE),0)</f>
        <v>0</v>
      </c>
      <c r="BX52" s="5">
        <f>IF($E52&gt;=BX$2,VLOOKUP($E52-BX$2,'data input'!$D$3:$E$130,2,FALSE),0)</f>
        <v>0</v>
      </c>
      <c r="BY52" s="5">
        <f>IF($E52&gt;=BY$2,VLOOKUP($E52-BY$2,'data input'!$D$3:$E$130,2,FALSE),0)</f>
        <v>0</v>
      </c>
      <c r="BZ52" s="5">
        <f>IF($E52&gt;=BZ$2,VLOOKUP($E52-BZ$2,'data input'!$D$3:$E$130,2,FALSE),0)</f>
        <v>0</v>
      </c>
      <c r="CA52" s="5">
        <f>IF($E52&gt;=CA$2,VLOOKUP($E52-CA$2,'data input'!$D$3:$E$130,2,FALSE),0)</f>
        <v>0</v>
      </c>
      <c r="CB52" s="5">
        <f>IF($E52&gt;=CB$2,VLOOKUP($E52-CB$2,'data input'!$D$3:$E$130,2,FALSE),0)</f>
        <v>0</v>
      </c>
      <c r="CC52" s="5">
        <f>IF($E52&gt;=CC$2,VLOOKUP($E52-CC$2,'data input'!$D$3:$E$130,2,FALSE),0)</f>
        <v>0</v>
      </c>
      <c r="CD52" s="5">
        <f>IF($E52&gt;=CD$2,VLOOKUP($E52-CD$2,'data input'!$D$3:$E$130,2,FALSE),0)</f>
        <v>0</v>
      </c>
      <c r="CE52" s="5">
        <f>IF($E52&gt;=CE$2,VLOOKUP($E52-CE$2,'data input'!$D$3:$E$130,2,FALSE),0)</f>
        <v>0</v>
      </c>
      <c r="CF52" s="5">
        <f>IF($E52&gt;=CF$2,VLOOKUP($E52-CF$2,'data input'!$D$3:$E$130,2,FALSE),0)</f>
        <v>0</v>
      </c>
      <c r="CG52" s="5">
        <f>IF($E52&gt;=CG$2,VLOOKUP($E52-CG$2,'data input'!$D$3:$E$130,2,FALSE),0)</f>
        <v>0</v>
      </c>
      <c r="CH52" s="5">
        <f>IF($E52&gt;=CH$2,VLOOKUP($E52-CH$2,'data input'!$D$3:$E$130,2,FALSE),0)</f>
        <v>0</v>
      </c>
      <c r="CI52" s="5">
        <f>IF($E52&gt;=CI$2,VLOOKUP($E52-CI$2,'data input'!$D$3:$E$130,2,FALSE),0)</f>
        <v>0</v>
      </c>
      <c r="CJ52" s="5">
        <f>IF($E52&gt;=CJ$2,VLOOKUP($E52-CJ$2,'data input'!$D$3:$E$130,2,FALSE),0)</f>
        <v>0</v>
      </c>
      <c r="CK52" s="5">
        <f>IF($E52&gt;=CK$2,VLOOKUP($E52-CK$2,'data input'!$D$3:$E$130,2,FALSE),0)</f>
        <v>0</v>
      </c>
      <c r="CL52" s="5">
        <f>IF($E52&gt;=CL$2,VLOOKUP($E52-CL$2,'data input'!$D$3:$E$130,2,FALSE),0)</f>
        <v>0</v>
      </c>
      <c r="CM52" s="5">
        <f>IF($E52&gt;=CM$2,VLOOKUP($E52-CM$2,'data input'!$D$3:$E$130,2,FALSE),0)</f>
        <v>0</v>
      </c>
      <c r="CN52" s="5">
        <f>IF($E52&gt;=CN$2,VLOOKUP($E52-CN$2,'data input'!$D$3:$E$130,2,FALSE),0)</f>
        <v>0</v>
      </c>
      <c r="CO52" s="5">
        <f>IF($E52&gt;=CO$2,VLOOKUP($E52-CO$2,'data input'!$D$3:$E$130,2,FALSE),0)</f>
        <v>0</v>
      </c>
      <c r="CP52" s="5">
        <f>IF($E52&gt;=CP$2,VLOOKUP($E52-CP$2,'data input'!$D$3:$E$130,2,FALSE),0)</f>
        <v>0</v>
      </c>
      <c r="CQ52" s="5">
        <f>IF($E52&gt;=CQ$2,VLOOKUP($E52-CQ$2,'data input'!$D$3:$E$130,2,FALSE),0)</f>
        <v>0</v>
      </c>
      <c r="CR52" s="5">
        <f>IF($E52&gt;=CR$2,VLOOKUP($E52-CR$2,'data input'!$D$3:$E$130,2,FALSE),0)</f>
        <v>0</v>
      </c>
      <c r="CS52" s="5">
        <f>IF($E52&gt;=CS$2,VLOOKUP($E52-CS$2,'data input'!$D$3:$E$130,2,FALSE),0)</f>
        <v>0</v>
      </c>
      <c r="CT52" s="5">
        <f>IF($E52&gt;=CT$2,VLOOKUP($E52-CT$2,'data input'!$D$3:$E$130,2,FALSE),0)</f>
        <v>0</v>
      </c>
      <c r="CU52" s="5">
        <f>IF($E52&gt;=CU$2,VLOOKUP($E52-CU$2,'data input'!$D$3:$E$130,2,FALSE),0)</f>
        <v>0</v>
      </c>
      <c r="CV52" s="5">
        <f>IF($E52&gt;=CV$2,VLOOKUP($E52-CV$2,'data input'!$D$3:$E$130,2,FALSE),0)</f>
        <v>0</v>
      </c>
      <c r="CW52" s="5">
        <f>IF($E52&gt;=CW$2,VLOOKUP($E52-CW$2,'data input'!$D$3:$E$130,2,FALSE),0)</f>
        <v>0</v>
      </c>
      <c r="CX52" s="5">
        <f>IF($E52&gt;=CX$2,VLOOKUP($E52-CX$2,'data input'!$D$3:$E$130,2,FALSE),0)</f>
        <v>0</v>
      </c>
      <c r="CY52" s="5">
        <f>IF($E52&gt;=CY$2,VLOOKUP($E52-CY$2,'data input'!$D$3:$E$130,2,FALSE),0)</f>
        <v>0</v>
      </c>
      <c r="CZ52" s="5">
        <f>IF($E52&gt;=CZ$2,VLOOKUP($E52-CZ$2,'data input'!$D$3:$E$130,2,FALSE),0)</f>
        <v>0</v>
      </c>
      <c r="DA52" s="5">
        <f>IF($E52&gt;=DA$2,VLOOKUP($E52-DA$2,'data input'!$D$3:$E$130,2,FALSE),0)</f>
        <v>0</v>
      </c>
      <c r="DB52" s="5">
        <f>IF($E52&gt;=DB$2,VLOOKUP($E52-DB$2,'data input'!$D$3:$E$130,2,FALSE),0)</f>
        <v>0</v>
      </c>
      <c r="DC52" s="5">
        <f>IF($E52&gt;=DC$2,VLOOKUP($E52-DC$2,'data input'!$D$3:$E$130,2,FALSE),0)</f>
        <v>0</v>
      </c>
      <c r="DD52" s="5">
        <f>IF($E52&gt;=DD$2,VLOOKUP($E52-DD$2,'data input'!$D$3:$E$130,2,FALSE),0)</f>
        <v>0</v>
      </c>
      <c r="DE52" s="5">
        <f>IF($E52&gt;=DE$2,VLOOKUP($E52-DE$2,'data input'!$D$3:$E$130,2,FALSE),0)</f>
        <v>0</v>
      </c>
      <c r="DF52" s="5">
        <f>IF($E52&gt;=DF$2,VLOOKUP($E52-DF$2,'data input'!$D$3:$E$130,2,FALSE),0)</f>
        <v>0</v>
      </c>
      <c r="DG52" s="5">
        <f>IF($E52&gt;=DG$2,VLOOKUP($E52-DG$2,'data input'!$D$3:$E$130,2,FALSE),0)</f>
        <v>0</v>
      </c>
      <c r="DH52" s="5">
        <f>IF($E52&gt;=DH$2,VLOOKUP($E52-DH$2,'data input'!$D$3:$E$130,2,FALSE),0)</f>
        <v>0</v>
      </c>
      <c r="DI52" s="5">
        <f>IF($E52&gt;=DI$2,VLOOKUP($E52-DI$2,'data input'!$D$3:$E$130,2,FALSE),0)</f>
        <v>0</v>
      </c>
      <c r="DJ52" s="5">
        <f>IF($E52&gt;=DJ$2,VLOOKUP($E52-DJ$2,'data input'!$D$3:$E$130,2,FALSE),0)</f>
        <v>0</v>
      </c>
      <c r="DK52" s="5">
        <f>IF($E52&gt;=DK$2,VLOOKUP($E52-DK$2,'data input'!$D$3:$E$130,2,FALSE),0)</f>
        <v>0</v>
      </c>
      <c r="DL52" s="5">
        <f>IF($E52&gt;=DL$2,VLOOKUP($E52-DL$2,'data input'!$D$3:$E$130,2,FALSE),0)</f>
        <v>0</v>
      </c>
      <c r="DM52" s="5">
        <f>IF($E52&gt;=DM$2,VLOOKUP($E52-DM$2,'data input'!$D$3:$E$130,2,FALSE),0)</f>
        <v>0</v>
      </c>
      <c r="DN52" s="5">
        <f>IF($E52&gt;=DN$2,VLOOKUP($E52-DN$2,'data input'!$D$3:$E$130,2,FALSE),0)</f>
        <v>0</v>
      </c>
      <c r="DO52" s="5">
        <f>IF($E52&gt;=DO$2,VLOOKUP($E52-DO$2,'data input'!$D$3:$E$130,2,FALSE),0)</f>
        <v>0</v>
      </c>
      <c r="DP52" s="5">
        <f>IF($E52&gt;=DP$2,VLOOKUP($E52-DP$2,'data input'!$D$3:$E$130,2,FALSE),0)</f>
        <v>0</v>
      </c>
      <c r="DQ52" s="5">
        <f>IF($E52&gt;=DQ$2,VLOOKUP($E52-DQ$2,'data input'!$D$3:$E$130,2,FALSE),0)</f>
        <v>0</v>
      </c>
      <c r="DR52" s="5">
        <f>IF($E52&gt;=DR$2,VLOOKUP($E52-DR$2,'data input'!$D$3:$E$130,2,FALSE),0)</f>
        <v>0</v>
      </c>
      <c r="DS52" s="5">
        <f>IF($E52&gt;=DS$2,VLOOKUP($E52-DS$2,'data input'!$D$3:$E$130,2,FALSE),0)</f>
        <v>0</v>
      </c>
      <c r="DT52" s="5">
        <f>IF($E52&gt;=DT$2,VLOOKUP($E52-DT$2,'data input'!$D$3:$E$130,2,FALSE),0)</f>
        <v>0</v>
      </c>
      <c r="DU52" s="5">
        <f>IF($E52&gt;=DU$2,VLOOKUP($E52-DU$2,'data input'!$D$3:$E$130,2,FALSE),0)</f>
        <v>0</v>
      </c>
      <c r="DV52" s="5">
        <f>IF($E52&gt;=DV$2,VLOOKUP($E52-DV$2,'data input'!$D$3:$E$130,2,FALSE),0)</f>
        <v>0</v>
      </c>
      <c r="DW52" s="5">
        <f>IF($E52&gt;=DW$2,VLOOKUP($E52-DW$2,'data input'!$D$3:$E$130,2,FALSE),0)</f>
        <v>0</v>
      </c>
      <c r="DX52" s="5">
        <f>IF($E52&gt;=DX$2,VLOOKUP($E52-DX$2,'data input'!$D$3:$E$130,2,FALSE),0)</f>
        <v>0</v>
      </c>
      <c r="DY52" s="5">
        <f>IF($E52&gt;=DY$2,VLOOKUP($E52-DY$2,'data input'!$D$3:$E$130,2,FALSE),0)</f>
        <v>0</v>
      </c>
      <c r="DZ52" s="5">
        <f>IF($E52&gt;=DZ$2,VLOOKUP($E52-DZ$2,'data input'!$D$3:$E$130,2,FALSE),0)</f>
        <v>0</v>
      </c>
      <c r="EA52" s="5">
        <f>IF($E52&gt;=EA$2,VLOOKUP($E52-EA$2,'data input'!$D$3:$E$130,2,FALSE),0)</f>
        <v>0</v>
      </c>
      <c r="EB52" s="5">
        <f>IF($E52&gt;=EB$2,VLOOKUP($E52-EB$2,'data input'!$D$3:$E$130,2,FALSE),0)</f>
        <v>0</v>
      </c>
      <c r="EC52" s="5">
        <f>IF($E52&gt;=EC$2,VLOOKUP($E52-EC$2,'data input'!$D$3:$E$130,2,FALSE),0)</f>
        <v>0</v>
      </c>
    </row>
    <row r="53" spans="5:133">
      <c r="E53" s="7">
        <f>'data input'!B53</f>
        <v>1928</v>
      </c>
      <c r="F53" s="5">
        <f>IF($E53&gt;=F$2,VLOOKUP($E53-F$2,'data input'!$D$3:$E$130,2,FALSE),0)</f>
        <v>0.22662735237686826</v>
      </c>
      <c r="G53" s="5">
        <f>IF($E53&gt;=G$2,VLOOKUP($E53-G$2,'data input'!$D$3:$E$130,2,FALSE),0)</f>
        <v>0.24983788247177696</v>
      </c>
      <c r="H53" s="5">
        <f>IF($E53&gt;=H$2,VLOOKUP($E53-H$2,'data input'!$D$3:$E$130,2,FALSE),0)</f>
        <v>0.27425311775007355</v>
      </c>
      <c r="I53" s="5">
        <f>IF($E53&gt;=I$2,VLOOKUP($E53-I$2,'data input'!$D$3:$E$130,2,FALSE),0)</f>
        <v>0.29979159546869583</v>
      </c>
      <c r="J53" s="5">
        <f>IF($E53&gt;=J$2,VLOOKUP($E53-J$2,'data input'!$D$3:$E$130,2,FALSE),0)</f>
        <v>0.32635522028792008</v>
      </c>
      <c r="K53" s="5">
        <f>IF($E53&gt;=K$2,VLOOKUP($E53-K$2,'data input'!$D$3:$E$130,2,FALSE),0)</f>
        <v>0.35383023332727614</v>
      </c>
      <c r="L53" s="5">
        <f>IF($E53&gt;=L$2,VLOOKUP($E53-L$2,'data input'!$D$3:$E$130,2,FALSE),0)</f>
        <v>0.38208857781104733</v>
      </c>
      <c r="M53" s="5">
        <f>IF($E53&gt;=M$2,VLOOKUP($E53-M$2,'data input'!$D$3:$E$130,2,FALSE),0)</f>
        <v>0.41098963713127035</v>
      </c>
      <c r="N53" s="5">
        <f>IF($E53&gt;=N$2,VLOOKUP($E53-N$2,'data input'!$D$3:$E$130,2,FALSE),0)</f>
        <v>0.4403823076297575</v>
      </c>
      <c r="O53" s="5">
        <f>IF($E53&gt;=O$2,VLOOKUP($E53-O$2,'data input'!$D$3:$E$130,2,FALSE),0)</f>
        <v>0.47010735594710518</v>
      </c>
      <c r="P53" s="5">
        <f>IF($E53&gt;=P$2,VLOOKUP($E53-P$2,'data input'!$D$3:$E$130,2,FALSE),0)</f>
        <v>0.5</v>
      </c>
      <c r="Q53" s="5">
        <f>IF($E53&gt;=Q$2,VLOOKUP($E53-Q$2,'data input'!$D$3:$E$130,2,FALSE),0)</f>
        <v>0.52989264405289482</v>
      </c>
      <c r="R53" s="5">
        <f>IF($E53&gt;=R$2,VLOOKUP($E53-R$2,'data input'!$D$3:$E$130,2,FALSE),0)</f>
        <v>0.5596176923702425</v>
      </c>
      <c r="S53" s="5">
        <f>IF($E53&gt;=S$2,VLOOKUP($E53-S$2,'data input'!$D$3:$E$130,2,FALSE),0)</f>
        <v>0.58901036286872965</v>
      </c>
      <c r="T53" s="5">
        <f>IF($E53&gt;=T$2,VLOOKUP($E53-T$2,'data input'!$D$3:$E$130,2,FALSE),0)</f>
        <v>0.61791142218895267</v>
      </c>
      <c r="U53" s="5">
        <f>IF($E53&gt;=U$2,VLOOKUP($E53-U$2,'data input'!$D$3:$E$130,2,FALSE),0)</f>
        <v>0.64616976667272386</v>
      </c>
      <c r="V53" s="5">
        <f>IF($E53&gt;=V$2,VLOOKUP($E53-V$2,'data input'!$D$3:$E$130,2,FALSE),0)</f>
        <v>0.67364477971207992</v>
      </c>
      <c r="W53" s="5">
        <f>IF($E53&gt;=W$2,VLOOKUP($E53-W$2,'data input'!$D$3:$E$130,2,FALSE),0)</f>
        <v>0.70020840453130417</v>
      </c>
      <c r="X53" s="5">
        <f>IF($E53&gt;=X$2,VLOOKUP($E53-X$2,'data input'!$D$3:$E$130,2,FALSE),0)</f>
        <v>0.72574688224992645</v>
      </c>
      <c r="Y53" s="5">
        <f>IF($E53&gt;=Y$2,VLOOKUP($E53-Y$2,'data input'!$D$3:$E$130,2,FALSE),0)</f>
        <v>0.75016211752822304</v>
      </c>
      <c r="Z53" s="5">
        <f>IF($E53&gt;=Z$2,VLOOKUP($E53-Z$2,'data input'!$D$3:$E$130,2,FALSE),0)</f>
        <v>0.77337264762313174</v>
      </c>
      <c r="AA53" s="5">
        <f>IF($E53&gt;=AA$2,VLOOKUP($E53-AA$2,'data input'!$D$3:$E$130,2,FALSE),0)</f>
        <v>0.79531420465274738</v>
      </c>
      <c r="AB53" s="5">
        <f>IF($E53&gt;=AB$2,VLOOKUP($E53-AB$2,'data input'!$D$3:$E$130,2,FALSE),0)</f>
        <v>0.81593987465324047</v>
      </c>
      <c r="AC53" s="5">
        <f>IF($E53&gt;=AC$2,VLOOKUP($E53-AC$2,'data input'!$D$3:$E$130,2,FALSE),0)</f>
        <v>0.83521987001968967</v>
      </c>
      <c r="AD53" s="5">
        <f>IF($E53&gt;=AD$2,VLOOKUP($E53-AD$2,'data input'!$D$3:$E$130,2,FALSE),0)</f>
        <v>0.85314094362410409</v>
      </c>
      <c r="AE53" s="5">
        <f>IF($E53&gt;=AE$2,VLOOKUP($E53-AE$2,'data input'!$D$3:$E$130,2,FALSE),0)</f>
        <v>0.86970548286319116</v>
      </c>
      <c r="AF53" s="5">
        <f>IF($E53&gt;=AF$2,VLOOKUP($E53-AF$2,'data input'!$D$3:$E$130,2,FALSE),0)</f>
        <v>0.88493032977829178</v>
      </c>
      <c r="AG53" s="5">
        <f>IF($E53&gt;=AG$2,VLOOKUP($E53-AG$2,'data input'!$D$3:$E$130,2,FALSE),0)</f>
        <v>0.89884537900441408</v>
      </c>
      <c r="AH53" s="5">
        <f>IF($E53&gt;=AH$2,VLOOKUP($E53-AH$2,'data input'!$D$3:$E$130,2,FALSE),0)</f>
        <v>0.91149200856259793</v>
      </c>
      <c r="AI53" s="5">
        <f>IF($E53&gt;=AI$2,VLOOKUP($E53-AI$2,'data input'!$D$3:$E$130,2,FALSE),0)</f>
        <v>0.92292139944792817</v>
      </c>
      <c r="AJ53" s="5">
        <f>IF($E53&gt;=AJ$2,VLOOKUP($E53-AJ$2,'data input'!$D$3:$E$130,2,FALSE),0)</f>
        <v>0.93319279873114191</v>
      </c>
      <c r="AK53" s="5">
        <f>IF($E53&gt;=AK$2,VLOOKUP($E53-AK$2,'data input'!$D$3:$E$130,2,FALSE),0)</f>
        <v>0.94237177772384684</v>
      </c>
      <c r="AL53" s="5">
        <f>IF($E53&gt;=AL$2,VLOOKUP($E53-AL$2,'data input'!$D$3:$E$130,2,FALSE),0)</f>
        <v>0.9505285319663519</v>
      </c>
      <c r="AM53" s="5">
        <f>IF($E53&gt;=AM$2,VLOOKUP($E53-AM$2,'data input'!$D$3:$E$130,2,FALSE),0)</f>
        <v>0.95773626374204757</v>
      </c>
      <c r="AN53" s="5">
        <f>IF($E53&gt;=AN$2,VLOOKUP($E53-AN$2,'data input'!$D$3:$E$130,2,FALSE),0)</f>
        <v>0.96406968088707423</v>
      </c>
      <c r="AO53" s="5">
        <f>IF($E53&gt;=AO$2,VLOOKUP($E53-AO$2,'data input'!$D$3:$E$130,2,FALSE),0)</f>
        <v>0.96960363823473861</v>
      </c>
      <c r="AP53" s="5">
        <f>IF($E53&gt;=AP$2,VLOOKUP($E53-AP$2,'data input'!$D$3:$E$130,2,FALSE),0)</f>
        <v>0.97441194047836144</v>
      </c>
      <c r="AQ53" s="5">
        <f>IF($E53&gt;=AQ$2,VLOOKUP($E53-AQ$2,'data input'!$D$3:$E$130,2,FALSE),0)</f>
        <v>0.97856631788584703</v>
      </c>
      <c r="AR53" s="5">
        <f>IF($E53&gt;=AR$2,VLOOKUP($E53-AR$2,'data input'!$D$3:$E$130,2,FALSE),0)</f>
        <v>0.98213557943718344</v>
      </c>
      <c r="AS53" s="5">
        <f>IF($E53&gt;=AS$2,VLOOKUP($E53-AS$2,'data input'!$D$3:$E$130,2,FALSE),0)</f>
        <v>0.98518494180739014</v>
      </c>
      <c r="AT53" s="5">
        <f>IF($E53&gt;=AT$2,VLOOKUP($E53-AT$2,'data input'!$D$3:$E$130,2,FALSE),0)</f>
        <v>0.98777552734495533</v>
      </c>
      <c r="AU53" s="5">
        <f>IF($E53&gt;=AU$2,VLOOKUP($E53-AU$2,'data input'!$D$3:$E$130,2,FALSE),0)</f>
        <v>0.98996401989972593</v>
      </c>
      <c r="AV53" s="5">
        <f>IF($E53&gt;=AV$2,VLOOKUP($E53-AV$2,'data input'!$D$3:$E$130,2,FALSE),0)</f>
        <v>0.99180246407540384</v>
      </c>
      <c r="AW53" s="5">
        <f>IF($E53&gt;=AW$2,VLOOKUP($E53-AW$2,'data input'!$D$3:$E$130,2,FALSE),0)</f>
        <v>0.99333819120801725</v>
      </c>
      <c r="AX53" s="5">
        <f>IF($E53&gt;=AX$2,VLOOKUP($E53-AX$2,'data input'!$D$3:$E$130,2,FALSE),0)</f>
        <v>0.99461385404593328</v>
      </c>
      <c r="AY53" s="5">
        <f>IF($E53&gt;=AY$2,VLOOKUP($E53-AY$2,'data input'!$D$3:$E$130,2,FALSE),0)</f>
        <v>0.99566755163698739</v>
      </c>
      <c r="AZ53" s="5">
        <f>IF($E53&gt;=AZ$2,VLOOKUP($E53-AZ$2,'data input'!$D$3:$E$130,2,FALSE),0)</f>
        <v>0.99653302619695938</v>
      </c>
      <c r="BA53" s="5">
        <f>IF($E53&gt;=BA$2,VLOOKUP($E53-BA$2,'data input'!$D$3:$E$130,2,FALSE),0)</f>
        <v>0.99723991460873751</v>
      </c>
      <c r="BB53" s="5">
        <f>IF($E53&gt;=BB$2,VLOOKUP($E53-BB$2,'data input'!$D$3:$E$130,2,FALSE),0)</f>
        <v>0.99781403854508677</v>
      </c>
      <c r="BC53" s="5">
        <f>IF($E53&gt;=BC$2,VLOOKUP($E53-BC$2,'data input'!$D$3:$E$130,2,FALSE),0)</f>
        <v>0.99827771888413241</v>
      </c>
      <c r="BD53" s="5">
        <f>IF($E53&gt;=BD$2,VLOOKUP($E53-BD$2,'data input'!$D$3:$E$130,2,FALSE),0)</f>
        <v>0.9986501019683699</v>
      </c>
      <c r="BE53" s="5">
        <f>IF($E53&gt;=BE$2,VLOOKUP($E53-BE$2,'data input'!$D$3:$E$130,2,FALSE),0)</f>
        <v>0</v>
      </c>
      <c r="BF53" s="5">
        <f>IF($E53&gt;=BF$2,VLOOKUP($E53-BF$2,'data input'!$D$3:$E$130,2,FALSE),0)</f>
        <v>0</v>
      </c>
      <c r="BG53" s="5">
        <f>IF($E53&gt;=BG$2,VLOOKUP($E53-BG$2,'data input'!$D$3:$E$130,2,FALSE),0)</f>
        <v>0</v>
      </c>
      <c r="BH53" s="5">
        <f>IF($E53&gt;=BH$2,VLOOKUP($E53-BH$2,'data input'!$D$3:$E$130,2,FALSE),0)</f>
        <v>0</v>
      </c>
      <c r="BI53" s="5">
        <f>IF($E53&gt;=BI$2,VLOOKUP($E53-BI$2,'data input'!$D$3:$E$130,2,FALSE),0)</f>
        <v>0</v>
      </c>
      <c r="BJ53" s="5">
        <f>IF($E53&gt;=BJ$2,VLOOKUP($E53-BJ$2,'data input'!$D$3:$E$130,2,FALSE),0)</f>
        <v>0</v>
      </c>
      <c r="BK53" s="5">
        <f>IF($E53&gt;=BK$2,VLOOKUP($E53-BK$2,'data input'!$D$3:$E$130,2,FALSE),0)</f>
        <v>0</v>
      </c>
      <c r="BL53" s="5">
        <f>IF($E53&gt;=BL$2,VLOOKUP($E53-BL$2,'data input'!$D$3:$E$130,2,FALSE),0)</f>
        <v>0</v>
      </c>
      <c r="BM53" s="5">
        <f>IF($E53&gt;=BM$2,VLOOKUP($E53-BM$2,'data input'!$D$3:$E$130,2,FALSE),0)</f>
        <v>0</v>
      </c>
      <c r="BN53" s="5">
        <f>IF($E53&gt;=BN$2,VLOOKUP($E53-BN$2,'data input'!$D$3:$E$130,2,FALSE),0)</f>
        <v>0</v>
      </c>
      <c r="BO53" s="5">
        <f>IF($E53&gt;=BO$2,VLOOKUP($E53-BO$2,'data input'!$D$3:$E$130,2,FALSE),0)</f>
        <v>0</v>
      </c>
      <c r="BP53" s="5">
        <f>IF($E53&gt;=BP$2,VLOOKUP($E53-BP$2,'data input'!$D$3:$E$130,2,FALSE),0)</f>
        <v>0</v>
      </c>
      <c r="BQ53" s="5">
        <f>IF($E53&gt;=BQ$2,VLOOKUP($E53-BQ$2,'data input'!$D$3:$E$130,2,FALSE),0)</f>
        <v>0</v>
      </c>
      <c r="BR53" s="5">
        <f>IF($E53&gt;=BR$2,VLOOKUP($E53-BR$2,'data input'!$D$3:$E$130,2,FALSE),0)</f>
        <v>0</v>
      </c>
      <c r="BS53" s="5">
        <f>IF($E53&gt;=BS$2,VLOOKUP($E53-BS$2,'data input'!$D$3:$E$130,2,FALSE),0)</f>
        <v>0</v>
      </c>
      <c r="BT53" s="5">
        <f>IF($E53&gt;=BT$2,VLOOKUP($E53-BT$2,'data input'!$D$3:$E$130,2,FALSE),0)</f>
        <v>0</v>
      </c>
      <c r="BU53" s="5">
        <f>IF($E53&gt;=BU$2,VLOOKUP($E53-BU$2,'data input'!$D$3:$E$130,2,FALSE),0)</f>
        <v>0</v>
      </c>
      <c r="BV53" s="5">
        <f>IF($E53&gt;=BV$2,VLOOKUP($E53-BV$2,'data input'!$D$3:$E$130,2,FALSE),0)</f>
        <v>0</v>
      </c>
      <c r="BW53" s="5">
        <f>IF($E53&gt;=BW$2,VLOOKUP($E53-BW$2,'data input'!$D$3:$E$130,2,FALSE),0)</f>
        <v>0</v>
      </c>
      <c r="BX53" s="5">
        <f>IF($E53&gt;=BX$2,VLOOKUP($E53-BX$2,'data input'!$D$3:$E$130,2,FALSE),0)</f>
        <v>0</v>
      </c>
      <c r="BY53" s="5">
        <f>IF($E53&gt;=BY$2,VLOOKUP($E53-BY$2,'data input'!$D$3:$E$130,2,FALSE),0)</f>
        <v>0</v>
      </c>
      <c r="BZ53" s="5">
        <f>IF($E53&gt;=BZ$2,VLOOKUP($E53-BZ$2,'data input'!$D$3:$E$130,2,FALSE),0)</f>
        <v>0</v>
      </c>
      <c r="CA53" s="5">
        <f>IF($E53&gt;=CA$2,VLOOKUP($E53-CA$2,'data input'!$D$3:$E$130,2,FALSE),0)</f>
        <v>0</v>
      </c>
      <c r="CB53" s="5">
        <f>IF($E53&gt;=CB$2,VLOOKUP($E53-CB$2,'data input'!$D$3:$E$130,2,FALSE),0)</f>
        <v>0</v>
      </c>
      <c r="CC53" s="5">
        <f>IF($E53&gt;=CC$2,VLOOKUP($E53-CC$2,'data input'!$D$3:$E$130,2,FALSE),0)</f>
        <v>0</v>
      </c>
      <c r="CD53" s="5">
        <f>IF($E53&gt;=CD$2,VLOOKUP($E53-CD$2,'data input'!$D$3:$E$130,2,FALSE),0)</f>
        <v>0</v>
      </c>
      <c r="CE53" s="5">
        <f>IF($E53&gt;=CE$2,VLOOKUP($E53-CE$2,'data input'!$D$3:$E$130,2,FALSE),0)</f>
        <v>0</v>
      </c>
      <c r="CF53" s="5">
        <f>IF($E53&gt;=CF$2,VLOOKUP($E53-CF$2,'data input'!$D$3:$E$130,2,FALSE),0)</f>
        <v>0</v>
      </c>
      <c r="CG53" s="5">
        <f>IF($E53&gt;=CG$2,VLOOKUP($E53-CG$2,'data input'!$D$3:$E$130,2,FALSE),0)</f>
        <v>0</v>
      </c>
      <c r="CH53" s="5">
        <f>IF($E53&gt;=CH$2,VLOOKUP($E53-CH$2,'data input'!$D$3:$E$130,2,FALSE),0)</f>
        <v>0</v>
      </c>
      <c r="CI53" s="5">
        <f>IF($E53&gt;=CI$2,VLOOKUP($E53-CI$2,'data input'!$D$3:$E$130,2,FALSE),0)</f>
        <v>0</v>
      </c>
      <c r="CJ53" s="5">
        <f>IF($E53&gt;=CJ$2,VLOOKUP($E53-CJ$2,'data input'!$D$3:$E$130,2,FALSE),0)</f>
        <v>0</v>
      </c>
      <c r="CK53" s="5">
        <f>IF($E53&gt;=CK$2,VLOOKUP($E53-CK$2,'data input'!$D$3:$E$130,2,FALSE),0)</f>
        <v>0</v>
      </c>
      <c r="CL53" s="5">
        <f>IF($E53&gt;=CL$2,VLOOKUP($E53-CL$2,'data input'!$D$3:$E$130,2,FALSE),0)</f>
        <v>0</v>
      </c>
      <c r="CM53" s="5">
        <f>IF($E53&gt;=CM$2,VLOOKUP($E53-CM$2,'data input'!$D$3:$E$130,2,FALSE),0)</f>
        <v>0</v>
      </c>
      <c r="CN53" s="5">
        <f>IF($E53&gt;=CN$2,VLOOKUP($E53-CN$2,'data input'!$D$3:$E$130,2,FALSE),0)</f>
        <v>0</v>
      </c>
      <c r="CO53" s="5">
        <f>IF($E53&gt;=CO$2,VLOOKUP($E53-CO$2,'data input'!$D$3:$E$130,2,FALSE),0)</f>
        <v>0</v>
      </c>
      <c r="CP53" s="5">
        <f>IF($E53&gt;=CP$2,VLOOKUP($E53-CP$2,'data input'!$D$3:$E$130,2,FALSE),0)</f>
        <v>0</v>
      </c>
      <c r="CQ53" s="5">
        <f>IF($E53&gt;=CQ$2,VLOOKUP($E53-CQ$2,'data input'!$D$3:$E$130,2,FALSE),0)</f>
        <v>0</v>
      </c>
      <c r="CR53" s="5">
        <f>IF($E53&gt;=CR$2,VLOOKUP($E53-CR$2,'data input'!$D$3:$E$130,2,FALSE),0)</f>
        <v>0</v>
      </c>
      <c r="CS53" s="5">
        <f>IF($E53&gt;=CS$2,VLOOKUP($E53-CS$2,'data input'!$D$3:$E$130,2,FALSE),0)</f>
        <v>0</v>
      </c>
      <c r="CT53" s="5">
        <f>IF($E53&gt;=CT$2,VLOOKUP($E53-CT$2,'data input'!$D$3:$E$130,2,FALSE),0)</f>
        <v>0</v>
      </c>
      <c r="CU53" s="5">
        <f>IF($E53&gt;=CU$2,VLOOKUP($E53-CU$2,'data input'!$D$3:$E$130,2,FALSE),0)</f>
        <v>0</v>
      </c>
      <c r="CV53" s="5">
        <f>IF($E53&gt;=CV$2,VLOOKUP($E53-CV$2,'data input'!$D$3:$E$130,2,FALSE),0)</f>
        <v>0</v>
      </c>
      <c r="CW53" s="5">
        <f>IF($E53&gt;=CW$2,VLOOKUP($E53-CW$2,'data input'!$D$3:$E$130,2,FALSE),0)</f>
        <v>0</v>
      </c>
      <c r="CX53" s="5">
        <f>IF($E53&gt;=CX$2,VLOOKUP($E53-CX$2,'data input'!$D$3:$E$130,2,FALSE),0)</f>
        <v>0</v>
      </c>
      <c r="CY53" s="5">
        <f>IF($E53&gt;=CY$2,VLOOKUP($E53-CY$2,'data input'!$D$3:$E$130,2,FALSE),0)</f>
        <v>0</v>
      </c>
      <c r="CZ53" s="5">
        <f>IF($E53&gt;=CZ$2,VLOOKUP($E53-CZ$2,'data input'!$D$3:$E$130,2,FALSE),0)</f>
        <v>0</v>
      </c>
      <c r="DA53" s="5">
        <f>IF($E53&gt;=DA$2,VLOOKUP($E53-DA$2,'data input'!$D$3:$E$130,2,FALSE),0)</f>
        <v>0</v>
      </c>
      <c r="DB53" s="5">
        <f>IF($E53&gt;=DB$2,VLOOKUP($E53-DB$2,'data input'!$D$3:$E$130,2,FALSE),0)</f>
        <v>0</v>
      </c>
      <c r="DC53" s="5">
        <f>IF($E53&gt;=DC$2,VLOOKUP($E53-DC$2,'data input'!$D$3:$E$130,2,FALSE),0)</f>
        <v>0</v>
      </c>
      <c r="DD53" s="5">
        <f>IF($E53&gt;=DD$2,VLOOKUP($E53-DD$2,'data input'!$D$3:$E$130,2,FALSE),0)</f>
        <v>0</v>
      </c>
      <c r="DE53" s="5">
        <f>IF($E53&gt;=DE$2,VLOOKUP($E53-DE$2,'data input'!$D$3:$E$130,2,FALSE),0)</f>
        <v>0</v>
      </c>
      <c r="DF53" s="5">
        <f>IF($E53&gt;=DF$2,VLOOKUP($E53-DF$2,'data input'!$D$3:$E$130,2,FALSE),0)</f>
        <v>0</v>
      </c>
      <c r="DG53" s="5">
        <f>IF($E53&gt;=DG$2,VLOOKUP($E53-DG$2,'data input'!$D$3:$E$130,2,FALSE),0)</f>
        <v>0</v>
      </c>
      <c r="DH53" s="5">
        <f>IF($E53&gt;=DH$2,VLOOKUP($E53-DH$2,'data input'!$D$3:$E$130,2,FALSE),0)</f>
        <v>0</v>
      </c>
      <c r="DI53" s="5">
        <f>IF($E53&gt;=DI$2,VLOOKUP($E53-DI$2,'data input'!$D$3:$E$130,2,FALSE),0)</f>
        <v>0</v>
      </c>
      <c r="DJ53" s="5">
        <f>IF($E53&gt;=DJ$2,VLOOKUP($E53-DJ$2,'data input'!$D$3:$E$130,2,FALSE),0)</f>
        <v>0</v>
      </c>
      <c r="DK53" s="5">
        <f>IF($E53&gt;=DK$2,VLOOKUP($E53-DK$2,'data input'!$D$3:$E$130,2,FALSE),0)</f>
        <v>0</v>
      </c>
      <c r="DL53" s="5">
        <f>IF($E53&gt;=DL$2,VLOOKUP($E53-DL$2,'data input'!$D$3:$E$130,2,FALSE),0)</f>
        <v>0</v>
      </c>
      <c r="DM53" s="5">
        <f>IF($E53&gt;=DM$2,VLOOKUP($E53-DM$2,'data input'!$D$3:$E$130,2,FALSE),0)</f>
        <v>0</v>
      </c>
      <c r="DN53" s="5">
        <f>IF($E53&gt;=DN$2,VLOOKUP($E53-DN$2,'data input'!$D$3:$E$130,2,FALSE),0)</f>
        <v>0</v>
      </c>
      <c r="DO53" s="5">
        <f>IF($E53&gt;=DO$2,VLOOKUP($E53-DO$2,'data input'!$D$3:$E$130,2,FALSE),0)</f>
        <v>0</v>
      </c>
      <c r="DP53" s="5">
        <f>IF($E53&gt;=DP$2,VLOOKUP($E53-DP$2,'data input'!$D$3:$E$130,2,FALSE),0)</f>
        <v>0</v>
      </c>
      <c r="DQ53" s="5">
        <f>IF($E53&gt;=DQ$2,VLOOKUP($E53-DQ$2,'data input'!$D$3:$E$130,2,FALSE),0)</f>
        <v>0</v>
      </c>
      <c r="DR53" s="5">
        <f>IF($E53&gt;=DR$2,VLOOKUP($E53-DR$2,'data input'!$D$3:$E$130,2,FALSE),0)</f>
        <v>0</v>
      </c>
      <c r="DS53" s="5">
        <f>IF($E53&gt;=DS$2,VLOOKUP($E53-DS$2,'data input'!$D$3:$E$130,2,FALSE),0)</f>
        <v>0</v>
      </c>
      <c r="DT53" s="5">
        <f>IF($E53&gt;=DT$2,VLOOKUP($E53-DT$2,'data input'!$D$3:$E$130,2,FALSE),0)</f>
        <v>0</v>
      </c>
      <c r="DU53" s="5">
        <f>IF($E53&gt;=DU$2,VLOOKUP($E53-DU$2,'data input'!$D$3:$E$130,2,FALSE),0)</f>
        <v>0</v>
      </c>
      <c r="DV53" s="5">
        <f>IF($E53&gt;=DV$2,VLOOKUP($E53-DV$2,'data input'!$D$3:$E$130,2,FALSE),0)</f>
        <v>0</v>
      </c>
      <c r="DW53" s="5">
        <f>IF($E53&gt;=DW$2,VLOOKUP($E53-DW$2,'data input'!$D$3:$E$130,2,FALSE),0)</f>
        <v>0</v>
      </c>
      <c r="DX53" s="5">
        <f>IF($E53&gt;=DX$2,VLOOKUP($E53-DX$2,'data input'!$D$3:$E$130,2,FALSE),0)</f>
        <v>0</v>
      </c>
      <c r="DY53" s="5">
        <f>IF($E53&gt;=DY$2,VLOOKUP($E53-DY$2,'data input'!$D$3:$E$130,2,FALSE),0)</f>
        <v>0</v>
      </c>
      <c r="DZ53" s="5">
        <f>IF($E53&gt;=DZ$2,VLOOKUP($E53-DZ$2,'data input'!$D$3:$E$130,2,FALSE),0)</f>
        <v>0</v>
      </c>
      <c r="EA53" s="5">
        <f>IF($E53&gt;=EA$2,VLOOKUP($E53-EA$2,'data input'!$D$3:$E$130,2,FALSE),0)</f>
        <v>0</v>
      </c>
      <c r="EB53" s="5">
        <f>IF($E53&gt;=EB$2,VLOOKUP($E53-EB$2,'data input'!$D$3:$E$130,2,FALSE),0)</f>
        <v>0</v>
      </c>
      <c r="EC53" s="5">
        <f>IF($E53&gt;=EC$2,VLOOKUP($E53-EC$2,'data input'!$D$3:$E$130,2,FALSE),0)</f>
        <v>0</v>
      </c>
    </row>
    <row r="54" spans="5:133">
      <c r="E54" s="7">
        <f>'data input'!B54</f>
        <v>1929</v>
      </c>
      <c r="F54" s="5">
        <f>IF($E54&gt;=F$2,VLOOKUP($E54-F$2,'data input'!$D$3:$E$130,2,FALSE),0)</f>
        <v>0.20468579534725262</v>
      </c>
      <c r="G54" s="5">
        <f>IF($E54&gt;=G$2,VLOOKUP($E54-G$2,'data input'!$D$3:$E$130,2,FALSE),0)</f>
        <v>0.22662735237686826</v>
      </c>
      <c r="H54" s="5">
        <f>IF($E54&gt;=H$2,VLOOKUP($E54-H$2,'data input'!$D$3:$E$130,2,FALSE),0)</f>
        <v>0.24983788247177696</v>
      </c>
      <c r="I54" s="5">
        <f>IF($E54&gt;=I$2,VLOOKUP($E54-I$2,'data input'!$D$3:$E$130,2,FALSE),0)</f>
        <v>0.27425311775007355</v>
      </c>
      <c r="J54" s="5">
        <f>IF($E54&gt;=J$2,VLOOKUP($E54-J$2,'data input'!$D$3:$E$130,2,FALSE),0)</f>
        <v>0.29979159546869583</v>
      </c>
      <c r="K54" s="5">
        <f>IF($E54&gt;=K$2,VLOOKUP($E54-K$2,'data input'!$D$3:$E$130,2,FALSE),0)</f>
        <v>0.32635522028792008</v>
      </c>
      <c r="L54" s="5">
        <f>IF($E54&gt;=L$2,VLOOKUP($E54-L$2,'data input'!$D$3:$E$130,2,FALSE),0)</f>
        <v>0.35383023332727614</v>
      </c>
      <c r="M54" s="5">
        <f>IF($E54&gt;=M$2,VLOOKUP($E54-M$2,'data input'!$D$3:$E$130,2,FALSE),0)</f>
        <v>0.38208857781104733</v>
      </c>
      <c r="N54" s="5">
        <f>IF($E54&gt;=N$2,VLOOKUP($E54-N$2,'data input'!$D$3:$E$130,2,FALSE),0)</f>
        <v>0.41098963713127035</v>
      </c>
      <c r="O54" s="5">
        <f>IF($E54&gt;=O$2,VLOOKUP($E54-O$2,'data input'!$D$3:$E$130,2,FALSE),0)</f>
        <v>0.4403823076297575</v>
      </c>
      <c r="P54" s="5">
        <f>IF($E54&gt;=P$2,VLOOKUP($E54-P$2,'data input'!$D$3:$E$130,2,FALSE),0)</f>
        <v>0.47010735594710518</v>
      </c>
      <c r="Q54" s="5">
        <f>IF($E54&gt;=Q$2,VLOOKUP($E54-Q$2,'data input'!$D$3:$E$130,2,FALSE),0)</f>
        <v>0.5</v>
      </c>
      <c r="R54" s="5">
        <f>IF($E54&gt;=R$2,VLOOKUP($E54-R$2,'data input'!$D$3:$E$130,2,FALSE),0)</f>
        <v>0.52989264405289482</v>
      </c>
      <c r="S54" s="5">
        <f>IF($E54&gt;=S$2,VLOOKUP($E54-S$2,'data input'!$D$3:$E$130,2,FALSE),0)</f>
        <v>0.5596176923702425</v>
      </c>
      <c r="T54" s="5">
        <f>IF($E54&gt;=T$2,VLOOKUP($E54-T$2,'data input'!$D$3:$E$130,2,FALSE),0)</f>
        <v>0.58901036286872965</v>
      </c>
      <c r="U54" s="5">
        <f>IF($E54&gt;=U$2,VLOOKUP($E54-U$2,'data input'!$D$3:$E$130,2,FALSE),0)</f>
        <v>0.61791142218895267</v>
      </c>
      <c r="V54" s="5">
        <f>IF($E54&gt;=V$2,VLOOKUP($E54-V$2,'data input'!$D$3:$E$130,2,FALSE),0)</f>
        <v>0.64616976667272386</v>
      </c>
      <c r="W54" s="5">
        <f>IF($E54&gt;=W$2,VLOOKUP($E54-W$2,'data input'!$D$3:$E$130,2,FALSE),0)</f>
        <v>0.67364477971207992</v>
      </c>
      <c r="X54" s="5">
        <f>IF($E54&gt;=X$2,VLOOKUP($E54-X$2,'data input'!$D$3:$E$130,2,FALSE),0)</f>
        <v>0.70020840453130417</v>
      </c>
      <c r="Y54" s="5">
        <f>IF($E54&gt;=Y$2,VLOOKUP($E54-Y$2,'data input'!$D$3:$E$130,2,FALSE),0)</f>
        <v>0.72574688224992645</v>
      </c>
      <c r="Z54" s="5">
        <f>IF($E54&gt;=Z$2,VLOOKUP($E54-Z$2,'data input'!$D$3:$E$130,2,FALSE),0)</f>
        <v>0.75016211752822304</v>
      </c>
      <c r="AA54" s="5">
        <f>IF($E54&gt;=AA$2,VLOOKUP($E54-AA$2,'data input'!$D$3:$E$130,2,FALSE),0)</f>
        <v>0.77337264762313174</v>
      </c>
      <c r="AB54" s="5">
        <f>IF($E54&gt;=AB$2,VLOOKUP($E54-AB$2,'data input'!$D$3:$E$130,2,FALSE),0)</f>
        <v>0.79531420465274738</v>
      </c>
      <c r="AC54" s="5">
        <f>IF($E54&gt;=AC$2,VLOOKUP($E54-AC$2,'data input'!$D$3:$E$130,2,FALSE),0)</f>
        <v>0.81593987465324047</v>
      </c>
      <c r="AD54" s="5">
        <f>IF($E54&gt;=AD$2,VLOOKUP($E54-AD$2,'data input'!$D$3:$E$130,2,FALSE),0)</f>
        <v>0.83521987001968967</v>
      </c>
      <c r="AE54" s="5">
        <f>IF($E54&gt;=AE$2,VLOOKUP($E54-AE$2,'data input'!$D$3:$E$130,2,FALSE),0)</f>
        <v>0.85314094362410409</v>
      </c>
      <c r="AF54" s="5">
        <f>IF($E54&gt;=AF$2,VLOOKUP($E54-AF$2,'data input'!$D$3:$E$130,2,FALSE),0)</f>
        <v>0.86970548286319116</v>
      </c>
      <c r="AG54" s="5">
        <f>IF($E54&gt;=AG$2,VLOOKUP($E54-AG$2,'data input'!$D$3:$E$130,2,FALSE),0)</f>
        <v>0.88493032977829178</v>
      </c>
      <c r="AH54" s="5">
        <f>IF($E54&gt;=AH$2,VLOOKUP($E54-AH$2,'data input'!$D$3:$E$130,2,FALSE),0)</f>
        <v>0.89884537900441408</v>
      </c>
      <c r="AI54" s="5">
        <f>IF($E54&gt;=AI$2,VLOOKUP($E54-AI$2,'data input'!$D$3:$E$130,2,FALSE),0)</f>
        <v>0.91149200856259793</v>
      </c>
      <c r="AJ54" s="5">
        <f>IF($E54&gt;=AJ$2,VLOOKUP($E54-AJ$2,'data input'!$D$3:$E$130,2,FALSE),0)</f>
        <v>0.92292139944792817</v>
      </c>
      <c r="AK54" s="5">
        <f>IF($E54&gt;=AK$2,VLOOKUP($E54-AK$2,'data input'!$D$3:$E$130,2,FALSE),0)</f>
        <v>0.93319279873114191</v>
      </c>
      <c r="AL54" s="5">
        <f>IF($E54&gt;=AL$2,VLOOKUP($E54-AL$2,'data input'!$D$3:$E$130,2,FALSE),0)</f>
        <v>0.94237177772384684</v>
      </c>
      <c r="AM54" s="5">
        <f>IF($E54&gt;=AM$2,VLOOKUP($E54-AM$2,'data input'!$D$3:$E$130,2,FALSE),0)</f>
        <v>0.9505285319663519</v>
      </c>
      <c r="AN54" s="5">
        <f>IF($E54&gt;=AN$2,VLOOKUP($E54-AN$2,'data input'!$D$3:$E$130,2,FALSE),0)</f>
        <v>0.95773626374204757</v>
      </c>
      <c r="AO54" s="5">
        <f>IF($E54&gt;=AO$2,VLOOKUP($E54-AO$2,'data input'!$D$3:$E$130,2,FALSE),0)</f>
        <v>0.96406968088707423</v>
      </c>
      <c r="AP54" s="5">
        <f>IF($E54&gt;=AP$2,VLOOKUP($E54-AP$2,'data input'!$D$3:$E$130,2,FALSE),0)</f>
        <v>0.96960363823473861</v>
      </c>
      <c r="AQ54" s="5">
        <f>IF($E54&gt;=AQ$2,VLOOKUP($E54-AQ$2,'data input'!$D$3:$E$130,2,FALSE),0)</f>
        <v>0.97441194047836144</v>
      </c>
      <c r="AR54" s="5">
        <f>IF($E54&gt;=AR$2,VLOOKUP($E54-AR$2,'data input'!$D$3:$E$130,2,FALSE),0)</f>
        <v>0.97856631788584703</v>
      </c>
      <c r="AS54" s="5">
        <f>IF($E54&gt;=AS$2,VLOOKUP($E54-AS$2,'data input'!$D$3:$E$130,2,FALSE),0)</f>
        <v>0.98213557943718344</v>
      </c>
      <c r="AT54" s="5">
        <f>IF($E54&gt;=AT$2,VLOOKUP($E54-AT$2,'data input'!$D$3:$E$130,2,FALSE),0)</f>
        <v>0.98518494180739014</v>
      </c>
      <c r="AU54" s="5">
        <f>IF($E54&gt;=AU$2,VLOOKUP($E54-AU$2,'data input'!$D$3:$E$130,2,FALSE),0)</f>
        <v>0.98777552734495533</v>
      </c>
      <c r="AV54" s="5">
        <f>IF($E54&gt;=AV$2,VLOOKUP($E54-AV$2,'data input'!$D$3:$E$130,2,FALSE),0)</f>
        <v>0.98996401989972593</v>
      </c>
      <c r="AW54" s="5">
        <f>IF($E54&gt;=AW$2,VLOOKUP($E54-AW$2,'data input'!$D$3:$E$130,2,FALSE),0)</f>
        <v>0.99180246407540384</v>
      </c>
      <c r="AX54" s="5">
        <f>IF($E54&gt;=AX$2,VLOOKUP($E54-AX$2,'data input'!$D$3:$E$130,2,FALSE),0)</f>
        <v>0.99333819120801725</v>
      </c>
      <c r="AY54" s="5">
        <f>IF($E54&gt;=AY$2,VLOOKUP($E54-AY$2,'data input'!$D$3:$E$130,2,FALSE),0)</f>
        <v>0.99461385404593328</v>
      </c>
      <c r="AZ54" s="5">
        <f>IF($E54&gt;=AZ$2,VLOOKUP($E54-AZ$2,'data input'!$D$3:$E$130,2,FALSE),0)</f>
        <v>0.99566755163698739</v>
      </c>
      <c r="BA54" s="5">
        <f>IF($E54&gt;=BA$2,VLOOKUP($E54-BA$2,'data input'!$D$3:$E$130,2,FALSE),0)</f>
        <v>0.99653302619695938</v>
      </c>
      <c r="BB54" s="5">
        <f>IF($E54&gt;=BB$2,VLOOKUP($E54-BB$2,'data input'!$D$3:$E$130,2,FALSE),0)</f>
        <v>0.99723991460873751</v>
      </c>
      <c r="BC54" s="5">
        <f>IF($E54&gt;=BC$2,VLOOKUP($E54-BC$2,'data input'!$D$3:$E$130,2,FALSE),0)</f>
        <v>0.99781403854508677</v>
      </c>
      <c r="BD54" s="5">
        <f>IF($E54&gt;=BD$2,VLOOKUP($E54-BD$2,'data input'!$D$3:$E$130,2,FALSE),0)</f>
        <v>0.99827771888413241</v>
      </c>
      <c r="BE54" s="5">
        <f>IF($E54&gt;=BE$2,VLOOKUP($E54-BE$2,'data input'!$D$3:$E$130,2,FALSE),0)</f>
        <v>0.9986501019683699</v>
      </c>
      <c r="BF54" s="5">
        <f>IF($E54&gt;=BF$2,VLOOKUP($E54-BF$2,'data input'!$D$3:$E$130,2,FALSE),0)</f>
        <v>0</v>
      </c>
      <c r="BG54" s="5">
        <f>IF($E54&gt;=BG$2,VLOOKUP($E54-BG$2,'data input'!$D$3:$E$130,2,FALSE),0)</f>
        <v>0</v>
      </c>
      <c r="BH54" s="5">
        <f>IF($E54&gt;=BH$2,VLOOKUP($E54-BH$2,'data input'!$D$3:$E$130,2,FALSE),0)</f>
        <v>0</v>
      </c>
      <c r="BI54" s="5">
        <f>IF($E54&gt;=BI$2,VLOOKUP($E54-BI$2,'data input'!$D$3:$E$130,2,FALSE),0)</f>
        <v>0</v>
      </c>
      <c r="BJ54" s="5">
        <f>IF($E54&gt;=BJ$2,VLOOKUP($E54-BJ$2,'data input'!$D$3:$E$130,2,FALSE),0)</f>
        <v>0</v>
      </c>
      <c r="BK54" s="5">
        <f>IF($E54&gt;=BK$2,VLOOKUP($E54-BK$2,'data input'!$D$3:$E$130,2,FALSE),0)</f>
        <v>0</v>
      </c>
      <c r="BL54" s="5">
        <f>IF($E54&gt;=BL$2,VLOOKUP($E54-BL$2,'data input'!$D$3:$E$130,2,FALSE),0)</f>
        <v>0</v>
      </c>
      <c r="BM54" s="5">
        <f>IF($E54&gt;=BM$2,VLOOKUP($E54-BM$2,'data input'!$D$3:$E$130,2,FALSE),0)</f>
        <v>0</v>
      </c>
      <c r="BN54" s="5">
        <f>IF($E54&gt;=BN$2,VLOOKUP($E54-BN$2,'data input'!$D$3:$E$130,2,FALSE),0)</f>
        <v>0</v>
      </c>
      <c r="BO54" s="5">
        <f>IF($E54&gt;=BO$2,VLOOKUP($E54-BO$2,'data input'!$D$3:$E$130,2,FALSE),0)</f>
        <v>0</v>
      </c>
      <c r="BP54" s="5">
        <f>IF($E54&gt;=BP$2,VLOOKUP($E54-BP$2,'data input'!$D$3:$E$130,2,FALSE),0)</f>
        <v>0</v>
      </c>
      <c r="BQ54" s="5">
        <f>IF($E54&gt;=BQ$2,VLOOKUP($E54-BQ$2,'data input'!$D$3:$E$130,2,FALSE),0)</f>
        <v>0</v>
      </c>
      <c r="BR54" s="5">
        <f>IF($E54&gt;=BR$2,VLOOKUP($E54-BR$2,'data input'!$D$3:$E$130,2,FALSE),0)</f>
        <v>0</v>
      </c>
      <c r="BS54" s="5">
        <f>IF($E54&gt;=BS$2,VLOOKUP($E54-BS$2,'data input'!$D$3:$E$130,2,FALSE),0)</f>
        <v>0</v>
      </c>
      <c r="BT54" s="5">
        <f>IF($E54&gt;=BT$2,VLOOKUP($E54-BT$2,'data input'!$D$3:$E$130,2,FALSE),0)</f>
        <v>0</v>
      </c>
      <c r="BU54" s="5">
        <f>IF($E54&gt;=BU$2,VLOOKUP($E54-BU$2,'data input'!$D$3:$E$130,2,FALSE),0)</f>
        <v>0</v>
      </c>
      <c r="BV54" s="5">
        <f>IF($E54&gt;=BV$2,VLOOKUP($E54-BV$2,'data input'!$D$3:$E$130,2,FALSE),0)</f>
        <v>0</v>
      </c>
      <c r="BW54" s="5">
        <f>IF($E54&gt;=BW$2,VLOOKUP($E54-BW$2,'data input'!$D$3:$E$130,2,FALSE),0)</f>
        <v>0</v>
      </c>
      <c r="BX54" s="5">
        <f>IF($E54&gt;=BX$2,VLOOKUP($E54-BX$2,'data input'!$D$3:$E$130,2,FALSE),0)</f>
        <v>0</v>
      </c>
      <c r="BY54" s="5">
        <f>IF($E54&gt;=BY$2,VLOOKUP($E54-BY$2,'data input'!$D$3:$E$130,2,FALSE),0)</f>
        <v>0</v>
      </c>
      <c r="BZ54" s="5">
        <f>IF($E54&gt;=BZ$2,VLOOKUP($E54-BZ$2,'data input'!$D$3:$E$130,2,FALSE),0)</f>
        <v>0</v>
      </c>
      <c r="CA54" s="5">
        <f>IF($E54&gt;=CA$2,VLOOKUP($E54-CA$2,'data input'!$D$3:$E$130,2,FALSE),0)</f>
        <v>0</v>
      </c>
      <c r="CB54" s="5">
        <f>IF($E54&gt;=CB$2,VLOOKUP($E54-CB$2,'data input'!$D$3:$E$130,2,FALSE),0)</f>
        <v>0</v>
      </c>
      <c r="CC54" s="5">
        <f>IF($E54&gt;=CC$2,VLOOKUP($E54-CC$2,'data input'!$D$3:$E$130,2,FALSE),0)</f>
        <v>0</v>
      </c>
      <c r="CD54" s="5">
        <f>IF($E54&gt;=CD$2,VLOOKUP($E54-CD$2,'data input'!$D$3:$E$130,2,FALSE),0)</f>
        <v>0</v>
      </c>
      <c r="CE54" s="5">
        <f>IF($E54&gt;=CE$2,VLOOKUP($E54-CE$2,'data input'!$D$3:$E$130,2,FALSE),0)</f>
        <v>0</v>
      </c>
      <c r="CF54" s="5">
        <f>IF($E54&gt;=CF$2,VLOOKUP($E54-CF$2,'data input'!$D$3:$E$130,2,FALSE),0)</f>
        <v>0</v>
      </c>
      <c r="CG54" s="5">
        <f>IF($E54&gt;=CG$2,VLOOKUP($E54-CG$2,'data input'!$D$3:$E$130,2,FALSE),0)</f>
        <v>0</v>
      </c>
      <c r="CH54" s="5">
        <f>IF($E54&gt;=CH$2,VLOOKUP($E54-CH$2,'data input'!$D$3:$E$130,2,FALSE),0)</f>
        <v>0</v>
      </c>
      <c r="CI54" s="5">
        <f>IF($E54&gt;=CI$2,VLOOKUP($E54-CI$2,'data input'!$D$3:$E$130,2,FALSE),0)</f>
        <v>0</v>
      </c>
      <c r="CJ54" s="5">
        <f>IF($E54&gt;=CJ$2,VLOOKUP($E54-CJ$2,'data input'!$D$3:$E$130,2,FALSE),0)</f>
        <v>0</v>
      </c>
      <c r="CK54" s="5">
        <f>IF($E54&gt;=CK$2,VLOOKUP($E54-CK$2,'data input'!$D$3:$E$130,2,FALSE),0)</f>
        <v>0</v>
      </c>
      <c r="CL54" s="5">
        <f>IF($E54&gt;=CL$2,VLOOKUP($E54-CL$2,'data input'!$D$3:$E$130,2,FALSE),0)</f>
        <v>0</v>
      </c>
      <c r="CM54" s="5">
        <f>IF($E54&gt;=CM$2,VLOOKUP($E54-CM$2,'data input'!$D$3:$E$130,2,FALSE),0)</f>
        <v>0</v>
      </c>
      <c r="CN54" s="5">
        <f>IF($E54&gt;=CN$2,VLOOKUP($E54-CN$2,'data input'!$D$3:$E$130,2,FALSE),0)</f>
        <v>0</v>
      </c>
      <c r="CO54" s="5">
        <f>IF($E54&gt;=CO$2,VLOOKUP($E54-CO$2,'data input'!$D$3:$E$130,2,FALSE),0)</f>
        <v>0</v>
      </c>
      <c r="CP54" s="5">
        <f>IF($E54&gt;=CP$2,VLOOKUP($E54-CP$2,'data input'!$D$3:$E$130,2,FALSE),0)</f>
        <v>0</v>
      </c>
      <c r="CQ54" s="5">
        <f>IF($E54&gt;=CQ$2,VLOOKUP($E54-CQ$2,'data input'!$D$3:$E$130,2,FALSE),0)</f>
        <v>0</v>
      </c>
      <c r="CR54" s="5">
        <f>IF($E54&gt;=CR$2,VLOOKUP($E54-CR$2,'data input'!$D$3:$E$130,2,FALSE),0)</f>
        <v>0</v>
      </c>
      <c r="CS54" s="5">
        <f>IF($E54&gt;=CS$2,VLOOKUP($E54-CS$2,'data input'!$D$3:$E$130,2,FALSE),0)</f>
        <v>0</v>
      </c>
      <c r="CT54" s="5">
        <f>IF($E54&gt;=CT$2,VLOOKUP($E54-CT$2,'data input'!$D$3:$E$130,2,FALSE),0)</f>
        <v>0</v>
      </c>
      <c r="CU54" s="5">
        <f>IF($E54&gt;=CU$2,VLOOKUP($E54-CU$2,'data input'!$D$3:$E$130,2,FALSE),0)</f>
        <v>0</v>
      </c>
      <c r="CV54" s="5">
        <f>IF($E54&gt;=CV$2,VLOOKUP($E54-CV$2,'data input'!$D$3:$E$130,2,FALSE),0)</f>
        <v>0</v>
      </c>
      <c r="CW54" s="5">
        <f>IF($E54&gt;=CW$2,VLOOKUP($E54-CW$2,'data input'!$D$3:$E$130,2,FALSE),0)</f>
        <v>0</v>
      </c>
      <c r="CX54" s="5">
        <f>IF($E54&gt;=CX$2,VLOOKUP($E54-CX$2,'data input'!$D$3:$E$130,2,FALSE),0)</f>
        <v>0</v>
      </c>
      <c r="CY54" s="5">
        <f>IF($E54&gt;=CY$2,VLOOKUP($E54-CY$2,'data input'!$D$3:$E$130,2,FALSE),0)</f>
        <v>0</v>
      </c>
      <c r="CZ54" s="5">
        <f>IF($E54&gt;=CZ$2,VLOOKUP($E54-CZ$2,'data input'!$D$3:$E$130,2,FALSE),0)</f>
        <v>0</v>
      </c>
      <c r="DA54" s="5">
        <f>IF($E54&gt;=DA$2,VLOOKUP($E54-DA$2,'data input'!$D$3:$E$130,2,FALSE),0)</f>
        <v>0</v>
      </c>
      <c r="DB54" s="5">
        <f>IF($E54&gt;=DB$2,VLOOKUP($E54-DB$2,'data input'!$D$3:$E$130,2,FALSE),0)</f>
        <v>0</v>
      </c>
      <c r="DC54" s="5">
        <f>IF($E54&gt;=DC$2,VLOOKUP($E54-DC$2,'data input'!$D$3:$E$130,2,FALSE),0)</f>
        <v>0</v>
      </c>
      <c r="DD54" s="5">
        <f>IF($E54&gt;=DD$2,VLOOKUP($E54-DD$2,'data input'!$D$3:$E$130,2,FALSE),0)</f>
        <v>0</v>
      </c>
      <c r="DE54" s="5">
        <f>IF($E54&gt;=DE$2,VLOOKUP($E54-DE$2,'data input'!$D$3:$E$130,2,FALSE),0)</f>
        <v>0</v>
      </c>
      <c r="DF54" s="5">
        <f>IF($E54&gt;=DF$2,VLOOKUP($E54-DF$2,'data input'!$D$3:$E$130,2,FALSE),0)</f>
        <v>0</v>
      </c>
      <c r="DG54" s="5">
        <f>IF($E54&gt;=DG$2,VLOOKUP($E54-DG$2,'data input'!$D$3:$E$130,2,FALSE),0)</f>
        <v>0</v>
      </c>
      <c r="DH54" s="5">
        <f>IF($E54&gt;=DH$2,VLOOKUP($E54-DH$2,'data input'!$D$3:$E$130,2,FALSE),0)</f>
        <v>0</v>
      </c>
      <c r="DI54" s="5">
        <f>IF($E54&gt;=DI$2,VLOOKUP($E54-DI$2,'data input'!$D$3:$E$130,2,FALSE),0)</f>
        <v>0</v>
      </c>
      <c r="DJ54" s="5">
        <f>IF($E54&gt;=DJ$2,VLOOKUP($E54-DJ$2,'data input'!$D$3:$E$130,2,FALSE),0)</f>
        <v>0</v>
      </c>
      <c r="DK54" s="5">
        <f>IF($E54&gt;=DK$2,VLOOKUP($E54-DK$2,'data input'!$D$3:$E$130,2,FALSE),0)</f>
        <v>0</v>
      </c>
      <c r="DL54" s="5">
        <f>IF($E54&gt;=DL$2,VLOOKUP($E54-DL$2,'data input'!$D$3:$E$130,2,FALSE),0)</f>
        <v>0</v>
      </c>
      <c r="DM54" s="5">
        <f>IF($E54&gt;=DM$2,VLOOKUP($E54-DM$2,'data input'!$D$3:$E$130,2,FALSE),0)</f>
        <v>0</v>
      </c>
      <c r="DN54" s="5">
        <f>IF($E54&gt;=DN$2,VLOOKUP($E54-DN$2,'data input'!$D$3:$E$130,2,FALSE),0)</f>
        <v>0</v>
      </c>
      <c r="DO54" s="5">
        <f>IF($E54&gt;=DO$2,VLOOKUP($E54-DO$2,'data input'!$D$3:$E$130,2,FALSE),0)</f>
        <v>0</v>
      </c>
      <c r="DP54" s="5">
        <f>IF($E54&gt;=DP$2,VLOOKUP($E54-DP$2,'data input'!$D$3:$E$130,2,FALSE),0)</f>
        <v>0</v>
      </c>
      <c r="DQ54" s="5">
        <f>IF($E54&gt;=DQ$2,VLOOKUP($E54-DQ$2,'data input'!$D$3:$E$130,2,FALSE),0)</f>
        <v>0</v>
      </c>
      <c r="DR54" s="5">
        <f>IF($E54&gt;=DR$2,VLOOKUP($E54-DR$2,'data input'!$D$3:$E$130,2,FALSE),0)</f>
        <v>0</v>
      </c>
      <c r="DS54" s="5">
        <f>IF($E54&gt;=DS$2,VLOOKUP($E54-DS$2,'data input'!$D$3:$E$130,2,FALSE),0)</f>
        <v>0</v>
      </c>
      <c r="DT54" s="5">
        <f>IF($E54&gt;=DT$2,VLOOKUP($E54-DT$2,'data input'!$D$3:$E$130,2,FALSE),0)</f>
        <v>0</v>
      </c>
      <c r="DU54" s="5">
        <f>IF($E54&gt;=DU$2,VLOOKUP($E54-DU$2,'data input'!$D$3:$E$130,2,FALSE),0)</f>
        <v>0</v>
      </c>
      <c r="DV54" s="5">
        <f>IF($E54&gt;=DV$2,VLOOKUP($E54-DV$2,'data input'!$D$3:$E$130,2,FALSE),0)</f>
        <v>0</v>
      </c>
      <c r="DW54" s="5">
        <f>IF($E54&gt;=DW$2,VLOOKUP($E54-DW$2,'data input'!$D$3:$E$130,2,FALSE),0)</f>
        <v>0</v>
      </c>
      <c r="DX54" s="5">
        <f>IF($E54&gt;=DX$2,VLOOKUP($E54-DX$2,'data input'!$D$3:$E$130,2,FALSE),0)</f>
        <v>0</v>
      </c>
      <c r="DY54" s="5">
        <f>IF($E54&gt;=DY$2,VLOOKUP($E54-DY$2,'data input'!$D$3:$E$130,2,FALSE),0)</f>
        <v>0</v>
      </c>
      <c r="DZ54" s="5">
        <f>IF($E54&gt;=DZ$2,VLOOKUP($E54-DZ$2,'data input'!$D$3:$E$130,2,FALSE),0)</f>
        <v>0</v>
      </c>
      <c r="EA54" s="5">
        <f>IF($E54&gt;=EA$2,VLOOKUP($E54-EA$2,'data input'!$D$3:$E$130,2,FALSE),0)</f>
        <v>0</v>
      </c>
      <c r="EB54" s="5">
        <f>IF($E54&gt;=EB$2,VLOOKUP($E54-EB$2,'data input'!$D$3:$E$130,2,FALSE),0)</f>
        <v>0</v>
      </c>
      <c r="EC54" s="5">
        <f>IF($E54&gt;=EC$2,VLOOKUP($E54-EC$2,'data input'!$D$3:$E$130,2,FALSE),0)</f>
        <v>0</v>
      </c>
    </row>
    <row r="55" spans="5:133">
      <c r="E55" s="7">
        <f>'data input'!B55</f>
        <v>1930</v>
      </c>
      <c r="F55" s="5">
        <f>IF($E55&gt;=F$2,VLOOKUP($E55-F$2,'data input'!$D$3:$E$130,2,FALSE),0)</f>
        <v>0.18406012534675953</v>
      </c>
      <c r="G55" s="5">
        <f>IF($E55&gt;=G$2,VLOOKUP($E55-G$2,'data input'!$D$3:$E$130,2,FALSE),0)</f>
        <v>0.20468579534725262</v>
      </c>
      <c r="H55" s="5">
        <f>IF($E55&gt;=H$2,VLOOKUP($E55-H$2,'data input'!$D$3:$E$130,2,FALSE),0)</f>
        <v>0.22662735237686826</v>
      </c>
      <c r="I55" s="5">
        <f>IF($E55&gt;=I$2,VLOOKUP($E55-I$2,'data input'!$D$3:$E$130,2,FALSE),0)</f>
        <v>0.24983788247177696</v>
      </c>
      <c r="J55" s="5">
        <f>IF($E55&gt;=J$2,VLOOKUP($E55-J$2,'data input'!$D$3:$E$130,2,FALSE),0)</f>
        <v>0.27425311775007355</v>
      </c>
      <c r="K55" s="5">
        <f>IF($E55&gt;=K$2,VLOOKUP($E55-K$2,'data input'!$D$3:$E$130,2,FALSE),0)</f>
        <v>0.29979159546869583</v>
      </c>
      <c r="L55" s="5">
        <f>IF($E55&gt;=L$2,VLOOKUP($E55-L$2,'data input'!$D$3:$E$130,2,FALSE),0)</f>
        <v>0.32635522028792008</v>
      </c>
      <c r="M55" s="5">
        <f>IF($E55&gt;=M$2,VLOOKUP($E55-M$2,'data input'!$D$3:$E$130,2,FALSE),0)</f>
        <v>0.35383023332727614</v>
      </c>
      <c r="N55" s="5">
        <f>IF($E55&gt;=N$2,VLOOKUP($E55-N$2,'data input'!$D$3:$E$130,2,FALSE),0)</f>
        <v>0.38208857781104733</v>
      </c>
      <c r="O55" s="5">
        <f>IF($E55&gt;=O$2,VLOOKUP($E55-O$2,'data input'!$D$3:$E$130,2,FALSE),0)</f>
        <v>0.41098963713127035</v>
      </c>
      <c r="P55" s="5">
        <f>IF($E55&gt;=P$2,VLOOKUP($E55-P$2,'data input'!$D$3:$E$130,2,FALSE),0)</f>
        <v>0.4403823076297575</v>
      </c>
      <c r="Q55" s="5">
        <f>IF($E55&gt;=Q$2,VLOOKUP($E55-Q$2,'data input'!$D$3:$E$130,2,FALSE),0)</f>
        <v>0.47010735594710518</v>
      </c>
      <c r="R55" s="5">
        <f>IF($E55&gt;=R$2,VLOOKUP($E55-R$2,'data input'!$D$3:$E$130,2,FALSE),0)</f>
        <v>0.5</v>
      </c>
      <c r="S55" s="5">
        <f>IF($E55&gt;=S$2,VLOOKUP($E55-S$2,'data input'!$D$3:$E$130,2,FALSE),0)</f>
        <v>0.52989264405289482</v>
      </c>
      <c r="T55" s="5">
        <f>IF($E55&gt;=T$2,VLOOKUP($E55-T$2,'data input'!$D$3:$E$130,2,FALSE),0)</f>
        <v>0.5596176923702425</v>
      </c>
      <c r="U55" s="5">
        <f>IF($E55&gt;=U$2,VLOOKUP($E55-U$2,'data input'!$D$3:$E$130,2,FALSE),0)</f>
        <v>0.58901036286872965</v>
      </c>
      <c r="V55" s="5">
        <f>IF($E55&gt;=V$2,VLOOKUP($E55-V$2,'data input'!$D$3:$E$130,2,FALSE),0)</f>
        <v>0.61791142218895267</v>
      </c>
      <c r="W55" s="5">
        <f>IF($E55&gt;=W$2,VLOOKUP($E55-W$2,'data input'!$D$3:$E$130,2,FALSE),0)</f>
        <v>0.64616976667272386</v>
      </c>
      <c r="X55" s="5">
        <f>IF($E55&gt;=X$2,VLOOKUP($E55-X$2,'data input'!$D$3:$E$130,2,FALSE),0)</f>
        <v>0.67364477971207992</v>
      </c>
      <c r="Y55" s="5">
        <f>IF($E55&gt;=Y$2,VLOOKUP($E55-Y$2,'data input'!$D$3:$E$130,2,FALSE),0)</f>
        <v>0.70020840453130417</v>
      </c>
      <c r="Z55" s="5">
        <f>IF($E55&gt;=Z$2,VLOOKUP($E55-Z$2,'data input'!$D$3:$E$130,2,FALSE),0)</f>
        <v>0.72574688224992645</v>
      </c>
      <c r="AA55" s="5">
        <f>IF($E55&gt;=AA$2,VLOOKUP($E55-AA$2,'data input'!$D$3:$E$130,2,FALSE),0)</f>
        <v>0.75016211752822304</v>
      </c>
      <c r="AB55" s="5">
        <f>IF($E55&gt;=AB$2,VLOOKUP($E55-AB$2,'data input'!$D$3:$E$130,2,FALSE),0)</f>
        <v>0.77337264762313174</v>
      </c>
      <c r="AC55" s="5">
        <f>IF($E55&gt;=AC$2,VLOOKUP($E55-AC$2,'data input'!$D$3:$E$130,2,FALSE),0)</f>
        <v>0.79531420465274738</v>
      </c>
      <c r="AD55" s="5">
        <f>IF($E55&gt;=AD$2,VLOOKUP($E55-AD$2,'data input'!$D$3:$E$130,2,FALSE),0)</f>
        <v>0.81593987465324047</v>
      </c>
      <c r="AE55" s="5">
        <f>IF($E55&gt;=AE$2,VLOOKUP($E55-AE$2,'data input'!$D$3:$E$130,2,FALSE),0)</f>
        <v>0.83521987001968967</v>
      </c>
      <c r="AF55" s="5">
        <f>IF($E55&gt;=AF$2,VLOOKUP($E55-AF$2,'data input'!$D$3:$E$130,2,FALSE),0)</f>
        <v>0.85314094362410409</v>
      </c>
      <c r="AG55" s="5">
        <f>IF($E55&gt;=AG$2,VLOOKUP($E55-AG$2,'data input'!$D$3:$E$130,2,FALSE),0)</f>
        <v>0.86970548286319116</v>
      </c>
      <c r="AH55" s="5">
        <f>IF($E55&gt;=AH$2,VLOOKUP($E55-AH$2,'data input'!$D$3:$E$130,2,FALSE),0)</f>
        <v>0.88493032977829178</v>
      </c>
      <c r="AI55" s="5">
        <f>IF($E55&gt;=AI$2,VLOOKUP($E55-AI$2,'data input'!$D$3:$E$130,2,FALSE),0)</f>
        <v>0.89884537900441408</v>
      </c>
      <c r="AJ55" s="5">
        <f>IF($E55&gt;=AJ$2,VLOOKUP($E55-AJ$2,'data input'!$D$3:$E$130,2,FALSE),0)</f>
        <v>0.91149200856259793</v>
      </c>
      <c r="AK55" s="5">
        <f>IF($E55&gt;=AK$2,VLOOKUP($E55-AK$2,'data input'!$D$3:$E$130,2,FALSE),0)</f>
        <v>0.92292139944792817</v>
      </c>
      <c r="AL55" s="5">
        <f>IF($E55&gt;=AL$2,VLOOKUP($E55-AL$2,'data input'!$D$3:$E$130,2,FALSE),0)</f>
        <v>0.93319279873114191</v>
      </c>
      <c r="AM55" s="5">
        <f>IF($E55&gt;=AM$2,VLOOKUP($E55-AM$2,'data input'!$D$3:$E$130,2,FALSE),0)</f>
        <v>0.94237177772384684</v>
      </c>
      <c r="AN55" s="5">
        <f>IF($E55&gt;=AN$2,VLOOKUP($E55-AN$2,'data input'!$D$3:$E$130,2,FALSE),0)</f>
        <v>0.9505285319663519</v>
      </c>
      <c r="AO55" s="5">
        <f>IF($E55&gt;=AO$2,VLOOKUP($E55-AO$2,'data input'!$D$3:$E$130,2,FALSE),0)</f>
        <v>0.95773626374204757</v>
      </c>
      <c r="AP55" s="5">
        <f>IF($E55&gt;=AP$2,VLOOKUP($E55-AP$2,'data input'!$D$3:$E$130,2,FALSE),0)</f>
        <v>0.96406968088707423</v>
      </c>
      <c r="AQ55" s="5">
        <f>IF($E55&gt;=AQ$2,VLOOKUP($E55-AQ$2,'data input'!$D$3:$E$130,2,FALSE),0)</f>
        <v>0.96960363823473861</v>
      </c>
      <c r="AR55" s="5">
        <f>IF($E55&gt;=AR$2,VLOOKUP($E55-AR$2,'data input'!$D$3:$E$130,2,FALSE),0)</f>
        <v>0.97441194047836144</v>
      </c>
      <c r="AS55" s="5">
        <f>IF($E55&gt;=AS$2,VLOOKUP($E55-AS$2,'data input'!$D$3:$E$130,2,FALSE),0)</f>
        <v>0.97856631788584703</v>
      </c>
      <c r="AT55" s="5">
        <f>IF($E55&gt;=AT$2,VLOOKUP($E55-AT$2,'data input'!$D$3:$E$130,2,FALSE),0)</f>
        <v>0.98213557943718344</v>
      </c>
      <c r="AU55" s="5">
        <f>IF($E55&gt;=AU$2,VLOOKUP($E55-AU$2,'data input'!$D$3:$E$130,2,FALSE),0)</f>
        <v>0.98518494180739014</v>
      </c>
      <c r="AV55" s="5">
        <f>IF($E55&gt;=AV$2,VLOOKUP($E55-AV$2,'data input'!$D$3:$E$130,2,FALSE),0)</f>
        <v>0.98777552734495533</v>
      </c>
      <c r="AW55" s="5">
        <f>IF($E55&gt;=AW$2,VLOOKUP($E55-AW$2,'data input'!$D$3:$E$130,2,FALSE),0)</f>
        <v>0.98996401989972593</v>
      </c>
      <c r="AX55" s="5">
        <f>IF($E55&gt;=AX$2,VLOOKUP($E55-AX$2,'data input'!$D$3:$E$130,2,FALSE),0)</f>
        <v>0.99180246407540384</v>
      </c>
      <c r="AY55" s="5">
        <f>IF($E55&gt;=AY$2,VLOOKUP($E55-AY$2,'data input'!$D$3:$E$130,2,FALSE),0)</f>
        <v>0.99333819120801725</v>
      </c>
      <c r="AZ55" s="5">
        <f>IF($E55&gt;=AZ$2,VLOOKUP($E55-AZ$2,'data input'!$D$3:$E$130,2,FALSE),0)</f>
        <v>0.99461385404593328</v>
      </c>
      <c r="BA55" s="5">
        <f>IF($E55&gt;=BA$2,VLOOKUP($E55-BA$2,'data input'!$D$3:$E$130,2,FALSE),0)</f>
        <v>0.99566755163698739</v>
      </c>
      <c r="BB55" s="5">
        <f>IF($E55&gt;=BB$2,VLOOKUP($E55-BB$2,'data input'!$D$3:$E$130,2,FALSE),0)</f>
        <v>0.99653302619695938</v>
      </c>
      <c r="BC55" s="5">
        <f>IF($E55&gt;=BC$2,VLOOKUP($E55-BC$2,'data input'!$D$3:$E$130,2,FALSE),0)</f>
        <v>0.99723991460873751</v>
      </c>
      <c r="BD55" s="5">
        <f>IF($E55&gt;=BD$2,VLOOKUP($E55-BD$2,'data input'!$D$3:$E$130,2,FALSE),0)</f>
        <v>0.99781403854508677</v>
      </c>
      <c r="BE55" s="5">
        <f>IF($E55&gt;=BE$2,VLOOKUP($E55-BE$2,'data input'!$D$3:$E$130,2,FALSE),0)</f>
        <v>0.99827771888413241</v>
      </c>
      <c r="BF55" s="5">
        <f>IF($E55&gt;=BF$2,VLOOKUP($E55-BF$2,'data input'!$D$3:$E$130,2,FALSE),0)</f>
        <v>0.9986501019683699</v>
      </c>
      <c r="BG55" s="5">
        <f>IF($E55&gt;=BG$2,VLOOKUP($E55-BG$2,'data input'!$D$3:$E$130,2,FALSE),0)</f>
        <v>0</v>
      </c>
      <c r="BH55" s="5">
        <f>IF($E55&gt;=BH$2,VLOOKUP($E55-BH$2,'data input'!$D$3:$E$130,2,FALSE),0)</f>
        <v>0</v>
      </c>
      <c r="BI55" s="5">
        <f>IF($E55&gt;=BI$2,VLOOKUP($E55-BI$2,'data input'!$D$3:$E$130,2,FALSE),0)</f>
        <v>0</v>
      </c>
      <c r="BJ55" s="5">
        <f>IF($E55&gt;=BJ$2,VLOOKUP($E55-BJ$2,'data input'!$D$3:$E$130,2,FALSE),0)</f>
        <v>0</v>
      </c>
      <c r="BK55" s="5">
        <f>IF($E55&gt;=BK$2,VLOOKUP($E55-BK$2,'data input'!$D$3:$E$130,2,FALSE),0)</f>
        <v>0</v>
      </c>
      <c r="BL55" s="5">
        <f>IF($E55&gt;=BL$2,VLOOKUP($E55-BL$2,'data input'!$D$3:$E$130,2,FALSE),0)</f>
        <v>0</v>
      </c>
      <c r="BM55" s="5">
        <f>IF($E55&gt;=BM$2,VLOOKUP($E55-BM$2,'data input'!$D$3:$E$130,2,FALSE),0)</f>
        <v>0</v>
      </c>
      <c r="BN55" s="5">
        <f>IF($E55&gt;=BN$2,VLOOKUP($E55-BN$2,'data input'!$D$3:$E$130,2,FALSE),0)</f>
        <v>0</v>
      </c>
      <c r="BO55" s="5">
        <f>IF($E55&gt;=BO$2,VLOOKUP($E55-BO$2,'data input'!$D$3:$E$130,2,FALSE),0)</f>
        <v>0</v>
      </c>
      <c r="BP55" s="5">
        <f>IF($E55&gt;=BP$2,VLOOKUP($E55-BP$2,'data input'!$D$3:$E$130,2,FALSE),0)</f>
        <v>0</v>
      </c>
      <c r="BQ55" s="5">
        <f>IF($E55&gt;=BQ$2,VLOOKUP($E55-BQ$2,'data input'!$D$3:$E$130,2,FALSE),0)</f>
        <v>0</v>
      </c>
      <c r="BR55" s="5">
        <f>IF($E55&gt;=BR$2,VLOOKUP($E55-BR$2,'data input'!$D$3:$E$130,2,FALSE),0)</f>
        <v>0</v>
      </c>
      <c r="BS55" s="5">
        <f>IF($E55&gt;=BS$2,VLOOKUP($E55-BS$2,'data input'!$D$3:$E$130,2,FALSE),0)</f>
        <v>0</v>
      </c>
      <c r="BT55" s="5">
        <f>IF($E55&gt;=BT$2,VLOOKUP($E55-BT$2,'data input'!$D$3:$E$130,2,FALSE),0)</f>
        <v>0</v>
      </c>
      <c r="BU55" s="5">
        <f>IF($E55&gt;=BU$2,VLOOKUP($E55-BU$2,'data input'!$D$3:$E$130,2,FALSE),0)</f>
        <v>0</v>
      </c>
      <c r="BV55" s="5">
        <f>IF($E55&gt;=BV$2,VLOOKUP($E55-BV$2,'data input'!$D$3:$E$130,2,FALSE),0)</f>
        <v>0</v>
      </c>
      <c r="BW55" s="5">
        <f>IF($E55&gt;=BW$2,VLOOKUP($E55-BW$2,'data input'!$D$3:$E$130,2,FALSE),0)</f>
        <v>0</v>
      </c>
      <c r="BX55" s="5">
        <f>IF($E55&gt;=BX$2,VLOOKUP($E55-BX$2,'data input'!$D$3:$E$130,2,FALSE),0)</f>
        <v>0</v>
      </c>
      <c r="BY55" s="5">
        <f>IF($E55&gt;=BY$2,VLOOKUP($E55-BY$2,'data input'!$D$3:$E$130,2,FALSE),0)</f>
        <v>0</v>
      </c>
      <c r="BZ55" s="5">
        <f>IF($E55&gt;=BZ$2,VLOOKUP($E55-BZ$2,'data input'!$D$3:$E$130,2,FALSE),0)</f>
        <v>0</v>
      </c>
      <c r="CA55" s="5">
        <f>IF($E55&gt;=CA$2,VLOOKUP($E55-CA$2,'data input'!$D$3:$E$130,2,FALSE),0)</f>
        <v>0</v>
      </c>
      <c r="CB55" s="5">
        <f>IF($E55&gt;=CB$2,VLOOKUP($E55-CB$2,'data input'!$D$3:$E$130,2,FALSE),0)</f>
        <v>0</v>
      </c>
      <c r="CC55" s="5">
        <f>IF($E55&gt;=CC$2,VLOOKUP($E55-CC$2,'data input'!$D$3:$E$130,2,FALSE),0)</f>
        <v>0</v>
      </c>
      <c r="CD55" s="5">
        <f>IF($E55&gt;=CD$2,VLOOKUP($E55-CD$2,'data input'!$D$3:$E$130,2,FALSE),0)</f>
        <v>0</v>
      </c>
      <c r="CE55" s="5">
        <f>IF($E55&gt;=CE$2,VLOOKUP($E55-CE$2,'data input'!$D$3:$E$130,2,FALSE),0)</f>
        <v>0</v>
      </c>
      <c r="CF55" s="5">
        <f>IF($E55&gt;=CF$2,VLOOKUP($E55-CF$2,'data input'!$D$3:$E$130,2,FALSE),0)</f>
        <v>0</v>
      </c>
      <c r="CG55" s="5">
        <f>IF($E55&gt;=CG$2,VLOOKUP($E55-CG$2,'data input'!$D$3:$E$130,2,FALSE),0)</f>
        <v>0</v>
      </c>
      <c r="CH55" s="5">
        <f>IF($E55&gt;=CH$2,VLOOKUP($E55-CH$2,'data input'!$D$3:$E$130,2,FALSE),0)</f>
        <v>0</v>
      </c>
      <c r="CI55" s="5">
        <f>IF($E55&gt;=CI$2,VLOOKUP($E55-CI$2,'data input'!$D$3:$E$130,2,FALSE),0)</f>
        <v>0</v>
      </c>
      <c r="CJ55" s="5">
        <f>IF($E55&gt;=CJ$2,VLOOKUP($E55-CJ$2,'data input'!$D$3:$E$130,2,FALSE),0)</f>
        <v>0</v>
      </c>
      <c r="CK55" s="5">
        <f>IF($E55&gt;=CK$2,VLOOKUP($E55-CK$2,'data input'!$D$3:$E$130,2,FALSE),0)</f>
        <v>0</v>
      </c>
      <c r="CL55" s="5">
        <f>IF($E55&gt;=CL$2,VLOOKUP($E55-CL$2,'data input'!$D$3:$E$130,2,FALSE),0)</f>
        <v>0</v>
      </c>
      <c r="CM55" s="5">
        <f>IF($E55&gt;=CM$2,VLOOKUP($E55-CM$2,'data input'!$D$3:$E$130,2,FALSE),0)</f>
        <v>0</v>
      </c>
      <c r="CN55" s="5">
        <f>IF($E55&gt;=CN$2,VLOOKUP($E55-CN$2,'data input'!$D$3:$E$130,2,FALSE),0)</f>
        <v>0</v>
      </c>
      <c r="CO55" s="5">
        <f>IF($E55&gt;=CO$2,VLOOKUP($E55-CO$2,'data input'!$D$3:$E$130,2,FALSE),0)</f>
        <v>0</v>
      </c>
      <c r="CP55" s="5">
        <f>IF($E55&gt;=CP$2,VLOOKUP($E55-CP$2,'data input'!$D$3:$E$130,2,FALSE),0)</f>
        <v>0</v>
      </c>
      <c r="CQ55" s="5">
        <f>IF($E55&gt;=CQ$2,VLOOKUP($E55-CQ$2,'data input'!$D$3:$E$130,2,FALSE),0)</f>
        <v>0</v>
      </c>
      <c r="CR55" s="5">
        <f>IF($E55&gt;=CR$2,VLOOKUP($E55-CR$2,'data input'!$D$3:$E$130,2,FALSE),0)</f>
        <v>0</v>
      </c>
      <c r="CS55" s="5">
        <f>IF($E55&gt;=CS$2,VLOOKUP($E55-CS$2,'data input'!$D$3:$E$130,2,FALSE),0)</f>
        <v>0</v>
      </c>
      <c r="CT55" s="5">
        <f>IF($E55&gt;=CT$2,VLOOKUP($E55-CT$2,'data input'!$D$3:$E$130,2,FALSE),0)</f>
        <v>0</v>
      </c>
      <c r="CU55" s="5">
        <f>IF($E55&gt;=CU$2,VLOOKUP($E55-CU$2,'data input'!$D$3:$E$130,2,FALSE),0)</f>
        <v>0</v>
      </c>
      <c r="CV55" s="5">
        <f>IF($E55&gt;=CV$2,VLOOKUP($E55-CV$2,'data input'!$D$3:$E$130,2,FALSE),0)</f>
        <v>0</v>
      </c>
      <c r="CW55" s="5">
        <f>IF($E55&gt;=CW$2,VLOOKUP($E55-CW$2,'data input'!$D$3:$E$130,2,FALSE),0)</f>
        <v>0</v>
      </c>
      <c r="CX55" s="5">
        <f>IF($E55&gt;=CX$2,VLOOKUP($E55-CX$2,'data input'!$D$3:$E$130,2,FALSE),0)</f>
        <v>0</v>
      </c>
      <c r="CY55" s="5">
        <f>IF($E55&gt;=CY$2,VLOOKUP($E55-CY$2,'data input'!$D$3:$E$130,2,FALSE),0)</f>
        <v>0</v>
      </c>
      <c r="CZ55" s="5">
        <f>IF($E55&gt;=CZ$2,VLOOKUP($E55-CZ$2,'data input'!$D$3:$E$130,2,FALSE),0)</f>
        <v>0</v>
      </c>
      <c r="DA55" s="5">
        <f>IF($E55&gt;=DA$2,VLOOKUP($E55-DA$2,'data input'!$D$3:$E$130,2,FALSE),0)</f>
        <v>0</v>
      </c>
      <c r="DB55" s="5">
        <f>IF($E55&gt;=DB$2,VLOOKUP($E55-DB$2,'data input'!$D$3:$E$130,2,FALSE),0)</f>
        <v>0</v>
      </c>
      <c r="DC55" s="5">
        <f>IF($E55&gt;=DC$2,VLOOKUP($E55-DC$2,'data input'!$D$3:$E$130,2,FALSE),0)</f>
        <v>0</v>
      </c>
      <c r="DD55" s="5">
        <f>IF($E55&gt;=DD$2,VLOOKUP($E55-DD$2,'data input'!$D$3:$E$130,2,FALSE),0)</f>
        <v>0</v>
      </c>
      <c r="DE55" s="5">
        <f>IF($E55&gt;=DE$2,VLOOKUP($E55-DE$2,'data input'!$D$3:$E$130,2,FALSE),0)</f>
        <v>0</v>
      </c>
      <c r="DF55" s="5">
        <f>IF($E55&gt;=DF$2,VLOOKUP($E55-DF$2,'data input'!$D$3:$E$130,2,FALSE),0)</f>
        <v>0</v>
      </c>
      <c r="DG55" s="5">
        <f>IF($E55&gt;=DG$2,VLOOKUP($E55-DG$2,'data input'!$D$3:$E$130,2,FALSE),0)</f>
        <v>0</v>
      </c>
      <c r="DH55" s="5">
        <f>IF($E55&gt;=DH$2,VLOOKUP($E55-DH$2,'data input'!$D$3:$E$130,2,FALSE),0)</f>
        <v>0</v>
      </c>
      <c r="DI55" s="5">
        <f>IF($E55&gt;=DI$2,VLOOKUP($E55-DI$2,'data input'!$D$3:$E$130,2,FALSE),0)</f>
        <v>0</v>
      </c>
      <c r="DJ55" s="5">
        <f>IF($E55&gt;=DJ$2,VLOOKUP($E55-DJ$2,'data input'!$D$3:$E$130,2,FALSE),0)</f>
        <v>0</v>
      </c>
      <c r="DK55" s="5">
        <f>IF($E55&gt;=DK$2,VLOOKUP($E55-DK$2,'data input'!$D$3:$E$130,2,FALSE),0)</f>
        <v>0</v>
      </c>
      <c r="DL55" s="5">
        <f>IF($E55&gt;=DL$2,VLOOKUP($E55-DL$2,'data input'!$D$3:$E$130,2,FALSE),0)</f>
        <v>0</v>
      </c>
      <c r="DM55" s="5">
        <f>IF($E55&gt;=DM$2,VLOOKUP($E55-DM$2,'data input'!$D$3:$E$130,2,FALSE),0)</f>
        <v>0</v>
      </c>
      <c r="DN55" s="5">
        <f>IF($E55&gt;=DN$2,VLOOKUP($E55-DN$2,'data input'!$D$3:$E$130,2,FALSE),0)</f>
        <v>0</v>
      </c>
      <c r="DO55" s="5">
        <f>IF($E55&gt;=DO$2,VLOOKUP($E55-DO$2,'data input'!$D$3:$E$130,2,FALSE),0)</f>
        <v>0</v>
      </c>
      <c r="DP55" s="5">
        <f>IF($E55&gt;=DP$2,VLOOKUP($E55-DP$2,'data input'!$D$3:$E$130,2,FALSE),0)</f>
        <v>0</v>
      </c>
      <c r="DQ55" s="5">
        <f>IF($E55&gt;=DQ$2,VLOOKUP($E55-DQ$2,'data input'!$D$3:$E$130,2,FALSE),0)</f>
        <v>0</v>
      </c>
      <c r="DR55" s="5">
        <f>IF($E55&gt;=DR$2,VLOOKUP($E55-DR$2,'data input'!$D$3:$E$130,2,FALSE),0)</f>
        <v>0</v>
      </c>
      <c r="DS55" s="5">
        <f>IF($E55&gt;=DS$2,VLOOKUP($E55-DS$2,'data input'!$D$3:$E$130,2,FALSE),0)</f>
        <v>0</v>
      </c>
      <c r="DT55" s="5">
        <f>IF($E55&gt;=DT$2,VLOOKUP($E55-DT$2,'data input'!$D$3:$E$130,2,FALSE),0)</f>
        <v>0</v>
      </c>
      <c r="DU55" s="5">
        <f>IF($E55&gt;=DU$2,VLOOKUP($E55-DU$2,'data input'!$D$3:$E$130,2,FALSE),0)</f>
        <v>0</v>
      </c>
      <c r="DV55" s="5">
        <f>IF($E55&gt;=DV$2,VLOOKUP($E55-DV$2,'data input'!$D$3:$E$130,2,FALSE),0)</f>
        <v>0</v>
      </c>
      <c r="DW55" s="5">
        <f>IF($E55&gt;=DW$2,VLOOKUP($E55-DW$2,'data input'!$D$3:$E$130,2,FALSE),0)</f>
        <v>0</v>
      </c>
      <c r="DX55" s="5">
        <f>IF($E55&gt;=DX$2,VLOOKUP($E55-DX$2,'data input'!$D$3:$E$130,2,FALSE),0)</f>
        <v>0</v>
      </c>
      <c r="DY55" s="5">
        <f>IF($E55&gt;=DY$2,VLOOKUP($E55-DY$2,'data input'!$D$3:$E$130,2,FALSE),0)</f>
        <v>0</v>
      </c>
      <c r="DZ55" s="5">
        <f>IF($E55&gt;=DZ$2,VLOOKUP($E55-DZ$2,'data input'!$D$3:$E$130,2,FALSE),0)</f>
        <v>0</v>
      </c>
      <c r="EA55" s="5">
        <f>IF($E55&gt;=EA$2,VLOOKUP($E55-EA$2,'data input'!$D$3:$E$130,2,FALSE),0)</f>
        <v>0</v>
      </c>
      <c r="EB55" s="5">
        <f>IF($E55&gt;=EB$2,VLOOKUP($E55-EB$2,'data input'!$D$3:$E$130,2,FALSE),0)</f>
        <v>0</v>
      </c>
      <c r="EC55" s="5">
        <f>IF($E55&gt;=EC$2,VLOOKUP($E55-EC$2,'data input'!$D$3:$E$130,2,FALSE),0)</f>
        <v>0</v>
      </c>
    </row>
    <row r="56" spans="5:133">
      <c r="E56" s="7">
        <f>'data input'!B56</f>
        <v>1931</v>
      </c>
      <c r="F56" s="5">
        <f>IF($E56&gt;=F$2,VLOOKUP($E56-F$2,'data input'!$D$3:$E$130,2,FALSE),0)</f>
        <v>0.16478012998031033</v>
      </c>
      <c r="G56" s="5">
        <f>IF($E56&gt;=G$2,VLOOKUP($E56-G$2,'data input'!$D$3:$E$130,2,FALSE),0)</f>
        <v>0.18406012534675953</v>
      </c>
      <c r="H56" s="5">
        <f>IF($E56&gt;=H$2,VLOOKUP($E56-H$2,'data input'!$D$3:$E$130,2,FALSE),0)</f>
        <v>0.20468579534725262</v>
      </c>
      <c r="I56" s="5">
        <f>IF($E56&gt;=I$2,VLOOKUP($E56-I$2,'data input'!$D$3:$E$130,2,FALSE),0)</f>
        <v>0.22662735237686826</v>
      </c>
      <c r="J56" s="5">
        <f>IF($E56&gt;=J$2,VLOOKUP($E56-J$2,'data input'!$D$3:$E$130,2,FALSE),0)</f>
        <v>0.24983788247177696</v>
      </c>
      <c r="K56" s="5">
        <f>IF($E56&gt;=K$2,VLOOKUP($E56-K$2,'data input'!$D$3:$E$130,2,FALSE),0)</f>
        <v>0.27425311775007355</v>
      </c>
      <c r="L56" s="5">
        <f>IF($E56&gt;=L$2,VLOOKUP($E56-L$2,'data input'!$D$3:$E$130,2,FALSE),0)</f>
        <v>0.29979159546869583</v>
      </c>
      <c r="M56" s="5">
        <f>IF($E56&gt;=M$2,VLOOKUP($E56-M$2,'data input'!$D$3:$E$130,2,FALSE),0)</f>
        <v>0.32635522028792008</v>
      </c>
      <c r="N56" s="5">
        <f>IF($E56&gt;=N$2,VLOOKUP($E56-N$2,'data input'!$D$3:$E$130,2,FALSE),0)</f>
        <v>0.35383023332727614</v>
      </c>
      <c r="O56" s="5">
        <f>IF($E56&gt;=O$2,VLOOKUP($E56-O$2,'data input'!$D$3:$E$130,2,FALSE),0)</f>
        <v>0.38208857781104733</v>
      </c>
      <c r="P56" s="5">
        <f>IF($E56&gt;=P$2,VLOOKUP($E56-P$2,'data input'!$D$3:$E$130,2,FALSE),0)</f>
        <v>0.41098963713127035</v>
      </c>
      <c r="Q56" s="5">
        <f>IF($E56&gt;=Q$2,VLOOKUP($E56-Q$2,'data input'!$D$3:$E$130,2,FALSE),0)</f>
        <v>0.4403823076297575</v>
      </c>
      <c r="R56" s="5">
        <f>IF($E56&gt;=R$2,VLOOKUP($E56-R$2,'data input'!$D$3:$E$130,2,FALSE),0)</f>
        <v>0.47010735594710518</v>
      </c>
      <c r="S56" s="5">
        <f>IF($E56&gt;=S$2,VLOOKUP($E56-S$2,'data input'!$D$3:$E$130,2,FALSE),0)</f>
        <v>0.5</v>
      </c>
      <c r="T56" s="5">
        <f>IF($E56&gt;=T$2,VLOOKUP($E56-T$2,'data input'!$D$3:$E$130,2,FALSE),0)</f>
        <v>0.52989264405289482</v>
      </c>
      <c r="U56" s="5">
        <f>IF($E56&gt;=U$2,VLOOKUP($E56-U$2,'data input'!$D$3:$E$130,2,FALSE),0)</f>
        <v>0.5596176923702425</v>
      </c>
      <c r="V56" s="5">
        <f>IF($E56&gt;=V$2,VLOOKUP($E56-V$2,'data input'!$D$3:$E$130,2,FALSE),0)</f>
        <v>0.58901036286872965</v>
      </c>
      <c r="W56" s="5">
        <f>IF($E56&gt;=W$2,VLOOKUP($E56-W$2,'data input'!$D$3:$E$130,2,FALSE),0)</f>
        <v>0.61791142218895267</v>
      </c>
      <c r="X56" s="5">
        <f>IF($E56&gt;=X$2,VLOOKUP($E56-X$2,'data input'!$D$3:$E$130,2,FALSE),0)</f>
        <v>0.64616976667272386</v>
      </c>
      <c r="Y56" s="5">
        <f>IF($E56&gt;=Y$2,VLOOKUP($E56-Y$2,'data input'!$D$3:$E$130,2,FALSE),0)</f>
        <v>0.67364477971207992</v>
      </c>
      <c r="Z56" s="5">
        <f>IF($E56&gt;=Z$2,VLOOKUP($E56-Z$2,'data input'!$D$3:$E$130,2,FALSE),0)</f>
        <v>0.70020840453130417</v>
      </c>
      <c r="AA56" s="5">
        <f>IF($E56&gt;=AA$2,VLOOKUP($E56-AA$2,'data input'!$D$3:$E$130,2,FALSE),0)</f>
        <v>0.72574688224992645</v>
      </c>
      <c r="AB56" s="5">
        <f>IF($E56&gt;=AB$2,VLOOKUP($E56-AB$2,'data input'!$D$3:$E$130,2,FALSE),0)</f>
        <v>0.75016211752822304</v>
      </c>
      <c r="AC56" s="5">
        <f>IF($E56&gt;=AC$2,VLOOKUP($E56-AC$2,'data input'!$D$3:$E$130,2,FALSE),0)</f>
        <v>0.77337264762313174</v>
      </c>
      <c r="AD56" s="5">
        <f>IF($E56&gt;=AD$2,VLOOKUP($E56-AD$2,'data input'!$D$3:$E$130,2,FALSE),0)</f>
        <v>0.79531420465274738</v>
      </c>
      <c r="AE56" s="5">
        <f>IF($E56&gt;=AE$2,VLOOKUP($E56-AE$2,'data input'!$D$3:$E$130,2,FALSE),0)</f>
        <v>0.81593987465324047</v>
      </c>
      <c r="AF56" s="5">
        <f>IF($E56&gt;=AF$2,VLOOKUP($E56-AF$2,'data input'!$D$3:$E$130,2,FALSE),0)</f>
        <v>0.83521987001968967</v>
      </c>
      <c r="AG56" s="5">
        <f>IF($E56&gt;=AG$2,VLOOKUP($E56-AG$2,'data input'!$D$3:$E$130,2,FALSE),0)</f>
        <v>0.85314094362410409</v>
      </c>
      <c r="AH56" s="5">
        <f>IF($E56&gt;=AH$2,VLOOKUP($E56-AH$2,'data input'!$D$3:$E$130,2,FALSE),0)</f>
        <v>0.86970548286319116</v>
      </c>
      <c r="AI56" s="5">
        <f>IF($E56&gt;=AI$2,VLOOKUP($E56-AI$2,'data input'!$D$3:$E$130,2,FALSE),0)</f>
        <v>0.88493032977829178</v>
      </c>
      <c r="AJ56" s="5">
        <f>IF($E56&gt;=AJ$2,VLOOKUP($E56-AJ$2,'data input'!$D$3:$E$130,2,FALSE),0)</f>
        <v>0.89884537900441408</v>
      </c>
      <c r="AK56" s="5">
        <f>IF($E56&gt;=AK$2,VLOOKUP($E56-AK$2,'data input'!$D$3:$E$130,2,FALSE),0)</f>
        <v>0.91149200856259793</v>
      </c>
      <c r="AL56" s="5">
        <f>IF($E56&gt;=AL$2,VLOOKUP($E56-AL$2,'data input'!$D$3:$E$130,2,FALSE),0)</f>
        <v>0.92292139944792817</v>
      </c>
      <c r="AM56" s="5">
        <f>IF($E56&gt;=AM$2,VLOOKUP($E56-AM$2,'data input'!$D$3:$E$130,2,FALSE),0)</f>
        <v>0.93319279873114191</v>
      </c>
      <c r="AN56" s="5">
        <f>IF($E56&gt;=AN$2,VLOOKUP($E56-AN$2,'data input'!$D$3:$E$130,2,FALSE),0)</f>
        <v>0.94237177772384684</v>
      </c>
      <c r="AO56" s="5">
        <f>IF($E56&gt;=AO$2,VLOOKUP($E56-AO$2,'data input'!$D$3:$E$130,2,FALSE),0)</f>
        <v>0.9505285319663519</v>
      </c>
      <c r="AP56" s="5">
        <f>IF($E56&gt;=AP$2,VLOOKUP($E56-AP$2,'data input'!$D$3:$E$130,2,FALSE),0)</f>
        <v>0.95773626374204757</v>
      </c>
      <c r="AQ56" s="5">
        <f>IF($E56&gt;=AQ$2,VLOOKUP($E56-AQ$2,'data input'!$D$3:$E$130,2,FALSE),0)</f>
        <v>0.96406968088707423</v>
      </c>
      <c r="AR56" s="5">
        <f>IF($E56&gt;=AR$2,VLOOKUP($E56-AR$2,'data input'!$D$3:$E$130,2,FALSE),0)</f>
        <v>0.96960363823473861</v>
      </c>
      <c r="AS56" s="5">
        <f>IF($E56&gt;=AS$2,VLOOKUP($E56-AS$2,'data input'!$D$3:$E$130,2,FALSE),0)</f>
        <v>0.97441194047836144</v>
      </c>
      <c r="AT56" s="5">
        <f>IF($E56&gt;=AT$2,VLOOKUP($E56-AT$2,'data input'!$D$3:$E$130,2,FALSE),0)</f>
        <v>0.97856631788584703</v>
      </c>
      <c r="AU56" s="5">
        <f>IF($E56&gt;=AU$2,VLOOKUP($E56-AU$2,'data input'!$D$3:$E$130,2,FALSE),0)</f>
        <v>0.98213557943718344</v>
      </c>
      <c r="AV56" s="5">
        <f>IF($E56&gt;=AV$2,VLOOKUP($E56-AV$2,'data input'!$D$3:$E$130,2,FALSE),0)</f>
        <v>0.98518494180739014</v>
      </c>
      <c r="AW56" s="5">
        <f>IF($E56&gt;=AW$2,VLOOKUP($E56-AW$2,'data input'!$D$3:$E$130,2,FALSE),0)</f>
        <v>0.98777552734495533</v>
      </c>
      <c r="AX56" s="5">
        <f>IF($E56&gt;=AX$2,VLOOKUP($E56-AX$2,'data input'!$D$3:$E$130,2,FALSE),0)</f>
        <v>0.98996401989972593</v>
      </c>
      <c r="AY56" s="5">
        <f>IF($E56&gt;=AY$2,VLOOKUP($E56-AY$2,'data input'!$D$3:$E$130,2,FALSE),0)</f>
        <v>0.99180246407540384</v>
      </c>
      <c r="AZ56" s="5">
        <f>IF($E56&gt;=AZ$2,VLOOKUP($E56-AZ$2,'data input'!$D$3:$E$130,2,FALSE),0)</f>
        <v>0.99333819120801725</v>
      </c>
      <c r="BA56" s="5">
        <f>IF($E56&gt;=BA$2,VLOOKUP($E56-BA$2,'data input'!$D$3:$E$130,2,FALSE),0)</f>
        <v>0.99461385404593328</v>
      </c>
      <c r="BB56" s="5">
        <f>IF($E56&gt;=BB$2,VLOOKUP($E56-BB$2,'data input'!$D$3:$E$130,2,FALSE),0)</f>
        <v>0.99566755163698739</v>
      </c>
      <c r="BC56" s="5">
        <f>IF($E56&gt;=BC$2,VLOOKUP($E56-BC$2,'data input'!$D$3:$E$130,2,FALSE),0)</f>
        <v>0.99653302619695938</v>
      </c>
      <c r="BD56" s="5">
        <f>IF($E56&gt;=BD$2,VLOOKUP($E56-BD$2,'data input'!$D$3:$E$130,2,FALSE),0)</f>
        <v>0.99723991460873751</v>
      </c>
      <c r="BE56" s="5">
        <f>IF($E56&gt;=BE$2,VLOOKUP($E56-BE$2,'data input'!$D$3:$E$130,2,FALSE),0)</f>
        <v>0.99781403854508677</v>
      </c>
      <c r="BF56" s="5">
        <f>IF($E56&gt;=BF$2,VLOOKUP($E56-BF$2,'data input'!$D$3:$E$130,2,FALSE),0)</f>
        <v>0.99827771888413241</v>
      </c>
      <c r="BG56" s="5">
        <f>IF($E56&gt;=BG$2,VLOOKUP($E56-BG$2,'data input'!$D$3:$E$130,2,FALSE),0)</f>
        <v>0.9986501019683699</v>
      </c>
      <c r="BH56" s="5">
        <f>IF($E56&gt;=BH$2,VLOOKUP($E56-BH$2,'data input'!$D$3:$E$130,2,FALSE),0)</f>
        <v>0</v>
      </c>
      <c r="BI56" s="5">
        <f>IF($E56&gt;=BI$2,VLOOKUP($E56-BI$2,'data input'!$D$3:$E$130,2,FALSE),0)</f>
        <v>0</v>
      </c>
      <c r="BJ56" s="5">
        <f>IF($E56&gt;=BJ$2,VLOOKUP($E56-BJ$2,'data input'!$D$3:$E$130,2,FALSE),0)</f>
        <v>0</v>
      </c>
      <c r="BK56" s="5">
        <f>IF($E56&gt;=BK$2,VLOOKUP($E56-BK$2,'data input'!$D$3:$E$130,2,FALSE),0)</f>
        <v>0</v>
      </c>
      <c r="BL56" s="5">
        <f>IF($E56&gt;=BL$2,VLOOKUP($E56-BL$2,'data input'!$D$3:$E$130,2,FALSE),0)</f>
        <v>0</v>
      </c>
      <c r="BM56" s="5">
        <f>IF($E56&gt;=BM$2,VLOOKUP($E56-BM$2,'data input'!$D$3:$E$130,2,FALSE),0)</f>
        <v>0</v>
      </c>
      <c r="BN56" s="5">
        <f>IF($E56&gt;=BN$2,VLOOKUP($E56-BN$2,'data input'!$D$3:$E$130,2,FALSE),0)</f>
        <v>0</v>
      </c>
      <c r="BO56" s="5">
        <f>IF($E56&gt;=BO$2,VLOOKUP($E56-BO$2,'data input'!$D$3:$E$130,2,FALSE),0)</f>
        <v>0</v>
      </c>
      <c r="BP56" s="5">
        <f>IF($E56&gt;=BP$2,VLOOKUP($E56-BP$2,'data input'!$D$3:$E$130,2,FALSE),0)</f>
        <v>0</v>
      </c>
      <c r="BQ56" s="5">
        <f>IF($E56&gt;=BQ$2,VLOOKUP($E56-BQ$2,'data input'!$D$3:$E$130,2,FALSE),0)</f>
        <v>0</v>
      </c>
      <c r="BR56" s="5">
        <f>IF($E56&gt;=BR$2,VLOOKUP($E56-BR$2,'data input'!$D$3:$E$130,2,FALSE),0)</f>
        <v>0</v>
      </c>
      <c r="BS56" s="5">
        <f>IF($E56&gt;=BS$2,VLOOKUP($E56-BS$2,'data input'!$D$3:$E$130,2,FALSE),0)</f>
        <v>0</v>
      </c>
      <c r="BT56" s="5">
        <f>IF($E56&gt;=BT$2,VLOOKUP($E56-BT$2,'data input'!$D$3:$E$130,2,FALSE),0)</f>
        <v>0</v>
      </c>
      <c r="BU56" s="5">
        <f>IF($E56&gt;=BU$2,VLOOKUP($E56-BU$2,'data input'!$D$3:$E$130,2,FALSE),0)</f>
        <v>0</v>
      </c>
      <c r="BV56" s="5">
        <f>IF($E56&gt;=BV$2,VLOOKUP($E56-BV$2,'data input'!$D$3:$E$130,2,FALSE),0)</f>
        <v>0</v>
      </c>
      <c r="BW56" s="5">
        <f>IF($E56&gt;=BW$2,VLOOKUP($E56-BW$2,'data input'!$D$3:$E$130,2,FALSE),0)</f>
        <v>0</v>
      </c>
      <c r="BX56" s="5">
        <f>IF($E56&gt;=BX$2,VLOOKUP($E56-BX$2,'data input'!$D$3:$E$130,2,FALSE),0)</f>
        <v>0</v>
      </c>
      <c r="BY56" s="5">
        <f>IF($E56&gt;=BY$2,VLOOKUP($E56-BY$2,'data input'!$D$3:$E$130,2,FALSE),0)</f>
        <v>0</v>
      </c>
      <c r="BZ56" s="5">
        <f>IF($E56&gt;=BZ$2,VLOOKUP($E56-BZ$2,'data input'!$D$3:$E$130,2,FALSE),0)</f>
        <v>0</v>
      </c>
      <c r="CA56" s="5">
        <f>IF($E56&gt;=CA$2,VLOOKUP($E56-CA$2,'data input'!$D$3:$E$130,2,FALSE),0)</f>
        <v>0</v>
      </c>
      <c r="CB56" s="5">
        <f>IF($E56&gt;=CB$2,VLOOKUP($E56-CB$2,'data input'!$D$3:$E$130,2,FALSE),0)</f>
        <v>0</v>
      </c>
      <c r="CC56" s="5">
        <f>IF($E56&gt;=CC$2,VLOOKUP($E56-CC$2,'data input'!$D$3:$E$130,2,FALSE),0)</f>
        <v>0</v>
      </c>
      <c r="CD56" s="5">
        <f>IF($E56&gt;=CD$2,VLOOKUP($E56-CD$2,'data input'!$D$3:$E$130,2,FALSE),0)</f>
        <v>0</v>
      </c>
      <c r="CE56" s="5">
        <f>IF($E56&gt;=CE$2,VLOOKUP($E56-CE$2,'data input'!$D$3:$E$130,2,FALSE),0)</f>
        <v>0</v>
      </c>
      <c r="CF56" s="5">
        <f>IF($E56&gt;=CF$2,VLOOKUP($E56-CF$2,'data input'!$D$3:$E$130,2,FALSE),0)</f>
        <v>0</v>
      </c>
      <c r="CG56" s="5">
        <f>IF($E56&gt;=CG$2,VLOOKUP($E56-CG$2,'data input'!$D$3:$E$130,2,FALSE),0)</f>
        <v>0</v>
      </c>
      <c r="CH56" s="5">
        <f>IF($E56&gt;=CH$2,VLOOKUP($E56-CH$2,'data input'!$D$3:$E$130,2,FALSE),0)</f>
        <v>0</v>
      </c>
      <c r="CI56" s="5">
        <f>IF($E56&gt;=CI$2,VLOOKUP($E56-CI$2,'data input'!$D$3:$E$130,2,FALSE),0)</f>
        <v>0</v>
      </c>
      <c r="CJ56" s="5">
        <f>IF($E56&gt;=CJ$2,VLOOKUP($E56-CJ$2,'data input'!$D$3:$E$130,2,FALSE),0)</f>
        <v>0</v>
      </c>
      <c r="CK56" s="5">
        <f>IF($E56&gt;=CK$2,VLOOKUP($E56-CK$2,'data input'!$D$3:$E$130,2,FALSE),0)</f>
        <v>0</v>
      </c>
      <c r="CL56" s="5">
        <f>IF($E56&gt;=CL$2,VLOOKUP($E56-CL$2,'data input'!$D$3:$E$130,2,FALSE),0)</f>
        <v>0</v>
      </c>
      <c r="CM56" s="5">
        <f>IF($E56&gt;=CM$2,VLOOKUP($E56-CM$2,'data input'!$D$3:$E$130,2,FALSE),0)</f>
        <v>0</v>
      </c>
      <c r="CN56" s="5">
        <f>IF($E56&gt;=CN$2,VLOOKUP($E56-CN$2,'data input'!$D$3:$E$130,2,FALSE),0)</f>
        <v>0</v>
      </c>
      <c r="CO56" s="5">
        <f>IF($E56&gt;=CO$2,VLOOKUP($E56-CO$2,'data input'!$D$3:$E$130,2,FALSE),0)</f>
        <v>0</v>
      </c>
      <c r="CP56" s="5">
        <f>IF($E56&gt;=CP$2,VLOOKUP($E56-CP$2,'data input'!$D$3:$E$130,2,FALSE),0)</f>
        <v>0</v>
      </c>
      <c r="CQ56" s="5">
        <f>IF($E56&gt;=CQ$2,VLOOKUP($E56-CQ$2,'data input'!$D$3:$E$130,2,FALSE),0)</f>
        <v>0</v>
      </c>
      <c r="CR56" s="5">
        <f>IF($E56&gt;=CR$2,VLOOKUP($E56-CR$2,'data input'!$D$3:$E$130,2,FALSE),0)</f>
        <v>0</v>
      </c>
      <c r="CS56" s="5">
        <f>IF($E56&gt;=CS$2,VLOOKUP($E56-CS$2,'data input'!$D$3:$E$130,2,FALSE),0)</f>
        <v>0</v>
      </c>
      <c r="CT56" s="5">
        <f>IF($E56&gt;=CT$2,VLOOKUP($E56-CT$2,'data input'!$D$3:$E$130,2,FALSE),0)</f>
        <v>0</v>
      </c>
      <c r="CU56" s="5">
        <f>IF($E56&gt;=CU$2,VLOOKUP($E56-CU$2,'data input'!$D$3:$E$130,2,FALSE),0)</f>
        <v>0</v>
      </c>
      <c r="CV56" s="5">
        <f>IF($E56&gt;=CV$2,VLOOKUP($E56-CV$2,'data input'!$D$3:$E$130,2,FALSE),0)</f>
        <v>0</v>
      </c>
      <c r="CW56" s="5">
        <f>IF($E56&gt;=CW$2,VLOOKUP($E56-CW$2,'data input'!$D$3:$E$130,2,FALSE),0)</f>
        <v>0</v>
      </c>
      <c r="CX56" s="5">
        <f>IF($E56&gt;=CX$2,VLOOKUP($E56-CX$2,'data input'!$D$3:$E$130,2,FALSE),0)</f>
        <v>0</v>
      </c>
      <c r="CY56" s="5">
        <f>IF($E56&gt;=CY$2,VLOOKUP($E56-CY$2,'data input'!$D$3:$E$130,2,FALSE),0)</f>
        <v>0</v>
      </c>
      <c r="CZ56" s="5">
        <f>IF($E56&gt;=CZ$2,VLOOKUP($E56-CZ$2,'data input'!$D$3:$E$130,2,FALSE),0)</f>
        <v>0</v>
      </c>
      <c r="DA56" s="5">
        <f>IF($E56&gt;=DA$2,VLOOKUP($E56-DA$2,'data input'!$D$3:$E$130,2,FALSE),0)</f>
        <v>0</v>
      </c>
      <c r="DB56" s="5">
        <f>IF($E56&gt;=DB$2,VLOOKUP($E56-DB$2,'data input'!$D$3:$E$130,2,FALSE),0)</f>
        <v>0</v>
      </c>
      <c r="DC56" s="5">
        <f>IF($E56&gt;=DC$2,VLOOKUP($E56-DC$2,'data input'!$D$3:$E$130,2,FALSE),0)</f>
        <v>0</v>
      </c>
      <c r="DD56" s="5">
        <f>IF($E56&gt;=DD$2,VLOOKUP($E56-DD$2,'data input'!$D$3:$E$130,2,FALSE),0)</f>
        <v>0</v>
      </c>
      <c r="DE56" s="5">
        <f>IF($E56&gt;=DE$2,VLOOKUP($E56-DE$2,'data input'!$D$3:$E$130,2,FALSE),0)</f>
        <v>0</v>
      </c>
      <c r="DF56" s="5">
        <f>IF($E56&gt;=DF$2,VLOOKUP($E56-DF$2,'data input'!$D$3:$E$130,2,FALSE),0)</f>
        <v>0</v>
      </c>
      <c r="DG56" s="5">
        <f>IF($E56&gt;=DG$2,VLOOKUP($E56-DG$2,'data input'!$D$3:$E$130,2,FALSE),0)</f>
        <v>0</v>
      </c>
      <c r="DH56" s="5">
        <f>IF($E56&gt;=DH$2,VLOOKUP($E56-DH$2,'data input'!$D$3:$E$130,2,FALSE),0)</f>
        <v>0</v>
      </c>
      <c r="DI56" s="5">
        <f>IF($E56&gt;=DI$2,VLOOKUP($E56-DI$2,'data input'!$D$3:$E$130,2,FALSE),0)</f>
        <v>0</v>
      </c>
      <c r="DJ56" s="5">
        <f>IF($E56&gt;=DJ$2,VLOOKUP($E56-DJ$2,'data input'!$D$3:$E$130,2,FALSE),0)</f>
        <v>0</v>
      </c>
      <c r="DK56" s="5">
        <f>IF($E56&gt;=DK$2,VLOOKUP($E56-DK$2,'data input'!$D$3:$E$130,2,FALSE),0)</f>
        <v>0</v>
      </c>
      <c r="DL56" s="5">
        <f>IF($E56&gt;=DL$2,VLOOKUP($E56-DL$2,'data input'!$D$3:$E$130,2,FALSE),0)</f>
        <v>0</v>
      </c>
      <c r="DM56" s="5">
        <f>IF($E56&gt;=DM$2,VLOOKUP($E56-DM$2,'data input'!$D$3:$E$130,2,FALSE),0)</f>
        <v>0</v>
      </c>
      <c r="DN56" s="5">
        <f>IF($E56&gt;=DN$2,VLOOKUP($E56-DN$2,'data input'!$D$3:$E$130,2,FALSE),0)</f>
        <v>0</v>
      </c>
      <c r="DO56" s="5">
        <f>IF($E56&gt;=DO$2,VLOOKUP($E56-DO$2,'data input'!$D$3:$E$130,2,FALSE),0)</f>
        <v>0</v>
      </c>
      <c r="DP56" s="5">
        <f>IF($E56&gt;=DP$2,VLOOKUP($E56-DP$2,'data input'!$D$3:$E$130,2,FALSE),0)</f>
        <v>0</v>
      </c>
      <c r="DQ56" s="5">
        <f>IF($E56&gt;=DQ$2,VLOOKUP($E56-DQ$2,'data input'!$D$3:$E$130,2,FALSE),0)</f>
        <v>0</v>
      </c>
      <c r="DR56" s="5">
        <f>IF($E56&gt;=DR$2,VLOOKUP($E56-DR$2,'data input'!$D$3:$E$130,2,FALSE),0)</f>
        <v>0</v>
      </c>
      <c r="DS56" s="5">
        <f>IF($E56&gt;=DS$2,VLOOKUP($E56-DS$2,'data input'!$D$3:$E$130,2,FALSE),0)</f>
        <v>0</v>
      </c>
      <c r="DT56" s="5">
        <f>IF($E56&gt;=DT$2,VLOOKUP($E56-DT$2,'data input'!$D$3:$E$130,2,FALSE),0)</f>
        <v>0</v>
      </c>
      <c r="DU56" s="5">
        <f>IF($E56&gt;=DU$2,VLOOKUP($E56-DU$2,'data input'!$D$3:$E$130,2,FALSE),0)</f>
        <v>0</v>
      </c>
      <c r="DV56" s="5">
        <f>IF($E56&gt;=DV$2,VLOOKUP($E56-DV$2,'data input'!$D$3:$E$130,2,FALSE),0)</f>
        <v>0</v>
      </c>
      <c r="DW56" s="5">
        <f>IF($E56&gt;=DW$2,VLOOKUP($E56-DW$2,'data input'!$D$3:$E$130,2,FALSE),0)</f>
        <v>0</v>
      </c>
      <c r="DX56" s="5">
        <f>IF($E56&gt;=DX$2,VLOOKUP($E56-DX$2,'data input'!$D$3:$E$130,2,FALSE),0)</f>
        <v>0</v>
      </c>
      <c r="DY56" s="5">
        <f>IF($E56&gt;=DY$2,VLOOKUP($E56-DY$2,'data input'!$D$3:$E$130,2,FALSE),0)</f>
        <v>0</v>
      </c>
      <c r="DZ56" s="5">
        <f>IF($E56&gt;=DZ$2,VLOOKUP($E56-DZ$2,'data input'!$D$3:$E$130,2,FALSE),0)</f>
        <v>0</v>
      </c>
      <c r="EA56" s="5">
        <f>IF($E56&gt;=EA$2,VLOOKUP($E56-EA$2,'data input'!$D$3:$E$130,2,FALSE),0)</f>
        <v>0</v>
      </c>
      <c r="EB56" s="5">
        <f>IF($E56&gt;=EB$2,VLOOKUP($E56-EB$2,'data input'!$D$3:$E$130,2,FALSE),0)</f>
        <v>0</v>
      </c>
      <c r="EC56" s="5">
        <f>IF($E56&gt;=EC$2,VLOOKUP($E56-EC$2,'data input'!$D$3:$E$130,2,FALSE),0)</f>
        <v>0</v>
      </c>
    </row>
    <row r="57" spans="5:133">
      <c r="E57" s="7">
        <f>'data input'!B57</f>
        <v>1932</v>
      </c>
      <c r="F57" s="5">
        <f>IF($E57&gt;=F$2,VLOOKUP($E57-F$2,'data input'!$D$3:$E$130,2,FALSE),0)</f>
        <v>0.14685905637589591</v>
      </c>
      <c r="G57" s="5">
        <f>IF($E57&gt;=G$2,VLOOKUP($E57-G$2,'data input'!$D$3:$E$130,2,FALSE),0)</f>
        <v>0.16478012998031033</v>
      </c>
      <c r="H57" s="5">
        <f>IF($E57&gt;=H$2,VLOOKUP($E57-H$2,'data input'!$D$3:$E$130,2,FALSE),0)</f>
        <v>0.18406012534675953</v>
      </c>
      <c r="I57" s="5">
        <f>IF($E57&gt;=I$2,VLOOKUP($E57-I$2,'data input'!$D$3:$E$130,2,FALSE),0)</f>
        <v>0.20468579534725262</v>
      </c>
      <c r="J57" s="5">
        <f>IF($E57&gt;=J$2,VLOOKUP($E57-J$2,'data input'!$D$3:$E$130,2,FALSE),0)</f>
        <v>0.22662735237686826</v>
      </c>
      <c r="K57" s="5">
        <f>IF($E57&gt;=K$2,VLOOKUP($E57-K$2,'data input'!$D$3:$E$130,2,FALSE),0)</f>
        <v>0.24983788247177696</v>
      </c>
      <c r="L57" s="5">
        <f>IF($E57&gt;=L$2,VLOOKUP($E57-L$2,'data input'!$D$3:$E$130,2,FALSE),0)</f>
        <v>0.27425311775007355</v>
      </c>
      <c r="M57" s="5">
        <f>IF($E57&gt;=M$2,VLOOKUP($E57-M$2,'data input'!$D$3:$E$130,2,FALSE),0)</f>
        <v>0.29979159546869583</v>
      </c>
      <c r="N57" s="5">
        <f>IF($E57&gt;=N$2,VLOOKUP($E57-N$2,'data input'!$D$3:$E$130,2,FALSE),0)</f>
        <v>0.32635522028792008</v>
      </c>
      <c r="O57" s="5">
        <f>IF($E57&gt;=O$2,VLOOKUP($E57-O$2,'data input'!$D$3:$E$130,2,FALSE),0)</f>
        <v>0.35383023332727614</v>
      </c>
      <c r="P57" s="5">
        <f>IF($E57&gt;=P$2,VLOOKUP($E57-P$2,'data input'!$D$3:$E$130,2,FALSE),0)</f>
        <v>0.38208857781104733</v>
      </c>
      <c r="Q57" s="5">
        <f>IF($E57&gt;=Q$2,VLOOKUP($E57-Q$2,'data input'!$D$3:$E$130,2,FALSE),0)</f>
        <v>0.41098963713127035</v>
      </c>
      <c r="R57" s="5">
        <f>IF($E57&gt;=R$2,VLOOKUP($E57-R$2,'data input'!$D$3:$E$130,2,FALSE),0)</f>
        <v>0.4403823076297575</v>
      </c>
      <c r="S57" s="5">
        <f>IF($E57&gt;=S$2,VLOOKUP($E57-S$2,'data input'!$D$3:$E$130,2,FALSE),0)</f>
        <v>0.47010735594710518</v>
      </c>
      <c r="T57" s="5">
        <f>IF($E57&gt;=T$2,VLOOKUP($E57-T$2,'data input'!$D$3:$E$130,2,FALSE),0)</f>
        <v>0.5</v>
      </c>
      <c r="U57" s="5">
        <f>IF($E57&gt;=U$2,VLOOKUP($E57-U$2,'data input'!$D$3:$E$130,2,FALSE),0)</f>
        <v>0.52989264405289482</v>
      </c>
      <c r="V57" s="5">
        <f>IF($E57&gt;=V$2,VLOOKUP($E57-V$2,'data input'!$D$3:$E$130,2,FALSE),0)</f>
        <v>0.5596176923702425</v>
      </c>
      <c r="W57" s="5">
        <f>IF($E57&gt;=W$2,VLOOKUP($E57-W$2,'data input'!$D$3:$E$130,2,FALSE),0)</f>
        <v>0.58901036286872965</v>
      </c>
      <c r="X57" s="5">
        <f>IF($E57&gt;=X$2,VLOOKUP($E57-X$2,'data input'!$D$3:$E$130,2,FALSE),0)</f>
        <v>0.61791142218895267</v>
      </c>
      <c r="Y57" s="5">
        <f>IF($E57&gt;=Y$2,VLOOKUP($E57-Y$2,'data input'!$D$3:$E$130,2,FALSE),0)</f>
        <v>0.64616976667272386</v>
      </c>
      <c r="Z57" s="5">
        <f>IF($E57&gt;=Z$2,VLOOKUP($E57-Z$2,'data input'!$D$3:$E$130,2,FALSE),0)</f>
        <v>0.67364477971207992</v>
      </c>
      <c r="AA57" s="5">
        <f>IF($E57&gt;=AA$2,VLOOKUP($E57-AA$2,'data input'!$D$3:$E$130,2,FALSE),0)</f>
        <v>0.70020840453130417</v>
      </c>
      <c r="AB57" s="5">
        <f>IF($E57&gt;=AB$2,VLOOKUP($E57-AB$2,'data input'!$D$3:$E$130,2,FALSE),0)</f>
        <v>0.72574688224992645</v>
      </c>
      <c r="AC57" s="5">
        <f>IF($E57&gt;=AC$2,VLOOKUP($E57-AC$2,'data input'!$D$3:$E$130,2,FALSE),0)</f>
        <v>0.75016211752822304</v>
      </c>
      <c r="AD57" s="5">
        <f>IF($E57&gt;=AD$2,VLOOKUP($E57-AD$2,'data input'!$D$3:$E$130,2,FALSE),0)</f>
        <v>0.77337264762313174</v>
      </c>
      <c r="AE57" s="5">
        <f>IF($E57&gt;=AE$2,VLOOKUP($E57-AE$2,'data input'!$D$3:$E$130,2,FALSE),0)</f>
        <v>0.79531420465274738</v>
      </c>
      <c r="AF57" s="5">
        <f>IF($E57&gt;=AF$2,VLOOKUP($E57-AF$2,'data input'!$D$3:$E$130,2,FALSE),0)</f>
        <v>0.81593987465324047</v>
      </c>
      <c r="AG57" s="5">
        <f>IF($E57&gt;=AG$2,VLOOKUP($E57-AG$2,'data input'!$D$3:$E$130,2,FALSE),0)</f>
        <v>0.83521987001968967</v>
      </c>
      <c r="AH57" s="5">
        <f>IF($E57&gt;=AH$2,VLOOKUP($E57-AH$2,'data input'!$D$3:$E$130,2,FALSE),0)</f>
        <v>0.85314094362410409</v>
      </c>
      <c r="AI57" s="5">
        <f>IF($E57&gt;=AI$2,VLOOKUP($E57-AI$2,'data input'!$D$3:$E$130,2,FALSE),0)</f>
        <v>0.86970548286319116</v>
      </c>
      <c r="AJ57" s="5">
        <f>IF($E57&gt;=AJ$2,VLOOKUP($E57-AJ$2,'data input'!$D$3:$E$130,2,FALSE),0)</f>
        <v>0.88493032977829178</v>
      </c>
      <c r="AK57" s="5">
        <f>IF($E57&gt;=AK$2,VLOOKUP($E57-AK$2,'data input'!$D$3:$E$130,2,FALSE),0)</f>
        <v>0.89884537900441408</v>
      </c>
      <c r="AL57" s="5">
        <f>IF($E57&gt;=AL$2,VLOOKUP($E57-AL$2,'data input'!$D$3:$E$130,2,FALSE),0)</f>
        <v>0.91149200856259793</v>
      </c>
      <c r="AM57" s="5">
        <f>IF($E57&gt;=AM$2,VLOOKUP($E57-AM$2,'data input'!$D$3:$E$130,2,FALSE),0)</f>
        <v>0.92292139944792817</v>
      </c>
      <c r="AN57" s="5">
        <f>IF($E57&gt;=AN$2,VLOOKUP($E57-AN$2,'data input'!$D$3:$E$130,2,FALSE),0)</f>
        <v>0.93319279873114191</v>
      </c>
      <c r="AO57" s="5">
        <f>IF($E57&gt;=AO$2,VLOOKUP($E57-AO$2,'data input'!$D$3:$E$130,2,FALSE),0)</f>
        <v>0.94237177772384684</v>
      </c>
      <c r="AP57" s="5">
        <f>IF($E57&gt;=AP$2,VLOOKUP($E57-AP$2,'data input'!$D$3:$E$130,2,FALSE),0)</f>
        <v>0.9505285319663519</v>
      </c>
      <c r="AQ57" s="5">
        <f>IF($E57&gt;=AQ$2,VLOOKUP($E57-AQ$2,'data input'!$D$3:$E$130,2,FALSE),0)</f>
        <v>0.95773626374204757</v>
      </c>
      <c r="AR57" s="5">
        <f>IF($E57&gt;=AR$2,VLOOKUP($E57-AR$2,'data input'!$D$3:$E$130,2,FALSE),0)</f>
        <v>0.96406968088707423</v>
      </c>
      <c r="AS57" s="5">
        <f>IF($E57&gt;=AS$2,VLOOKUP($E57-AS$2,'data input'!$D$3:$E$130,2,FALSE),0)</f>
        <v>0.96960363823473861</v>
      </c>
      <c r="AT57" s="5">
        <f>IF($E57&gt;=AT$2,VLOOKUP($E57-AT$2,'data input'!$D$3:$E$130,2,FALSE),0)</f>
        <v>0.97441194047836144</v>
      </c>
      <c r="AU57" s="5">
        <f>IF($E57&gt;=AU$2,VLOOKUP($E57-AU$2,'data input'!$D$3:$E$130,2,FALSE),0)</f>
        <v>0.97856631788584703</v>
      </c>
      <c r="AV57" s="5">
        <f>IF($E57&gt;=AV$2,VLOOKUP($E57-AV$2,'data input'!$D$3:$E$130,2,FALSE),0)</f>
        <v>0.98213557943718344</v>
      </c>
      <c r="AW57" s="5">
        <f>IF($E57&gt;=AW$2,VLOOKUP($E57-AW$2,'data input'!$D$3:$E$130,2,FALSE),0)</f>
        <v>0.98518494180739014</v>
      </c>
      <c r="AX57" s="5">
        <f>IF($E57&gt;=AX$2,VLOOKUP($E57-AX$2,'data input'!$D$3:$E$130,2,FALSE),0)</f>
        <v>0.98777552734495533</v>
      </c>
      <c r="AY57" s="5">
        <f>IF($E57&gt;=AY$2,VLOOKUP($E57-AY$2,'data input'!$D$3:$E$130,2,FALSE),0)</f>
        <v>0.98996401989972593</v>
      </c>
      <c r="AZ57" s="5">
        <f>IF($E57&gt;=AZ$2,VLOOKUP($E57-AZ$2,'data input'!$D$3:$E$130,2,FALSE),0)</f>
        <v>0.99180246407540384</v>
      </c>
      <c r="BA57" s="5">
        <f>IF($E57&gt;=BA$2,VLOOKUP($E57-BA$2,'data input'!$D$3:$E$130,2,FALSE),0)</f>
        <v>0.99333819120801725</v>
      </c>
      <c r="BB57" s="5">
        <f>IF($E57&gt;=BB$2,VLOOKUP($E57-BB$2,'data input'!$D$3:$E$130,2,FALSE),0)</f>
        <v>0.99461385404593328</v>
      </c>
      <c r="BC57" s="5">
        <f>IF($E57&gt;=BC$2,VLOOKUP($E57-BC$2,'data input'!$D$3:$E$130,2,FALSE),0)</f>
        <v>0.99566755163698739</v>
      </c>
      <c r="BD57" s="5">
        <f>IF($E57&gt;=BD$2,VLOOKUP($E57-BD$2,'data input'!$D$3:$E$130,2,FALSE),0)</f>
        <v>0.99653302619695938</v>
      </c>
      <c r="BE57" s="5">
        <f>IF($E57&gt;=BE$2,VLOOKUP($E57-BE$2,'data input'!$D$3:$E$130,2,FALSE),0)</f>
        <v>0.99723991460873751</v>
      </c>
      <c r="BF57" s="5">
        <f>IF($E57&gt;=BF$2,VLOOKUP($E57-BF$2,'data input'!$D$3:$E$130,2,FALSE),0)</f>
        <v>0.99781403854508677</v>
      </c>
      <c r="BG57" s="5">
        <f>IF($E57&gt;=BG$2,VLOOKUP($E57-BG$2,'data input'!$D$3:$E$130,2,FALSE),0)</f>
        <v>0.99827771888413241</v>
      </c>
      <c r="BH57" s="5">
        <f>IF($E57&gt;=BH$2,VLOOKUP($E57-BH$2,'data input'!$D$3:$E$130,2,FALSE),0)</f>
        <v>0.9986501019683699</v>
      </c>
      <c r="BI57" s="5">
        <f>IF($E57&gt;=BI$2,VLOOKUP($E57-BI$2,'data input'!$D$3:$E$130,2,FALSE),0)</f>
        <v>0</v>
      </c>
      <c r="BJ57" s="5">
        <f>IF($E57&gt;=BJ$2,VLOOKUP($E57-BJ$2,'data input'!$D$3:$E$130,2,FALSE),0)</f>
        <v>0</v>
      </c>
      <c r="BK57" s="5">
        <f>IF($E57&gt;=BK$2,VLOOKUP($E57-BK$2,'data input'!$D$3:$E$130,2,FALSE),0)</f>
        <v>0</v>
      </c>
      <c r="BL57" s="5">
        <f>IF($E57&gt;=BL$2,VLOOKUP($E57-BL$2,'data input'!$D$3:$E$130,2,FALSE),0)</f>
        <v>0</v>
      </c>
      <c r="BM57" s="5">
        <f>IF($E57&gt;=BM$2,VLOOKUP($E57-BM$2,'data input'!$D$3:$E$130,2,FALSE),0)</f>
        <v>0</v>
      </c>
      <c r="BN57" s="5">
        <f>IF($E57&gt;=BN$2,VLOOKUP($E57-BN$2,'data input'!$D$3:$E$130,2,FALSE),0)</f>
        <v>0</v>
      </c>
      <c r="BO57" s="5">
        <f>IF($E57&gt;=BO$2,VLOOKUP($E57-BO$2,'data input'!$D$3:$E$130,2,FALSE),0)</f>
        <v>0</v>
      </c>
      <c r="BP57" s="5">
        <f>IF($E57&gt;=BP$2,VLOOKUP($E57-BP$2,'data input'!$D$3:$E$130,2,FALSE),0)</f>
        <v>0</v>
      </c>
      <c r="BQ57" s="5">
        <f>IF($E57&gt;=BQ$2,VLOOKUP($E57-BQ$2,'data input'!$D$3:$E$130,2,FALSE),0)</f>
        <v>0</v>
      </c>
      <c r="BR57" s="5">
        <f>IF($E57&gt;=BR$2,VLOOKUP($E57-BR$2,'data input'!$D$3:$E$130,2,FALSE),0)</f>
        <v>0</v>
      </c>
      <c r="BS57" s="5">
        <f>IF($E57&gt;=BS$2,VLOOKUP($E57-BS$2,'data input'!$D$3:$E$130,2,FALSE),0)</f>
        <v>0</v>
      </c>
      <c r="BT57" s="5">
        <f>IF($E57&gt;=BT$2,VLOOKUP($E57-BT$2,'data input'!$D$3:$E$130,2,FALSE),0)</f>
        <v>0</v>
      </c>
      <c r="BU57" s="5">
        <f>IF($E57&gt;=BU$2,VLOOKUP($E57-BU$2,'data input'!$D$3:$E$130,2,FALSE),0)</f>
        <v>0</v>
      </c>
      <c r="BV57" s="5">
        <f>IF($E57&gt;=BV$2,VLOOKUP($E57-BV$2,'data input'!$D$3:$E$130,2,FALSE),0)</f>
        <v>0</v>
      </c>
      <c r="BW57" s="5">
        <f>IF($E57&gt;=BW$2,VLOOKUP($E57-BW$2,'data input'!$D$3:$E$130,2,FALSE),0)</f>
        <v>0</v>
      </c>
      <c r="BX57" s="5">
        <f>IF($E57&gt;=BX$2,VLOOKUP($E57-BX$2,'data input'!$D$3:$E$130,2,FALSE),0)</f>
        <v>0</v>
      </c>
      <c r="BY57" s="5">
        <f>IF($E57&gt;=BY$2,VLOOKUP($E57-BY$2,'data input'!$D$3:$E$130,2,FALSE),0)</f>
        <v>0</v>
      </c>
      <c r="BZ57" s="5">
        <f>IF($E57&gt;=BZ$2,VLOOKUP($E57-BZ$2,'data input'!$D$3:$E$130,2,FALSE),0)</f>
        <v>0</v>
      </c>
      <c r="CA57" s="5">
        <f>IF($E57&gt;=CA$2,VLOOKUP($E57-CA$2,'data input'!$D$3:$E$130,2,FALSE),0)</f>
        <v>0</v>
      </c>
      <c r="CB57" s="5">
        <f>IF($E57&gt;=CB$2,VLOOKUP($E57-CB$2,'data input'!$D$3:$E$130,2,FALSE),0)</f>
        <v>0</v>
      </c>
      <c r="CC57" s="5">
        <f>IF($E57&gt;=CC$2,VLOOKUP($E57-CC$2,'data input'!$D$3:$E$130,2,FALSE),0)</f>
        <v>0</v>
      </c>
      <c r="CD57" s="5">
        <f>IF($E57&gt;=CD$2,VLOOKUP($E57-CD$2,'data input'!$D$3:$E$130,2,FALSE),0)</f>
        <v>0</v>
      </c>
      <c r="CE57" s="5">
        <f>IF($E57&gt;=CE$2,VLOOKUP($E57-CE$2,'data input'!$D$3:$E$130,2,FALSE),0)</f>
        <v>0</v>
      </c>
      <c r="CF57" s="5">
        <f>IF($E57&gt;=CF$2,VLOOKUP($E57-CF$2,'data input'!$D$3:$E$130,2,FALSE),0)</f>
        <v>0</v>
      </c>
      <c r="CG57" s="5">
        <f>IF($E57&gt;=CG$2,VLOOKUP($E57-CG$2,'data input'!$D$3:$E$130,2,FALSE),0)</f>
        <v>0</v>
      </c>
      <c r="CH57" s="5">
        <f>IF($E57&gt;=CH$2,VLOOKUP($E57-CH$2,'data input'!$D$3:$E$130,2,FALSE),0)</f>
        <v>0</v>
      </c>
      <c r="CI57" s="5">
        <f>IF($E57&gt;=CI$2,VLOOKUP($E57-CI$2,'data input'!$D$3:$E$130,2,FALSE),0)</f>
        <v>0</v>
      </c>
      <c r="CJ57" s="5">
        <f>IF($E57&gt;=CJ$2,VLOOKUP($E57-CJ$2,'data input'!$D$3:$E$130,2,FALSE),0)</f>
        <v>0</v>
      </c>
      <c r="CK57" s="5">
        <f>IF($E57&gt;=CK$2,VLOOKUP($E57-CK$2,'data input'!$D$3:$E$130,2,FALSE),0)</f>
        <v>0</v>
      </c>
      <c r="CL57" s="5">
        <f>IF($E57&gt;=CL$2,VLOOKUP($E57-CL$2,'data input'!$D$3:$E$130,2,FALSE),0)</f>
        <v>0</v>
      </c>
      <c r="CM57" s="5">
        <f>IF($E57&gt;=CM$2,VLOOKUP($E57-CM$2,'data input'!$D$3:$E$130,2,FALSE),0)</f>
        <v>0</v>
      </c>
      <c r="CN57" s="5">
        <f>IF($E57&gt;=CN$2,VLOOKUP($E57-CN$2,'data input'!$D$3:$E$130,2,FALSE),0)</f>
        <v>0</v>
      </c>
      <c r="CO57" s="5">
        <f>IF($E57&gt;=CO$2,VLOOKUP($E57-CO$2,'data input'!$D$3:$E$130,2,FALSE),0)</f>
        <v>0</v>
      </c>
      <c r="CP57" s="5">
        <f>IF($E57&gt;=CP$2,VLOOKUP($E57-CP$2,'data input'!$D$3:$E$130,2,FALSE),0)</f>
        <v>0</v>
      </c>
      <c r="CQ57" s="5">
        <f>IF($E57&gt;=CQ$2,VLOOKUP($E57-CQ$2,'data input'!$D$3:$E$130,2,FALSE),0)</f>
        <v>0</v>
      </c>
      <c r="CR57" s="5">
        <f>IF($E57&gt;=CR$2,VLOOKUP($E57-CR$2,'data input'!$D$3:$E$130,2,FALSE),0)</f>
        <v>0</v>
      </c>
      <c r="CS57" s="5">
        <f>IF($E57&gt;=CS$2,VLOOKUP($E57-CS$2,'data input'!$D$3:$E$130,2,FALSE),0)</f>
        <v>0</v>
      </c>
      <c r="CT57" s="5">
        <f>IF($E57&gt;=CT$2,VLOOKUP($E57-CT$2,'data input'!$D$3:$E$130,2,FALSE),0)</f>
        <v>0</v>
      </c>
      <c r="CU57" s="5">
        <f>IF($E57&gt;=CU$2,VLOOKUP($E57-CU$2,'data input'!$D$3:$E$130,2,FALSE),0)</f>
        <v>0</v>
      </c>
      <c r="CV57" s="5">
        <f>IF($E57&gt;=CV$2,VLOOKUP($E57-CV$2,'data input'!$D$3:$E$130,2,FALSE),0)</f>
        <v>0</v>
      </c>
      <c r="CW57" s="5">
        <f>IF($E57&gt;=CW$2,VLOOKUP($E57-CW$2,'data input'!$D$3:$E$130,2,FALSE),0)</f>
        <v>0</v>
      </c>
      <c r="CX57" s="5">
        <f>IF($E57&gt;=CX$2,VLOOKUP($E57-CX$2,'data input'!$D$3:$E$130,2,FALSE),0)</f>
        <v>0</v>
      </c>
      <c r="CY57" s="5">
        <f>IF($E57&gt;=CY$2,VLOOKUP($E57-CY$2,'data input'!$D$3:$E$130,2,FALSE),0)</f>
        <v>0</v>
      </c>
      <c r="CZ57" s="5">
        <f>IF($E57&gt;=CZ$2,VLOOKUP($E57-CZ$2,'data input'!$D$3:$E$130,2,FALSE),0)</f>
        <v>0</v>
      </c>
      <c r="DA57" s="5">
        <f>IF($E57&gt;=DA$2,VLOOKUP($E57-DA$2,'data input'!$D$3:$E$130,2,FALSE),0)</f>
        <v>0</v>
      </c>
      <c r="DB57" s="5">
        <f>IF($E57&gt;=DB$2,VLOOKUP($E57-DB$2,'data input'!$D$3:$E$130,2,FALSE),0)</f>
        <v>0</v>
      </c>
      <c r="DC57" s="5">
        <f>IF($E57&gt;=DC$2,VLOOKUP($E57-DC$2,'data input'!$D$3:$E$130,2,FALSE),0)</f>
        <v>0</v>
      </c>
      <c r="DD57" s="5">
        <f>IF($E57&gt;=DD$2,VLOOKUP($E57-DD$2,'data input'!$D$3:$E$130,2,FALSE),0)</f>
        <v>0</v>
      </c>
      <c r="DE57" s="5">
        <f>IF($E57&gt;=DE$2,VLOOKUP($E57-DE$2,'data input'!$D$3:$E$130,2,FALSE),0)</f>
        <v>0</v>
      </c>
      <c r="DF57" s="5">
        <f>IF($E57&gt;=DF$2,VLOOKUP($E57-DF$2,'data input'!$D$3:$E$130,2,FALSE),0)</f>
        <v>0</v>
      </c>
      <c r="DG57" s="5">
        <f>IF($E57&gt;=DG$2,VLOOKUP($E57-DG$2,'data input'!$D$3:$E$130,2,FALSE),0)</f>
        <v>0</v>
      </c>
      <c r="DH57" s="5">
        <f>IF($E57&gt;=DH$2,VLOOKUP($E57-DH$2,'data input'!$D$3:$E$130,2,FALSE),0)</f>
        <v>0</v>
      </c>
      <c r="DI57" s="5">
        <f>IF($E57&gt;=DI$2,VLOOKUP($E57-DI$2,'data input'!$D$3:$E$130,2,FALSE),0)</f>
        <v>0</v>
      </c>
      <c r="DJ57" s="5">
        <f>IF($E57&gt;=DJ$2,VLOOKUP($E57-DJ$2,'data input'!$D$3:$E$130,2,FALSE),0)</f>
        <v>0</v>
      </c>
      <c r="DK57" s="5">
        <f>IF($E57&gt;=DK$2,VLOOKUP($E57-DK$2,'data input'!$D$3:$E$130,2,FALSE),0)</f>
        <v>0</v>
      </c>
      <c r="DL57" s="5">
        <f>IF($E57&gt;=DL$2,VLOOKUP($E57-DL$2,'data input'!$D$3:$E$130,2,FALSE),0)</f>
        <v>0</v>
      </c>
      <c r="DM57" s="5">
        <f>IF($E57&gt;=DM$2,VLOOKUP($E57-DM$2,'data input'!$D$3:$E$130,2,FALSE),0)</f>
        <v>0</v>
      </c>
      <c r="DN57" s="5">
        <f>IF($E57&gt;=DN$2,VLOOKUP($E57-DN$2,'data input'!$D$3:$E$130,2,FALSE),0)</f>
        <v>0</v>
      </c>
      <c r="DO57" s="5">
        <f>IF($E57&gt;=DO$2,VLOOKUP($E57-DO$2,'data input'!$D$3:$E$130,2,FALSE),0)</f>
        <v>0</v>
      </c>
      <c r="DP57" s="5">
        <f>IF($E57&gt;=DP$2,VLOOKUP($E57-DP$2,'data input'!$D$3:$E$130,2,FALSE),0)</f>
        <v>0</v>
      </c>
      <c r="DQ57" s="5">
        <f>IF($E57&gt;=DQ$2,VLOOKUP($E57-DQ$2,'data input'!$D$3:$E$130,2,FALSE),0)</f>
        <v>0</v>
      </c>
      <c r="DR57" s="5">
        <f>IF($E57&gt;=DR$2,VLOOKUP($E57-DR$2,'data input'!$D$3:$E$130,2,FALSE),0)</f>
        <v>0</v>
      </c>
      <c r="DS57" s="5">
        <f>IF($E57&gt;=DS$2,VLOOKUP($E57-DS$2,'data input'!$D$3:$E$130,2,FALSE),0)</f>
        <v>0</v>
      </c>
      <c r="DT57" s="5">
        <f>IF($E57&gt;=DT$2,VLOOKUP($E57-DT$2,'data input'!$D$3:$E$130,2,FALSE),0)</f>
        <v>0</v>
      </c>
      <c r="DU57" s="5">
        <f>IF($E57&gt;=DU$2,VLOOKUP($E57-DU$2,'data input'!$D$3:$E$130,2,FALSE),0)</f>
        <v>0</v>
      </c>
      <c r="DV57" s="5">
        <f>IF($E57&gt;=DV$2,VLOOKUP($E57-DV$2,'data input'!$D$3:$E$130,2,FALSE),0)</f>
        <v>0</v>
      </c>
      <c r="DW57" s="5">
        <f>IF($E57&gt;=DW$2,VLOOKUP($E57-DW$2,'data input'!$D$3:$E$130,2,FALSE),0)</f>
        <v>0</v>
      </c>
      <c r="DX57" s="5">
        <f>IF($E57&gt;=DX$2,VLOOKUP($E57-DX$2,'data input'!$D$3:$E$130,2,FALSE),0)</f>
        <v>0</v>
      </c>
      <c r="DY57" s="5">
        <f>IF($E57&gt;=DY$2,VLOOKUP($E57-DY$2,'data input'!$D$3:$E$130,2,FALSE),0)</f>
        <v>0</v>
      </c>
      <c r="DZ57" s="5">
        <f>IF($E57&gt;=DZ$2,VLOOKUP($E57-DZ$2,'data input'!$D$3:$E$130,2,FALSE),0)</f>
        <v>0</v>
      </c>
      <c r="EA57" s="5">
        <f>IF($E57&gt;=EA$2,VLOOKUP($E57-EA$2,'data input'!$D$3:$E$130,2,FALSE),0)</f>
        <v>0</v>
      </c>
      <c r="EB57" s="5">
        <f>IF($E57&gt;=EB$2,VLOOKUP($E57-EB$2,'data input'!$D$3:$E$130,2,FALSE),0)</f>
        <v>0</v>
      </c>
      <c r="EC57" s="5">
        <f>IF($E57&gt;=EC$2,VLOOKUP($E57-EC$2,'data input'!$D$3:$E$130,2,FALSE),0)</f>
        <v>0</v>
      </c>
    </row>
    <row r="58" spans="5:133">
      <c r="E58" s="7">
        <f>'data input'!B58</f>
        <v>1933</v>
      </c>
      <c r="F58" s="5">
        <f>IF($E58&gt;=F$2,VLOOKUP($E58-F$2,'data input'!$D$3:$E$130,2,FALSE),0)</f>
        <v>0.13029451713680884</v>
      </c>
      <c r="G58" s="5">
        <f>IF($E58&gt;=G$2,VLOOKUP($E58-G$2,'data input'!$D$3:$E$130,2,FALSE),0)</f>
        <v>0.14685905637589591</v>
      </c>
      <c r="H58" s="5">
        <f>IF($E58&gt;=H$2,VLOOKUP($E58-H$2,'data input'!$D$3:$E$130,2,FALSE),0)</f>
        <v>0.16478012998031033</v>
      </c>
      <c r="I58" s="5">
        <f>IF($E58&gt;=I$2,VLOOKUP($E58-I$2,'data input'!$D$3:$E$130,2,FALSE),0)</f>
        <v>0.18406012534675953</v>
      </c>
      <c r="J58" s="5">
        <f>IF($E58&gt;=J$2,VLOOKUP($E58-J$2,'data input'!$D$3:$E$130,2,FALSE),0)</f>
        <v>0.20468579534725262</v>
      </c>
      <c r="K58" s="5">
        <f>IF($E58&gt;=K$2,VLOOKUP($E58-K$2,'data input'!$D$3:$E$130,2,FALSE),0)</f>
        <v>0.22662735237686826</v>
      </c>
      <c r="L58" s="5">
        <f>IF($E58&gt;=L$2,VLOOKUP($E58-L$2,'data input'!$D$3:$E$130,2,FALSE),0)</f>
        <v>0.24983788247177696</v>
      </c>
      <c r="M58" s="5">
        <f>IF($E58&gt;=M$2,VLOOKUP($E58-M$2,'data input'!$D$3:$E$130,2,FALSE),0)</f>
        <v>0.27425311775007355</v>
      </c>
      <c r="N58" s="5">
        <f>IF($E58&gt;=N$2,VLOOKUP($E58-N$2,'data input'!$D$3:$E$130,2,FALSE),0)</f>
        <v>0.29979159546869583</v>
      </c>
      <c r="O58" s="5">
        <f>IF($E58&gt;=O$2,VLOOKUP($E58-O$2,'data input'!$D$3:$E$130,2,FALSE),0)</f>
        <v>0.32635522028792008</v>
      </c>
      <c r="P58" s="5">
        <f>IF($E58&gt;=P$2,VLOOKUP($E58-P$2,'data input'!$D$3:$E$130,2,FALSE),0)</f>
        <v>0.35383023332727614</v>
      </c>
      <c r="Q58" s="5">
        <f>IF($E58&gt;=Q$2,VLOOKUP($E58-Q$2,'data input'!$D$3:$E$130,2,FALSE),0)</f>
        <v>0.38208857781104733</v>
      </c>
      <c r="R58" s="5">
        <f>IF($E58&gt;=R$2,VLOOKUP($E58-R$2,'data input'!$D$3:$E$130,2,FALSE),0)</f>
        <v>0.41098963713127035</v>
      </c>
      <c r="S58" s="5">
        <f>IF($E58&gt;=S$2,VLOOKUP($E58-S$2,'data input'!$D$3:$E$130,2,FALSE),0)</f>
        <v>0.4403823076297575</v>
      </c>
      <c r="T58" s="5">
        <f>IF($E58&gt;=T$2,VLOOKUP($E58-T$2,'data input'!$D$3:$E$130,2,FALSE),0)</f>
        <v>0.47010735594710518</v>
      </c>
      <c r="U58" s="5">
        <f>IF($E58&gt;=U$2,VLOOKUP($E58-U$2,'data input'!$D$3:$E$130,2,FALSE),0)</f>
        <v>0.5</v>
      </c>
      <c r="V58" s="5">
        <f>IF($E58&gt;=V$2,VLOOKUP($E58-V$2,'data input'!$D$3:$E$130,2,FALSE),0)</f>
        <v>0.52989264405289482</v>
      </c>
      <c r="W58" s="5">
        <f>IF($E58&gt;=W$2,VLOOKUP($E58-W$2,'data input'!$D$3:$E$130,2,FALSE),0)</f>
        <v>0.5596176923702425</v>
      </c>
      <c r="X58" s="5">
        <f>IF($E58&gt;=X$2,VLOOKUP($E58-X$2,'data input'!$D$3:$E$130,2,FALSE),0)</f>
        <v>0.58901036286872965</v>
      </c>
      <c r="Y58" s="5">
        <f>IF($E58&gt;=Y$2,VLOOKUP($E58-Y$2,'data input'!$D$3:$E$130,2,FALSE),0)</f>
        <v>0.61791142218895267</v>
      </c>
      <c r="Z58" s="5">
        <f>IF($E58&gt;=Z$2,VLOOKUP($E58-Z$2,'data input'!$D$3:$E$130,2,FALSE),0)</f>
        <v>0.64616976667272386</v>
      </c>
      <c r="AA58" s="5">
        <f>IF($E58&gt;=AA$2,VLOOKUP($E58-AA$2,'data input'!$D$3:$E$130,2,FALSE),0)</f>
        <v>0.67364477971207992</v>
      </c>
      <c r="AB58" s="5">
        <f>IF($E58&gt;=AB$2,VLOOKUP($E58-AB$2,'data input'!$D$3:$E$130,2,FALSE),0)</f>
        <v>0.70020840453130417</v>
      </c>
      <c r="AC58" s="5">
        <f>IF($E58&gt;=AC$2,VLOOKUP($E58-AC$2,'data input'!$D$3:$E$130,2,FALSE),0)</f>
        <v>0.72574688224992645</v>
      </c>
      <c r="AD58" s="5">
        <f>IF($E58&gt;=AD$2,VLOOKUP($E58-AD$2,'data input'!$D$3:$E$130,2,FALSE),0)</f>
        <v>0.75016211752822304</v>
      </c>
      <c r="AE58" s="5">
        <f>IF($E58&gt;=AE$2,VLOOKUP($E58-AE$2,'data input'!$D$3:$E$130,2,FALSE),0)</f>
        <v>0.77337264762313174</v>
      </c>
      <c r="AF58" s="5">
        <f>IF($E58&gt;=AF$2,VLOOKUP($E58-AF$2,'data input'!$D$3:$E$130,2,FALSE),0)</f>
        <v>0.79531420465274738</v>
      </c>
      <c r="AG58" s="5">
        <f>IF($E58&gt;=AG$2,VLOOKUP($E58-AG$2,'data input'!$D$3:$E$130,2,FALSE),0)</f>
        <v>0.81593987465324047</v>
      </c>
      <c r="AH58" s="5">
        <f>IF($E58&gt;=AH$2,VLOOKUP($E58-AH$2,'data input'!$D$3:$E$130,2,FALSE),0)</f>
        <v>0.83521987001968967</v>
      </c>
      <c r="AI58" s="5">
        <f>IF($E58&gt;=AI$2,VLOOKUP($E58-AI$2,'data input'!$D$3:$E$130,2,FALSE),0)</f>
        <v>0.85314094362410409</v>
      </c>
      <c r="AJ58" s="5">
        <f>IF($E58&gt;=AJ$2,VLOOKUP($E58-AJ$2,'data input'!$D$3:$E$130,2,FALSE),0)</f>
        <v>0.86970548286319116</v>
      </c>
      <c r="AK58" s="5">
        <f>IF($E58&gt;=AK$2,VLOOKUP($E58-AK$2,'data input'!$D$3:$E$130,2,FALSE),0)</f>
        <v>0.88493032977829178</v>
      </c>
      <c r="AL58" s="5">
        <f>IF($E58&gt;=AL$2,VLOOKUP($E58-AL$2,'data input'!$D$3:$E$130,2,FALSE),0)</f>
        <v>0.89884537900441408</v>
      </c>
      <c r="AM58" s="5">
        <f>IF($E58&gt;=AM$2,VLOOKUP($E58-AM$2,'data input'!$D$3:$E$130,2,FALSE),0)</f>
        <v>0.91149200856259793</v>
      </c>
      <c r="AN58" s="5">
        <f>IF($E58&gt;=AN$2,VLOOKUP($E58-AN$2,'data input'!$D$3:$E$130,2,FALSE),0)</f>
        <v>0.92292139944792817</v>
      </c>
      <c r="AO58" s="5">
        <f>IF($E58&gt;=AO$2,VLOOKUP($E58-AO$2,'data input'!$D$3:$E$130,2,FALSE),0)</f>
        <v>0.93319279873114191</v>
      </c>
      <c r="AP58" s="5">
        <f>IF($E58&gt;=AP$2,VLOOKUP($E58-AP$2,'data input'!$D$3:$E$130,2,FALSE),0)</f>
        <v>0.94237177772384684</v>
      </c>
      <c r="AQ58" s="5">
        <f>IF($E58&gt;=AQ$2,VLOOKUP($E58-AQ$2,'data input'!$D$3:$E$130,2,FALSE),0)</f>
        <v>0.9505285319663519</v>
      </c>
      <c r="AR58" s="5">
        <f>IF($E58&gt;=AR$2,VLOOKUP($E58-AR$2,'data input'!$D$3:$E$130,2,FALSE),0)</f>
        <v>0.95773626374204757</v>
      </c>
      <c r="AS58" s="5">
        <f>IF($E58&gt;=AS$2,VLOOKUP($E58-AS$2,'data input'!$D$3:$E$130,2,FALSE),0)</f>
        <v>0.96406968088707423</v>
      </c>
      <c r="AT58" s="5">
        <f>IF($E58&gt;=AT$2,VLOOKUP($E58-AT$2,'data input'!$D$3:$E$130,2,FALSE),0)</f>
        <v>0.96960363823473861</v>
      </c>
      <c r="AU58" s="5">
        <f>IF($E58&gt;=AU$2,VLOOKUP($E58-AU$2,'data input'!$D$3:$E$130,2,FALSE),0)</f>
        <v>0.97441194047836144</v>
      </c>
      <c r="AV58" s="5">
        <f>IF($E58&gt;=AV$2,VLOOKUP($E58-AV$2,'data input'!$D$3:$E$130,2,FALSE),0)</f>
        <v>0.97856631788584703</v>
      </c>
      <c r="AW58" s="5">
        <f>IF($E58&gt;=AW$2,VLOOKUP($E58-AW$2,'data input'!$D$3:$E$130,2,FALSE),0)</f>
        <v>0.98213557943718344</v>
      </c>
      <c r="AX58" s="5">
        <f>IF($E58&gt;=AX$2,VLOOKUP($E58-AX$2,'data input'!$D$3:$E$130,2,FALSE),0)</f>
        <v>0.98518494180739014</v>
      </c>
      <c r="AY58" s="5">
        <f>IF($E58&gt;=AY$2,VLOOKUP($E58-AY$2,'data input'!$D$3:$E$130,2,FALSE),0)</f>
        <v>0.98777552734495533</v>
      </c>
      <c r="AZ58" s="5">
        <f>IF($E58&gt;=AZ$2,VLOOKUP($E58-AZ$2,'data input'!$D$3:$E$130,2,FALSE),0)</f>
        <v>0.98996401989972593</v>
      </c>
      <c r="BA58" s="5">
        <f>IF($E58&gt;=BA$2,VLOOKUP($E58-BA$2,'data input'!$D$3:$E$130,2,FALSE),0)</f>
        <v>0.99180246407540384</v>
      </c>
      <c r="BB58" s="5">
        <f>IF($E58&gt;=BB$2,VLOOKUP($E58-BB$2,'data input'!$D$3:$E$130,2,FALSE),0)</f>
        <v>0.99333819120801725</v>
      </c>
      <c r="BC58" s="5">
        <f>IF($E58&gt;=BC$2,VLOOKUP($E58-BC$2,'data input'!$D$3:$E$130,2,FALSE),0)</f>
        <v>0.99461385404593328</v>
      </c>
      <c r="BD58" s="5">
        <f>IF($E58&gt;=BD$2,VLOOKUP($E58-BD$2,'data input'!$D$3:$E$130,2,FALSE),0)</f>
        <v>0.99566755163698739</v>
      </c>
      <c r="BE58" s="5">
        <f>IF($E58&gt;=BE$2,VLOOKUP($E58-BE$2,'data input'!$D$3:$E$130,2,FALSE),0)</f>
        <v>0.99653302619695938</v>
      </c>
      <c r="BF58" s="5">
        <f>IF($E58&gt;=BF$2,VLOOKUP($E58-BF$2,'data input'!$D$3:$E$130,2,FALSE),0)</f>
        <v>0.99723991460873751</v>
      </c>
      <c r="BG58" s="5">
        <f>IF($E58&gt;=BG$2,VLOOKUP($E58-BG$2,'data input'!$D$3:$E$130,2,FALSE),0)</f>
        <v>0.99781403854508677</v>
      </c>
      <c r="BH58" s="5">
        <f>IF($E58&gt;=BH$2,VLOOKUP($E58-BH$2,'data input'!$D$3:$E$130,2,FALSE),0)</f>
        <v>0.99827771888413241</v>
      </c>
      <c r="BI58" s="5">
        <f>IF($E58&gt;=BI$2,VLOOKUP($E58-BI$2,'data input'!$D$3:$E$130,2,FALSE),0)</f>
        <v>0.9986501019683699</v>
      </c>
      <c r="BJ58" s="5">
        <f>IF($E58&gt;=BJ$2,VLOOKUP($E58-BJ$2,'data input'!$D$3:$E$130,2,FALSE),0)</f>
        <v>0</v>
      </c>
      <c r="BK58" s="5">
        <f>IF($E58&gt;=BK$2,VLOOKUP($E58-BK$2,'data input'!$D$3:$E$130,2,FALSE),0)</f>
        <v>0</v>
      </c>
      <c r="BL58" s="5">
        <f>IF($E58&gt;=BL$2,VLOOKUP($E58-BL$2,'data input'!$D$3:$E$130,2,FALSE),0)</f>
        <v>0</v>
      </c>
      <c r="BM58" s="5">
        <f>IF($E58&gt;=BM$2,VLOOKUP($E58-BM$2,'data input'!$D$3:$E$130,2,FALSE),0)</f>
        <v>0</v>
      </c>
      <c r="BN58" s="5">
        <f>IF($E58&gt;=BN$2,VLOOKUP($E58-BN$2,'data input'!$D$3:$E$130,2,FALSE),0)</f>
        <v>0</v>
      </c>
      <c r="BO58" s="5">
        <f>IF($E58&gt;=BO$2,VLOOKUP($E58-BO$2,'data input'!$D$3:$E$130,2,FALSE),0)</f>
        <v>0</v>
      </c>
      <c r="BP58" s="5">
        <f>IF($E58&gt;=BP$2,VLOOKUP($E58-BP$2,'data input'!$D$3:$E$130,2,FALSE),0)</f>
        <v>0</v>
      </c>
      <c r="BQ58" s="5">
        <f>IF($E58&gt;=BQ$2,VLOOKUP($E58-BQ$2,'data input'!$D$3:$E$130,2,FALSE),0)</f>
        <v>0</v>
      </c>
      <c r="BR58" s="5">
        <f>IF($E58&gt;=BR$2,VLOOKUP($E58-BR$2,'data input'!$D$3:$E$130,2,FALSE),0)</f>
        <v>0</v>
      </c>
      <c r="BS58" s="5">
        <f>IF($E58&gt;=BS$2,VLOOKUP($E58-BS$2,'data input'!$D$3:$E$130,2,FALSE),0)</f>
        <v>0</v>
      </c>
      <c r="BT58" s="5">
        <f>IF($E58&gt;=BT$2,VLOOKUP($E58-BT$2,'data input'!$D$3:$E$130,2,FALSE),0)</f>
        <v>0</v>
      </c>
      <c r="BU58" s="5">
        <f>IF($E58&gt;=BU$2,VLOOKUP($E58-BU$2,'data input'!$D$3:$E$130,2,FALSE),0)</f>
        <v>0</v>
      </c>
      <c r="BV58" s="5">
        <f>IF($E58&gt;=BV$2,VLOOKUP($E58-BV$2,'data input'!$D$3:$E$130,2,FALSE),0)</f>
        <v>0</v>
      </c>
      <c r="BW58" s="5">
        <f>IF($E58&gt;=BW$2,VLOOKUP($E58-BW$2,'data input'!$D$3:$E$130,2,FALSE),0)</f>
        <v>0</v>
      </c>
      <c r="BX58" s="5">
        <f>IF($E58&gt;=BX$2,VLOOKUP($E58-BX$2,'data input'!$D$3:$E$130,2,FALSE),0)</f>
        <v>0</v>
      </c>
      <c r="BY58" s="5">
        <f>IF($E58&gt;=BY$2,VLOOKUP($E58-BY$2,'data input'!$D$3:$E$130,2,FALSE),0)</f>
        <v>0</v>
      </c>
      <c r="BZ58" s="5">
        <f>IF($E58&gt;=BZ$2,VLOOKUP($E58-BZ$2,'data input'!$D$3:$E$130,2,FALSE),0)</f>
        <v>0</v>
      </c>
      <c r="CA58" s="5">
        <f>IF($E58&gt;=CA$2,VLOOKUP($E58-CA$2,'data input'!$D$3:$E$130,2,FALSE),0)</f>
        <v>0</v>
      </c>
      <c r="CB58" s="5">
        <f>IF($E58&gt;=CB$2,VLOOKUP($E58-CB$2,'data input'!$D$3:$E$130,2,FALSE),0)</f>
        <v>0</v>
      </c>
      <c r="CC58" s="5">
        <f>IF($E58&gt;=CC$2,VLOOKUP($E58-CC$2,'data input'!$D$3:$E$130,2,FALSE),0)</f>
        <v>0</v>
      </c>
      <c r="CD58" s="5">
        <f>IF($E58&gt;=CD$2,VLOOKUP($E58-CD$2,'data input'!$D$3:$E$130,2,FALSE),0)</f>
        <v>0</v>
      </c>
      <c r="CE58" s="5">
        <f>IF($E58&gt;=CE$2,VLOOKUP($E58-CE$2,'data input'!$D$3:$E$130,2,FALSE),0)</f>
        <v>0</v>
      </c>
      <c r="CF58" s="5">
        <f>IF($E58&gt;=CF$2,VLOOKUP($E58-CF$2,'data input'!$D$3:$E$130,2,FALSE),0)</f>
        <v>0</v>
      </c>
      <c r="CG58" s="5">
        <f>IF($E58&gt;=CG$2,VLOOKUP($E58-CG$2,'data input'!$D$3:$E$130,2,FALSE),0)</f>
        <v>0</v>
      </c>
      <c r="CH58" s="5">
        <f>IF($E58&gt;=CH$2,VLOOKUP($E58-CH$2,'data input'!$D$3:$E$130,2,FALSE),0)</f>
        <v>0</v>
      </c>
      <c r="CI58" s="5">
        <f>IF($E58&gt;=CI$2,VLOOKUP($E58-CI$2,'data input'!$D$3:$E$130,2,FALSE),0)</f>
        <v>0</v>
      </c>
      <c r="CJ58" s="5">
        <f>IF($E58&gt;=CJ$2,VLOOKUP($E58-CJ$2,'data input'!$D$3:$E$130,2,FALSE),0)</f>
        <v>0</v>
      </c>
      <c r="CK58" s="5">
        <f>IF($E58&gt;=CK$2,VLOOKUP($E58-CK$2,'data input'!$D$3:$E$130,2,FALSE),0)</f>
        <v>0</v>
      </c>
      <c r="CL58" s="5">
        <f>IF($E58&gt;=CL$2,VLOOKUP($E58-CL$2,'data input'!$D$3:$E$130,2,FALSE),0)</f>
        <v>0</v>
      </c>
      <c r="CM58" s="5">
        <f>IF($E58&gt;=CM$2,VLOOKUP($E58-CM$2,'data input'!$D$3:$E$130,2,FALSE),0)</f>
        <v>0</v>
      </c>
      <c r="CN58" s="5">
        <f>IF($E58&gt;=CN$2,VLOOKUP($E58-CN$2,'data input'!$D$3:$E$130,2,FALSE),0)</f>
        <v>0</v>
      </c>
      <c r="CO58" s="5">
        <f>IF($E58&gt;=CO$2,VLOOKUP($E58-CO$2,'data input'!$D$3:$E$130,2,FALSE),0)</f>
        <v>0</v>
      </c>
      <c r="CP58" s="5">
        <f>IF($E58&gt;=CP$2,VLOOKUP($E58-CP$2,'data input'!$D$3:$E$130,2,FALSE),0)</f>
        <v>0</v>
      </c>
      <c r="CQ58" s="5">
        <f>IF($E58&gt;=CQ$2,VLOOKUP($E58-CQ$2,'data input'!$D$3:$E$130,2,FALSE),0)</f>
        <v>0</v>
      </c>
      <c r="CR58" s="5">
        <f>IF($E58&gt;=CR$2,VLOOKUP($E58-CR$2,'data input'!$D$3:$E$130,2,FALSE),0)</f>
        <v>0</v>
      </c>
      <c r="CS58" s="5">
        <f>IF($E58&gt;=CS$2,VLOOKUP($E58-CS$2,'data input'!$D$3:$E$130,2,FALSE),0)</f>
        <v>0</v>
      </c>
      <c r="CT58" s="5">
        <f>IF($E58&gt;=CT$2,VLOOKUP($E58-CT$2,'data input'!$D$3:$E$130,2,FALSE),0)</f>
        <v>0</v>
      </c>
      <c r="CU58" s="5">
        <f>IF($E58&gt;=CU$2,VLOOKUP($E58-CU$2,'data input'!$D$3:$E$130,2,FALSE),0)</f>
        <v>0</v>
      </c>
      <c r="CV58" s="5">
        <f>IF($E58&gt;=CV$2,VLOOKUP($E58-CV$2,'data input'!$D$3:$E$130,2,FALSE),0)</f>
        <v>0</v>
      </c>
      <c r="CW58" s="5">
        <f>IF($E58&gt;=CW$2,VLOOKUP($E58-CW$2,'data input'!$D$3:$E$130,2,FALSE),0)</f>
        <v>0</v>
      </c>
      <c r="CX58" s="5">
        <f>IF($E58&gt;=CX$2,VLOOKUP($E58-CX$2,'data input'!$D$3:$E$130,2,FALSE),0)</f>
        <v>0</v>
      </c>
      <c r="CY58" s="5">
        <f>IF($E58&gt;=CY$2,VLOOKUP($E58-CY$2,'data input'!$D$3:$E$130,2,FALSE),0)</f>
        <v>0</v>
      </c>
      <c r="CZ58" s="5">
        <f>IF($E58&gt;=CZ$2,VLOOKUP($E58-CZ$2,'data input'!$D$3:$E$130,2,FALSE),0)</f>
        <v>0</v>
      </c>
      <c r="DA58" s="5">
        <f>IF($E58&gt;=DA$2,VLOOKUP($E58-DA$2,'data input'!$D$3:$E$130,2,FALSE),0)</f>
        <v>0</v>
      </c>
      <c r="DB58" s="5">
        <f>IF($E58&gt;=DB$2,VLOOKUP($E58-DB$2,'data input'!$D$3:$E$130,2,FALSE),0)</f>
        <v>0</v>
      </c>
      <c r="DC58" s="5">
        <f>IF($E58&gt;=DC$2,VLOOKUP($E58-DC$2,'data input'!$D$3:$E$130,2,FALSE),0)</f>
        <v>0</v>
      </c>
      <c r="DD58" s="5">
        <f>IF($E58&gt;=DD$2,VLOOKUP($E58-DD$2,'data input'!$D$3:$E$130,2,FALSE),0)</f>
        <v>0</v>
      </c>
      <c r="DE58" s="5">
        <f>IF($E58&gt;=DE$2,VLOOKUP($E58-DE$2,'data input'!$D$3:$E$130,2,FALSE),0)</f>
        <v>0</v>
      </c>
      <c r="DF58" s="5">
        <f>IF($E58&gt;=DF$2,VLOOKUP($E58-DF$2,'data input'!$D$3:$E$130,2,FALSE),0)</f>
        <v>0</v>
      </c>
      <c r="DG58" s="5">
        <f>IF($E58&gt;=DG$2,VLOOKUP($E58-DG$2,'data input'!$D$3:$E$130,2,FALSE),0)</f>
        <v>0</v>
      </c>
      <c r="DH58" s="5">
        <f>IF($E58&gt;=DH$2,VLOOKUP($E58-DH$2,'data input'!$D$3:$E$130,2,FALSE),0)</f>
        <v>0</v>
      </c>
      <c r="DI58" s="5">
        <f>IF($E58&gt;=DI$2,VLOOKUP($E58-DI$2,'data input'!$D$3:$E$130,2,FALSE),0)</f>
        <v>0</v>
      </c>
      <c r="DJ58" s="5">
        <f>IF($E58&gt;=DJ$2,VLOOKUP($E58-DJ$2,'data input'!$D$3:$E$130,2,FALSE),0)</f>
        <v>0</v>
      </c>
      <c r="DK58" s="5">
        <f>IF($E58&gt;=DK$2,VLOOKUP($E58-DK$2,'data input'!$D$3:$E$130,2,FALSE),0)</f>
        <v>0</v>
      </c>
      <c r="DL58" s="5">
        <f>IF($E58&gt;=DL$2,VLOOKUP($E58-DL$2,'data input'!$D$3:$E$130,2,FALSE),0)</f>
        <v>0</v>
      </c>
      <c r="DM58" s="5">
        <f>IF($E58&gt;=DM$2,VLOOKUP($E58-DM$2,'data input'!$D$3:$E$130,2,FALSE),0)</f>
        <v>0</v>
      </c>
      <c r="DN58" s="5">
        <f>IF($E58&gt;=DN$2,VLOOKUP($E58-DN$2,'data input'!$D$3:$E$130,2,FALSE),0)</f>
        <v>0</v>
      </c>
      <c r="DO58" s="5">
        <f>IF($E58&gt;=DO$2,VLOOKUP($E58-DO$2,'data input'!$D$3:$E$130,2,FALSE),0)</f>
        <v>0</v>
      </c>
      <c r="DP58" s="5">
        <f>IF($E58&gt;=DP$2,VLOOKUP($E58-DP$2,'data input'!$D$3:$E$130,2,FALSE),0)</f>
        <v>0</v>
      </c>
      <c r="DQ58" s="5">
        <f>IF($E58&gt;=DQ$2,VLOOKUP($E58-DQ$2,'data input'!$D$3:$E$130,2,FALSE),0)</f>
        <v>0</v>
      </c>
      <c r="DR58" s="5">
        <f>IF($E58&gt;=DR$2,VLOOKUP($E58-DR$2,'data input'!$D$3:$E$130,2,FALSE),0)</f>
        <v>0</v>
      </c>
      <c r="DS58" s="5">
        <f>IF($E58&gt;=DS$2,VLOOKUP($E58-DS$2,'data input'!$D$3:$E$130,2,FALSE),0)</f>
        <v>0</v>
      </c>
      <c r="DT58" s="5">
        <f>IF($E58&gt;=DT$2,VLOOKUP($E58-DT$2,'data input'!$D$3:$E$130,2,FALSE),0)</f>
        <v>0</v>
      </c>
      <c r="DU58" s="5">
        <f>IF($E58&gt;=DU$2,VLOOKUP($E58-DU$2,'data input'!$D$3:$E$130,2,FALSE),0)</f>
        <v>0</v>
      </c>
      <c r="DV58" s="5">
        <f>IF($E58&gt;=DV$2,VLOOKUP($E58-DV$2,'data input'!$D$3:$E$130,2,FALSE),0)</f>
        <v>0</v>
      </c>
      <c r="DW58" s="5">
        <f>IF($E58&gt;=DW$2,VLOOKUP($E58-DW$2,'data input'!$D$3:$E$130,2,FALSE),0)</f>
        <v>0</v>
      </c>
      <c r="DX58" s="5">
        <f>IF($E58&gt;=DX$2,VLOOKUP($E58-DX$2,'data input'!$D$3:$E$130,2,FALSE),0)</f>
        <v>0</v>
      </c>
      <c r="DY58" s="5">
        <f>IF($E58&gt;=DY$2,VLOOKUP($E58-DY$2,'data input'!$D$3:$E$130,2,FALSE),0)</f>
        <v>0</v>
      </c>
      <c r="DZ58" s="5">
        <f>IF($E58&gt;=DZ$2,VLOOKUP($E58-DZ$2,'data input'!$D$3:$E$130,2,FALSE),0)</f>
        <v>0</v>
      </c>
      <c r="EA58" s="5">
        <f>IF($E58&gt;=EA$2,VLOOKUP($E58-EA$2,'data input'!$D$3:$E$130,2,FALSE),0)</f>
        <v>0</v>
      </c>
      <c r="EB58" s="5">
        <f>IF($E58&gt;=EB$2,VLOOKUP($E58-EB$2,'data input'!$D$3:$E$130,2,FALSE),0)</f>
        <v>0</v>
      </c>
      <c r="EC58" s="5">
        <f>IF($E58&gt;=EC$2,VLOOKUP($E58-EC$2,'data input'!$D$3:$E$130,2,FALSE),0)</f>
        <v>0</v>
      </c>
    </row>
    <row r="59" spans="5:133">
      <c r="E59" s="7">
        <f>'data input'!B59</f>
        <v>1934</v>
      </c>
      <c r="F59" s="5">
        <f>IF($E59&gt;=F$2,VLOOKUP($E59-F$2,'data input'!$D$3:$E$130,2,FALSE),0)</f>
        <v>0.11506967022170822</v>
      </c>
      <c r="G59" s="5">
        <f>IF($E59&gt;=G$2,VLOOKUP($E59-G$2,'data input'!$D$3:$E$130,2,FALSE),0)</f>
        <v>0.13029451713680884</v>
      </c>
      <c r="H59" s="5">
        <f>IF($E59&gt;=H$2,VLOOKUP($E59-H$2,'data input'!$D$3:$E$130,2,FALSE),0)</f>
        <v>0.14685905637589591</v>
      </c>
      <c r="I59" s="5">
        <f>IF($E59&gt;=I$2,VLOOKUP($E59-I$2,'data input'!$D$3:$E$130,2,FALSE),0)</f>
        <v>0.16478012998031033</v>
      </c>
      <c r="J59" s="5">
        <f>IF($E59&gt;=J$2,VLOOKUP($E59-J$2,'data input'!$D$3:$E$130,2,FALSE),0)</f>
        <v>0.18406012534675953</v>
      </c>
      <c r="K59" s="5">
        <f>IF($E59&gt;=K$2,VLOOKUP($E59-K$2,'data input'!$D$3:$E$130,2,FALSE),0)</f>
        <v>0.20468579534725262</v>
      </c>
      <c r="L59" s="5">
        <f>IF($E59&gt;=L$2,VLOOKUP($E59-L$2,'data input'!$D$3:$E$130,2,FALSE),0)</f>
        <v>0.22662735237686826</v>
      </c>
      <c r="M59" s="5">
        <f>IF($E59&gt;=M$2,VLOOKUP($E59-M$2,'data input'!$D$3:$E$130,2,FALSE),0)</f>
        <v>0.24983788247177696</v>
      </c>
      <c r="N59" s="5">
        <f>IF($E59&gt;=N$2,VLOOKUP($E59-N$2,'data input'!$D$3:$E$130,2,FALSE),0)</f>
        <v>0.27425311775007355</v>
      </c>
      <c r="O59" s="5">
        <f>IF($E59&gt;=O$2,VLOOKUP($E59-O$2,'data input'!$D$3:$E$130,2,FALSE),0)</f>
        <v>0.29979159546869583</v>
      </c>
      <c r="P59" s="5">
        <f>IF($E59&gt;=P$2,VLOOKUP($E59-P$2,'data input'!$D$3:$E$130,2,FALSE),0)</f>
        <v>0.32635522028792008</v>
      </c>
      <c r="Q59" s="5">
        <f>IF($E59&gt;=Q$2,VLOOKUP($E59-Q$2,'data input'!$D$3:$E$130,2,FALSE),0)</f>
        <v>0.35383023332727614</v>
      </c>
      <c r="R59" s="5">
        <f>IF($E59&gt;=R$2,VLOOKUP($E59-R$2,'data input'!$D$3:$E$130,2,FALSE),0)</f>
        <v>0.38208857781104733</v>
      </c>
      <c r="S59" s="5">
        <f>IF($E59&gt;=S$2,VLOOKUP($E59-S$2,'data input'!$D$3:$E$130,2,FALSE),0)</f>
        <v>0.41098963713127035</v>
      </c>
      <c r="T59" s="5">
        <f>IF($E59&gt;=T$2,VLOOKUP($E59-T$2,'data input'!$D$3:$E$130,2,FALSE),0)</f>
        <v>0.4403823076297575</v>
      </c>
      <c r="U59" s="5">
        <f>IF($E59&gt;=U$2,VLOOKUP($E59-U$2,'data input'!$D$3:$E$130,2,FALSE),0)</f>
        <v>0.47010735594710518</v>
      </c>
      <c r="V59" s="5">
        <f>IF($E59&gt;=V$2,VLOOKUP($E59-V$2,'data input'!$D$3:$E$130,2,FALSE),0)</f>
        <v>0.5</v>
      </c>
      <c r="W59" s="5">
        <f>IF($E59&gt;=W$2,VLOOKUP($E59-W$2,'data input'!$D$3:$E$130,2,FALSE),0)</f>
        <v>0.52989264405289482</v>
      </c>
      <c r="X59" s="5">
        <f>IF($E59&gt;=X$2,VLOOKUP($E59-X$2,'data input'!$D$3:$E$130,2,FALSE),0)</f>
        <v>0.5596176923702425</v>
      </c>
      <c r="Y59" s="5">
        <f>IF($E59&gt;=Y$2,VLOOKUP($E59-Y$2,'data input'!$D$3:$E$130,2,FALSE),0)</f>
        <v>0.58901036286872965</v>
      </c>
      <c r="Z59" s="5">
        <f>IF($E59&gt;=Z$2,VLOOKUP($E59-Z$2,'data input'!$D$3:$E$130,2,FALSE),0)</f>
        <v>0.61791142218895267</v>
      </c>
      <c r="AA59" s="5">
        <f>IF($E59&gt;=AA$2,VLOOKUP($E59-AA$2,'data input'!$D$3:$E$130,2,FALSE),0)</f>
        <v>0.64616976667272386</v>
      </c>
      <c r="AB59" s="5">
        <f>IF($E59&gt;=AB$2,VLOOKUP($E59-AB$2,'data input'!$D$3:$E$130,2,FALSE),0)</f>
        <v>0.67364477971207992</v>
      </c>
      <c r="AC59" s="5">
        <f>IF($E59&gt;=AC$2,VLOOKUP($E59-AC$2,'data input'!$D$3:$E$130,2,FALSE),0)</f>
        <v>0.70020840453130417</v>
      </c>
      <c r="AD59" s="5">
        <f>IF($E59&gt;=AD$2,VLOOKUP($E59-AD$2,'data input'!$D$3:$E$130,2,FALSE),0)</f>
        <v>0.72574688224992645</v>
      </c>
      <c r="AE59" s="5">
        <f>IF($E59&gt;=AE$2,VLOOKUP($E59-AE$2,'data input'!$D$3:$E$130,2,FALSE),0)</f>
        <v>0.75016211752822304</v>
      </c>
      <c r="AF59" s="5">
        <f>IF($E59&gt;=AF$2,VLOOKUP($E59-AF$2,'data input'!$D$3:$E$130,2,FALSE),0)</f>
        <v>0.77337264762313174</v>
      </c>
      <c r="AG59" s="5">
        <f>IF($E59&gt;=AG$2,VLOOKUP($E59-AG$2,'data input'!$D$3:$E$130,2,FALSE),0)</f>
        <v>0.79531420465274738</v>
      </c>
      <c r="AH59" s="5">
        <f>IF($E59&gt;=AH$2,VLOOKUP($E59-AH$2,'data input'!$D$3:$E$130,2,FALSE),0)</f>
        <v>0.81593987465324047</v>
      </c>
      <c r="AI59" s="5">
        <f>IF($E59&gt;=AI$2,VLOOKUP($E59-AI$2,'data input'!$D$3:$E$130,2,FALSE),0)</f>
        <v>0.83521987001968967</v>
      </c>
      <c r="AJ59" s="5">
        <f>IF($E59&gt;=AJ$2,VLOOKUP($E59-AJ$2,'data input'!$D$3:$E$130,2,FALSE),0)</f>
        <v>0.85314094362410409</v>
      </c>
      <c r="AK59" s="5">
        <f>IF($E59&gt;=AK$2,VLOOKUP($E59-AK$2,'data input'!$D$3:$E$130,2,FALSE),0)</f>
        <v>0.86970548286319116</v>
      </c>
      <c r="AL59" s="5">
        <f>IF($E59&gt;=AL$2,VLOOKUP($E59-AL$2,'data input'!$D$3:$E$130,2,FALSE),0)</f>
        <v>0.88493032977829178</v>
      </c>
      <c r="AM59" s="5">
        <f>IF($E59&gt;=AM$2,VLOOKUP($E59-AM$2,'data input'!$D$3:$E$130,2,FALSE),0)</f>
        <v>0.89884537900441408</v>
      </c>
      <c r="AN59" s="5">
        <f>IF($E59&gt;=AN$2,VLOOKUP($E59-AN$2,'data input'!$D$3:$E$130,2,FALSE),0)</f>
        <v>0.91149200856259793</v>
      </c>
      <c r="AO59" s="5">
        <f>IF($E59&gt;=AO$2,VLOOKUP($E59-AO$2,'data input'!$D$3:$E$130,2,FALSE),0)</f>
        <v>0.92292139944792817</v>
      </c>
      <c r="AP59" s="5">
        <f>IF($E59&gt;=AP$2,VLOOKUP($E59-AP$2,'data input'!$D$3:$E$130,2,FALSE),0)</f>
        <v>0.93319279873114191</v>
      </c>
      <c r="AQ59" s="5">
        <f>IF($E59&gt;=AQ$2,VLOOKUP($E59-AQ$2,'data input'!$D$3:$E$130,2,FALSE),0)</f>
        <v>0.94237177772384684</v>
      </c>
      <c r="AR59" s="5">
        <f>IF($E59&gt;=AR$2,VLOOKUP($E59-AR$2,'data input'!$D$3:$E$130,2,FALSE),0)</f>
        <v>0.9505285319663519</v>
      </c>
      <c r="AS59" s="5">
        <f>IF($E59&gt;=AS$2,VLOOKUP($E59-AS$2,'data input'!$D$3:$E$130,2,FALSE),0)</f>
        <v>0.95773626374204757</v>
      </c>
      <c r="AT59" s="5">
        <f>IF($E59&gt;=AT$2,VLOOKUP($E59-AT$2,'data input'!$D$3:$E$130,2,FALSE),0)</f>
        <v>0.96406968088707423</v>
      </c>
      <c r="AU59" s="5">
        <f>IF($E59&gt;=AU$2,VLOOKUP($E59-AU$2,'data input'!$D$3:$E$130,2,FALSE),0)</f>
        <v>0.96960363823473861</v>
      </c>
      <c r="AV59" s="5">
        <f>IF($E59&gt;=AV$2,VLOOKUP($E59-AV$2,'data input'!$D$3:$E$130,2,FALSE),0)</f>
        <v>0.97441194047836144</v>
      </c>
      <c r="AW59" s="5">
        <f>IF($E59&gt;=AW$2,VLOOKUP($E59-AW$2,'data input'!$D$3:$E$130,2,FALSE),0)</f>
        <v>0.97856631788584703</v>
      </c>
      <c r="AX59" s="5">
        <f>IF($E59&gt;=AX$2,VLOOKUP($E59-AX$2,'data input'!$D$3:$E$130,2,FALSE),0)</f>
        <v>0.98213557943718344</v>
      </c>
      <c r="AY59" s="5">
        <f>IF($E59&gt;=AY$2,VLOOKUP($E59-AY$2,'data input'!$D$3:$E$130,2,FALSE),0)</f>
        <v>0.98518494180739014</v>
      </c>
      <c r="AZ59" s="5">
        <f>IF($E59&gt;=AZ$2,VLOOKUP($E59-AZ$2,'data input'!$D$3:$E$130,2,FALSE),0)</f>
        <v>0.98777552734495533</v>
      </c>
      <c r="BA59" s="5">
        <f>IF($E59&gt;=BA$2,VLOOKUP($E59-BA$2,'data input'!$D$3:$E$130,2,FALSE),0)</f>
        <v>0.98996401989972593</v>
      </c>
      <c r="BB59" s="5">
        <f>IF($E59&gt;=BB$2,VLOOKUP($E59-BB$2,'data input'!$D$3:$E$130,2,FALSE),0)</f>
        <v>0.99180246407540384</v>
      </c>
      <c r="BC59" s="5">
        <f>IF($E59&gt;=BC$2,VLOOKUP($E59-BC$2,'data input'!$D$3:$E$130,2,FALSE),0)</f>
        <v>0.99333819120801725</v>
      </c>
      <c r="BD59" s="5">
        <f>IF($E59&gt;=BD$2,VLOOKUP($E59-BD$2,'data input'!$D$3:$E$130,2,FALSE),0)</f>
        <v>0.99461385404593328</v>
      </c>
      <c r="BE59" s="5">
        <f>IF($E59&gt;=BE$2,VLOOKUP($E59-BE$2,'data input'!$D$3:$E$130,2,FALSE),0)</f>
        <v>0.99566755163698739</v>
      </c>
      <c r="BF59" s="5">
        <f>IF($E59&gt;=BF$2,VLOOKUP($E59-BF$2,'data input'!$D$3:$E$130,2,FALSE),0)</f>
        <v>0.99653302619695938</v>
      </c>
      <c r="BG59" s="5">
        <f>IF($E59&gt;=BG$2,VLOOKUP($E59-BG$2,'data input'!$D$3:$E$130,2,FALSE),0)</f>
        <v>0.99723991460873751</v>
      </c>
      <c r="BH59" s="5">
        <f>IF($E59&gt;=BH$2,VLOOKUP($E59-BH$2,'data input'!$D$3:$E$130,2,FALSE),0)</f>
        <v>0.99781403854508677</v>
      </c>
      <c r="BI59" s="5">
        <f>IF($E59&gt;=BI$2,VLOOKUP($E59-BI$2,'data input'!$D$3:$E$130,2,FALSE),0)</f>
        <v>0.99827771888413241</v>
      </c>
      <c r="BJ59" s="5">
        <f>IF($E59&gt;=BJ$2,VLOOKUP($E59-BJ$2,'data input'!$D$3:$E$130,2,FALSE),0)</f>
        <v>0.9986501019683699</v>
      </c>
      <c r="BK59" s="5">
        <f>IF($E59&gt;=BK$2,VLOOKUP($E59-BK$2,'data input'!$D$3:$E$130,2,FALSE),0)</f>
        <v>0</v>
      </c>
      <c r="BL59" s="5">
        <f>IF($E59&gt;=BL$2,VLOOKUP($E59-BL$2,'data input'!$D$3:$E$130,2,FALSE),0)</f>
        <v>0</v>
      </c>
      <c r="BM59" s="5">
        <f>IF($E59&gt;=BM$2,VLOOKUP($E59-BM$2,'data input'!$D$3:$E$130,2,FALSE),0)</f>
        <v>0</v>
      </c>
      <c r="BN59" s="5">
        <f>IF($E59&gt;=BN$2,VLOOKUP($E59-BN$2,'data input'!$D$3:$E$130,2,FALSE),0)</f>
        <v>0</v>
      </c>
      <c r="BO59" s="5">
        <f>IF($E59&gt;=BO$2,VLOOKUP($E59-BO$2,'data input'!$D$3:$E$130,2,FALSE),0)</f>
        <v>0</v>
      </c>
      <c r="BP59" s="5">
        <f>IF($E59&gt;=BP$2,VLOOKUP($E59-BP$2,'data input'!$D$3:$E$130,2,FALSE),0)</f>
        <v>0</v>
      </c>
      <c r="BQ59" s="5">
        <f>IF($E59&gt;=BQ$2,VLOOKUP($E59-BQ$2,'data input'!$D$3:$E$130,2,FALSE),0)</f>
        <v>0</v>
      </c>
      <c r="BR59" s="5">
        <f>IF($E59&gt;=BR$2,VLOOKUP($E59-BR$2,'data input'!$D$3:$E$130,2,FALSE),0)</f>
        <v>0</v>
      </c>
      <c r="BS59" s="5">
        <f>IF($E59&gt;=BS$2,VLOOKUP($E59-BS$2,'data input'!$D$3:$E$130,2,FALSE),0)</f>
        <v>0</v>
      </c>
      <c r="BT59" s="5">
        <f>IF($E59&gt;=BT$2,VLOOKUP($E59-BT$2,'data input'!$D$3:$E$130,2,FALSE),0)</f>
        <v>0</v>
      </c>
      <c r="BU59" s="5">
        <f>IF($E59&gt;=BU$2,VLOOKUP($E59-BU$2,'data input'!$D$3:$E$130,2,FALSE),0)</f>
        <v>0</v>
      </c>
      <c r="BV59" s="5">
        <f>IF($E59&gt;=BV$2,VLOOKUP($E59-BV$2,'data input'!$D$3:$E$130,2,FALSE),0)</f>
        <v>0</v>
      </c>
      <c r="BW59" s="5">
        <f>IF($E59&gt;=BW$2,VLOOKUP($E59-BW$2,'data input'!$D$3:$E$130,2,FALSE),0)</f>
        <v>0</v>
      </c>
      <c r="BX59" s="5">
        <f>IF($E59&gt;=BX$2,VLOOKUP($E59-BX$2,'data input'!$D$3:$E$130,2,FALSE),0)</f>
        <v>0</v>
      </c>
      <c r="BY59" s="5">
        <f>IF($E59&gt;=BY$2,VLOOKUP($E59-BY$2,'data input'!$D$3:$E$130,2,FALSE),0)</f>
        <v>0</v>
      </c>
      <c r="BZ59" s="5">
        <f>IF($E59&gt;=BZ$2,VLOOKUP($E59-BZ$2,'data input'!$D$3:$E$130,2,FALSE),0)</f>
        <v>0</v>
      </c>
      <c r="CA59" s="5">
        <f>IF($E59&gt;=CA$2,VLOOKUP($E59-CA$2,'data input'!$D$3:$E$130,2,FALSE),0)</f>
        <v>0</v>
      </c>
      <c r="CB59" s="5">
        <f>IF($E59&gt;=CB$2,VLOOKUP($E59-CB$2,'data input'!$D$3:$E$130,2,FALSE),0)</f>
        <v>0</v>
      </c>
      <c r="CC59" s="5">
        <f>IF($E59&gt;=CC$2,VLOOKUP($E59-CC$2,'data input'!$D$3:$E$130,2,FALSE),0)</f>
        <v>0</v>
      </c>
      <c r="CD59" s="5">
        <f>IF($E59&gt;=CD$2,VLOOKUP($E59-CD$2,'data input'!$D$3:$E$130,2,FALSE),0)</f>
        <v>0</v>
      </c>
      <c r="CE59" s="5">
        <f>IF($E59&gt;=CE$2,VLOOKUP($E59-CE$2,'data input'!$D$3:$E$130,2,FALSE),0)</f>
        <v>0</v>
      </c>
      <c r="CF59" s="5">
        <f>IF($E59&gt;=CF$2,VLOOKUP($E59-CF$2,'data input'!$D$3:$E$130,2,FALSE),0)</f>
        <v>0</v>
      </c>
      <c r="CG59" s="5">
        <f>IF($E59&gt;=CG$2,VLOOKUP($E59-CG$2,'data input'!$D$3:$E$130,2,FALSE),0)</f>
        <v>0</v>
      </c>
      <c r="CH59" s="5">
        <f>IF($E59&gt;=CH$2,VLOOKUP($E59-CH$2,'data input'!$D$3:$E$130,2,FALSE),0)</f>
        <v>0</v>
      </c>
      <c r="CI59" s="5">
        <f>IF($E59&gt;=CI$2,VLOOKUP($E59-CI$2,'data input'!$D$3:$E$130,2,FALSE),0)</f>
        <v>0</v>
      </c>
      <c r="CJ59" s="5">
        <f>IF($E59&gt;=CJ$2,VLOOKUP($E59-CJ$2,'data input'!$D$3:$E$130,2,FALSE),0)</f>
        <v>0</v>
      </c>
      <c r="CK59" s="5">
        <f>IF($E59&gt;=CK$2,VLOOKUP($E59-CK$2,'data input'!$D$3:$E$130,2,FALSE),0)</f>
        <v>0</v>
      </c>
      <c r="CL59" s="5">
        <f>IF($E59&gt;=CL$2,VLOOKUP($E59-CL$2,'data input'!$D$3:$E$130,2,FALSE),0)</f>
        <v>0</v>
      </c>
      <c r="CM59" s="5">
        <f>IF($E59&gt;=CM$2,VLOOKUP($E59-CM$2,'data input'!$D$3:$E$130,2,FALSE),0)</f>
        <v>0</v>
      </c>
      <c r="CN59" s="5">
        <f>IF($E59&gt;=CN$2,VLOOKUP($E59-CN$2,'data input'!$D$3:$E$130,2,FALSE),0)</f>
        <v>0</v>
      </c>
      <c r="CO59" s="5">
        <f>IF($E59&gt;=CO$2,VLOOKUP($E59-CO$2,'data input'!$D$3:$E$130,2,FALSE),0)</f>
        <v>0</v>
      </c>
      <c r="CP59" s="5">
        <f>IF($E59&gt;=CP$2,VLOOKUP($E59-CP$2,'data input'!$D$3:$E$130,2,FALSE),0)</f>
        <v>0</v>
      </c>
      <c r="CQ59" s="5">
        <f>IF($E59&gt;=CQ$2,VLOOKUP($E59-CQ$2,'data input'!$D$3:$E$130,2,FALSE),0)</f>
        <v>0</v>
      </c>
      <c r="CR59" s="5">
        <f>IF($E59&gt;=CR$2,VLOOKUP($E59-CR$2,'data input'!$D$3:$E$130,2,FALSE),0)</f>
        <v>0</v>
      </c>
      <c r="CS59" s="5">
        <f>IF($E59&gt;=CS$2,VLOOKUP($E59-CS$2,'data input'!$D$3:$E$130,2,FALSE),0)</f>
        <v>0</v>
      </c>
      <c r="CT59" s="5">
        <f>IF($E59&gt;=CT$2,VLOOKUP($E59-CT$2,'data input'!$D$3:$E$130,2,FALSE),0)</f>
        <v>0</v>
      </c>
      <c r="CU59" s="5">
        <f>IF($E59&gt;=CU$2,VLOOKUP($E59-CU$2,'data input'!$D$3:$E$130,2,FALSE),0)</f>
        <v>0</v>
      </c>
      <c r="CV59" s="5">
        <f>IF($E59&gt;=CV$2,VLOOKUP($E59-CV$2,'data input'!$D$3:$E$130,2,FALSE),0)</f>
        <v>0</v>
      </c>
      <c r="CW59" s="5">
        <f>IF($E59&gt;=CW$2,VLOOKUP($E59-CW$2,'data input'!$D$3:$E$130,2,FALSE),0)</f>
        <v>0</v>
      </c>
      <c r="CX59" s="5">
        <f>IF($E59&gt;=CX$2,VLOOKUP($E59-CX$2,'data input'!$D$3:$E$130,2,FALSE),0)</f>
        <v>0</v>
      </c>
      <c r="CY59" s="5">
        <f>IF($E59&gt;=CY$2,VLOOKUP($E59-CY$2,'data input'!$D$3:$E$130,2,FALSE),0)</f>
        <v>0</v>
      </c>
      <c r="CZ59" s="5">
        <f>IF($E59&gt;=CZ$2,VLOOKUP($E59-CZ$2,'data input'!$D$3:$E$130,2,FALSE),0)</f>
        <v>0</v>
      </c>
      <c r="DA59" s="5">
        <f>IF($E59&gt;=DA$2,VLOOKUP($E59-DA$2,'data input'!$D$3:$E$130,2,FALSE),0)</f>
        <v>0</v>
      </c>
      <c r="DB59" s="5">
        <f>IF($E59&gt;=DB$2,VLOOKUP($E59-DB$2,'data input'!$D$3:$E$130,2,FALSE),0)</f>
        <v>0</v>
      </c>
      <c r="DC59" s="5">
        <f>IF($E59&gt;=DC$2,VLOOKUP($E59-DC$2,'data input'!$D$3:$E$130,2,FALSE),0)</f>
        <v>0</v>
      </c>
      <c r="DD59" s="5">
        <f>IF($E59&gt;=DD$2,VLOOKUP($E59-DD$2,'data input'!$D$3:$E$130,2,FALSE),0)</f>
        <v>0</v>
      </c>
      <c r="DE59" s="5">
        <f>IF($E59&gt;=DE$2,VLOOKUP($E59-DE$2,'data input'!$D$3:$E$130,2,FALSE),0)</f>
        <v>0</v>
      </c>
      <c r="DF59" s="5">
        <f>IF($E59&gt;=DF$2,VLOOKUP($E59-DF$2,'data input'!$D$3:$E$130,2,FALSE),0)</f>
        <v>0</v>
      </c>
      <c r="DG59" s="5">
        <f>IF($E59&gt;=DG$2,VLOOKUP($E59-DG$2,'data input'!$D$3:$E$130,2,FALSE),0)</f>
        <v>0</v>
      </c>
      <c r="DH59" s="5">
        <f>IF($E59&gt;=DH$2,VLOOKUP($E59-DH$2,'data input'!$D$3:$E$130,2,FALSE),0)</f>
        <v>0</v>
      </c>
      <c r="DI59" s="5">
        <f>IF($E59&gt;=DI$2,VLOOKUP($E59-DI$2,'data input'!$D$3:$E$130,2,FALSE),0)</f>
        <v>0</v>
      </c>
      <c r="DJ59" s="5">
        <f>IF($E59&gt;=DJ$2,VLOOKUP($E59-DJ$2,'data input'!$D$3:$E$130,2,FALSE),0)</f>
        <v>0</v>
      </c>
      <c r="DK59" s="5">
        <f>IF($E59&gt;=DK$2,VLOOKUP($E59-DK$2,'data input'!$D$3:$E$130,2,FALSE),0)</f>
        <v>0</v>
      </c>
      <c r="DL59" s="5">
        <f>IF($E59&gt;=DL$2,VLOOKUP($E59-DL$2,'data input'!$D$3:$E$130,2,FALSE),0)</f>
        <v>0</v>
      </c>
      <c r="DM59" s="5">
        <f>IF($E59&gt;=DM$2,VLOOKUP($E59-DM$2,'data input'!$D$3:$E$130,2,FALSE),0)</f>
        <v>0</v>
      </c>
      <c r="DN59" s="5">
        <f>IF($E59&gt;=DN$2,VLOOKUP($E59-DN$2,'data input'!$D$3:$E$130,2,FALSE),0)</f>
        <v>0</v>
      </c>
      <c r="DO59" s="5">
        <f>IF($E59&gt;=DO$2,VLOOKUP($E59-DO$2,'data input'!$D$3:$E$130,2,FALSE),0)</f>
        <v>0</v>
      </c>
      <c r="DP59" s="5">
        <f>IF($E59&gt;=DP$2,VLOOKUP($E59-DP$2,'data input'!$D$3:$E$130,2,FALSE),0)</f>
        <v>0</v>
      </c>
      <c r="DQ59" s="5">
        <f>IF($E59&gt;=DQ$2,VLOOKUP($E59-DQ$2,'data input'!$D$3:$E$130,2,FALSE),0)</f>
        <v>0</v>
      </c>
      <c r="DR59" s="5">
        <f>IF($E59&gt;=DR$2,VLOOKUP($E59-DR$2,'data input'!$D$3:$E$130,2,FALSE),0)</f>
        <v>0</v>
      </c>
      <c r="DS59" s="5">
        <f>IF($E59&gt;=DS$2,VLOOKUP($E59-DS$2,'data input'!$D$3:$E$130,2,FALSE),0)</f>
        <v>0</v>
      </c>
      <c r="DT59" s="5">
        <f>IF($E59&gt;=DT$2,VLOOKUP($E59-DT$2,'data input'!$D$3:$E$130,2,FALSE),0)</f>
        <v>0</v>
      </c>
      <c r="DU59" s="5">
        <f>IF($E59&gt;=DU$2,VLOOKUP($E59-DU$2,'data input'!$D$3:$E$130,2,FALSE),0)</f>
        <v>0</v>
      </c>
      <c r="DV59" s="5">
        <f>IF($E59&gt;=DV$2,VLOOKUP($E59-DV$2,'data input'!$D$3:$E$130,2,FALSE),0)</f>
        <v>0</v>
      </c>
      <c r="DW59" s="5">
        <f>IF($E59&gt;=DW$2,VLOOKUP($E59-DW$2,'data input'!$D$3:$E$130,2,FALSE),0)</f>
        <v>0</v>
      </c>
      <c r="DX59" s="5">
        <f>IF($E59&gt;=DX$2,VLOOKUP($E59-DX$2,'data input'!$D$3:$E$130,2,FALSE),0)</f>
        <v>0</v>
      </c>
      <c r="DY59" s="5">
        <f>IF($E59&gt;=DY$2,VLOOKUP($E59-DY$2,'data input'!$D$3:$E$130,2,FALSE),0)</f>
        <v>0</v>
      </c>
      <c r="DZ59" s="5">
        <f>IF($E59&gt;=DZ$2,VLOOKUP($E59-DZ$2,'data input'!$D$3:$E$130,2,FALSE),0)</f>
        <v>0</v>
      </c>
      <c r="EA59" s="5">
        <f>IF($E59&gt;=EA$2,VLOOKUP($E59-EA$2,'data input'!$D$3:$E$130,2,FALSE),0)</f>
        <v>0</v>
      </c>
      <c r="EB59" s="5">
        <f>IF($E59&gt;=EB$2,VLOOKUP($E59-EB$2,'data input'!$D$3:$E$130,2,FALSE),0)</f>
        <v>0</v>
      </c>
      <c r="EC59" s="5">
        <f>IF($E59&gt;=EC$2,VLOOKUP($E59-EC$2,'data input'!$D$3:$E$130,2,FALSE),0)</f>
        <v>0</v>
      </c>
    </row>
    <row r="60" spans="5:133">
      <c r="E60" s="7">
        <f>'data input'!B60</f>
        <v>1935</v>
      </c>
      <c r="F60" s="5">
        <f>IF($E60&gt;=F$2,VLOOKUP($E60-F$2,'data input'!$D$3:$E$130,2,FALSE),0)</f>
        <v>0.10115462099558592</v>
      </c>
      <c r="G60" s="5">
        <f>IF($E60&gt;=G$2,VLOOKUP($E60-G$2,'data input'!$D$3:$E$130,2,FALSE),0)</f>
        <v>0.11506967022170822</v>
      </c>
      <c r="H60" s="5">
        <f>IF($E60&gt;=H$2,VLOOKUP($E60-H$2,'data input'!$D$3:$E$130,2,FALSE),0)</f>
        <v>0.13029451713680884</v>
      </c>
      <c r="I60" s="5">
        <f>IF($E60&gt;=I$2,VLOOKUP($E60-I$2,'data input'!$D$3:$E$130,2,FALSE),0)</f>
        <v>0.14685905637589591</v>
      </c>
      <c r="J60" s="5">
        <f>IF($E60&gt;=J$2,VLOOKUP($E60-J$2,'data input'!$D$3:$E$130,2,FALSE),0)</f>
        <v>0.16478012998031033</v>
      </c>
      <c r="K60" s="5">
        <f>IF($E60&gt;=K$2,VLOOKUP($E60-K$2,'data input'!$D$3:$E$130,2,FALSE),0)</f>
        <v>0.18406012534675953</v>
      </c>
      <c r="L60" s="5">
        <f>IF($E60&gt;=L$2,VLOOKUP($E60-L$2,'data input'!$D$3:$E$130,2,FALSE),0)</f>
        <v>0.20468579534725262</v>
      </c>
      <c r="M60" s="5">
        <f>IF($E60&gt;=M$2,VLOOKUP($E60-M$2,'data input'!$D$3:$E$130,2,FALSE),0)</f>
        <v>0.22662735237686826</v>
      </c>
      <c r="N60" s="5">
        <f>IF($E60&gt;=N$2,VLOOKUP($E60-N$2,'data input'!$D$3:$E$130,2,FALSE),0)</f>
        <v>0.24983788247177696</v>
      </c>
      <c r="O60" s="5">
        <f>IF($E60&gt;=O$2,VLOOKUP($E60-O$2,'data input'!$D$3:$E$130,2,FALSE),0)</f>
        <v>0.27425311775007355</v>
      </c>
      <c r="P60" s="5">
        <f>IF($E60&gt;=P$2,VLOOKUP($E60-P$2,'data input'!$D$3:$E$130,2,FALSE),0)</f>
        <v>0.29979159546869583</v>
      </c>
      <c r="Q60" s="5">
        <f>IF($E60&gt;=Q$2,VLOOKUP($E60-Q$2,'data input'!$D$3:$E$130,2,FALSE),0)</f>
        <v>0.32635522028792008</v>
      </c>
      <c r="R60" s="5">
        <f>IF($E60&gt;=R$2,VLOOKUP($E60-R$2,'data input'!$D$3:$E$130,2,FALSE),0)</f>
        <v>0.35383023332727614</v>
      </c>
      <c r="S60" s="5">
        <f>IF($E60&gt;=S$2,VLOOKUP($E60-S$2,'data input'!$D$3:$E$130,2,FALSE),0)</f>
        <v>0.38208857781104733</v>
      </c>
      <c r="T60" s="5">
        <f>IF($E60&gt;=T$2,VLOOKUP($E60-T$2,'data input'!$D$3:$E$130,2,FALSE),0)</f>
        <v>0.41098963713127035</v>
      </c>
      <c r="U60" s="5">
        <f>IF($E60&gt;=U$2,VLOOKUP($E60-U$2,'data input'!$D$3:$E$130,2,FALSE),0)</f>
        <v>0.4403823076297575</v>
      </c>
      <c r="V60" s="5">
        <f>IF($E60&gt;=V$2,VLOOKUP($E60-V$2,'data input'!$D$3:$E$130,2,FALSE),0)</f>
        <v>0.47010735594710518</v>
      </c>
      <c r="W60" s="5">
        <f>IF($E60&gt;=W$2,VLOOKUP($E60-W$2,'data input'!$D$3:$E$130,2,FALSE),0)</f>
        <v>0.5</v>
      </c>
      <c r="X60" s="5">
        <f>IF($E60&gt;=X$2,VLOOKUP($E60-X$2,'data input'!$D$3:$E$130,2,FALSE),0)</f>
        <v>0.52989264405289482</v>
      </c>
      <c r="Y60" s="5">
        <f>IF($E60&gt;=Y$2,VLOOKUP($E60-Y$2,'data input'!$D$3:$E$130,2,FALSE),0)</f>
        <v>0.5596176923702425</v>
      </c>
      <c r="Z60" s="5">
        <f>IF($E60&gt;=Z$2,VLOOKUP($E60-Z$2,'data input'!$D$3:$E$130,2,FALSE),0)</f>
        <v>0.58901036286872965</v>
      </c>
      <c r="AA60" s="5">
        <f>IF($E60&gt;=AA$2,VLOOKUP($E60-AA$2,'data input'!$D$3:$E$130,2,FALSE),0)</f>
        <v>0.61791142218895267</v>
      </c>
      <c r="AB60" s="5">
        <f>IF($E60&gt;=AB$2,VLOOKUP($E60-AB$2,'data input'!$D$3:$E$130,2,FALSE),0)</f>
        <v>0.64616976667272386</v>
      </c>
      <c r="AC60" s="5">
        <f>IF($E60&gt;=AC$2,VLOOKUP($E60-AC$2,'data input'!$D$3:$E$130,2,FALSE),0)</f>
        <v>0.67364477971207992</v>
      </c>
      <c r="AD60" s="5">
        <f>IF($E60&gt;=AD$2,VLOOKUP($E60-AD$2,'data input'!$D$3:$E$130,2,FALSE),0)</f>
        <v>0.70020840453130417</v>
      </c>
      <c r="AE60" s="5">
        <f>IF($E60&gt;=AE$2,VLOOKUP($E60-AE$2,'data input'!$D$3:$E$130,2,FALSE),0)</f>
        <v>0.72574688224992645</v>
      </c>
      <c r="AF60" s="5">
        <f>IF($E60&gt;=AF$2,VLOOKUP($E60-AF$2,'data input'!$D$3:$E$130,2,FALSE),0)</f>
        <v>0.75016211752822304</v>
      </c>
      <c r="AG60" s="5">
        <f>IF($E60&gt;=AG$2,VLOOKUP($E60-AG$2,'data input'!$D$3:$E$130,2,FALSE),0)</f>
        <v>0.77337264762313174</v>
      </c>
      <c r="AH60" s="5">
        <f>IF($E60&gt;=AH$2,VLOOKUP($E60-AH$2,'data input'!$D$3:$E$130,2,FALSE),0)</f>
        <v>0.79531420465274738</v>
      </c>
      <c r="AI60" s="5">
        <f>IF($E60&gt;=AI$2,VLOOKUP($E60-AI$2,'data input'!$D$3:$E$130,2,FALSE),0)</f>
        <v>0.81593987465324047</v>
      </c>
      <c r="AJ60" s="5">
        <f>IF($E60&gt;=AJ$2,VLOOKUP($E60-AJ$2,'data input'!$D$3:$E$130,2,FALSE),0)</f>
        <v>0.83521987001968967</v>
      </c>
      <c r="AK60" s="5">
        <f>IF($E60&gt;=AK$2,VLOOKUP($E60-AK$2,'data input'!$D$3:$E$130,2,FALSE),0)</f>
        <v>0.85314094362410409</v>
      </c>
      <c r="AL60" s="5">
        <f>IF($E60&gt;=AL$2,VLOOKUP($E60-AL$2,'data input'!$D$3:$E$130,2,FALSE),0)</f>
        <v>0.86970548286319116</v>
      </c>
      <c r="AM60" s="5">
        <f>IF($E60&gt;=AM$2,VLOOKUP($E60-AM$2,'data input'!$D$3:$E$130,2,FALSE),0)</f>
        <v>0.88493032977829178</v>
      </c>
      <c r="AN60" s="5">
        <f>IF($E60&gt;=AN$2,VLOOKUP($E60-AN$2,'data input'!$D$3:$E$130,2,FALSE),0)</f>
        <v>0.89884537900441408</v>
      </c>
      <c r="AO60" s="5">
        <f>IF($E60&gt;=AO$2,VLOOKUP($E60-AO$2,'data input'!$D$3:$E$130,2,FALSE),0)</f>
        <v>0.91149200856259793</v>
      </c>
      <c r="AP60" s="5">
        <f>IF($E60&gt;=AP$2,VLOOKUP($E60-AP$2,'data input'!$D$3:$E$130,2,FALSE),0)</f>
        <v>0.92292139944792817</v>
      </c>
      <c r="AQ60" s="5">
        <f>IF($E60&gt;=AQ$2,VLOOKUP($E60-AQ$2,'data input'!$D$3:$E$130,2,FALSE),0)</f>
        <v>0.93319279873114191</v>
      </c>
      <c r="AR60" s="5">
        <f>IF($E60&gt;=AR$2,VLOOKUP($E60-AR$2,'data input'!$D$3:$E$130,2,FALSE),0)</f>
        <v>0.94237177772384684</v>
      </c>
      <c r="AS60" s="5">
        <f>IF($E60&gt;=AS$2,VLOOKUP($E60-AS$2,'data input'!$D$3:$E$130,2,FALSE),0)</f>
        <v>0.9505285319663519</v>
      </c>
      <c r="AT60" s="5">
        <f>IF($E60&gt;=AT$2,VLOOKUP($E60-AT$2,'data input'!$D$3:$E$130,2,FALSE),0)</f>
        <v>0.95773626374204757</v>
      </c>
      <c r="AU60" s="5">
        <f>IF($E60&gt;=AU$2,VLOOKUP($E60-AU$2,'data input'!$D$3:$E$130,2,FALSE),0)</f>
        <v>0.96406968088707423</v>
      </c>
      <c r="AV60" s="5">
        <f>IF($E60&gt;=AV$2,VLOOKUP($E60-AV$2,'data input'!$D$3:$E$130,2,FALSE),0)</f>
        <v>0.96960363823473861</v>
      </c>
      <c r="AW60" s="5">
        <f>IF($E60&gt;=AW$2,VLOOKUP($E60-AW$2,'data input'!$D$3:$E$130,2,FALSE),0)</f>
        <v>0.97441194047836144</v>
      </c>
      <c r="AX60" s="5">
        <f>IF($E60&gt;=AX$2,VLOOKUP($E60-AX$2,'data input'!$D$3:$E$130,2,FALSE),0)</f>
        <v>0.97856631788584703</v>
      </c>
      <c r="AY60" s="5">
        <f>IF($E60&gt;=AY$2,VLOOKUP($E60-AY$2,'data input'!$D$3:$E$130,2,FALSE),0)</f>
        <v>0.98213557943718344</v>
      </c>
      <c r="AZ60" s="5">
        <f>IF($E60&gt;=AZ$2,VLOOKUP($E60-AZ$2,'data input'!$D$3:$E$130,2,FALSE),0)</f>
        <v>0.98518494180739014</v>
      </c>
      <c r="BA60" s="5">
        <f>IF($E60&gt;=BA$2,VLOOKUP($E60-BA$2,'data input'!$D$3:$E$130,2,FALSE),0)</f>
        <v>0.98777552734495533</v>
      </c>
      <c r="BB60" s="5">
        <f>IF($E60&gt;=BB$2,VLOOKUP($E60-BB$2,'data input'!$D$3:$E$130,2,FALSE),0)</f>
        <v>0.98996401989972593</v>
      </c>
      <c r="BC60" s="5">
        <f>IF($E60&gt;=BC$2,VLOOKUP($E60-BC$2,'data input'!$D$3:$E$130,2,FALSE),0)</f>
        <v>0.99180246407540384</v>
      </c>
      <c r="BD60" s="5">
        <f>IF($E60&gt;=BD$2,VLOOKUP($E60-BD$2,'data input'!$D$3:$E$130,2,FALSE),0)</f>
        <v>0.99333819120801725</v>
      </c>
      <c r="BE60" s="5">
        <f>IF($E60&gt;=BE$2,VLOOKUP($E60-BE$2,'data input'!$D$3:$E$130,2,FALSE),0)</f>
        <v>0.99461385404593328</v>
      </c>
      <c r="BF60" s="5">
        <f>IF($E60&gt;=BF$2,VLOOKUP($E60-BF$2,'data input'!$D$3:$E$130,2,FALSE),0)</f>
        <v>0.99566755163698739</v>
      </c>
      <c r="BG60" s="5">
        <f>IF($E60&gt;=BG$2,VLOOKUP($E60-BG$2,'data input'!$D$3:$E$130,2,FALSE),0)</f>
        <v>0.99653302619695938</v>
      </c>
      <c r="BH60" s="5">
        <f>IF($E60&gt;=BH$2,VLOOKUP($E60-BH$2,'data input'!$D$3:$E$130,2,FALSE),0)</f>
        <v>0.99723991460873751</v>
      </c>
      <c r="BI60" s="5">
        <f>IF($E60&gt;=BI$2,VLOOKUP($E60-BI$2,'data input'!$D$3:$E$130,2,FALSE),0)</f>
        <v>0.99781403854508677</v>
      </c>
      <c r="BJ60" s="5">
        <f>IF($E60&gt;=BJ$2,VLOOKUP($E60-BJ$2,'data input'!$D$3:$E$130,2,FALSE),0)</f>
        <v>0.99827771888413241</v>
      </c>
      <c r="BK60" s="5">
        <f>IF($E60&gt;=BK$2,VLOOKUP($E60-BK$2,'data input'!$D$3:$E$130,2,FALSE),0)</f>
        <v>0.9986501019683699</v>
      </c>
      <c r="BL60" s="5">
        <f>IF($E60&gt;=BL$2,VLOOKUP($E60-BL$2,'data input'!$D$3:$E$130,2,FALSE),0)</f>
        <v>0</v>
      </c>
      <c r="BM60" s="5">
        <f>IF($E60&gt;=BM$2,VLOOKUP($E60-BM$2,'data input'!$D$3:$E$130,2,FALSE),0)</f>
        <v>0</v>
      </c>
      <c r="BN60" s="5">
        <f>IF($E60&gt;=BN$2,VLOOKUP($E60-BN$2,'data input'!$D$3:$E$130,2,FALSE),0)</f>
        <v>0</v>
      </c>
      <c r="BO60" s="5">
        <f>IF($E60&gt;=BO$2,VLOOKUP($E60-BO$2,'data input'!$D$3:$E$130,2,FALSE),0)</f>
        <v>0</v>
      </c>
      <c r="BP60" s="5">
        <f>IF($E60&gt;=BP$2,VLOOKUP($E60-BP$2,'data input'!$D$3:$E$130,2,FALSE),0)</f>
        <v>0</v>
      </c>
      <c r="BQ60" s="5">
        <f>IF($E60&gt;=BQ$2,VLOOKUP($E60-BQ$2,'data input'!$D$3:$E$130,2,FALSE),0)</f>
        <v>0</v>
      </c>
      <c r="BR60" s="5">
        <f>IF($E60&gt;=BR$2,VLOOKUP($E60-BR$2,'data input'!$D$3:$E$130,2,FALSE),0)</f>
        <v>0</v>
      </c>
      <c r="BS60" s="5">
        <f>IF($E60&gt;=BS$2,VLOOKUP($E60-BS$2,'data input'!$D$3:$E$130,2,FALSE),0)</f>
        <v>0</v>
      </c>
      <c r="BT60" s="5">
        <f>IF($E60&gt;=BT$2,VLOOKUP($E60-BT$2,'data input'!$D$3:$E$130,2,FALSE),0)</f>
        <v>0</v>
      </c>
      <c r="BU60" s="5">
        <f>IF($E60&gt;=BU$2,VLOOKUP($E60-BU$2,'data input'!$D$3:$E$130,2,FALSE),0)</f>
        <v>0</v>
      </c>
      <c r="BV60" s="5">
        <f>IF($E60&gt;=BV$2,VLOOKUP($E60-BV$2,'data input'!$D$3:$E$130,2,FALSE),0)</f>
        <v>0</v>
      </c>
      <c r="BW60" s="5">
        <f>IF($E60&gt;=BW$2,VLOOKUP($E60-BW$2,'data input'!$D$3:$E$130,2,FALSE),0)</f>
        <v>0</v>
      </c>
      <c r="BX60" s="5">
        <f>IF($E60&gt;=BX$2,VLOOKUP($E60-BX$2,'data input'!$D$3:$E$130,2,FALSE),0)</f>
        <v>0</v>
      </c>
      <c r="BY60" s="5">
        <f>IF($E60&gt;=BY$2,VLOOKUP($E60-BY$2,'data input'!$D$3:$E$130,2,FALSE),0)</f>
        <v>0</v>
      </c>
      <c r="BZ60" s="5">
        <f>IF($E60&gt;=BZ$2,VLOOKUP($E60-BZ$2,'data input'!$D$3:$E$130,2,FALSE),0)</f>
        <v>0</v>
      </c>
      <c r="CA60" s="5">
        <f>IF($E60&gt;=CA$2,VLOOKUP($E60-CA$2,'data input'!$D$3:$E$130,2,FALSE),0)</f>
        <v>0</v>
      </c>
      <c r="CB60" s="5">
        <f>IF($E60&gt;=CB$2,VLOOKUP($E60-CB$2,'data input'!$D$3:$E$130,2,FALSE),0)</f>
        <v>0</v>
      </c>
      <c r="CC60" s="5">
        <f>IF($E60&gt;=CC$2,VLOOKUP($E60-CC$2,'data input'!$D$3:$E$130,2,FALSE),0)</f>
        <v>0</v>
      </c>
      <c r="CD60" s="5">
        <f>IF($E60&gt;=CD$2,VLOOKUP($E60-CD$2,'data input'!$D$3:$E$130,2,FALSE),0)</f>
        <v>0</v>
      </c>
      <c r="CE60" s="5">
        <f>IF($E60&gt;=CE$2,VLOOKUP($E60-CE$2,'data input'!$D$3:$E$130,2,FALSE),0)</f>
        <v>0</v>
      </c>
      <c r="CF60" s="5">
        <f>IF($E60&gt;=CF$2,VLOOKUP($E60-CF$2,'data input'!$D$3:$E$130,2,FALSE),0)</f>
        <v>0</v>
      </c>
      <c r="CG60" s="5">
        <f>IF($E60&gt;=CG$2,VLOOKUP($E60-CG$2,'data input'!$D$3:$E$130,2,FALSE),0)</f>
        <v>0</v>
      </c>
      <c r="CH60" s="5">
        <f>IF($E60&gt;=CH$2,VLOOKUP($E60-CH$2,'data input'!$D$3:$E$130,2,FALSE),0)</f>
        <v>0</v>
      </c>
      <c r="CI60" s="5">
        <f>IF($E60&gt;=CI$2,VLOOKUP($E60-CI$2,'data input'!$D$3:$E$130,2,FALSE),0)</f>
        <v>0</v>
      </c>
      <c r="CJ60" s="5">
        <f>IF($E60&gt;=CJ$2,VLOOKUP($E60-CJ$2,'data input'!$D$3:$E$130,2,FALSE),0)</f>
        <v>0</v>
      </c>
      <c r="CK60" s="5">
        <f>IF($E60&gt;=CK$2,VLOOKUP($E60-CK$2,'data input'!$D$3:$E$130,2,FALSE),0)</f>
        <v>0</v>
      </c>
      <c r="CL60" s="5">
        <f>IF($E60&gt;=CL$2,VLOOKUP($E60-CL$2,'data input'!$D$3:$E$130,2,FALSE),0)</f>
        <v>0</v>
      </c>
      <c r="CM60" s="5">
        <f>IF($E60&gt;=CM$2,VLOOKUP($E60-CM$2,'data input'!$D$3:$E$130,2,FALSE),0)</f>
        <v>0</v>
      </c>
      <c r="CN60" s="5">
        <f>IF($E60&gt;=CN$2,VLOOKUP($E60-CN$2,'data input'!$D$3:$E$130,2,FALSE),0)</f>
        <v>0</v>
      </c>
      <c r="CO60" s="5">
        <f>IF($E60&gt;=CO$2,VLOOKUP($E60-CO$2,'data input'!$D$3:$E$130,2,FALSE),0)</f>
        <v>0</v>
      </c>
      <c r="CP60" s="5">
        <f>IF($E60&gt;=CP$2,VLOOKUP($E60-CP$2,'data input'!$D$3:$E$130,2,FALSE),0)</f>
        <v>0</v>
      </c>
      <c r="CQ60" s="5">
        <f>IF($E60&gt;=CQ$2,VLOOKUP($E60-CQ$2,'data input'!$D$3:$E$130,2,FALSE),0)</f>
        <v>0</v>
      </c>
      <c r="CR60" s="5">
        <f>IF($E60&gt;=CR$2,VLOOKUP($E60-CR$2,'data input'!$D$3:$E$130,2,FALSE),0)</f>
        <v>0</v>
      </c>
      <c r="CS60" s="5">
        <f>IF($E60&gt;=CS$2,VLOOKUP($E60-CS$2,'data input'!$D$3:$E$130,2,FALSE),0)</f>
        <v>0</v>
      </c>
      <c r="CT60" s="5">
        <f>IF($E60&gt;=CT$2,VLOOKUP($E60-CT$2,'data input'!$D$3:$E$130,2,FALSE),0)</f>
        <v>0</v>
      </c>
      <c r="CU60" s="5">
        <f>IF($E60&gt;=CU$2,VLOOKUP($E60-CU$2,'data input'!$D$3:$E$130,2,FALSE),0)</f>
        <v>0</v>
      </c>
      <c r="CV60" s="5">
        <f>IF($E60&gt;=CV$2,VLOOKUP($E60-CV$2,'data input'!$D$3:$E$130,2,FALSE),0)</f>
        <v>0</v>
      </c>
      <c r="CW60" s="5">
        <f>IF($E60&gt;=CW$2,VLOOKUP($E60-CW$2,'data input'!$D$3:$E$130,2,FALSE),0)</f>
        <v>0</v>
      </c>
      <c r="CX60" s="5">
        <f>IF($E60&gt;=CX$2,VLOOKUP($E60-CX$2,'data input'!$D$3:$E$130,2,FALSE),0)</f>
        <v>0</v>
      </c>
      <c r="CY60" s="5">
        <f>IF($E60&gt;=CY$2,VLOOKUP($E60-CY$2,'data input'!$D$3:$E$130,2,FALSE),0)</f>
        <v>0</v>
      </c>
      <c r="CZ60" s="5">
        <f>IF($E60&gt;=CZ$2,VLOOKUP($E60-CZ$2,'data input'!$D$3:$E$130,2,FALSE),0)</f>
        <v>0</v>
      </c>
      <c r="DA60" s="5">
        <f>IF($E60&gt;=DA$2,VLOOKUP($E60-DA$2,'data input'!$D$3:$E$130,2,FALSE),0)</f>
        <v>0</v>
      </c>
      <c r="DB60" s="5">
        <f>IF($E60&gt;=DB$2,VLOOKUP($E60-DB$2,'data input'!$D$3:$E$130,2,FALSE),0)</f>
        <v>0</v>
      </c>
      <c r="DC60" s="5">
        <f>IF($E60&gt;=DC$2,VLOOKUP($E60-DC$2,'data input'!$D$3:$E$130,2,FALSE),0)</f>
        <v>0</v>
      </c>
      <c r="DD60" s="5">
        <f>IF($E60&gt;=DD$2,VLOOKUP($E60-DD$2,'data input'!$D$3:$E$130,2,FALSE),0)</f>
        <v>0</v>
      </c>
      <c r="DE60" s="5">
        <f>IF($E60&gt;=DE$2,VLOOKUP($E60-DE$2,'data input'!$D$3:$E$130,2,FALSE),0)</f>
        <v>0</v>
      </c>
      <c r="DF60" s="5">
        <f>IF($E60&gt;=DF$2,VLOOKUP($E60-DF$2,'data input'!$D$3:$E$130,2,FALSE),0)</f>
        <v>0</v>
      </c>
      <c r="DG60" s="5">
        <f>IF($E60&gt;=DG$2,VLOOKUP($E60-DG$2,'data input'!$D$3:$E$130,2,FALSE),0)</f>
        <v>0</v>
      </c>
      <c r="DH60" s="5">
        <f>IF($E60&gt;=DH$2,VLOOKUP($E60-DH$2,'data input'!$D$3:$E$130,2,FALSE),0)</f>
        <v>0</v>
      </c>
      <c r="DI60" s="5">
        <f>IF($E60&gt;=DI$2,VLOOKUP($E60-DI$2,'data input'!$D$3:$E$130,2,FALSE),0)</f>
        <v>0</v>
      </c>
      <c r="DJ60" s="5">
        <f>IF($E60&gt;=DJ$2,VLOOKUP($E60-DJ$2,'data input'!$D$3:$E$130,2,FALSE),0)</f>
        <v>0</v>
      </c>
      <c r="DK60" s="5">
        <f>IF($E60&gt;=DK$2,VLOOKUP($E60-DK$2,'data input'!$D$3:$E$130,2,FALSE),0)</f>
        <v>0</v>
      </c>
      <c r="DL60" s="5">
        <f>IF($E60&gt;=DL$2,VLOOKUP($E60-DL$2,'data input'!$D$3:$E$130,2,FALSE),0)</f>
        <v>0</v>
      </c>
      <c r="DM60" s="5">
        <f>IF($E60&gt;=DM$2,VLOOKUP($E60-DM$2,'data input'!$D$3:$E$130,2,FALSE),0)</f>
        <v>0</v>
      </c>
      <c r="DN60" s="5">
        <f>IF($E60&gt;=DN$2,VLOOKUP($E60-DN$2,'data input'!$D$3:$E$130,2,FALSE),0)</f>
        <v>0</v>
      </c>
      <c r="DO60" s="5">
        <f>IF($E60&gt;=DO$2,VLOOKUP($E60-DO$2,'data input'!$D$3:$E$130,2,FALSE),0)</f>
        <v>0</v>
      </c>
      <c r="DP60" s="5">
        <f>IF($E60&gt;=DP$2,VLOOKUP($E60-DP$2,'data input'!$D$3:$E$130,2,FALSE),0)</f>
        <v>0</v>
      </c>
      <c r="DQ60" s="5">
        <f>IF($E60&gt;=DQ$2,VLOOKUP($E60-DQ$2,'data input'!$D$3:$E$130,2,FALSE),0)</f>
        <v>0</v>
      </c>
      <c r="DR60" s="5">
        <f>IF($E60&gt;=DR$2,VLOOKUP($E60-DR$2,'data input'!$D$3:$E$130,2,FALSE),0)</f>
        <v>0</v>
      </c>
      <c r="DS60" s="5">
        <f>IF($E60&gt;=DS$2,VLOOKUP($E60-DS$2,'data input'!$D$3:$E$130,2,FALSE),0)</f>
        <v>0</v>
      </c>
      <c r="DT60" s="5">
        <f>IF($E60&gt;=DT$2,VLOOKUP($E60-DT$2,'data input'!$D$3:$E$130,2,FALSE),0)</f>
        <v>0</v>
      </c>
      <c r="DU60" s="5">
        <f>IF($E60&gt;=DU$2,VLOOKUP($E60-DU$2,'data input'!$D$3:$E$130,2,FALSE),0)</f>
        <v>0</v>
      </c>
      <c r="DV60" s="5">
        <f>IF($E60&gt;=DV$2,VLOOKUP($E60-DV$2,'data input'!$D$3:$E$130,2,FALSE),0)</f>
        <v>0</v>
      </c>
      <c r="DW60" s="5">
        <f>IF($E60&gt;=DW$2,VLOOKUP($E60-DW$2,'data input'!$D$3:$E$130,2,FALSE),0)</f>
        <v>0</v>
      </c>
      <c r="DX60" s="5">
        <f>IF($E60&gt;=DX$2,VLOOKUP($E60-DX$2,'data input'!$D$3:$E$130,2,FALSE),0)</f>
        <v>0</v>
      </c>
      <c r="DY60" s="5">
        <f>IF($E60&gt;=DY$2,VLOOKUP($E60-DY$2,'data input'!$D$3:$E$130,2,FALSE),0)</f>
        <v>0</v>
      </c>
      <c r="DZ60" s="5">
        <f>IF($E60&gt;=DZ$2,VLOOKUP($E60-DZ$2,'data input'!$D$3:$E$130,2,FALSE),0)</f>
        <v>0</v>
      </c>
      <c r="EA60" s="5">
        <f>IF($E60&gt;=EA$2,VLOOKUP($E60-EA$2,'data input'!$D$3:$E$130,2,FALSE),0)</f>
        <v>0</v>
      </c>
      <c r="EB60" s="5">
        <f>IF($E60&gt;=EB$2,VLOOKUP($E60-EB$2,'data input'!$D$3:$E$130,2,FALSE),0)</f>
        <v>0</v>
      </c>
      <c r="EC60" s="5">
        <f>IF($E60&gt;=EC$2,VLOOKUP($E60-EC$2,'data input'!$D$3:$E$130,2,FALSE),0)</f>
        <v>0</v>
      </c>
    </row>
    <row r="61" spans="5:133">
      <c r="E61" s="7">
        <f>'data input'!B61</f>
        <v>1936</v>
      </c>
      <c r="F61" s="5">
        <f>IF($E61&gt;=F$2,VLOOKUP($E61-F$2,'data input'!$D$3:$E$130,2,FALSE),0)</f>
        <v>8.8507991437402067E-2</v>
      </c>
      <c r="G61" s="5">
        <f>IF($E61&gt;=G$2,VLOOKUP($E61-G$2,'data input'!$D$3:$E$130,2,FALSE),0)</f>
        <v>0.10115462099558592</v>
      </c>
      <c r="H61" s="5">
        <f>IF($E61&gt;=H$2,VLOOKUP($E61-H$2,'data input'!$D$3:$E$130,2,FALSE),0)</f>
        <v>0.11506967022170822</v>
      </c>
      <c r="I61" s="5">
        <f>IF($E61&gt;=I$2,VLOOKUP($E61-I$2,'data input'!$D$3:$E$130,2,FALSE),0)</f>
        <v>0.13029451713680884</v>
      </c>
      <c r="J61" s="5">
        <f>IF($E61&gt;=J$2,VLOOKUP($E61-J$2,'data input'!$D$3:$E$130,2,FALSE),0)</f>
        <v>0.14685905637589591</v>
      </c>
      <c r="K61" s="5">
        <f>IF($E61&gt;=K$2,VLOOKUP($E61-K$2,'data input'!$D$3:$E$130,2,FALSE),0)</f>
        <v>0.16478012998031033</v>
      </c>
      <c r="L61" s="5">
        <f>IF($E61&gt;=L$2,VLOOKUP($E61-L$2,'data input'!$D$3:$E$130,2,FALSE),0)</f>
        <v>0.18406012534675953</v>
      </c>
      <c r="M61" s="5">
        <f>IF($E61&gt;=M$2,VLOOKUP($E61-M$2,'data input'!$D$3:$E$130,2,FALSE),0)</f>
        <v>0.20468579534725262</v>
      </c>
      <c r="N61" s="5">
        <f>IF($E61&gt;=N$2,VLOOKUP($E61-N$2,'data input'!$D$3:$E$130,2,FALSE),0)</f>
        <v>0.22662735237686826</v>
      </c>
      <c r="O61" s="5">
        <f>IF($E61&gt;=O$2,VLOOKUP($E61-O$2,'data input'!$D$3:$E$130,2,FALSE),0)</f>
        <v>0.24983788247177696</v>
      </c>
      <c r="P61" s="5">
        <f>IF($E61&gt;=P$2,VLOOKUP($E61-P$2,'data input'!$D$3:$E$130,2,FALSE),0)</f>
        <v>0.27425311775007355</v>
      </c>
      <c r="Q61" s="5">
        <f>IF($E61&gt;=Q$2,VLOOKUP($E61-Q$2,'data input'!$D$3:$E$130,2,FALSE),0)</f>
        <v>0.29979159546869583</v>
      </c>
      <c r="R61" s="5">
        <f>IF($E61&gt;=R$2,VLOOKUP($E61-R$2,'data input'!$D$3:$E$130,2,FALSE),0)</f>
        <v>0.32635522028792008</v>
      </c>
      <c r="S61" s="5">
        <f>IF($E61&gt;=S$2,VLOOKUP($E61-S$2,'data input'!$D$3:$E$130,2,FALSE),0)</f>
        <v>0.35383023332727614</v>
      </c>
      <c r="T61" s="5">
        <f>IF($E61&gt;=T$2,VLOOKUP($E61-T$2,'data input'!$D$3:$E$130,2,FALSE),0)</f>
        <v>0.38208857781104733</v>
      </c>
      <c r="U61" s="5">
        <f>IF($E61&gt;=U$2,VLOOKUP($E61-U$2,'data input'!$D$3:$E$130,2,FALSE),0)</f>
        <v>0.41098963713127035</v>
      </c>
      <c r="V61" s="5">
        <f>IF($E61&gt;=V$2,VLOOKUP($E61-V$2,'data input'!$D$3:$E$130,2,FALSE),0)</f>
        <v>0.4403823076297575</v>
      </c>
      <c r="W61" s="5">
        <f>IF($E61&gt;=W$2,VLOOKUP($E61-W$2,'data input'!$D$3:$E$130,2,FALSE),0)</f>
        <v>0.47010735594710518</v>
      </c>
      <c r="X61" s="5">
        <f>IF($E61&gt;=X$2,VLOOKUP($E61-X$2,'data input'!$D$3:$E$130,2,FALSE),0)</f>
        <v>0.5</v>
      </c>
      <c r="Y61" s="5">
        <f>IF($E61&gt;=Y$2,VLOOKUP($E61-Y$2,'data input'!$D$3:$E$130,2,FALSE),0)</f>
        <v>0.52989264405289482</v>
      </c>
      <c r="Z61" s="5">
        <f>IF($E61&gt;=Z$2,VLOOKUP($E61-Z$2,'data input'!$D$3:$E$130,2,FALSE),0)</f>
        <v>0.5596176923702425</v>
      </c>
      <c r="AA61" s="5">
        <f>IF($E61&gt;=AA$2,VLOOKUP($E61-AA$2,'data input'!$D$3:$E$130,2,FALSE),0)</f>
        <v>0.58901036286872965</v>
      </c>
      <c r="AB61" s="5">
        <f>IF($E61&gt;=AB$2,VLOOKUP($E61-AB$2,'data input'!$D$3:$E$130,2,FALSE),0)</f>
        <v>0.61791142218895267</v>
      </c>
      <c r="AC61" s="5">
        <f>IF($E61&gt;=AC$2,VLOOKUP($E61-AC$2,'data input'!$D$3:$E$130,2,FALSE),0)</f>
        <v>0.64616976667272386</v>
      </c>
      <c r="AD61" s="5">
        <f>IF($E61&gt;=AD$2,VLOOKUP($E61-AD$2,'data input'!$D$3:$E$130,2,FALSE),0)</f>
        <v>0.67364477971207992</v>
      </c>
      <c r="AE61" s="5">
        <f>IF($E61&gt;=AE$2,VLOOKUP($E61-AE$2,'data input'!$D$3:$E$130,2,FALSE),0)</f>
        <v>0.70020840453130417</v>
      </c>
      <c r="AF61" s="5">
        <f>IF($E61&gt;=AF$2,VLOOKUP($E61-AF$2,'data input'!$D$3:$E$130,2,FALSE),0)</f>
        <v>0.72574688224992645</v>
      </c>
      <c r="AG61" s="5">
        <f>IF($E61&gt;=AG$2,VLOOKUP($E61-AG$2,'data input'!$D$3:$E$130,2,FALSE),0)</f>
        <v>0.75016211752822304</v>
      </c>
      <c r="AH61" s="5">
        <f>IF($E61&gt;=AH$2,VLOOKUP($E61-AH$2,'data input'!$D$3:$E$130,2,FALSE),0)</f>
        <v>0.77337264762313174</v>
      </c>
      <c r="AI61" s="5">
        <f>IF($E61&gt;=AI$2,VLOOKUP($E61-AI$2,'data input'!$D$3:$E$130,2,FALSE),0)</f>
        <v>0.79531420465274738</v>
      </c>
      <c r="AJ61" s="5">
        <f>IF($E61&gt;=AJ$2,VLOOKUP($E61-AJ$2,'data input'!$D$3:$E$130,2,FALSE),0)</f>
        <v>0.81593987465324047</v>
      </c>
      <c r="AK61" s="5">
        <f>IF($E61&gt;=AK$2,VLOOKUP($E61-AK$2,'data input'!$D$3:$E$130,2,FALSE),0)</f>
        <v>0.83521987001968967</v>
      </c>
      <c r="AL61" s="5">
        <f>IF($E61&gt;=AL$2,VLOOKUP($E61-AL$2,'data input'!$D$3:$E$130,2,FALSE),0)</f>
        <v>0.85314094362410409</v>
      </c>
      <c r="AM61" s="5">
        <f>IF($E61&gt;=AM$2,VLOOKUP($E61-AM$2,'data input'!$D$3:$E$130,2,FALSE),0)</f>
        <v>0.86970548286319116</v>
      </c>
      <c r="AN61" s="5">
        <f>IF($E61&gt;=AN$2,VLOOKUP($E61-AN$2,'data input'!$D$3:$E$130,2,FALSE),0)</f>
        <v>0.88493032977829178</v>
      </c>
      <c r="AO61" s="5">
        <f>IF($E61&gt;=AO$2,VLOOKUP($E61-AO$2,'data input'!$D$3:$E$130,2,FALSE),0)</f>
        <v>0.89884537900441408</v>
      </c>
      <c r="AP61" s="5">
        <f>IF($E61&gt;=AP$2,VLOOKUP($E61-AP$2,'data input'!$D$3:$E$130,2,FALSE),0)</f>
        <v>0.91149200856259793</v>
      </c>
      <c r="AQ61" s="5">
        <f>IF($E61&gt;=AQ$2,VLOOKUP($E61-AQ$2,'data input'!$D$3:$E$130,2,FALSE),0)</f>
        <v>0.92292139944792817</v>
      </c>
      <c r="AR61" s="5">
        <f>IF($E61&gt;=AR$2,VLOOKUP($E61-AR$2,'data input'!$D$3:$E$130,2,FALSE),0)</f>
        <v>0.93319279873114191</v>
      </c>
      <c r="AS61" s="5">
        <f>IF($E61&gt;=AS$2,VLOOKUP($E61-AS$2,'data input'!$D$3:$E$130,2,FALSE),0)</f>
        <v>0.94237177772384684</v>
      </c>
      <c r="AT61" s="5">
        <f>IF($E61&gt;=AT$2,VLOOKUP($E61-AT$2,'data input'!$D$3:$E$130,2,FALSE),0)</f>
        <v>0.9505285319663519</v>
      </c>
      <c r="AU61" s="5">
        <f>IF($E61&gt;=AU$2,VLOOKUP($E61-AU$2,'data input'!$D$3:$E$130,2,FALSE),0)</f>
        <v>0.95773626374204757</v>
      </c>
      <c r="AV61" s="5">
        <f>IF($E61&gt;=AV$2,VLOOKUP($E61-AV$2,'data input'!$D$3:$E$130,2,FALSE),0)</f>
        <v>0.96406968088707423</v>
      </c>
      <c r="AW61" s="5">
        <f>IF($E61&gt;=AW$2,VLOOKUP($E61-AW$2,'data input'!$D$3:$E$130,2,FALSE),0)</f>
        <v>0.96960363823473861</v>
      </c>
      <c r="AX61" s="5">
        <f>IF($E61&gt;=AX$2,VLOOKUP($E61-AX$2,'data input'!$D$3:$E$130,2,FALSE),0)</f>
        <v>0.97441194047836144</v>
      </c>
      <c r="AY61" s="5">
        <f>IF($E61&gt;=AY$2,VLOOKUP($E61-AY$2,'data input'!$D$3:$E$130,2,FALSE),0)</f>
        <v>0.97856631788584703</v>
      </c>
      <c r="AZ61" s="5">
        <f>IF($E61&gt;=AZ$2,VLOOKUP($E61-AZ$2,'data input'!$D$3:$E$130,2,FALSE),0)</f>
        <v>0.98213557943718344</v>
      </c>
      <c r="BA61" s="5">
        <f>IF($E61&gt;=BA$2,VLOOKUP($E61-BA$2,'data input'!$D$3:$E$130,2,FALSE),0)</f>
        <v>0.98518494180739014</v>
      </c>
      <c r="BB61" s="5">
        <f>IF($E61&gt;=BB$2,VLOOKUP($E61-BB$2,'data input'!$D$3:$E$130,2,FALSE),0)</f>
        <v>0.98777552734495533</v>
      </c>
      <c r="BC61" s="5">
        <f>IF($E61&gt;=BC$2,VLOOKUP($E61-BC$2,'data input'!$D$3:$E$130,2,FALSE),0)</f>
        <v>0.98996401989972593</v>
      </c>
      <c r="BD61" s="5">
        <f>IF($E61&gt;=BD$2,VLOOKUP($E61-BD$2,'data input'!$D$3:$E$130,2,FALSE),0)</f>
        <v>0.99180246407540384</v>
      </c>
      <c r="BE61" s="5">
        <f>IF($E61&gt;=BE$2,VLOOKUP($E61-BE$2,'data input'!$D$3:$E$130,2,FALSE),0)</f>
        <v>0.99333819120801725</v>
      </c>
      <c r="BF61" s="5">
        <f>IF($E61&gt;=BF$2,VLOOKUP($E61-BF$2,'data input'!$D$3:$E$130,2,FALSE),0)</f>
        <v>0.99461385404593328</v>
      </c>
      <c r="BG61" s="5">
        <f>IF($E61&gt;=BG$2,VLOOKUP($E61-BG$2,'data input'!$D$3:$E$130,2,FALSE),0)</f>
        <v>0.99566755163698739</v>
      </c>
      <c r="BH61" s="5">
        <f>IF($E61&gt;=BH$2,VLOOKUP($E61-BH$2,'data input'!$D$3:$E$130,2,FALSE),0)</f>
        <v>0.99653302619695938</v>
      </c>
      <c r="BI61" s="5">
        <f>IF($E61&gt;=BI$2,VLOOKUP($E61-BI$2,'data input'!$D$3:$E$130,2,FALSE),0)</f>
        <v>0.99723991460873751</v>
      </c>
      <c r="BJ61" s="5">
        <f>IF($E61&gt;=BJ$2,VLOOKUP($E61-BJ$2,'data input'!$D$3:$E$130,2,FALSE),0)</f>
        <v>0.99781403854508677</v>
      </c>
      <c r="BK61" s="5">
        <f>IF($E61&gt;=BK$2,VLOOKUP($E61-BK$2,'data input'!$D$3:$E$130,2,FALSE),0)</f>
        <v>0.99827771888413241</v>
      </c>
      <c r="BL61" s="5">
        <f>IF($E61&gt;=BL$2,VLOOKUP($E61-BL$2,'data input'!$D$3:$E$130,2,FALSE),0)</f>
        <v>0.9986501019683699</v>
      </c>
      <c r="BM61" s="5">
        <f>IF($E61&gt;=BM$2,VLOOKUP($E61-BM$2,'data input'!$D$3:$E$130,2,FALSE),0)</f>
        <v>0</v>
      </c>
      <c r="BN61" s="5">
        <f>IF($E61&gt;=BN$2,VLOOKUP($E61-BN$2,'data input'!$D$3:$E$130,2,FALSE),0)</f>
        <v>0</v>
      </c>
      <c r="BO61" s="5">
        <f>IF($E61&gt;=BO$2,VLOOKUP($E61-BO$2,'data input'!$D$3:$E$130,2,FALSE),0)</f>
        <v>0</v>
      </c>
      <c r="BP61" s="5">
        <f>IF($E61&gt;=BP$2,VLOOKUP($E61-BP$2,'data input'!$D$3:$E$130,2,FALSE),0)</f>
        <v>0</v>
      </c>
      <c r="BQ61" s="5">
        <f>IF($E61&gt;=BQ$2,VLOOKUP($E61-BQ$2,'data input'!$D$3:$E$130,2,FALSE),0)</f>
        <v>0</v>
      </c>
      <c r="BR61" s="5">
        <f>IF($E61&gt;=BR$2,VLOOKUP($E61-BR$2,'data input'!$D$3:$E$130,2,FALSE),0)</f>
        <v>0</v>
      </c>
      <c r="BS61" s="5">
        <f>IF($E61&gt;=BS$2,VLOOKUP($E61-BS$2,'data input'!$D$3:$E$130,2,FALSE),0)</f>
        <v>0</v>
      </c>
      <c r="BT61" s="5">
        <f>IF($E61&gt;=BT$2,VLOOKUP($E61-BT$2,'data input'!$D$3:$E$130,2,FALSE),0)</f>
        <v>0</v>
      </c>
      <c r="BU61" s="5">
        <f>IF($E61&gt;=BU$2,VLOOKUP($E61-BU$2,'data input'!$D$3:$E$130,2,FALSE),0)</f>
        <v>0</v>
      </c>
      <c r="BV61" s="5">
        <f>IF($E61&gt;=BV$2,VLOOKUP($E61-BV$2,'data input'!$D$3:$E$130,2,FALSE),0)</f>
        <v>0</v>
      </c>
      <c r="BW61" s="5">
        <f>IF($E61&gt;=BW$2,VLOOKUP($E61-BW$2,'data input'!$D$3:$E$130,2,FALSE),0)</f>
        <v>0</v>
      </c>
      <c r="BX61" s="5">
        <f>IF($E61&gt;=BX$2,VLOOKUP($E61-BX$2,'data input'!$D$3:$E$130,2,FALSE),0)</f>
        <v>0</v>
      </c>
      <c r="BY61" s="5">
        <f>IF($E61&gt;=BY$2,VLOOKUP($E61-BY$2,'data input'!$D$3:$E$130,2,FALSE),0)</f>
        <v>0</v>
      </c>
      <c r="BZ61" s="5">
        <f>IF($E61&gt;=BZ$2,VLOOKUP($E61-BZ$2,'data input'!$D$3:$E$130,2,FALSE),0)</f>
        <v>0</v>
      </c>
      <c r="CA61" s="5">
        <f>IF($E61&gt;=CA$2,VLOOKUP($E61-CA$2,'data input'!$D$3:$E$130,2,FALSE),0)</f>
        <v>0</v>
      </c>
      <c r="CB61" s="5">
        <f>IF($E61&gt;=CB$2,VLOOKUP($E61-CB$2,'data input'!$D$3:$E$130,2,FALSE),0)</f>
        <v>0</v>
      </c>
      <c r="CC61" s="5">
        <f>IF($E61&gt;=CC$2,VLOOKUP($E61-CC$2,'data input'!$D$3:$E$130,2,FALSE),0)</f>
        <v>0</v>
      </c>
      <c r="CD61" s="5">
        <f>IF($E61&gt;=CD$2,VLOOKUP($E61-CD$2,'data input'!$D$3:$E$130,2,FALSE),0)</f>
        <v>0</v>
      </c>
      <c r="CE61" s="5">
        <f>IF($E61&gt;=CE$2,VLOOKUP($E61-CE$2,'data input'!$D$3:$E$130,2,FALSE),0)</f>
        <v>0</v>
      </c>
      <c r="CF61" s="5">
        <f>IF($E61&gt;=CF$2,VLOOKUP($E61-CF$2,'data input'!$D$3:$E$130,2,FALSE),0)</f>
        <v>0</v>
      </c>
      <c r="CG61" s="5">
        <f>IF($E61&gt;=CG$2,VLOOKUP($E61-CG$2,'data input'!$D$3:$E$130,2,FALSE),0)</f>
        <v>0</v>
      </c>
      <c r="CH61" s="5">
        <f>IF($E61&gt;=CH$2,VLOOKUP($E61-CH$2,'data input'!$D$3:$E$130,2,FALSE),0)</f>
        <v>0</v>
      </c>
      <c r="CI61" s="5">
        <f>IF($E61&gt;=CI$2,VLOOKUP($E61-CI$2,'data input'!$D$3:$E$130,2,FALSE),0)</f>
        <v>0</v>
      </c>
      <c r="CJ61" s="5">
        <f>IF($E61&gt;=CJ$2,VLOOKUP($E61-CJ$2,'data input'!$D$3:$E$130,2,FALSE),0)</f>
        <v>0</v>
      </c>
      <c r="CK61" s="5">
        <f>IF($E61&gt;=CK$2,VLOOKUP($E61-CK$2,'data input'!$D$3:$E$130,2,FALSE),0)</f>
        <v>0</v>
      </c>
      <c r="CL61" s="5">
        <f>IF($E61&gt;=CL$2,VLOOKUP($E61-CL$2,'data input'!$D$3:$E$130,2,FALSE),0)</f>
        <v>0</v>
      </c>
      <c r="CM61" s="5">
        <f>IF($E61&gt;=CM$2,VLOOKUP($E61-CM$2,'data input'!$D$3:$E$130,2,FALSE),0)</f>
        <v>0</v>
      </c>
      <c r="CN61" s="5">
        <f>IF($E61&gt;=CN$2,VLOOKUP($E61-CN$2,'data input'!$D$3:$E$130,2,FALSE),0)</f>
        <v>0</v>
      </c>
      <c r="CO61" s="5">
        <f>IF($E61&gt;=CO$2,VLOOKUP($E61-CO$2,'data input'!$D$3:$E$130,2,FALSE),0)</f>
        <v>0</v>
      </c>
      <c r="CP61" s="5">
        <f>IF($E61&gt;=CP$2,VLOOKUP($E61-CP$2,'data input'!$D$3:$E$130,2,FALSE),0)</f>
        <v>0</v>
      </c>
      <c r="CQ61" s="5">
        <f>IF($E61&gt;=CQ$2,VLOOKUP($E61-CQ$2,'data input'!$D$3:$E$130,2,FALSE),0)</f>
        <v>0</v>
      </c>
      <c r="CR61" s="5">
        <f>IF($E61&gt;=CR$2,VLOOKUP($E61-CR$2,'data input'!$D$3:$E$130,2,FALSE),0)</f>
        <v>0</v>
      </c>
      <c r="CS61" s="5">
        <f>IF($E61&gt;=CS$2,VLOOKUP($E61-CS$2,'data input'!$D$3:$E$130,2,FALSE),0)</f>
        <v>0</v>
      </c>
      <c r="CT61" s="5">
        <f>IF($E61&gt;=CT$2,VLOOKUP($E61-CT$2,'data input'!$D$3:$E$130,2,FALSE),0)</f>
        <v>0</v>
      </c>
      <c r="CU61" s="5">
        <f>IF($E61&gt;=CU$2,VLOOKUP($E61-CU$2,'data input'!$D$3:$E$130,2,FALSE),0)</f>
        <v>0</v>
      </c>
      <c r="CV61" s="5">
        <f>IF($E61&gt;=CV$2,VLOOKUP($E61-CV$2,'data input'!$D$3:$E$130,2,FALSE),0)</f>
        <v>0</v>
      </c>
      <c r="CW61" s="5">
        <f>IF($E61&gt;=CW$2,VLOOKUP($E61-CW$2,'data input'!$D$3:$E$130,2,FALSE),0)</f>
        <v>0</v>
      </c>
      <c r="CX61" s="5">
        <f>IF($E61&gt;=CX$2,VLOOKUP($E61-CX$2,'data input'!$D$3:$E$130,2,FALSE),0)</f>
        <v>0</v>
      </c>
      <c r="CY61" s="5">
        <f>IF($E61&gt;=CY$2,VLOOKUP($E61-CY$2,'data input'!$D$3:$E$130,2,FALSE),0)</f>
        <v>0</v>
      </c>
      <c r="CZ61" s="5">
        <f>IF($E61&gt;=CZ$2,VLOOKUP($E61-CZ$2,'data input'!$D$3:$E$130,2,FALSE),0)</f>
        <v>0</v>
      </c>
      <c r="DA61" s="5">
        <f>IF($E61&gt;=DA$2,VLOOKUP($E61-DA$2,'data input'!$D$3:$E$130,2,FALSE),0)</f>
        <v>0</v>
      </c>
      <c r="DB61" s="5">
        <f>IF($E61&gt;=DB$2,VLOOKUP($E61-DB$2,'data input'!$D$3:$E$130,2,FALSE),0)</f>
        <v>0</v>
      </c>
      <c r="DC61" s="5">
        <f>IF($E61&gt;=DC$2,VLOOKUP($E61-DC$2,'data input'!$D$3:$E$130,2,FALSE),0)</f>
        <v>0</v>
      </c>
      <c r="DD61" s="5">
        <f>IF($E61&gt;=DD$2,VLOOKUP($E61-DD$2,'data input'!$D$3:$E$130,2,FALSE),0)</f>
        <v>0</v>
      </c>
      <c r="DE61" s="5">
        <f>IF($E61&gt;=DE$2,VLOOKUP($E61-DE$2,'data input'!$D$3:$E$130,2,FALSE),0)</f>
        <v>0</v>
      </c>
      <c r="DF61" s="5">
        <f>IF($E61&gt;=DF$2,VLOOKUP($E61-DF$2,'data input'!$D$3:$E$130,2,FALSE),0)</f>
        <v>0</v>
      </c>
      <c r="DG61" s="5">
        <f>IF($E61&gt;=DG$2,VLOOKUP($E61-DG$2,'data input'!$D$3:$E$130,2,FALSE),0)</f>
        <v>0</v>
      </c>
      <c r="DH61" s="5">
        <f>IF($E61&gt;=DH$2,VLOOKUP($E61-DH$2,'data input'!$D$3:$E$130,2,FALSE),0)</f>
        <v>0</v>
      </c>
      <c r="DI61" s="5">
        <f>IF($E61&gt;=DI$2,VLOOKUP($E61-DI$2,'data input'!$D$3:$E$130,2,FALSE),0)</f>
        <v>0</v>
      </c>
      <c r="DJ61" s="5">
        <f>IF($E61&gt;=DJ$2,VLOOKUP($E61-DJ$2,'data input'!$D$3:$E$130,2,FALSE),0)</f>
        <v>0</v>
      </c>
      <c r="DK61" s="5">
        <f>IF($E61&gt;=DK$2,VLOOKUP($E61-DK$2,'data input'!$D$3:$E$130,2,FALSE),0)</f>
        <v>0</v>
      </c>
      <c r="DL61" s="5">
        <f>IF($E61&gt;=DL$2,VLOOKUP($E61-DL$2,'data input'!$D$3:$E$130,2,FALSE),0)</f>
        <v>0</v>
      </c>
      <c r="DM61" s="5">
        <f>IF($E61&gt;=DM$2,VLOOKUP($E61-DM$2,'data input'!$D$3:$E$130,2,FALSE),0)</f>
        <v>0</v>
      </c>
      <c r="DN61" s="5">
        <f>IF($E61&gt;=DN$2,VLOOKUP($E61-DN$2,'data input'!$D$3:$E$130,2,FALSE),0)</f>
        <v>0</v>
      </c>
      <c r="DO61" s="5">
        <f>IF($E61&gt;=DO$2,VLOOKUP($E61-DO$2,'data input'!$D$3:$E$130,2,FALSE),0)</f>
        <v>0</v>
      </c>
      <c r="DP61" s="5">
        <f>IF($E61&gt;=DP$2,VLOOKUP($E61-DP$2,'data input'!$D$3:$E$130,2,FALSE),0)</f>
        <v>0</v>
      </c>
      <c r="DQ61" s="5">
        <f>IF($E61&gt;=DQ$2,VLOOKUP($E61-DQ$2,'data input'!$D$3:$E$130,2,FALSE),0)</f>
        <v>0</v>
      </c>
      <c r="DR61" s="5">
        <f>IF($E61&gt;=DR$2,VLOOKUP($E61-DR$2,'data input'!$D$3:$E$130,2,FALSE),0)</f>
        <v>0</v>
      </c>
      <c r="DS61" s="5">
        <f>IF($E61&gt;=DS$2,VLOOKUP($E61-DS$2,'data input'!$D$3:$E$130,2,FALSE),0)</f>
        <v>0</v>
      </c>
      <c r="DT61" s="5">
        <f>IF($E61&gt;=DT$2,VLOOKUP($E61-DT$2,'data input'!$D$3:$E$130,2,FALSE),0)</f>
        <v>0</v>
      </c>
      <c r="DU61" s="5">
        <f>IF($E61&gt;=DU$2,VLOOKUP($E61-DU$2,'data input'!$D$3:$E$130,2,FALSE),0)</f>
        <v>0</v>
      </c>
      <c r="DV61" s="5">
        <f>IF($E61&gt;=DV$2,VLOOKUP($E61-DV$2,'data input'!$D$3:$E$130,2,FALSE),0)</f>
        <v>0</v>
      </c>
      <c r="DW61" s="5">
        <f>IF($E61&gt;=DW$2,VLOOKUP($E61-DW$2,'data input'!$D$3:$E$130,2,FALSE),0)</f>
        <v>0</v>
      </c>
      <c r="DX61" s="5">
        <f>IF($E61&gt;=DX$2,VLOOKUP($E61-DX$2,'data input'!$D$3:$E$130,2,FALSE),0)</f>
        <v>0</v>
      </c>
      <c r="DY61" s="5">
        <f>IF($E61&gt;=DY$2,VLOOKUP($E61-DY$2,'data input'!$D$3:$E$130,2,FALSE),0)</f>
        <v>0</v>
      </c>
      <c r="DZ61" s="5">
        <f>IF($E61&gt;=DZ$2,VLOOKUP($E61-DZ$2,'data input'!$D$3:$E$130,2,FALSE),0)</f>
        <v>0</v>
      </c>
      <c r="EA61" s="5">
        <f>IF($E61&gt;=EA$2,VLOOKUP($E61-EA$2,'data input'!$D$3:$E$130,2,FALSE),0)</f>
        <v>0</v>
      </c>
      <c r="EB61" s="5">
        <f>IF($E61&gt;=EB$2,VLOOKUP($E61-EB$2,'data input'!$D$3:$E$130,2,FALSE),0)</f>
        <v>0</v>
      </c>
      <c r="EC61" s="5">
        <f>IF($E61&gt;=EC$2,VLOOKUP($E61-EC$2,'data input'!$D$3:$E$130,2,FALSE),0)</f>
        <v>0</v>
      </c>
    </row>
    <row r="62" spans="5:133">
      <c r="E62" s="7">
        <f>'data input'!B62</f>
        <v>1937</v>
      </c>
      <c r="F62" s="5">
        <f>IF($E62&gt;=F$2,VLOOKUP($E62-F$2,'data input'!$D$3:$E$130,2,FALSE),0)</f>
        <v>7.707860055207183E-2</v>
      </c>
      <c r="G62" s="5">
        <f>IF($E62&gt;=G$2,VLOOKUP($E62-G$2,'data input'!$D$3:$E$130,2,FALSE),0)</f>
        <v>8.8507991437402067E-2</v>
      </c>
      <c r="H62" s="5">
        <f>IF($E62&gt;=H$2,VLOOKUP($E62-H$2,'data input'!$D$3:$E$130,2,FALSE),0)</f>
        <v>0.10115462099558592</v>
      </c>
      <c r="I62" s="5">
        <f>IF($E62&gt;=I$2,VLOOKUP($E62-I$2,'data input'!$D$3:$E$130,2,FALSE),0)</f>
        <v>0.11506967022170822</v>
      </c>
      <c r="J62" s="5">
        <f>IF($E62&gt;=J$2,VLOOKUP($E62-J$2,'data input'!$D$3:$E$130,2,FALSE),0)</f>
        <v>0.13029451713680884</v>
      </c>
      <c r="K62" s="5">
        <f>IF($E62&gt;=K$2,VLOOKUP($E62-K$2,'data input'!$D$3:$E$130,2,FALSE),0)</f>
        <v>0.14685905637589591</v>
      </c>
      <c r="L62" s="5">
        <f>IF($E62&gt;=L$2,VLOOKUP($E62-L$2,'data input'!$D$3:$E$130,2,FALSE),0)</f>
        <v>0.16478012998031033</v>
      </c>
      <c r="M62" s="5">
        <f>IF($E62&gt;=M$2,VLOOKUP($E62-M$2,'data input'!$D$3:$E$130,2,FALSE),0)</f>
        <v>0.18406012534675953</v>
      </c>
      <c r="N62" s="5">
        <f>IF($E62&gt;=N$2,VLOOKUP($E62-N$2,'data input'!$D$3:$E$130,2,FALSE),0)</f>
        <v>0.20468579534725262</v>
      </c>
      <c r="O62" s="5">
        <f>IF($E62&gt;=O$2,VLOOKUP($E62-O$2,'data input'!$D$3:$E$130,2,FALSE),0)</f>
        <v>0.22662735237686826</v>
      </c>
      <c r="P62" s="5">
        <f>IF($E62&gt;=P$2,VLOOKUP($E62-P$2,'data input'!$D$3:$E$130,2,FALSE),0)</f>
        <v>0.24983788247177696</v>
      </c>
      <c r="Q62" s="5">
        <f>IF($E62&gt;=Q$2,VLOOKUP($E62-Q$2,'data input'!$D$3:$E$130,2,FALSE),0)</f>
        <v>0.27425311775007355</v>
      </c>
      <c r="R62" s="5">
        <f>IF($E62&gt;=R$2,VLOOKUP($E62-R$2,'data input'!$D$3:$E$130,2,FALSE),0)</f>
        <v>0.29979159546869583</v>
      </c>
      <c r="S62" s="5">
        <f>IF($E62&gt;=S$2,VLOOKUP($E62-S$2,'data input'!$D$3:$E$130,2,FALSE),0)</f>
        <v>0.32635522028792008</v>
      </c>
      <c r="T62" s="5">
        <f>IF($E62&gt;=T$2,VLOOKUP($E62-T$2,'data input'!$D$3:$E$130,2,FALSE),0)</f>
        <v>0.35383023332727614</v>
      </c>
      <c r="U62" s="5">
        <f>IF($E62&gt;=U$2,VLOOKUP($E62-U$2,'data input'!$D$3:$E$130,2,FALSE),0)</f>
        <v>0.38208857781104733</v>
      </c>
      <c r="V62" s="5">
        <f>IF($E62&gt;=V$2,VLOOKUP($E62-V$2,'data input'!$D$3:$E$130,2,FALSE),0)</f>
        <v>0.41098963713127035</v>
      </c>
      <c r="W62" s="5">
        <f>IF($E62&gt;=W$2,VLOOKUP($E62-W$2,'data input'!$D$3:$E$130,2,FALSE),0)</f>
        <v>0.4403823076297575</v>
      </c>
      <c r="X62" s="5">
        <f>IF($E62&gt;=X$2,VLOOKUP($E62-X$2,'data input'!$D$3:$E$130,2,FALSE),0)</f>
        <v>0.47010735594710518</v>
      </c>
      <c r="Y62" s="5">
        <f>IF($E62&gt;=Y$2,VLOOKUP($E62-Y$2,'data input'!$D$3:$E$130,2,FALSE),0)</f>
        <v>0.5</v>
      </c>
      <c r="Z62" s="5">
        <f>IF($E62&gt;=Z$2,VLOOKUP($E62-Z$2,'data input'!$D$3:$E$130,2,FALSE),0)</f>
        <v>0.52989264405289482</v>
      </c>
      <c r="AA62" s="5">
        <f>IF($E62&gt;=AA$2,VLOOKUP($E62-AA$2,'data input'!$D$3:$E$130,2,FALSE),0)</f>
        <v>0.5596176923702425</v>
      </c>
      <c r="AB62" s="5">
        <f>IF($E62&gt;=AB$2,VLOOKUP($E62-AB$2,'data input'!$D$3:$E$130,2,FALSE),0)</f>
        <v>0.58901036286872965</v>
      </c>
      <c r="AC62" s="5">
        <f>IF($E62&gt;=AC$2,VLOOKUP($E62-AC$2,'data input'!$D$3:$E$130,2,FALSE),0)</f>
        <v>0.61791142218895267</v>
      </c>
      <c r="AD62" s="5">
        <f>IF($E62&gt;=AD$2,VLOOKUP($E62-AD$2,'data input'!$D$3:$E$130,2,FALSE),0)</f>
        <v>0.64616976667272386</v>
      </c>
      <c r="AE62" s="5">
        <f>IF($E62&gt;=AE$2,VLOOKUP($E62-AE$2,'data input'!$D$3:$E$130,2,FALSE),0)</f>
        <v>0.67364477971207992</v>
      </c>
      <c r="AF62" s="5">
        <f>IF($E62&gt;=AF$2,VLOOKUP($E62-AF$2,'data input'!$D$3:$E$130,2,FALSE),0)</f>
        <v>0.70020840453130417</v>
      </c>
      <c r="AG62" s="5">
        <f>IF($E62&gt;=AG$2,VLOOKUP($E62-AG$2,'data input'!$D$3:$E$130,2,FALSE),0)</f>
        <v>0.72574688224992645</v>
      </c>
      <c r="AH62" s="5">
        <f>IF($E62&gt;=AH$2,VLOOKUP($E62-AH$2,'data input'!$D$3:$E$130,2,FALSE),0)</f>
        <v>0.75016211752822304</v>
      </c>
      <c r="AI62" s="5">
        <f>IF($E62&gt;=AI$2,VLOOKUP($E62-AI$2,'data input'!$D$3:$E$130,2,FALSE),0)</f>
        <v>0.77337264762313174</v>
      </c>
      <c r="AJ62" s="5">
        <f>IF($E62&gt;=AJ$2,VLOOKUP($E62-AJ$2,'data input'!$D$3:$E$130,2,FALSE),0)</f>
        <v>0.79531420465274738</v>
      </c>
      <c r="AK62" s="5">
        <f>IF($E62&gt;=AK$2,VLOOKUP($E62-AK$2,'data input'!$D$3:$E$130,2,FALSE),0)</f>
        <v>0.81593987465324047</v>
      </c>
      <c r="AL62" s="5">
        <f>IF($E62&gt;=AL$2,VLOOKUP($E62-AL$2,'data input'!$D$3:$E$130,2,FALSE),0)</f>
        <v>0.83521987001968967</v>
      </c>
      <c r="AM62" s="5">
        <f>IF($E62&gt;=AM$2,VLOOKUP($E62-AM$2,'data input'!$D$3:$E$130,2,FALSE),0)</f>
        <v>0.85314094362410409</v>
      </c>
      <c r="AN62" s="5">
        <f>IF($E62&gt;=AN$2,VLOOKUP($E62-AN$2,'data input'!$D$3:$E$130,2,FALSE),0)</f>
        <v>0.86970548286319116</v>
      </c>
      <c r="AO62" s="5">
        <f>IF($E62&gt;=AO$2,VLOOKUP($E62-AO$2,'data input'!$D$3:$E$130,2,FALSE),0)</f>
        <v>0.88493032977829178</v>
      </c>
      <c r="AP62" s="5">
        <f>IF($E62&gt;=AP$2,VLOOKUP($E62-AP$2,'data input'!$D$3:$E$130,2,FALSE),0)</f>
        <v>0.89884537900441408</v>
      </c>
      <c r="AQ62" s="5">
        <f>IF($E62&gt;=AQ$2,VLOOKUP($E62-AQ$2,'data input'!$D$3:$E$130,2,FALSE),0)</f>
        <v>0.91149200856259793</v>
      </c>
      <c r="AR62" s="5">
        <f>IF($E62&gt;=AR$2,VLOOKUP($E62-AR$2,'data input'!$D$3:$E$130,2,FALSE),0)</f>
        <v>0.92292139944792817</v>
      </c>
      <c r="AS62" s="5">
        <f>IF($E62&gt;=AS$2,VLOOKUP($E62-AS$2,'data input'!$D$3:$E$130,2,FALSE),0)</f>
        <v>0.93319279873114191</v>
      </c>
      <c r="AT62" s="5">
        <f>IF($E62&gt;=AT$2,VLOOKUP($E62-AT$2,'data input'!$D$3:$E$130,2,FALSE),0)</f>
        <v>0.94237177772384684</v>
      </c>
      <c r="AU62" s="5">
        <f>IF($E62&gt;=AU$2,VLOOKUP($E62-AU$2,'data input'!$D$3:$E$130,2,FALSE),0)</f>
        <v>0.9505285319663519</v>
      </c>
      <c r="AV62" s="5">
        <f>IF($E62&gt;=AV$2,VLOOKUP($E62-AV$2,'data input'!$D$3:$E$130,2,FALSE),0)</f>
        <v>0.95773626374204757</v>
      </c>
      <c r="AW62" s="5">
        <f>IF($E62&gt;=AW$2,VLOOKUP($E62-AW$2,'data input'!$D$3:$E$130,2,FALSE),0)</f>
        <v>0.96406968088707423</v>
      </c>
      <c r="AX62" s="5">
        <f>IF($E62&gt;=AX$2,VLOOKUP($E62-AX$2,'data input'!$D$3:$E$130,2,FALSE),0)</f>
        <v>0.96960363823473861</v>
      </c>
      <c r="AY62" s="5">
        <f>IF($E62&gt;=AY$2,VLOOKUP($E62-AY$2,'data input'!$D$3:$E$130,2,FALSE),0)</f>
        <v>0.97441194047836144</v>
      </c>
      <c r="AZ62" s="5">
        <f>IF($E62&gt;=AZ$2,VLOOKUP($E62-AZ$2,'data input'!$D$3:$E$130,2,FALSE),0)</f>
        <v>0.97856631788584703</v>
      </c>
      <c r="BA62" s="5">
        <f>IF($E62&gt;=BA$2,VLOOKUP($E62-BA$2,'data input'!$D$3:$E$130,2,FALSE),0)</f>
        <v>0.98213557943718344</v>
      </c>
      <c r="BB62" s="5">
        <f>IF($E62&gt;=BB$2,VLOOKUP($E62-BB$2,'data input'!$D$3:$E$130,2,FALSE),0)</f>
        <v>0.98518494180739014</v>
      </c>
      <c r="BC62" s="5">
        <f>IF($E62&gt;=BC$2,VLOOKUP($E62-BC$2,'data input'!$D$3:$E$130,2,FALSE),0)</f>
        <v>0.98777552734495533</v>
      </c>
      <c r="BD62" s="5">
        <f>IF($E62&gt;=BD$2,VLOOKUP($E62-BD$2,'data input'!$D$3:$E$130,2,FALSE),0)</f>
        <v>0.98996401989972593</v>
      </c>
      <c r="BE62" s="5">
        <f>IF($E62&gt;=BE$2,VLOOKUP($E62-BE$2,'data input'!$D$3:$E$130,2,FALSE),0)</f>
        <v>0.99180246407540384</v>
      </c>
      <c r="BF62" s="5">
        <f>IF($E62&gt;=BF$2,VLOOKUP($E62-BF$2,'data input'!$D$3:$E$130,2,FALSE),0)</f>
        <v>0.99333819120801725</v>
      </c>
      <c r="BG62" s="5">
        <f>IF($E62&gt;=BG$2,VLOOKUP($E62-BG$2,'data input'!$D$3:$E$130,2,FALSE),0)</f>
        <v>0.99461385404593328</v>
      </c>
      <c r="BH62" s="5">
        <f>IF($E62&gt;=BH$2,VLOOKUP($E62-BH$2,'data input'!$D$3:$E$130,2,FALSE),0)</f>
        <v>0.99566755163698739</v>
      </c>
      <c r="BI62" s="5">
        <f>IF($E62&gt;=BI$2,VLOOKUP($E62-BI$2,'data input'!$D$3:$E$130,2,FALSE),0)</f>
        <v>0.99653302619695938</v>
      </c>
      <c r="BJ62" s="5">
        <f>IF($E62&gt;=BJ$2,VLOOKUP($E62-BJ$2,'data input'!$D$3:$E$130,2,FALSE),0)</f>
        <v>0.99723991460873751</v>
      </c>
      <c r="BK62" s="5">
        <f>IF($E62&gt;=BK$2,VLOOKUP($E62-BK$2,'data input'!$D$3:$E$130,2,FALSE),0)</f>
        <v>0.99781403854508677</v>
      </c>
      <c r="BL62" s="5">
        <f>IF($E62&gt;=BL$2,VLOOKUP($E62-BL$2,'data input'!$D$3:$E$130,2,FALSE),0)</f>
        <v>0.99827771888413241</v>
      </c>
      <c r="BM62" s="5">
        <f>IF($E62&gt;=BM$2,VLOOKUP($E62-BM$2,'data input'!$D$3:$E$130,2,FALSE),0)</f>
        <v>0.9986501019683699</v>
      </c>
      <c r="BN62" s="5">
        <f>IF($E62&gt;=BN$2,VLOOKUP($E62-BN$2,'data input'!$D$3:$E$130,2,FALSE),0)</f>
        <v>0</v>
      </c>
      <c r="BO62" s="5">
        <f>IF($E62&gt;=BO$2,VLOOKUP($E62-BO$2,'data input'!$D$3:$E$130,2,FALSE),0)</f>
        <v>0</v>
      </c>
      <c r="BP62" s="5">
        <f>IF($E62&gt;=BP$2,VLOOKUP($E62-BP$2,'data input'!$D$3:$E$130,2,FALSE),0)</f>
        <v>0</v>
      </c>
      <c r="BQ62" s="5">
        <f>IF($E62&gt;=BQ$2,VLOOKUP($E62-BQ$2,'data input'!$D$3:$E$130,2,FALSE),0)</f>
        <v>0</v>
      </c>
      <c r="BR62" s="5">
        <f>IF($E62&gt;=BR$2,VLOOKUP($E62-BR$2,'data input'!$D$3:$E$130,2,FALSE),0)</f>
        <v>0</v>
      </c>
      <c r="BS62" s="5">
        <f>IF($E62&gt;=BS$2,VLOOKUP($E62-BS$2,'data input'!$D$3:$E$130,2,FALSE),0)</f>
        <v>0</v>
      </c>
      <c r="BT62" s="5">
        <f>IF($E62&gt;=BT$2,VLOOKUP($E62-BT$2,'data input'!$D$3:$E$130,2,FALSE),0)</f>
        <v>0</v>
      </c>
      <c r="BU62" s="5">
        <f>IF($E62&gt;=BU$2,VLOOKUP($E62-BU$2,'data input'!$D$3:$E$130,2,FALSE),0)</f>
        <v>0</v>
      </c>
      <c r="BV62" s="5">
        <f>IF($E62&gt;=BV$2,VLOOKUP($E62-BV$2,'data input'!$D$3:$E$130,2,FALSE),0)</f>
        <v>0</v>
      </c>
      <c r="BW62" s="5">
        <f>IF($E62&gt;=BW$2,VLOOKUP($E62-BW$2,'data input'!$D$3:$E$130,2,FALSE),0)</f>
        <v>0</v>
      </c>
      <c r="BX62" s="5">
        <f>IF($E62&gt;=BX$2,VLOOKUP($E62-BX$2,'data input'!$D$3:$E$130,2,FALSE),0)</f>
        <v>0</v>
      </c>
      <c r="BY62" s="5">
        <f>IF($E62&gt;=BY$2,VLOOKUP($E62-BY$2,'data input'!$D$3:$E$130,2,FALSE),0)</f>
        <v>0</v>
      </c>
      <c r="BZ62" s="5">
        <f>IF($E62&gt;=BZ$2,VLOOKUP($E62-BZ$2,'data input'!$D$3:$E$130,2,FALSE),0)</f>
        <v>0</v>
      </c>
      <c r="CA62" s="5">
        <f>IF($E62&gt;=CA$2,VLOOKUP($E62-CA$2,'data input'!$D$3:$E$130,2,FALSE),0)</f>
        <v>0</v>
      </c>
      <c r="CB62" s="5">
        <f>IF($E62&gt;=CB$2,VLOOKUP($E62-CB$2,'data input'!$D$3:$E$130,2,FALSE),0)</f>
        <v>0</v>
      </c>
      <c r="CC62" s="5">
        <f>IF($E62&gt;=CC$2,VLOOKUP($E62-CC$2,'data input'!$D$3:$E$130,2,FALSE),0)</f>
        <v>0</v>
      </c>
      <c r="CD62" s="5">
        <f>IF($E62&gt;=CD$2,VLOOKUP($E62-CD$2,'data input'!$D$3:$E$130,2,FALSE),0)</f>
        <v>0</v>
      </c>
      <c r="CE62" s="5">
        <f>IF($E62&gt;=CE$2,VLOOKUP($E62-CE$2,'data input'!$D$3:$E$130,2,FALSE),0)</f>
        <v>0</v>
      </c>
      <c r="CF62" s="5">
        <f>IF($E62&gt;=CF$2,VLOOKUP($E62-CF$2,'data input'!$D$3:$E$130,2,FALSE),0)</f>
        <v>0</v>
      </c>
      <c r="CG62" s="5">
        <f>IF($E62&gt;=CG$2,VLOOKUP($E62-CG$2,'data input'!$D$3:$E$130,2,FALSE),0)</f>
        <v>0</v>
      </c>
      <c r="CH62" s="5">
        <f>IF($E62&gt;=CH$2,VLOOKUP($E62-CH$2,'data input'!$D$3:$E$130,2,FALSE),0)</f>
        <v>0</v>
      </c>
      <c r="CI62" s="5">
        <f>IF($E62&gt;=CI$2,VLOOKUP($E62-CI$2,'data input'!$D$3:$E$130,2,FALSE),0)</f>
        <v>0</v>
      </c>
      <c r="CJ62" s="5">
        <f>IF($E62&gt;=CJ$2,VLOOKUP($E62-CJ$2,'data input'!$D$3:$E$130,2,FALSE),0)</f>
        <v>0</v>
      </c>
      <c r="CK62" s="5">
        <f>IF($E62&gt;=CK$2,VLOOKUP($E62-CK$2,'data input'!$D$3:$E$130,2,FALSE),0)</f>
        <v>0</v>
      </c>
      <c r="CL62" s="5">
        <f>IF($E62&gt;=CL$2,VLOOKUP($E62-CL$2,'data input'!$D$3:$E$130,2,FALSE),0)</f>
        <v>0</v>
      </c>
      <c r="CM62" s="5">
        <f>IF($E62&gt;=CM$2,VLOOKUP($E62-CM$2,'data input'!$D$3:$E$130,2,FALSE),0)</f>
        <v>0</v>
      </c>
      <c r="CN62" s="5">
        <f>IF($E62&gt;=CN$2,VLOOKUP($E62-CN$2,'data input'!$D$3:$E$130,2,FALSE),0)</f>
        <v>0</v>
      </c>
      <c r="CO62" s="5">
        <f>IF($E62&gt;=CO$2,VLOOKUP($E62-CO$2,'data input'!$D$3:$E$130,2,FALSE),0)</f>
        <v>0</v>
      </c>
      <c r="CP62" s="5">
        <f>IF($E62&gt;=CP$2,VLOOKUP($E62-CP$2,'data input'!$D$3:$E$130,2,FALSE),0)</f>
        <v>0</v>
      </c>
      <c r="CQ62" s="5">
        <f>IF($E62&gt;=CQ$2,VLOOKUP($E62-CQ$2,'data input'!$D$3:$E$130,2,FALSE),0)</f>
        <v>0</v>
      </c>
      <c r="CR62" s="5">
        <f>IF($E62&gt;=CR$2,VLOOKUP($E62-CR$2,'data input'!$D$3:$E$130,2,FALSE),0)</f>
        <v>0</v>
      </c>
      <c r="CS62" s="5">
        <f>IF($E62&gt;=CS$2,VLOOKUP($E62-CS$2,'data input'!$D$3:$E$130,2,FALSE),0)</f>
        <v>0</v>
      </c>
      <c r="CT62" s="5">
        <f>IF($E62&gt;=CT$2,VLOOKUP($E62-CT$2,'data input'!$D$3:$E$130,2,FALSE),0)</f>
        <v>0</v>
      </c>
      <c r="CU62" s="5">
        <f>IF($E62&gt;=CU$2,VLOOKUP($E62-CU$2,'data input'!$D$3:$E$130,2,FALSE),0)</f>
        <v>0</v>
      </c>
      <c r="CV62" s="5">
        <f>IF($E62&gt;=CV$2,VLOOKUP($E62-CV$2,'data input'!$D$3:$E$130,2,FALSE),0)</f>
        <v>0</v>
      </c>
      <c r="CW62" s="5">
        <f>IF($E62&gt;=CW$2,VLOOKUP($E62-CW$2,'data input'!$D$3:$E$130,2,FALSE),0)</f>
        <v>0</v>
      </c>
      <c r="CX62" s="5">
        <f>IF($E62&gt;=CX$2,VLOOKUP($E62-CX$2,'data input'!$D$3:$E$130,2,FALSE),0)</f>
        <v>0</v>
      </c>
      <c r="CY62" s="5">
        <f>IF($E62&gt;=CY$2,VLOOKUP($E62-CY$2,'data input'!$D$3:$E$130,2,FALSE),0)</f>
        <v>0</v>
      </c>
      <c r="CZ62" s="5">
        <f>IF($E62&gt;=CZ$2,VLOOKUP($E62-CZ$2,'data input'!$D$3:$E$130,2,FALSE),0)</f>
        <v>0</v>
      </c>
      <c r="DA62" s="5">
        <f>IF($E62&gt;=DA$2,VLOOKUP($E62-DA$2,'data input'!$D$3:$E$130,2,FALSE),0)</f>
        <v>0</v>
      </c>
      <c r="DB62" s="5">
        <f>IF($E62&gt;=DB$2,VLOOKUP($E62-DB$2,'data input'!$D$3:$E$130,2,FALSE),0)</f>
        <v>0</v>
      </c>
      <c r="DC62" s="5">
        <f>IF($E62&gt;=DC$2,VLOOKUP($E62-DC$2,'data input'!$D$3:$E$130,2,FALSE),0)</f>
        <v>0</v>
      </c>
      <c r="DD62" s="5">
        <f>IF($E62&gt;=DD$2,VLOOKUP($E62-DD$2,'data input'!$D$3:$E$130,2,FALSE),0)</f>
        <v>0</v>
      </c>
      <c r="DE62" s="5">
        <f>IF($E62&gt;=DE$2,VLOOKUP($E62-DE$2,'data input'!$D$3:$E$130,2,FALSE),0)</f>
        <v>0</v>
      </c>
      <c r="DF62" s="5">
        <f>IF($E62&gt;=DF$2,VLOOKUP($E62-DF$2,'data input'!$D$3:$E$130,2,FALSE),0)</f>
        <v>0</v>
      </c>
      <c r="DG62" s="5">
        <f>IF($E62&gt;=DG$2,VLOOKUP($E62-DG$2,'data input'!$D$3:$E$130,2,FALSE),0)</f>
        <v>0</v>
      </c>
      <c r="DH62" s="5">
        <f>IF($E62&gt;=DH$2,VLOOKUP($E62-DH$2,'data input'!$D$3:$E$130,2,FALSE),0)</f>
        <v>0</v>
      </c>
      <c r="DI62" s="5">
        <f>IF($E62&gt;=DI$2,VLOOKUP($E62-DI$2,'data input'!$D$3:$E$130,2,FALSE),0)</f>
        <v>0</v>
      </c>
      <c r="DJ62" s="5">
        <f>IF($E62&gt;=DJ$2,VLOOKUP($E62-DJ$2,'data input'!$D$3:$E$130,2,FALSE),0)</f>
        <v>0</v>
      </c>
      <c r="DK62" s="5">
        <f>IF($E62&gt;=DK$2,VLOOKUP($E62-DK$2,'data input'!$D$3:$E$130,2,FALSE),0)</f>
        <v>0</v>
      </c>
      <c r="DL62" s="5">
        <f>IF($E62&gt;=DL$2,VLOOKUP($E62-DL$2,'data input'!$D$3:$E$130,2,FALSE),0)</f>
        <v>0</v>
      </c>
      <c r="DM62" s="5">
        <f>IF($E62&gt;=DM$2,VLOOKUP($E62-DM$2,'data input'!$D$3:$E$130,2,FALSE),0)</f>
        <v>0</v>
      </c>
      <c r="DN62" s="5">
        <f>IF($E62&gt;=DN$2,VLOOKUP($E62-DN$2,'data input'!$D$3:$E$130,2,FALSE),0)</f>
        <v>0</v>
      </c>
      <c r="DO62" s="5">
        <f>IF($E62&gt;=DO$2,VLOOKUP($E62-DO$2,'data input'!$D$3:$E$130,2,FALSE),0)</f>
        <v>0</v>
      </c>
      <c r="DP62" s="5">
        <f>IF($E62&gt;=DP$2,VLOOKUP($E62-DP$2,'data input'!$D$3:$E$130,2,FALSE),0)</f>
        <v>0</v>
      </c>
      <c r="DQ62" s="5">
        <f>IF($E62&gt;=DQ$2,VLOOKUP($E62-DQ$2,'data input'!$D$3:$E$130,2,FALSE),0)</f>
        <v>0</v>
      </c>
      <c r="DR62" s="5">
        <f>IF($E62&gt;=DR$2,VLOOKUP($E62-DR$2,'data input'!$D$3:$E$130,2,FALSE),0)</f>
        <v>0</v>
      </c>
      <c r="DS62" s="5">
        <f>IF($E62&gt;=DS$2,VLOOKUP($E62-DS$2,'data input'!$D$3:$E$130,2,FALSE),0)</f>
        <v>0</v>
      </c>
      <c r="DT62" s="5">
        <f>IF($E62&gt;=DT$2,VLOOKUP($E62-DT$2,'data input'!$D$3:$E$130,2,FALSE),0)</f>
        <v>0</v>
      </c>
      <c r="DU62" s="5">
        <f>IF($E62&gt;=DU$2,VLOOKUP($E62-DU$2,'data input'!$D$3:$E$130,2,FALSE),0)</f>
        <v>0</v>
      </c>
      <c r="DV62" s="5">
        <f>IF($E62&gt;=DV$2,VLOOKUP($E62-DV$2,'data input'!$D$3:$E$130,2,FALSE),0)</f>
        <v>0</v>
      </c>
      <c r="DW62" s="5">
        <f>IF($E62&gt;=DW$2,VLOOKUP($E62-DW$2,'data input'!$D$3:$E$130,2,FALSE),0)</f>
        <v>0</v>
      </c>
      <c r="DX62" s="5">
        <f>IF($E62&gt;=DX$2,VLOOKUP($E62-DX$2,'data input'!$D$3:$E$130,2,FALSE),0)</f>
        <v>0</v>
      </c>
      <c r="DY62" s="5">
        <f>IF($E62&gt;=DY$2,VLOOKUP($E62-DY$2,'data input'!$D$3:$E$130,2,FALSE),0)</f>
        <v>0</v>
      </c>
      <c r="DZ62" s="5">
        <f>IF($E62&gt;=DZ$2,VLOOKUP($E62-DZ$2,'data input'!$D$3:$E$130,2,FALSE),0)</f>
        <v>0</v>
      </c>
      <c r="EA62" s="5">
        <f>IF($E62&gt;=EA$2,VLOOKUP($E62-EA$2,'data input'!$D$3:$E$130,2,FALSE),0)</f>
        <v>0</v>
      </c>
      <c r="EB62" s="5">
        <f>IF($E62&gt;=EB$2,VLOOKUP($E62-EB$2,'data input'!$D$3:$E$130,2,FALSE),0)</f>
        <v>0</v>
      </c>
      <c r="EC62" s="5">
        <f>IF($E62&gt;=EC$2,VLOOKUP($E62-EC$2,'data input'!$D$3:$E$130,2,FALSE),0)</f>
        <v>0</v>
      </c>
    </row>
    <row r="63" spans="5:133">
      <c r="E63" s="7">
        <f>'data input'!B63</f>
        <v>1938</v>
      </c>
      <c r="F63" s="5">
        <f>IF($E63&gt;=F$2,VLOOKUP($E63-F$2,'data input'!$D$3:$E$130,2,FALSE),0)</f>
        <v>6.6807201268858085E-2</v>
      </c>
      <c r="G63" s="5">
        <f>IF($E63&gt;=G$2,VLOOKUP($E63-G$2,'data input'!$D$3:$E$130,2,FALSE),0)</f>
        <v>7.707860055207183E-2</v>
      </c>
      <c r="H63" s="5">
        <f>IF($E63&gt;=H$2,VLOOKUP($E63-H$2,'data input'!$D$3:$E$130,2,FALSE),0)</f>
        <v>8.8507991437402067E-2</v>
      </c>
      <c r="I63" s="5">
        <f>IF($E63&gt;=I$2,VLOOKUP($E63-I$2,'data input'!$D$3:$E$130,2,FALSE),0)</f>
        <v>0.10115462099558592</v>
      </c>
      <c r="J63" s="5">
        <f>IF($E63&gt;=J$2,VLOOKUP($E63-J$2,'data input'!$D$3:$E$130,2,FALSE),0)</f>
        <v>0.11506967022170822</v>
      </c>
      <c r="K63" s="5">
        <f>IF($E63&gt;=K$2,VLOOKUP($E63-K$2,'data input'!$D$3:$E$130,2,FALSE),0)</f>
        <v>0.13029451713680884</v>
      </c>
      <c r="L63" s="5">
        <f>IF($E63&gt;=L$2,VLOOKUP($E63-L$2,'data input'!$D$3:$E$130,2,FALSE),0)</f>
        <v>0.14685905637589591</v>
      </c>
      <c r="M63" s="5">
        <f>IF($E63&gt;=M$2,VLOOKUP($E63-M$2,'data input'!$D$3:$E$130,2,FALSE),0)</f>
        <v>0.16478012998031033</v>
      </c>
      <c r="N63" s="5">
        <f>IF($E63&gt;=N$2,VLOOKUP($E63-N$2,'data input'!$D$3:$E$130,2,FALSE),0)</f>
        <v>0.18406012534675953</v>
      </c>
      <c r="O63" s="5">
        <f>IF($E63&gt;=O$2,VLOOKUP($E63-O$2,'data input'!$D$3:$E$130,2,FALSE),0)</f>
        <v>0.20468579534725262</v>
      </c>
      <c r="P63" s="5">
        <f>IF($E63&gt;=P$2,VLOOKUP($E63-P$2,'data input'!$D$3:$E$130,2,FALSE),0)</f>
        <v>0.22662735237686826</v>
      </c>
      <c r="Q63" s="5">
        <f>IF($E63&gt;=Q$2,VLOOKUP($E63-Q$2,'data input'!$D$3:$E$130,2,FALSE),0)</f>
        <v>0.24983788247177696</v>
      </c>
      <c r="R63" s="5">
        <f>IF($E63&gt;=R$2,VLOOKUP($E63-R$2,'data input'!$D$3:$E$130,2,FALSE),0)</f>
        <v>0.27425311775007355</v>
      </c>
      <c r="S63" s="5">
        <f>IF($E63&gt;=S$2,VLOOKUP($E63-S$2,'data input'!$D$3:$E$130,2,FALSE),0)</f>
        <v>0.29979159546869583</v>
      </c>
      <c r="T63" s="5">
        <f>IF($E63&gt;=T$2,VLOOKUP($E63-T$2,'data input'!$D$3:$E$130,2,FALSE),0)</f>
        <v>0.32635522028792008</v>
      </c>
      <c r="U63" s="5">
        <f>IF($E63&gt;=U$2,VLOOKUP($E63-U$2,'data input'!$D$3:$E$130,2,FALSE),0)</f>
        <v>0.35383023332727614</v>
      </c>
      <c r="V63" s="5">
        <f>IF($E63&gt;=V$2,VLOOKUP($E63-V$2,'data input'!$D$3:$E$130,2,FALSE),0)</f>
        <v>0.38208857781104733</v>
      </c>
      <c r="W63" s="5">
        <f>IF($E63&gt;=W$2,VLOOKUP($E63-W$2,'data input'!$D$3:$E$130,2,FALSE),0)</f>
        <v>0.41098963713127035</v>
      </c>
      <c r="X63" s="5">
        <f>IF($E63&gt;=X$2,VLOOKUP($E63-X$2,'data input'!$D$3:$E$130,2,FALSE),0)</f>
        <v>0.4403823076297575</v>
      </c>
      <c r="Y63" s="5">
        <f>IF($E63&gt;=Y$2,VLOOKUP($E63-Y$2,'data input'!$D$3:$E$130,2,FALSE),0)</f>
        <v>0.47010735594710518</v>
      </c>
      <c r="Z63" s="5">
        <f>IF($E63&gt;=Z$2,VLOOKUP($E63-Z$2,'data input'!$D$3:$E$130,2,FALSE),0)</f>
        <v>0.5</v>
      </c>
      <c r="AA63" s="5">
        <f>IF($E63&gt;=AA$2,VLOOKUP($E63-AA$2,'data input'!$D$3:$E$130,2,FALSE),0)</f>
        <v>0.52989264405289482</v>
      </c>
      <c r="AB63" s="5">
        <f>IF($E63&gt;=AB$2,VLOOKUP($E63-AB$2,'data input'!$D$3:$E$130,2,FALSE),0)</f>
        <v>0.5596176923702425</v>
      </c>
      <c r="AC63" s="5">
        <f>IF($E63&gt;=AC$2,VLOOKUP($E63-AC$2,'data input'!$D$3:$E$130,2,FALSE),0)</f>
        <v>0.58901036286872965</v>
      </c>
      <c r="AD63" s="5">
        <f>IF($E63&gt;=AD$2,VLOOKUP($E63-AD$2,'data input'!$D$3:$E$130,2,FALSE),0)</f>
        <v>0.61791142218895267</v>
      </c>
      <c r="AE63" s="5">
        <f>IF($E63&gt;=AE$2,VLOOKUP($E63-AE$2,'data input'!$D$3:$E$130,2,FALSE),0)</f>
        <v>0.64616976667272386</v>
      </c>
      <c r="AF63" s="5">
        <f>IF($E63&gt;=AF$2,VLOOKUP($E63-AF$2,'data input'!$D$3:$E$130,2,FALSE),0)</f>
        <v>0.67364477971207992</v>
      </c>
      <c r="AG63" s="5">
        <f>IF($E63&gt;=AG$2,VLOOKUP($E63-AG$2,'data input'!$D$3:$E$130,2,FALSE),0)</f>
        <v>0.70020840453130417</v>
      </c>
      <c r="AH63" s="5">
        <f>IF($E63&gt;=AH$2,VLOOKUP($E63-AH$2,'data input'!$D$3:$E$130,2,FALSE),0)</f>
        <v>0.72574688224992645</v>
      </c>
      <c r="AI63" s="5">
        <f>IF($E63&gt;=AI$2,VLOOKUP($E63-AI$2,'data input'!$D$3:$E$130,2,FALSE),0)</f>
        <v>0.75016211752822304</v>
      </c>
      <c r="AJ63" s="5">
        <f>IF($E63&gt;=AJ$2,VLOOKUP($E63-AJ$2,'data input'!$D$3:$E$130,2,FALSE),0)</f>
        <v>0.77337264762313174</v>
      </c>
      <c r="AK63" s="5">
        <f>IF($E63&gt;=AK$2,VLOOKUP($E63-AK$2,'data input'!$D$3:$E$130,2,FALSE),0)</f>
        <v>0.79531420465274738</v>
      </c>
      <c r="AL63" s="5">
        <f>IF($E63&gt;=AL$2,VLOOKUP($E63-AL$2,'data input'!$D$3:$E$130,2,FALSE),0)</f>
        <v>0.81593987465324047</v>
      </c>
      <c r="AM63" s="5">
        <f>IF($E63&gt;=AM$2,VLOOKUP($E63-AM$2,'data input'!$D$3:$E$130,2,FALSE),0)</f>
        <v>0.83521987001968967</v>
      </c>
      <c r="AN63" s="5">
        <f>IF($E63&gt;=AN$2,VLOOKUP($E63-AN$2,'data input'!$D$3:$E$130,2,FALSE),0)</f>
        <v>0.85314094362410409</v>
      </c>
      <c r="AO63" s="5">
        <f>IF($E63&gt;=AO$2,VLOOKUP($E63-AO$2,'data input'!$D$3:$E$130,2,FALSE),0)</f>
        <v>0.86970548286319116</v>
      </c>
      <c r="AP63" s="5">
        <f>IF($E63&gt;=AP$2,VLOOKUP($E63-AP$2,'data input'!$D$3:$E$130,2,FALSE),0)</f>
        <v>0.88493032977829178</v>
      </c>
      <c r="AQ63" s="5">
        <f>IF($E63&gt;=AQ$2,VLOOKUP($E63-AQ$2,'data input'!$D$3:$E$130,2,FALSE),0)</f>
        <v>0.89884537900441408</v>
      </c>
      <c r="AR63" s="5">
        <f>IF($E63&gt;=AR$2,VLOOKUP($E63-AR$2,'data input'!$D$3:$E$130,2,FALSE),0)</f>
        <v>0.91149200856259793</v>
      </c>
      <c r="AS63" s="5">
        <f>IF($E63&gt;=AS$2,VLOOKUP($E63-AS$2,'data input'!$D$3:$E$130,2,FALSE),0)</f>
        <v>0.92292139944792817</v>
      </c>
      <c r="AT63" s="5">
        <f>IF($E63&gt;=AT$2,VLOOKUP($E63-AT$2,'data input'!$D$3:$E$130,2,FALSE),0)</f>
        <v>0.93319279873114191</v>
      </c>
      <c r="AU63" s="5">
        <f>IF($E63&gt;=AU$2,VLOOKUP($E63-AU$2,'data input'!$D$3:$E$130,2,FALSE),0)</f>
        <v>0.94237177772384684</v>
      </c>
      <c r="AV63" s="5">
        <f>IF($E63&gt;=AV$2,VLOOKUP($E63-AV$2,'data input'!$D$3:$E$130,2,FALSE),0)</f>
        <v>0.9505285319663519</v>
      </c>
      <c r="AW63" s="5">
        <f>IF($E63&gt;=AW$2,VLOOKUP($E63-AW$2,'data input'!$D$3:$E$130,2,FALSE),0)</f>
        <v>0.95773626374204757</v>
      </c>
      <c r="AX63" s="5">
        <f>IF($E63&gt;=AX$2,VLOOKUP($E63-AX$2,'data input'!$D$3:$E$130,2,FALSE),0)</f>
        <v>0.96406968088707423</v>
      </c>
      <c r="AY63" s="5">
        <f>IF($E63&gt;=AY$2,VLOOKUP($E63-AY$2,'data input'!$D$3:$E$130,2,FALSE),0)</f>
        <v>0.96960363823473861</v>
      </c>
      <c r="AZ63" s="5">
        <f>IF($E63&gt;=AZ$2,VLOOKUP($E63-AZ$2,'data input'!$D$3:$E$130,2,FALSE),0)</f>
        <v>0.97441194047836144</v>
      </c>
      <c r="BA63" s="5">
        <f>IF($E63&gt;=BA$2,VLOOKUP($E63-BA$2,'data input'!$D$3:$E$130,2,FALSE),0)</f>
        <v>0.97856631788584703</v>
      </c>
      <c r="BB63" s="5">
        <f>IF($E63&gt;=BB$2,VLOOKUP($E63-BB$2,'data input'!$D$3:$E$130,2,FALSE),0)</f>
        <v>0.98213557943718344</v>
      </c>
      <c r="BC63" s="5">
        <f>IF($E63&gt;=BC$2,VLOOKUP($E63-BC$2,'data input'!$D$3:$E$130,2,FALSE),0)</f>
        <v>0.98518494180739014</v>
      </c>
      <c r="BD63" s="5">
        <f>IF($E63&gt;=BD$2,VLOOKUP($E63-BD$2,'data input'!$D$3:$E$130,2,FALSE),0)</f>
        <v>0.98777552734495533</v>
      </c>
      <c r="BE63" s="5">
        <f>IF($E63&gt;=BE$2,VLOOKUP($E63-BE$2,'data input'!$D$3:$E$130,2,FALSE),0)</f>
        <v>0.98996401989972593</v>
      </c>
      <c r="BF63" s="5">
        <f>IF($E63&gt;=BF$2,VLOOKUP($E63-BF$2,'data input'!$D$3:$E$130,2,FALSE),0)</f>
        <v>0.99180246407540384</v>
      </c>
      <c r="BG63" s="5">
        <f>IF($E63&gt;=BG$2,VLOOKUP($E63-BG$2,'data input'!$D$3:$E$130,2,FALSE),0)</f>
        <v>0.99333819120801725</v>
      </c>
      <c r="BH63" s="5">
        <f>IF($E63&gt;=BH$2,VLOOKUP($E63-BH$2,'data input'!$D$3:$E$130,2,FALSE),0)</f>
        <v>0.99461385404593328</v>
      </c>
      <c r="BI63" s="5">
        <f>IF($E63&gt;=BI$2,VLOOKUP($E63-BI$2,'data input'!$D$3:$E$130,2,FALSE),0)</f>
        <v>0.99566755163698739</v>
      </c>
      <c r="BJ63" s="5">
        <f>IF($E63&gt;=BJ$2,VLOOKUP($E63-BJ$2,'data input'!$D$3:$E$130,2,FALSE),0)</f>
        <v>0.99653302619695938</v>
      </c>
      <c r="BK63" s="5">
        <f>IF($E63&gt;=BK$2,VLOOKUP($E63-BK$2,'data input'!$D$3:$E$130,2,FALSE),0)</f>
        <v>0.99723991460873751</v>
      </c>
      <c r="BL63" s="5">
        <f>IF($E63&gt;=BL$2,VLOOKUP($E63-BL$2,'data input'!$D$3:$E$130,2,FALSE),0)</f>
        <v>0.99781403854508677</v>
      </c>
      <c r="BM63" s="5">
        <f>IF($E63&gt;=BM$2,VLOOKUP($E63-BM$2,'data input'!$D$3:$E$130,2,FALSE),0)</f>
        <v>0.99827771888413241</v>
      </c>
      <c r="BN63" s="5">
        <f>IF($E63&gt;=BN$2,VLOOKUP($E63-BN$2,'data input'!$D$3:$E$130,2,FALSE),0)</f>
        <v>0.9986501019683699</v>
      </c>
      <c r="BO63" s="5">
        <f>IF($E63&gt;=BO$2,VLOOKUP($E63-BO$2,'data input'!$D$3:$E$130,2,FALSE),0)</f>
        <v>0</v>
      </c>
      <c r="BP63" s="5">
        <f>IF($E63&gt;=BP$2,VLOOKUP($E63-BP$2,'data input'!$D$3:$E$130,2,FALSE),0)</f>
        <v>0</v>
      </c>
      <c r="BQ63" s="5">
        <f>IF($E63&gt;=BQ$2,VLOOKUP($E63-BQ$2,'data input'!$D$3:$E$130,2,FALSE),0)</f>
        <v>0</v>
      </c>
      <c r="BR63" s="5">
        <f>IF($E63&gt;=BR$2,VLOOKUP($E63-BR$2,'data input'!$D$3:$E$130,2,FALSE),0)</f>
        <v>0</v>
      </c>
      <c r="BS63" s="5">
        <f>IF($E63&gt;=BS$2,VLOOKUP($E63-BS$2,'data input'!$D$3:$E$130,2,FALSE),0)</f>
        <v>0</v>
      </c>
      <c r="BT63" s="5">
        <f>IF($E63&gt;=BT$2,VLOOKUP($E63-BT$2,'data input'!$D$3:$E$130,2,FALSE),0)</f>
        <v>0</v>
      </c>
      <c r="BU63" s="5">
        <f>IF($E63&gt;=BU$2,VLOOKUP($E63-BU$2,'data input'!$D$3:$E$130,2,FALSE),0)</f>
        <v>0</v>
      </c>
      <c r="BV63" s="5">
        <f>IF($E63&gt;=BV$2,VLOOKUP($E63-BV$2,'data input'!$D$3:$E$130,2,FALSE),0)</f>
        <v>0</v>
      </c>
      <c r="BW63" s="5">
        <f>IF($E63&gt;=BW$2,VLOOKUP($E63-BW$2,'data input'!$D$3:$E$130,2,FALSE),0)</f>
        <v>0</v>
      </c>
      <c r="BX63" s="5">
        <f>IF($E63&gt;=BX$2,VLOOKUP($E63-BX$2,'data input'!$D$3:$E$130,2,FALSE),0)</f>
        <v>0</v>
      </c>
      <c r="BY63" s="5">
        <f>IF($E63&gt;=BY$2,VLOOKUP($E63-BY$2,'data input'!$D$3:$E$130,2,FALSE),0)</f>
        <v>0</v>
      </c>
      <c r="BZ63" s="5">
        <f>IF($E63&gt;=BZ$2,VLOOKUP($E63-BZ$2,'data input'!$D$3:$E$130,2,FALSE),0)</f>
        <v>0</v>
      </c>
      <c r="CA63" s="5">
        <f>IF($E63&gt;=CA$2,VLOOKUP($E63-CA$2,'data input'!$D$3:$E$130,2,FALSE),0)</f>
        <v>0</v>
      </c>
      <c r="CB63" s="5">
        <f>IF($E63&gt;=CB$2,VLOOKUP($E63-CB$2,'data input'!$D$3:$E$130,2,FALSE),0)</f>
        <v>0</v>
      </c>
      <c r="CC63" s="5">
        <f>IF($E63&gt;=CC$2,VLOOKUP($E63-CC$2,'data input'!$D$3:$E$130,2,FALSE),0)</f>
        <v>0</v>
      </c>
      <c r="CD63" s="5">
        <f>IF($E63&gt;=CD$2,VLOOKUP($E63-CD$2,'data input'!$D$3:$E$130,2,FALSE),0)</f>
        <v>0</v>
      </c>
      <c r="CE63" s="5">
        <f>IF($E63&gt;=CE$2,VLOOKUP($E63-CE$2,'data input'!$D$3:$E$130,2,FALSE),0)</f>
        <v>0</v>
      </c>
      <c r="CF63" s="5">
        <f>IF($E63&gt;=CF$2,VLOOKUP($E63-CF$2,'data input'!$D$3:$E$130,2,FALSE),0)</f>
        <v>0</v>
      </c>
      <c r="CG63" s="5">
        <f>IF($E63&gt;=CG$2,VLOOKUP($E63-CG$2,'data input'!$D$3:$E$130,2,FALSE),0)</f>
        <v>0</v>
      </c>
      <c r="CH63" s="5">
        <f>IF($E63&gt;=CH$2,VLOOKUP($E63-CH$2,'data input'!$D$3:$E$130,2,FALSE),0)</f>
        <v>0</v>
      </c>
      <c r="CI63" s="5">
        <f>IF($E63&gt;=CI$2,VLOOKUP($E63-CI$2,'data input'!$D$3:$E$130,2,FALSE),0)</f>
        <v>0</v>
      </c>
      <c r="CJ63" s="5">
        <f>IF($E63&gt;=CJ$2,VLOOKUP($E63-CJ$2,'data input'!$D$3:$E$130,2,FALSE),0)</f>
        <v>0</v>
      </c>
      <c r="CK63" s="5">
        <f>IF($E63&gt;=CK$2,VLOOKUP($E63-CK$2,'data input'!$D$3:$E$130,2,FALSE),0)</f>
        <v>0</v>
      </c>
      <c r="CL63" s="5">
        <f>IF($E63&gt;=CL$2,VLOOKUP($E63-CL$2,'data input'!$D$3:$E$130,2,FALSE),0)</f>
        <v>0</v>
      </c>
      <c r="CM63" s="5">
        <f>IF($E63&gt;=CM$2,VLOOKUP($E63-CM$2,'data input'!$D$3:$E$130,2,FALSE),0)</f>
        <v>0</v>
      </c>
      <c r="CN63" s="5">
        <f>IF($E63&gt;=CN$2,VLOOKUP($E63-CN$2,'data input'!$D$3:$E$130,2,FALSE),0)</f>
        <v>0</v>
      </c>
      <c r="CO63" s="5">
        <f>IF($E63&gt;=CO$2,VLOOKUP($E63-CO$2,'data input'!$D$3:$E$130,2,FALSE),0)</f>
        <v>0</v>
      </c>
      <c r="CP63" s="5">
        <f>IF($E63&gt;=CP$2,VLOOKUP($E63-CP$2,'data input'!$D$3:$E$130,2,FALSE),0)</f>
        <v>0</v>
      </c>
      <c r="CQ63" s="5">
        <f>IF($E63&gt;=CQ$2,VLOOKUP($E63-CQ$2,'data input'!$D$3:$E$130,2,FALSE),0)</f>
        <v>0</v>
      </c>
      <c r="CR63" s="5">
        <f>IF($E63&gt;=CR$2,VLOOKUP($E63-CR$2,'data input'!$D$3:$E$130,2,FALSE),0)</f>
        <v>0</v>
      </c>
      <c r="CS63" s="5">
        <f>IF($E63&gt;=CS$2,VLOOKUP($E63-CS$2,'data input'!$D$3:$E$130,2,FALSE),0)</f>
        <v>0</v>
      </c>
      <c r="CT63" s="5">
        <f>IF($E63&gt;=CT$2,VLOOKUP($E63-CT$2,'data input'!$D$3:$E$130,2,FALSE),0)</f>
        <v>0</v>
      </c>
      <c r="CU63" s="5">
        <f>IF($E63&gt;=CU$2,VLOOKUP($E63-CU$2,'data input'!$D$3:$E$130,2,FALSE),0)</f>
        <v>0</v>
      </c>
      <c r="CV63" s="5">
        <f>IF($E63&gt;=CV$2,VLOOKUP($E63-CV$2,'data input'!$D$3:$E$130,2,FALSE),0)</f>
        <v>0</v>
      </c>
      <c r="CW63" s="5">
        <f>IF($E63&gt;=CW$2,VLOOKUP($E63-CW$2,'data input'!$D$3:$E$130,2,FALSE),0)</f>
        <v>0</v>
      </c>
      <c r="CX63" s="5">
        <f>IF($E63&gt;=CX$2,VLOOKUP($E63-CX$2,'data input'!$D$3:$E$130,2,FALSE),0)</f>
        <v>0</v>
      </c>
      <c r="CY63" s="5">
        <f>IF($E63&gt;=CY$2,VLOOKUP($E63-CY$2,'data input'!$D$3:$E$130,2,FALSE),0)</f>
        <v>0</v>
      </c>
      <c r="CZ63" s="5">
        <f>IF($E63&gt;=CZ$2,VLOOKUP($E63-CZ$2,'data input'!$D$3:$E$130,2,FALSE),0)</f>
        <v>0</v>
      </c>
      <c r="DA63" s="5">
        <f>IF($E63&gt;=DA$2,VLOOKUP($E63-DA$2,'data input'!$D$3:$E$130,2,FALSE),0)</f>
        <v>0</v>
      </c>
      <c r="DB63" s="5">
        <f>IF($E63&gt;=DB$2,VLOOKUP($E63-DB$2,'data input'!$D$3:$E$130,2,FALSE),0)</f>
        <v>0</v>
      </c>
      <c r="DC63" s="5">
        <f>IF($E63&gt;=DC$2,VLOOKUP($E63-DC$2,'data input'!$D$3:$E$130,2,FALSE),0)</f>
        <v>0</v>
      </c>
      <c r="DD63" s="5">
        <f>IF($E63&gt;=DD$2,VLOOKUP($E63-DD$2,'data input'!$D$3:$E$130,2,FALSE),0)</f>
        <v>0</v>
      </c>
      <c r="DE63" s="5">
        <f>IF($E63&gt;=DE$2,VLOOKUP($E63-DE$2,'data input'!$D$3:$E$130,2,FALSE),0)</f>
        <v>0</v>
      </c>
      <c r="DF63" s="5">
        <f>IF($E63&gt;=DF$2,VLOOKUP($E63-DF$2,'data input'!$D$3:$E$130,2,FALSE),0)</f>
        <v>0</v>
      </c>
      <c r="DG63" s="5">
        <f>IF($E63&gt;=DG$2,VLOOKUP($E63-DG$2,'data input'!$D$3:$E$130,2,FALSE),0)</f>
        <v>0</v>
      </c>
      <c r="DH63" s="5">
        <f>IF($E63&gt;=DH$2,VLOOKUP($E63-DH$2,'data input'!$D$3:$E$130,2,FALSE),0)</f>
        <v>0</v>
      </c>
      <c r="DI63" s="5">
        <f>IF($E63&gt;=DI$2,VLOOKUP($E63-DI$2,'data input'!$D$3:$E$130,2,FALSE),0)</f>
        <v>0</v>
      </c>
      <c r="DJ63" s="5">
        <f>IF($E63&gt;=DJ$2,VLOOKUP($E63-DJ$2,'data input'!$D$3:$E$130,2,FALSE),0)</f>
        <v>0</v>
      </c>
      <c r="DK63" s="5">
        <f>IF($E63&gt;=DK$2,VLOOKUP($E63-DK$2,'data input'!$D$3:$E$130,2,FALSE),0)</f>
        <v>0</v>
      </c>
      <c r="DL63" s="5">
        <f>IF($E63&gt;=DL$2,VLOOKUP($E63-DL$2,'data input'!$D$3:$E$130,2,FALSE),0)</f>
        <v>0</v>
      </c>
      <c r="DM63" s="5">
        <f>IF($E63&gt;=DM$2,VLOOKUP($E63-DM$2,'data input'!$D$3:$E$130,2,FALSE),0)</f>
        <v>0</v>
      </c>
      <c r="DN63" s="5">
        <f>IF($E63&gt;=DN$2,VLOOKUP($E63-DN$2,'data input'!$D$3:$E$130,2,FALSE),0)</f>
        <v>0</v>
      </c>
      <c r="DO63" s="5">
        <f>IF($E63&gt;=DO$2,VLOOKUP($E63-DO$2,'data input'!$D$3:$E$130,2,FALSE),0)</f>
        <v>0</v>
      </c>
      <c r="DP63" s="5">
        <f>IF($E63&gt;=DP$2,VLOOKUP($E63-DP$2,'data input'!$D$3:$E$130,2,FALSE),0)</f>
        <v>0</v>
      </c>
      <c r="DQ63" s="5">
        <f>IF($E63&gt;=DQ$2,VLOOKUP($E63-DQ$2,'data input'!$D$3:$E$130,2,FALSE),0)</f>
        <v>0</v>
      </c>
      <c r="DR63" s="5">
        <f>IF($E63&gt;=DR$2,VLOOKUP($E63-DR$2,'data input'!$D$3:$E$130,2,FALSE),0)</f>
        <v>0</v>
      </c>
      <c r="DS63" s="5">
        <f>IF($E63&gt;=DS$2,VLOOKUP($E63-DS$2,'data input'!$D$3:$E$130,2,FALSE),0)</f>
        <v>0</v>
      </c>
      <c r="DT63" s="5">
        <f>IF($E63&gt;=DT$2,VLOOKUP($E63-DT$2,'data input'!$D$3:$E$130,2,FALSE),0)</f>
        <v>0</v>
      </c>
      <c r="DU63" s="5">
        <f>IF($E63&gt;=DU$2,VLOOKUP($E63-DU$2,'data input'!$D$3:$E$130,2,FALSE),0)</f>
        <v>0</v>
      </c>
      <c r="DV63" s="5">
        <f>IF($E63&gt;=DV$2,VLOOKUP($E63-DV$2,'data input'!$D$3:$E$130,2,FALSE),0)</f>
        <v>0</v>
      </c>
      <c r="DW63" s="5">
        <f>IF($E63&gt;=DW$2,VLOOKUP($E63-DW$2,'data input'!$D$3:$E$130,2,FALSE),0)</f>
        <v>0</v>
      </c>
      <c r="DX63" s="5">
        <f>IF($E63&gt;=DX$2,VLOOKUP($E63-DX$2,'data input'!$D$3:$E$130,2,FALSE),0)</f>
        <v>0</v>
      </c>
      <c r="DY63" s="5">
        <f>IF($E63&gt;=DY$2,VLOOKUP($E63-DY$2,'data input'!$D$3:$E$130,2,FALSE),0)</f>
        <v>0</v>
      </c>
      <c r="DZ63" s="5">
        <f>IF($E63&gt;=DZ$2,VLOOKUP($E63-DZ$2,'data input'!$D$3:$E$130,2,FALSE),0)</f>
        <v>0</v>
      </c>
      <c r="EA63" s="5">
        <f>IF($E63&gt;=EA$2,VLOOKUP($E63-EA$2,'data input'!$D$3:$E$130,2,FALSE),0)</f>
        <v>0</v>
      </c>
      <c r="EB63" s="5">
        <f>IF($E63&gt;=EB$2,VLOOKUP($E63-EB$2,'data input'!$D$3:$E$130,2,FALSE),0)</f>
        <v>0</v>
      </c>
      <c r="EC63" s="5">
        <f>IF($E63&gt;=EC$2,VLOOKUP($E63-EC$2,'data input'!$D$3:$E$130,2,FALSE),0)</f>
        <v>0</v>
      </c>
    </row>
    <row r="64" spans="5:133">
      <c r="E64" s="7">
        <f>'data input'!B64</f>
        <v>1939</v>
      </c>
      <c r="F64" s="5">
        <f>IF($E64&gt;=F$2,VLOOKUP($E64-F$2,'data input'!$D$3:$E$130,2,FALSE),0)</f>
        <v>5.7628222276153163E-2</v>
      </c>
      <c r="G64" s="5">
        <f>IF($E64&gt;=G$2,VLOOKUP($E64-G$2,'data input'!$D$3:$E$130,2,FALSE),0)</f>
        <v>6.6807201268858085E-2</v>
      </c>
      <c r="H64" s="5">
        <f>IF($E64&gt;=H$2,VLOOKUP($E64-H$2,'data input'!$D$3:$E$130,2,FALSE),0)</f>
        <v>7.707860055207183E-2</v>
      </c>
      <c r="I64" s="5">
        <f>IF($E64&gt;=I$2,VLOOKUP($E64-I$2,'data input'!$D$3:$E$130,2,FALSE),0)</f>
        <v>8.8507991437402067E-2</v>
      </c>
      <c r="J64" s="5">
        <f>IF($E64&gt;=J$2,VLOOKUP($E64-J$2,'data input'!$D$3:$E$130,2,FALSE),0)</f>
        <v>0.10115462099558592</v>
      </c>
      <c r="K64" s="5">
        <f>IF($E64&gt;=K$2,VLOOKUP($E64-K$2,'data input'!$D$3:$E$130,2,FALSE),0)</f>
        <v>0.11506967022170822</v>
      </c>
      <c r="L64" s="5">
        <f>IF($E64&gt;=L$2,VLOOKUP($E64-L$2,'data input'!$D$3:$E$130,2,FALSE),0)</f>
        <v>0.13029451713680884</v>
      </c>
      <c r="M64" s="5">
        <f>IF($E64&gt;=M$2,VLOOKUP($E64-M$2,'data input'!$D$3:$E$130,2,FALSE),0)</f>
        <v>0.14685905637589591</v>
      </c>
      <c r="N64" s="5">
        <f>IF($E64&gt;=N$2,VLOOKUP($E64-N$2,'data input'!$D$3:$E$130,2,FALSE),0)</f>
        <v>0.16478012998031033</v>
      </c>
      <c r="O64" s="5">
        <f>IF($E64&gt;=O$2,VLOOKUP($E64-O$2,'data input'!$D$3:$E$130,2,FALSE),0)</f>
        <v>0.18406012534675953</v>
      </c>
      <c r="P64" s="5">
        <f>IF($E64&gt;=P$2,VLOOKUP($E64-P$2,'data input'!$D$3:$E$130,2,FALSE),0)</f>
        <v>0.20468579534725262</v>
      </c>
      <c r="Q64" s="5">
        <f>IF($E64&gt;=Q$2,VLOOKUP($E64-Q$2,'data input'!$D$3:$E$130,2,FALSE),0)</f>
        <v>0.22662735237686826</v>
      </c>
      <c r="R64" s="5">
        <f>IF($E64&gt;=R$2,VLOOKUP($E64-R$2,'data input'!$D$3:$E$130,2,FALSE),0)</f>
        <v>0.24983788247177696</v>
      </c>
      <c r="S64" s="5">
        <f>IF($E64&gt;=S$2,VLOOKUP($E64-S$2,'data input'!$D$3:$E$130,2,FALSE),0)</f>
        <v>0.27425311775007355</v>
      </c>
      <c r="T64" s="5">
        <f>IF($E64&gt;=T$2,VLOOKUP($E64-T$2,'data input'!$D$3:$E$130,2,FALSE),0)</f>
        <v>0.29979159546869583</v>
      </c>
      <c r="U64" s="5">
        <f>IF($E64&gt;=U$2,VLOOKUP($E64-U$2,'data input'!$D$3:$E$130,2,FALSE),0)</f>
        <v>0.32635522028792008</v>
      </c>
      <c r="V64" s="5">
        <f>IF($E64&gt;=V$2,VLOOKUP($E64-V$2,'data input'!$D$3:$E$130,2,FALSE),0)</f>
        <v>0.35383023332727614</v>
      </c>
      <c r="W64" s="5">
        <f>IF($E64&gt;=W$2,VLOOKUP($E64-W$2,'data input'!$D$3:$E$130,2,FALSE),0)</f>
        <v>0.38208857781104733</v>
      </c>
      <c r="X64" s="5">
        <f>IF($E64&gt;=X$2,VLOOKUP($E64-X$2,'data input'!$D$3:$E$130,2,FALSE),0)</f>
        <v>0.41098963713127035</v>
      </c>
      <c r="Y64" s="5">
        <f>IF($E64&gt;=Y$2,VLOOKUP($E64-Y$2,'data input'!$D$3:$E$130,2,FALSE),0)</f>
        <v>0.4403823076297575</v>
      </c>
      <c r="Z64" s="5">
        <f>IF($E64&gt;=Z$2,VLOOKUP($E64-Z$2,'data input'!$D$3:$E$130,2,FALSE),0)</f>
        <v>0.47010735594710518</v>
      </c>
      <c r="AA64" s="5">
        <f>IF($E64&gt;=AA$2,VLOOKUP($E64-AA$2,'data input'!$D$3:$E$130,2,FALSE),0)</f>
        <v>0.5</v>
      </c>
      <c r="AB64" s="5">
        <f>IF($E64&gt;=AB$2,VLOOKUP($E64-AB$2,'data input'!$D$3:$E$130,2,FALSE),0)</f>
        <v>0.52989264405289482</v>
      </c>
      <c r="AC64" s="5">
        <f>IF($E64&gt;=AC$2,VLOOKUP($E64-AC$2,'data input'!$D$3:$E$130,2,FALSE),0)</f>
        <v>0.5596176923702425</v>
      </c>
      <c r="AD64" s="5">
        <f>IF($E64&gt;=AD$2,VLOOKUP($E64-AD$2,'data input'!$D$3:$E$130,2,FALSE),0)</f>
        <v>0.58901036286872965</v>
      </c>
      <c r="AE64" s="5">
        <f>IF($E64&gt;=AE$2,VLOOKUP($E64-AE$2,'data input'!$D$3:$E$130,2,FALSE),0)</f>
        <v>0.61791142218895267</v>
      </c>
      <c r="AF64" s="5">
        <f>IF($E64&gt;=AF$2,VLOOKUP($E64-AF$2,'data input'!$D$3:$E$130,2,FALSE),0)</f>
        <v>0.64616976667272386</v>
      </c>
      <c r="AG64" s="5">
        <f>IF($E64&gt;=AG$2,VLOOKUP($E64-AG$2,'data input'!$D$3:$E$130,2,FALSE),0)</f>
        <v>0.67364477971207992</v>
      </c>
      <c r="AH64" s="5">
        <f>IF($E64&gt;=AH$2,VLOOKUP($E64-AH$2,'data input'!$D$3:$E$130,2,FALSE),0)</f>
        <v>0.70020840453130417</v>
      </c>
      <c r="AI64" s="5">
        <f>IF($E64&gt;=AI$2,VLOOKUP($E64-AI$2,'data input'!$D$3:$E$130,2,FALSE),0)</f>
        <v>0.72574688224992645</v>
      </c>
      <c r="AJ64" s="5">
        <f>IF($E64&gt;=AJ$2,VLOOKUP($E64-AJ$2,'data input'!$D$3:$E$130,2,FALSE),0)</f>
        <v>0.75016211752822304</v>
      </c>
      <c r="AK64" s="5">
        <f>IF($E64&gt;=AK$2,VLOOKUP($E64-AK$2,'data input'!$D$3:$E$130,2,FALSE),0)</f>
        <v>0.77337264762313174</v>
      </c>
      <c r="AL64" s="5">
        <f>IF($E64&gt;=AL$2,VLOOKUP($E64-AL$2,'data input'!$D$3:$E$130,2,FALSE),0)</f>
        <v>0.79531420465274738</v>
      </c>
      <c r="AM64" s="5">
        <f>IF($E64&gt;=AM$2,VLOOKUP($E64-AM$2,'data input'!$D$3:$E$130,2,FALSE),0)</f>
        <v>0.81593987465324047</v>
      </c>
      <c r="AN64" s="5">
        <f>IF($E64&gt;=AN$2,VLOOKUP($E64-AN$2,'data input'!$D$3:$E$130,2,FALSE),0)</f>
        <v>0.83521987001968967</v>
      </c>
      <c r="AO64" s="5">
        <f>IF($E64&gt;=AO$2,VLOOKUP($E64-AO$2,'data input'!$D$3:$E$130,2,FALSE),0)</f>
        <v>0.85314094362410409</v>
      </c>
      <c r="AP64" s="5">
        <f>IF($E64&gt;=AP$2,VLOOKUP($E64-AP$2,'data input'!$D$3:$E$130,2,FALSE),0)</f>
        <v>0.86970548286319116</v>
      </c>
      <c r="AQ64" s="5">
        <f>IF($E64&gt;=AQ$2,VLOOKUP($E64-AQ$2,'data input'!$D$3:$E$130,2,FALSE),0)</f>
        <v>0.88493032977829178</v>
      </c>
      <c r="AR64" s="5">
        <f>IF($E64&gt;=AR$2,VLOOKUP($E64-AR$2,'data input'!$D$3:$E$130,2,FALSE),0)</f>
        <v>0.89884537900441408</v>
      </c>
      <c r="AS64" s="5">
        <f>IF($E64&gt;=AS$2,VLOOKUP($E64-AS$2,'data input'!$D$3:$E$130,2,FALSE),0)</f>
        <v>0.91149200856259793</v>
      </c>
      <c r="AT64" s="5">
        <f>IF($E64&gt;=AT$2,VLOOKUP($E64-AT$2,'data input'!$D$3:$E$130,2,FALSE),0)</f>
        <v>0.92292139944792817</v>
      </c>
      <c r="AU64" s="5">
        <f>IF($E64&gt;=AU$2,VLOOKUP($E64-AU$2,'data input'!$D$3:$E$130,2,FALSE),0)</f>
        <v>0.93319279873114191</v>
      </c>
      <c r="AV64" s="5">
        <f>IF($E64&gt;=AV$2,VLOOKUP($E64-AV$2,'data input'!$D$3:$E$130,2,FALSE),0)</f>
        <v>0.94237177772384684</v>
      </c>
      <c r="AW64" s="5">
        <f>IF($E64&gt;=AW$2,VLOOKUP($E64-AW$2,'data input'!$D$3:$E$130,2,FALSE),0)</f>
        <v>0.9505285319663519</v>
      </c>
      <c r="AX64" s="5">
        <f>IF($E64&gt;=AX$2,VLOOKUP($E64-AX$2,'data input'!$D$3:$E$130,2,FALSE),0)</f>
        <v>0.95773626374204757</v>
      </c>
      <c r="AY64" s="5">
        <f>IF($E64&gt;=AY$2,VLOOKUP($E64-AY$2,'data input'!$D$3:$E$130,2,FALSE),0)</f>
        <v>0.96406968088707423</v>
      </c>
      <c r="AZ64" s="5">
        <f>IF($E64&gt;=AZ$2,VLOOKUP($E64-AZ$2,'data input'!$D$3:$E$130,2,FALSE),0)</f>
        <v>0.96960363823473861</v>
      </c>
      <c r="BA64" s="5">
        <f>IF($E64&gt;=BA$2,VLOOKUP($E64-BA$2,'data input'!$D$3:$E$130,2,FALSE),0)</f>
        <v>0.97441194047836144</v>
      </c>
      <c r="BB64" s="5">
        <f>IF($E64&gt;=BB$2,VLOOKUP($E64-BB$2,'data input'!$D$3:$E$130,2,FALSE),0)</f>
        <v>0.97856631788584703</v>
      </c>
      <c r="BC64" s="5">
        <f>IF($E64&gt;=BC$2,VLOOKUP($E64-BC$2,'data input'!$D$3:$E$130,2,FALSE),0)</f>
        <v>0.98213557943718344</v>
      </c>
      <c r="BD64" s="5">
        <f>IF($E64&gt;=BD$2,VLOOKUP($E64-BD$2,'data input'!$D$3:$E$130,2,FALSE),0)</f>
        <v>0.98518494180739014</v>
      </c>
      <c r="BE64" s="5">
        <f>IF($E64&gt;=BE$2,VLOOKUP($E64-BE$2,'data input'!$D$3:$E$130,2,FALSE),0)</f>
        <v>0.98777552734495533</v>
      </c>
      <c r="BF64" s="5">
        <f>IF($E64&gt;=BF$2,VLOOKUP($E64-BF$2,'data input'!$D$3:$E$130,2,FALSE),0)</f>
        <v>0.98996401989972593</v>
      </c>
      <c r="BG64" s="5">
        <f>IF($E64&gt;=BG$2,VLOOKUP($E64-BG$2,'data input'!$D$3:$E$130,2,FALSE),0)</f>
        <v>0.99180246407540384</v>
      </c>
      <c r="BH64" s="5">
        <f>IF($E64&gt;=BH$2,VLOOKUP($E64-BH$2,'data input'!$D$3:$E$130,2,FALSE),0)</f>
        <v>0.99333819120801725</v>
      </c>
      <c r="BI64" s="5">
        <f>IF($E64&gt;=BI$2,VLOOKUP($E64-BI$2,'data input'!$D$3:$E$130,2,FALSE),0)</f>
        <v>0.99461385404593328</v>
      </c>
      <c r="BJ64" s="5">
        <f>IF($E64&gt;=BJ$2,VLOOKUP($E64-BJ$2,'data input'!$D$3:$E$130,2,FALSE),0)</f>
        <v>0.99566755163698739</v>
      </c>
      <c r="BK64" s="5">
        <f>IF($E64&gt;=BK$2,VLOOKUP($E64-BK$2,'data input'!$D$3:$E$130,2,FALSE),0)</f>
        <v>0.99653302619695938</v>
      </c>
      <c r="BL64" s="5">
        <f>IF($E64&gt;=BL$2,VLOOKUP($E64-BL$2,'data input'!$D$3:$E$130,2,FALSE),0)</f>
        <v>0.99723991460873751</v>
      </c>
      <c r="BM64" s="5">
        <f>IF($E64&gt;=BM$2,VLOOKUP($E64-BM$2,'data input'!$D$3:$E$130,2,FALSE),0)</f>
        <v>0.99781403854508677</v>
      </c>
      <c r="BN64" s="5">
        <f>IF($E64&gt;=BN$2,VLOOKUP($E64-BN$2,'data input'!$D$3:$E$130,2,FALSE),0)</f>
        <v>0.99827771888413241</v>
      </c>
      <c r="BO64" s="5">
        <f>IF($E64&gt;=BO$2,VLOOKUP($E64-BO$2,'data input'!$D$3:$E$130,2,FALSE),0)</f>
        <v>0.9986501019683699</v>
      </c>
      <c r="BP64" s="5">
        <f>IF($E64&gt;=BP$2,VLOOKUP($E64-BP$2,'data input'!$D$3:$E$130,2,FALSE),0)</f>
        <v>0</v>
      </c>
      <c r="BQ64" s="5">
        <f>IF($E64&gt;=BQ$2,VLOOKUP($E64-BQ$2,'data input'!$D$3:$E$130,2,FALSE),0)</f>
        <v>0</v>
      </c>
      <c r="BR64" s="5">
        <f>IF($E64&gt;=BR$2,VLOOKUP($E64-BR$2,'data input'!$D$3:$E$130,2,FALSE),0)</f>
        <v>0</v>
      </c>
      <c r="BS64" s="5">
        <f>IF($E64&gt;=BS$2,VLOOKUP($E64-BS$2,'data input'!$D$3:$E$130,2,FALSE),0)</f>
        <v>0</v>
      </c>
      <c r="BT64" s="5">
        <f>IF($E64&gt;=BT$2,VLOOKUP($E64-BT$2,'data input'!$D$3:$E$130,2,FALSE),0)</f>
        <v>0</v>
      </c>
      <c r="BU64" s="5">
        <f>IF($E64&gt;=BU$2,VLOOKUP($E64-BU$2,'data input'!$D$3:$E$130,2,FALSE),0)</f>
        <v>0</v>
      </c>
      <c r="BV64" s="5">
        <f>IF($E64&gt;=BV$2,VLOOKUP($E64-BV$2,'data input'!$D$3:$E$130,2,FALSE),0)</f>
        <v>0</v>
      </c>
      <c r="BW64" s="5">
        <f>IF($E64&gt;=BW$2,VLOOKUP($E64-BW$2,'data input'!$D$3:$E$130,2,FALSE),0)</f>
        <v>0</v>
      </c>
      <c r="BX64" s="5">
        <f>IF($E64&gt;=BX$2,VLOOKUP($E64-BX$2,'data input'!$D$3:$E$130,2,FALSE),0)</f>
        <v>0</v>
      </c>
      <c r="BY64" s="5">
        <f>IF($E64&gt;=BY$2,VLOOKUP($E64-BY$2,'data input'!$D$3:$E$130,2,FALSE),0)</f>
        <v>0</v>
      </c>
      <c r="BZ64" s="5">
        <f>IF($E64&gt;=BZ$2,VLOOKUP($E64-BZ$2,'data input'!$D$3:$E$130,2,FALSE),0)</f>
        <v>0</v>
      </c>
      <c r="CA64" s="5">
        <f>IF($E64&gt;=CA$2,VLOOKUP($E64-CA$2,'data input'!$D$3:$E$130,2,FALSE),0)</f>
        <v>0</v>
      </c>
      <c r="CB64" s="5">
        <f>IF($E64&gt;=CB$2,VLOOKUP($E64-CB$2,'data input'!$D$3:$E$130,2,FALSE),0)</f>
        <v>0</v>
      </c>
      <c r="CC64" s="5">
        <f>IF($E64&gt;=CC$2,VLOOKUP($E64-CC$2,'data input'!$D$3:$E$130,2,FALSE),0)</f>
        <v>0</v>
      </c>
      <c r="CD64" s="5">
        <f>IF($E64&gt;=CD$2,VLOOKUP($E64-CD$2,'data input'!$D$3:$E$130,2,FALSE),0)</f>
        <v>0</v>
      </c>
      <c r="CE64" s="5">
        <f>IF($E64&gt;=CE$2,VLOOKUP($E64-CE$2,'data input'!$D$3:$E$130,2,FALSE),0)</f>
        <v>0</v>
      </c>
      <c r="CF64" s="5">
        <f>IF($E64&gt;=CF$2,VLOOKUP($E64-CF$2,'data input'!$D$3:$E$130,2,FALSE),0)</f>
        <v>0</v>
      </c>
      <c r="CG64" s="5">
        <f>IF($E64&gt;=CG$2,VLOOKUP($E64-CG$2,'data input'!$D$3:$E$130,2,FALSE),0)</f>
        <v>0</v>
      </c>
      <c r="CH64" s="5">
        <f>IF($E64&gt;=CH$2,VLOOKUP($E64-CH$2,'data input'!$D$3:$E$130,2,FALSE),0)</f>
        <v>0</v>
      </c>
      <c r="CI64" s="5">
        <f>IF($E64&gt;=CI$2,VLOOKUP($E64-CI$2,'data input'!$D$3:$E$130,2,FALSE),0)</f>
        <v>0</v>
      </c>
      <c r="CJ64" s="5">
        <f>IF($E64&gt;=CJ$2,VLOOKUP($E64-CJ$2,'data input'!$D$3:$E$130,2,FALSE),0)</f>
        <v>0</v>
      </c>
      <c r="CK64" s="5">
        <f>IF($E64&gt;=CK$2,VLOOKUP($E64-CK$2,'data input'!$D$3:$E$130,2,FALSE),0)</f>
        <v>0</v>
      </c>
      <c r="CL64" s="5">
        <f>IF($E64&gt;=CL$2,VLOOKUP($E64-CL$2,'data input'!$D$3:$E$130,2,FALSE),0)</f>
        <v>0</v>
      </c>
      <c r="CM64" s="5">
        <f>IF($E64&gt;=CM$2,VLOOKUP($E64-CM$2,'data input'!$D$3:$E$130,2,FALSE),0)</f>
        <v>0</v>
      </c>
      <c r="CN64" s="5">
        <f>IF($E64&gt;=CN$2,VLOOKUP($E64-CN$2,'data input'!$D$3:$E$130,2,FALSE),0)</f>
        <v>0</v>
      </c>
      <c r="CO64" s="5">
        <f>IF($E64&gt;=CO$2,VLOOKUP($E64-CO$2,'data input'!$D$3:$E$130,2,FALSE),0)</f>
        <v>0</v>
      </c>
      <c r="CP64" s="5">
        <f>IF($E64&gt;=CP$2,VLOOKUP($E64-CP$2,'data input'!$D$3:$E$130,2,FALSE),0)</f>
        <v>0</v>
      </c>
      <c r="CQ64" s="5">
        <f>IF($E64&gt;=CQ$2,VLOOKUP($E64-CQ$2,'data input'!$D$3:$E$130,2,FALSE),0)</f>
        <v>0</v>
      </c>
      <c r="CR64" s="5">
        <f>IF($E64&gt;=CR$2,VLOOKUP($E64-CR$2,'data input'!$D$3:$E$130,2,FALSE),0)</f>
        <v>0</v>
      </c>
      <c r="CS64" s="5">
        <f>IF($E64&gt;=CS$2,VLOOKUP($E64-CS$2,'data input'!$D$3:$E$130,2,FALSE),0)</f>
        <v>0</v>
      </c>
      <c r="CT64" s="5">
        <f>IF($E64&gt;=CT$2,VLOOKUP($E64-CT$2,'data input'!$D$3:$E$130,2,FALSE),0)</f>
        <v>0</v>
      </c>
      <c r="CU64" s="5">
        <f>IF($E64&gt;=CU$2,VLOOKUP($E64-CU$2,'data input'!$D$3:$E$130,2,FALSE),0)</f>
        <v>0</v>
      </c>
      <c r="CV64" s="5">
        <f>IF($E64&gt;=CV$2,VLOOKUP($E64-CV$2,'data input'!$D$3:$E$130,2,FALSE),0)</f>
        <v>0</v>
      </c>
      <c r="CW64" s="5">
        <f>IF($E64&gt;=CW$2,VLOOKUP($E64-CW$2,'data input'!$D$3:$E$130,2,FALSE),0)</f>
        <v>0</v>
      </c>
      <c r="CX64" s="5">
        <f>IF($E64&gt;=CX$2,VLOOKUP($E64-CX$2,'data input'!$D$3:$E$130,2,FALSE),0)</f>
        <v>0</v>
      </c>
      <c r="CY64" s="5">
        <f>IF($E64&gt;=CY$2,VLOOKUP($E64-CY$2,'data input'!$D$3:$E$130,2,FALSE),0)</f>
        <v>0</v>
      </c>
      <c r="CZ64" s="5">
        <f>IF($E64&gt;=CZ$2,VLOOKUP($E64-CZ$2,'data input'!$D$3:$E$130,2,FALSE),0)</f>
        <v>0</v>
      </c>
      <c r="DA64" s="5">
        <f>IF($E64&gt;=DA$2,VLOOKUP($E64-DA$2,'data input'!$D$3:$E$130,2,FALSE),0)</f>
        <v>0</v>
      </c>
      <c r="DB64" s="5">
        <f>IF($E64&gt;=DB$2,VLOOKUP($E64-DB$2,'data input'!$D$3:$E$130,2,FALSE),0)</f>
        <v>0</v>
      </c>
      <c r="DC64" s="5">
        <f>IF($E64&gt;=DC$2,VLOOKUP($E64-DC$2,'data input'!$D$3:$E$130,2,FALSE),0)</f>
        <v>0</v>
      </c>
      <c r="DD64" s="5">
        <f>IF($E64&gt;=DD$2,VLOOKUP($E64-DD$2,'data input'!$D$3:$E$130,2,FALSE),0)</f>
        <v>0</v>
      </c>
      <c r="DE64" s="5">
        <f>IF($E64&gt;=DE$2,VLOOKUP($E64-DE$2,'data input'!$D$3:$E$130,2,FALSE),0)</f>
        <v>0</v>
      </c>
      <c r="DF64" s="5">
        <f>IF($E64&gt;=DF$2,VLOOKUP($E64-DF$2,'data input'!$D$3:$E$130,2,FALSE),0)</f>
        <v>0</v>
      </c>
      <c r="DG64" s="5">
        <f>IF($E64&gt;=DG$2,VLOOKUP($E64-DG$2,'data input'!$D$3:$E$130,2,FALSE),0)</f>
        <v>0</v>
      </c>
      <c r="DH64" s="5">
        <f>IF($E64&gt;=DH$2,VLOOKUP($E64-DH$2,'data input'!$D$3:$E$130,2,FALSE),0)</f>
        <v>0</v>
      </c>
      <c r="DI64" s="5">
        <f>IF($E64&gt;=DI$2,VLOOKUP($E64-DI$2,'data input'!$D$3:$E$130,2,FALSE),0)</f>
        <v>0</v>
      </c>
      <c r="DJ64" s="5">
        <f>IF($E64&gt;=DJ$2,VLOOKUP($E64-DJ$2,'data input'!$D$3:$E$130,2,FALSE),0)</f>
        <v>0</v>
      </c>
      <c r="DK64" s="5">
        <f>IF($E64&gt;=DK$2,VLOOKUP($E64-DK$2,'data input'!$D$3:$E$130,2,FALSE),0)</f>
        <v>0</v>
      </c>
      <c r="DL64" s="5">
        <f>IF($E64&gt;=DL$2,VLOOKUP($E64-DL$2,'data input'!$D$3:$E$130,2,FALSE),0)</f>
        <v>0</v>
      </c>
      <c r="DM64" s="5">
        <f>IF($E64&gt;=DM$2,VLOOKUP($E64-DM$2,'data input'!$D$3:$E$130,2,FALSE),0)</f>
        <v>0</v>
      </c>
      <c r="DN64" s="5">
        <f>IF($E64&gt;=DN$2,VLOOKUP($E64-DN$2,'data input'!$D$3:$E$130,2,FALSE),0)</f>
        <v>0</v>
      </c>
      <c r="DO64" s="5">
        <f>IF($E64&gt;=DO$2,VLOOKUP($E64-DO$2,'data input'!$D$3:$E$130,2,FALSE),0)</f>
        <v>0</v>
      </c>
      <c r="DP64" s="5">
        <f>IF($E64&gt;=DP$2,VLOOKUP($E64-DP$2,'data input'!$D$3:$E$130,2,FALSE),0)</f>
        <v>0</v>
      </c>
      <c r="DQ64" s="5">
        <f>IF($E64&gt;=DQ$2,VLOOKUP($E64-DQ$2,'data input'!$D$3:$E$130,2,FALSE),0)</f>
        <v>0</v>
      </c>
      <c r="DR64" s="5">
        <f>IF($E64&gt;=DR$2,VLOOKUP($E64-DR$2,'data input'!$D$3:$E$130,2,FALSE),0)</f>
        <v>0</v>
      </c>
      <c r="DS64" s="5">
        <f>IF($E64&gt;=DS$2,VLOOKUP($E64-DS$2,'data input'!$D$3:$E$130,2,FALSE),0)</f>
        <v>0</v>
      </c>
      <c r="DT64" s="5">
        <f>IF($E64&gt;=DT$2,VLOOKUP($E64-DT$2,'data input'!$D$3:$E$130,2,FALSE),0)</f>
        <v>0</v>
      </c>
      <c r="DU64" s="5">
        <f>IF($E64&gt;=DU$2,VLOOKUP($E64-DU$2,'data input'!$D$3:$E$130,2,FALSE),0)</f>
        <v>0</v>
      </c>
      <c r="DV64" s="5">
        <f>IF($E64&gt;=DV$2,VLOOKUP($E64-DV$2,'data input'!$D$3:$E$130,2,FALSE),0)</f>
        <v>0</v>
      </c>
      <c r="DW64" s="5">
        <f>IF($E64&gt;=DW$2,VLOOKUP($E64-DW$2,'data input'!$D$3:$E$130,2,FALSE),0)</f>
        <v>0</v>
      </c>
      <c r="DX64" s="5">
        <f>IF($E64&gt;=DX$2,VLOOKUP($E64-DX$2,'data input'!$D$3:$E$130,2,FALSE),0)</f>
        <v>0</v>
      </c>
      <c r="DY64" s="5">
        <f>IF($E64&gt;=DY$2,VLOOKUP($E64-DY$2,'data input'!$D$3:$E$130,2,FALSE),0)</f>
        <v>0</v>
      </c>
      <c r="DZ64" s="5">
        <f>IF($E64&gt;=DZ$2,VLOOKUP($E64-DZ$2,'data input'!$D$3:$E$130,2,FALSE),0)</f>
        <v>0</v>
      </c>
      <c r="EA64" s="5">
        <f>IF($E64&gt;=EA$2,VLOOKUP($E64-EA$2,'data input'!$D$3:$E$130,2,FALSE),0)</f>
        <v>0</v>
      </c>
      <c r="EB64" s="5">
        <f>IF($E64&gt;=EB$2,VLOOKUP($E64-EB$2,'data input'!$D$3:$E$130,2,FALSE),0)</f>
        <v>0</v>
      </c>
      <c r="EC64" s="5">
        <f>IF($E64&gt;=EC$2,VLOOKUP($E64-EC$2,'data input'!$D$3:$E$130,2,FALSE),0)</f>
        <v>0</v>
      </c>
    </row>
    <row r="65" spans="5:133">
      <c r="E65" s="7">
        <f>'data input'!B65</f>
        <v>1940</v>
      </c>
      <c r="F65" s="5">
        <f>IF($E65&gt;=F$2,VLOOKUP($E65-F$2,'data input'!$D$3:$E$130,2,FALSE),0)</f>
        <v>4.9471468033648103E-2</v>
      </c>
      <c r="G65" s="5">
        <f>IF($E65&gt;=G$2,VLOOKUP($E65-G$2,'data input'!$D$3:$E$130,2,FALSE),0)</f>
        <v>5.7628222276153163E-2</v>
      </c>
      <c r="H65" s="5">
        <f>IF($E65&gt;=H$2,VLOOKUP($E65-H$2,'data input'!$D$3:$E$130,2,FALSE),0)</f>
        <v>6.6807201268858085E-2</v>
      </c>
      <c r="I65" s="5">
        <f>IF($E65&gt;=I$2,VLOOKUP($E65-I$2,'data input'!$D$3:$E$130,2,FALSE),0)</f>
        <v>7.707860055207183E-2</v>
      </c>
      <c r="J65" s="5">
        <f>IF($E65&gt;=J$2,VLOOKUP($E65-J$2,'data input'!$D$3:$E$130,2,FALSE),0)</f>
        <v>8.8507991437402067E-2</v>
      </c>
      <c r="K65" s="5">
        <f>IF($E65&gt;=K$2,VLOOKUP($E65-K$2,'data input'!$D$3:$E$130,2,FALSE),0)</f>
        <v>0.10115462099558592</v>
      </c>
      <c r="L65" s="5">
        <f>IF($E65&gt;=L$2,VLOOKUP($E65-L$2,'data input'!$D$3:$E$130,2,FALSE),0)</f>
        <v>0.11506967022170822</v>
      </c>
      <c r="M65" s="5">
        <f>IF($E65&gt;=M$2,VLOOKUP($E65-M$2,'data input'!$D$3:$E$130,2,FALSE),0)</f>
        <v>0.13029451713680884</v>
      </c>
      <c r="N65" s="5">
        <f>IF($E65&gt;=N$2,VLOOKUP($E65-N$2,'data input'!$D$3:$E$130,2,FALSE),0)</f>
        <v>0.14685905637589591</v>
      </c>
      <c r="O65" s="5">
        <f>IF($E65&gt;=O$2,VLOOKUP($E65-O$2,'data input'!$D$3:$E$130,2,FALSE),0)</f>
        <v>0.16478012998031033</v>
      </c>
      <c r="P65" s="5">
        <f>IF($E65&gt;=P$2,VLOOKUP($E65-P$2,'data input'!$D$3:$E$130,2,FALSE),0)</f>
        <v>0.18406012534675953</v>
      </c>
      <c r="Q65" s="5">
        <f>IF($E65&gt;=Q$2,VLOOKUP($E65-Q$2,'data input'!$D$3:$E$130,2,FALSE),0)</f>
        <v>0.20468579534725262</v>
      </c>
      <c r="R65" s="5">
        <f>IF($E65&gt;=R$2,VLOOKUP($E65-R$2,'data input'!$D$3:$E$130,2,FALSE),0)</f>
        <v>0.22662735237686826</v>
      </c>
      <c r="S65" s="5">
        <f>IF($E65&gt;=S$2,VLOOKUP($E65-S$2,'data input'!$D$3:$E$130,2,FALSE),0)</f>
        <v>0.24983788247177696</v>
      </c>
      <c r="T65" s="5">
        <f>IF($E65&gt;=T$2,VLOOKUP($E65-T$2,'data input'!$D$3:$E$130,2,FALSE),0)</f>
        <v>0.27425311775007355</v>
      </c>
      <c r="U65" s="5">
        <f>IF($E65&gt;=U$2,VLOOKUP($E65-U$2,'data input'!$D$3:$E$130,2,FALSE),0)</f>
        <v>0.29979159546869583</v>
      </c>
      <c r="V65" s="5">
        <f>IF($E65&gt;=V$2,VLOOKUP($E65-V$2,'data input'!$D$3:$E$130,2,FALSE),0)</f>
        <v>0.32635522028792008</v>
      </c>
      <c r="W65" s="5">
        <f>IF($E65&gt;=W$2,VLOOKUP($E65-W$2,'data input'!$D$3:$E$130,2,FALSE),0)</f>
        <v>0.35383023332727614</v>
      </c>
      <c r="X65" s="5">
        <f>IF($E65&gt;=X$2,VLOOKUP($E65-X$2,'data input'!$D$3:$E$130,2,FALSE),0)</f>
        <v>0.38208857781104733</v>
      </c>
      <c r="Y65" s="5">
        <f>IF($E65&gt;=Y$2,VLOOKUP($E65-Y$2,'data input'!$D$3:$E$130,2,FALSE),0)</f>
        <v>0.41098963713127035</v>
      </c>
      <c r="Z65" s="5">
        <f>IF($E65&gt;=Z$2,VLOOKUP($E65-Z$2,'data input'!$D$3:$E$130,2,FALSE),0)</f>
        <v>0.4403823076297575</v>
      </c>
      <c r="AA65" s="5">
        <f>IF($E65&gt;=AA$2,VLOOKUP($E65-AA$2,'data input'!$D$3:$E$130,2,FALSE),0)</f>
        <v>0.47010735594710518</v>
      </c>
      <c r="AB65" s="5">
        <f>IF($E65&gt;=AB$2,VLOOKUP($E65-AB$2,'data input'!$D$3:$E$130,2,FALSE),0)</f>
        <v>0.5</v>
      </c>
      <c r="AC65" s="5">
        <f>IF($E65&gt;=AC$2,VLOOKUP($E65-AC$2,'data input'!$D$3:$E$130,2,FALSE),0)</f>
        <v>0.52989264405289482</v>
      </c>
      <c r="AD65" s="5">
        <f>IF($E65&gt;=AD$2,VLOOKUP($E65-AD$2,'data input'!$D$3:$E$130,2,FALSE),0)</f>
        <v>0.5596176923702425</v>
      </c>
      <c r="AE65" s="5">
        <f>IF($E65&gt;=AE$2,VLOOKUP($E65-AE$2,'data input'!$D$3:$E$130,2,FALSE),0)</f>
        <v>0.58901036286872965</v>
      </c>
      <c r="AF65" s="5">
        <f>IF($E65&gt;=AF$2,VLOOKUP($E65-AF$2,'data input'!$D$3:$E$130,2,FALSE),0)</f>
        <v>0.61791142218895267</v>
      </c>
      <c r="AG65" s="5">
        <f>IF($E65&gt;=AG$2,VLOOKUP($E65-AG$2,'data input'!$D$3:$E$130,2,FALSE),0)</f>
        <v>0.64616976667272386</v>
      </c>
      <c r="AH65" s="5">
        <f>IF($E65&gt;=AH$2,VLOOKUP($E65-AH$2,'data input'!$D$3:$E$130,2,FALSE),0)</f>
        <v>0.67364477971207992</v>
      </c>
      <c r="AI65" s="5">
        <f>IF($E65&gt;=AI$2,VLOOKUP($E65-AI$2,'data input'!$D$3:$E$130,2,FALSE),0)</f>
        <v>0.70020840453130417</v>
      </c>
      <c r="AJ65" s="5">
        <f>IF($E65&gt;=AJ$2,VLOOKUP($E65-AJ$2,'data input'!$D$3:$E$130,2,FALSE),0)</f>
        <v>0.72574688224992645</v>
      </c>
      <c r="AK65" s="5">
        <f>IF($E65&gt;=AK$2,VLOOKUP($E65-AK$2,'data input'!$D$3:$E$130,2,FALSE),0)</f>
        <v>0.75016211752822304</v>
      </c>
      <c r="AL65" s="5">
        <f>IF($E65&gt;=AL$2,VLOOKUP($E65-AL$2,'data input'!$D$3:$E$130,2,FALSE),0)</f>
        <v>0.77337264762313174</v>
      </c>
      <c r="AM65" s="5">
        <f>IF($E65&gt;=AM$2,VLOOKUP($E65-AM$2,'data input'!$D$3:$E$130,2,FALSE),0)</f>
        <v>0.79531420465274738</v>
      </c>
      <c r="AN65" s="5">
        <f>IF($E65&gt;=AN$2,VLOOKUP($E65-AN$2,'data input'!$D$3:$E$130,2,FALSE),0)</f>
        <v>0.81593987465324047</v>
      </c>
      <c r="AO65" s="5">
        <f>IF($E65&gt;=AO$2,VLOOKUP($E65-AO$2,'data input'!$D$3:$E$130,2,FALSE),0)</f>
        <v>0.83521987001968967</v>
      </c>
      <c r="AP65" s="5">
        <f>IF($E65&gt;=AP$2,VLOOKUP($E65-AP$2,'data input'!$D$3:$E$130,2,FALSE),0)</f>
        <v>0.85314094362410409</v>
      </c>
      <c r="AQ65" s="5">
        <f>IF($E65&gt;=AQ$2,VLOOKUP($E65-AQ$2,'data input'!$D$3:$E$130,2,FALSE),0)</f>
        <v>0.86970548286319116</v>
      </c>
      <c r="AR65" s="5">
        <f>IF($E65&gt;=AR$2,VLOOKUP($E65-AR$2,'data input'!$D$3:$E$130,2,FALSE),0)</f>
        <v>0.88493032977829178</v>
      </c>
      <c r="AS65" s="5">
        <f>IF($E65&gt;=AS$2,VLOOKUP($E65-AS$2,'data input'!$D$3:$E$130,2,FALSE),0)</f>
        <v>0.89884537900441408</v>
      </c>
      <c r="AT65" s="5">
        <f>IF($E65&gt;=AT$2,VLOOKUP($E65-AT$2,'data input'!$D$3:$E$130,2,FALSE),0)</f>
        <v>0.91149200856259793</v>
      </c>
      <c r="AU65" s="5">
        <f>IF($E65&gt;=AU$2,VLOOKUP($E65-AU$2,'data input'!$D$3:$E$130,2,FALSE),0)</f>
        <v>0.92292139944792817</v>
      </c>
      <c r="AV65" s="5">
        <f>IF($E65&gt;=AV$2,VLOOKUP($E65-AV$2,'data input'!$D$3:$E$130,2,FALSE),0)</f>
        <v>0.93319279873114191</v>
      </c>
      <c r="AW65" s="5">
        <f>IF($E65&gt;=AW$2,VLOOKUP($E65-AW$2,'data input'!$D$3:$E$130,2,FALSE),0)</f>
        <v>0.94237177772384684</v>
      </c>
      <c r="AX65" s="5">
        <f>IF($E65&gt;=AX$2,VLOOKUP($E65-AX$2,'data input'!$D$3:$E$130,2,FALSE),0)</f>
        <v>0.9505285319663519</v>
      </c>
      <c r="AY65" s="5">
        <f>IF($E65&gt;=AY$2,VLOOKUP($E65-AY$2,'data input'!$D$3:$E$130,2,FALSE),0)</f>
        <v>0.95773626374204757</v>
      </c>
      <c r="AZ65" s="5">
        <f>IF($E65&gt;=AZ$2,VLOOKUP($E65-AZ$2,'data input'!$D$3:$E$130,2,FALSE),0)</f>
        <v>0.96406968088707423</v>
      </c>
      <c r="BA65" s="5">
        <f>IF($E65&gt;=BA$2,VLOOKUP($E65-BA$2,'data input'!$D$3:$E$130,2,FALSE),0)</f>
        <v>0.96960363823473861</v>
      </c>
      <c r="BB65" s="5">
        <f>IF($E65&gt;=BB$2,VLOOKUP($E65-BB$2,'data input'!$D$3:$E$130,2,FALSE),0)</f>
        <v>0.97441194047836144</v>
      </c>
      <c r="BC65" s="5">
        <f>IF($E65&gt;=BC$2,VLOOKUP($E65-BC$2,'data input'!$D$3:$E$130,2,FALSE),0)</f>
        <v>0.97856631788584703</v>
      </c>
      <c r="BD65" s="5">
        <f>IF($E65&gt;=BD$2,VLOOKUP($E65-BD$2,'data input'!$D$3:$E$130,2,FALSE),0)</f>
        <v>0.98213557943718344</v>
      </c>
      <c r="BE65" s="5">
        <f>IF($E65&gt;=BE$2,VLOOKUP($E65-BE$2,'data input'!$D$3:$E$130,2,FALSE),0)</f>
        <v>0.98518494180739014</v>
      </c>
      <c r="BF65" s="5">
        <f>IF($E65&gt;=BF$2,VLOOKUP($E65-BF$2,'data input'!$D$3:$E$130,2,FALSE),0)</f>
        <v>0.98777552734495533</v>
      </c>
      <c r="BG65" s="5">
        <f>IF($E65&gt;=BG$2,VLOOKUP($E65-BG$2,'data input'!$D$3:$E$130,2,FALSE),0)</f>
        <v>0.98996401989972593</v>
      </c>
      <c r="BH65" s="5">
        <f>IF($E65&gt;=BH$2,VLOOKUP($E65-BH$2,'data input'!$D$3:$E$130,2,FALSE),0)</f>
        <v>0.99180246407540384</v>
      </c>
      <c r="BI65" s="5">
        <f>IF($E65&gt;=BI$2,VLOOKUP($E65-BI$2,'data input'!$D$3:$E$130,2,FALSE),0)</f>
        <v>0.99333819120801725</v>
      </c>
      <c r="BJ65" s="5">
        <f>IF($E65&gt;=BJ$2,VLOOKUP($E65-BJ$2,'data input'!$D$3:$E$130,2,FALSE),0)</f>
        <v>0.99461385404593328</v>
      </c>
      <c r="BK65" s="5">
        <f>IF($E65&gt;=BK$2,VLOOKUP($E65-BK$2,'data input'!$D$3:$E$130,2,FALSE),0)</f>
        <v>0.99566755163698739</v>
      </c>
      <c r="BL65" s="5">
        <f>IF($E65&gt;=BL$2,VLOOKUP($E65-BL$2,'data input'!$D$3:$E$130,2,FALSE),0)</f>
        <v>0.99653302619695938</v>
      </c>
      <c r="BM65" s="5">
        <f>IF($E65&gt;=BM$2,VLOOKUP($E65-BM$2,'data input'!$D$3:$E$130,2,FALSE),0)</f>
        <v>0.99723991460873751</v>
      </c>
      <c r="BN65" s="5">
        <f>IF($E65&gt;=BN$2,VLOOKUP($E65-BN$2,'data input'!$D$3:$E$130,2,FALSE),0)</f>
        <v>0.99781403854508677</v>
      </c>
      <c r="BO65" s="5">
        <f>IF($E65&gt;=BO$2,VLOOKUP($E65-BO$2,'data input'!$D$3:$E$130,2,FALSE),0)</f>
        <v>0.99827771888413241</v>
      </c>
      <c r="BP65" s="5">
        <f>IF($E65&gt;=BP$2,VLOOKUP($E65-BP$2,'data input'!$D$3:$E$130,2,FALSE),0)</f>
        <v>0.9986501019683699</v>
      </c>
      <c r="BQ65" s="5">
        <f>IF($E65&gt;=BQ$2,VLOOKUP($E65-BQ$2,'data input'!$D$3:$E$130,2,FALSE),0)</f>
        <v>0</v>
      </c>
      <c r="BR65" s="5">
        <f>IF($E65&gt;=BR$2,VLOOKUP($E65-BR$2,'data input'!$D$3:$E$130,2,FALSE),0)</f>
        <v>0</v>
      </c>
      <c r="BS65" s="5">
        <f>IF($E65&gt;=BS$2,VLOOKUP($E65-BS$2,'data input'!$D$3:$E$130,2,FALSE),0)</f>
        <v>0</v>
      </c>
      <c r="BT65" s="5">
        <f>IF($E65&gt;=BT$2,VLOOKUP($E65-BT$2,'data input'!$D$3:$E$130,2,FALSE),0)</f>
        <v>0</v>
      </c>
      <c r="BU65" s="5">
        <f>IF($E65&gt;=BU$2,VLOOKUP($E65-BU$2,'data input'!$D$3:$E$130,2,FALSE),0)</f>
        <v>0</v>
      </c>
      <c r="BV65" s="5">
        <f>IF($E65&gt;=BV$2,VLOOKUP($E65-BV$2,'data input'!$D$3:$E$130,2,FALSE),0)</f>
        <v>0</v>
      </c>
      <c r="BW65" s="5">
        <f>IF($E65&gt;=BW$2,VLOOKUP($E65-BW$2,'data input'!$D$3:$E$130,2,FALSE),0)</f>
        <v>0</v>
      </c>
      <c r="BX65" s="5">
        <f>IF($E65&gt;=BX$2,VLOOKUP($E65-BX$2,'data input'!$D$3:$E$130,2,FALSE),0)</f>
        <v>0</v>
      </c>
      <c r="BY65" s="5">
        <f>IF($E65&gt;=BY$2,VLOOKUP($E65-BY$2,'data input'!$D$3:$E$130,2,FALSE),0)</f>
        <v>0</v>
      </c>
      <c r="BZ65" s="5">
        <f>IF($E65&gt;=BZ$2,VLOOKUP($E65-BZ$2,'data input'!$D$3:$E$130,2,FALSE),0)</f>
        <v>0</v>
      </c>
      <c r="CA65" s="5">
        <f>IF($E65&gt;=CA$2,VLOOKUP($E65-CA$2,'data input'!$D$3:$E$130,2,FALSE),0)</f>
        <v>0</v>
      </c>
      <c r="CB65" s="5">
        <f>IF($E65&gt;=CB$2,VLOOKUP($E65-CB$2,'data input'!$D$3:$E$130,2,FALSE),0)</f>
        <v>0</v>
      </c>
      <c r="CC65" s="5">
        <f>IF($E65&gt;=CC$2,VLOOKUP($E65-CC$2,'data input'!$D$3:$E$130,2,FALSE),0)</f>
        <v>0</v>
      </c>
      <c r="CD65" s="5">
        <f>IF($E65&gt;=CD$2,VLOOKUP($E65-CD$2,'data input'!$D$3:$E$130,2,FALSE),0)</f>
        <v>0</v>
      </c>
      <c r="CE65" s="5">
        <f>IF($E65&gt;=CE$2,VLOOKUP($E65-CE$2,'data input'!$D$3:$E$130,2,FALSE),0)</f>
        <v>0</v>
      </c>
      <c r="CF65" s="5">
        <f>IF($E65&gt;=CF$2,VLOOKUP($E65-CF$2,'data input'!$D$3:$E$130,2,FALSE),0)</f>
        <v>0</v>
      </c>
      <c r="CG65" s="5">
        <f>IF($E65&gt;=CG$2,VLOOKUP($E65-CG$2,'data input'!$D$3:$E$130,2,FALSE),0)</f>
        <v>0</v>
      </c>
      <c r="CH65" s="5">
        <f>IF($E65&gt;=CH$2,VLOOKUP($E65-CH$2,'data input'!$D$3:$E$130,2,FALSE),0)</f>
        <v>0</v>
      </c>
      <c r="CI65" s="5">
        <f>IF($E65&gt;=CI$2,VLOOKUP($E65-CI$2,'data input'!$D$3:$E$130,2,FALSE),0)</f>
        <v>0</v>
      </c>
      <c r="CJ65" s="5">
        <f>IF($E65&gt;=CJ$2,VLOOKUP($E65-CJ$2,'data input'!$D$3:$E$130,2,FALSE),0)</f>
        <v>0</v>
      </c>
      <c r="CK65" s="5">
        <f>IF($E65&gt;=CK$2,VLOOKUP($E65-CK$2,'data input'!$D$3:$E$130,2,FALSE),0)</f>
        <v>0</v>
      </c>
      <c r="CL65" s="5">
        <f>IF($E65&gt;=CL$2,VLOOKUP($E65-CL$2,'data input'!$D$3:$E$130,2,FALSE),0)</f>
        <v>0</v>
      </c>
      <c r="CM65" s="5">
        <f>IF($E65&gt;=CM$2,VLOOKUP($E65-CM$2,'data input'!$D$3:$E$130,2,FALSE),0)</f>
        <v>0</v>
      </c>
      <c r="CN65" s="5">
        <f>IF($E65&gt;=CN$2,VLOOKUP($E65-CN$2,'data input'!$D$3:$E$130,2,FALSE),0)</f>
        <v>0</v>
      </c>
      <c r="CO65" s="5">
        <f>IF($E65&gt;=CO$2,VLOOKUP($E65-CO$2,'data input'!$D$3:$E$130,2,FALSE),0)</f>
        <v>0</v>
      </c>
      <c r="CP65" s="5">
        <f>IF($E65&gt;=CP$2,VLOOKUP($E65-CP$2,'data input'!$D$3:$E$130,2,FALSE),0)</f>
        <v>0</v>
      </c>
      <c r="CQ65" s="5">
        <f>IF($E65&gt;=CQ$2,VLOOKUP($E65-CQ$2,'data input'!$D$3:$E$130,2,FALSE),0)</f>
        <v>0</v>
      </c>
      <c r="CR65" s="5">
        <f>IF($E65&gt;=CR$2,VLOOKUP($E65-CR$2,'data input'!$D$3:$E$130,2,FALSE),0)</f>
        <v>0</v>
      </c>
      <c r="CS65" s="5">
        <f>IF($E65&gt;=CS$2,VLOOKUP($E65-CS$2,'data input'!$D$3:$E$130,2,FALSE),0)</f>
        <v>0</v>
      </c>
      <c r="CT65" s="5">
        <f>IF($E65&gt;=CT$2,VLOOKUP($E65-CT$2,'data input'!$D$3:$E$130,2,FALSE),0)</f>
        <v>0</v>
      </c>
      <c r="CU65" s="5">
        <f>IF($E65&gt;=CU$2,VLOOKUP($E65-CU$2,'data input'!$D$3:$E$130,2,FALSE),0)</f>
        <v>0</v>
      </c>
      <c r="CV65" s="5">
        <f>IF($E65&gt;=CV$2,VLOOKUP($E65-CV$2,'data input'!$D$3:$E$130,2,FALSE),0)</f>
        <v>0</v>
      </c>
      <c r="CW65" s="5">
        <f>IF($E65&gt;=CW$2,VLOOKUP($E65-CW$2,'data input'!$D$3:$E$130,2,FALSE),0)</f>
        <v>0</v>
      </c>
      <c r="CX65" s="5">
        <f>IF($E65&gt;=CX$2,VLOOKUP($E65-CX$2,'data input'!$D$3:$E$130,2,FALSE),0)</f>
        <v>0</v>
      </c>
      <c r="CY65" s="5">
        <f>IF($E65&gt;=CY$2,VLOOKUP($E65-CY$2,'data input'!$D$3:$E$130,2,FALSE),0)</f>
        <v>0</v>
      </c>
      <c r="CZ65" s="5">
        <f>IF($E65&gt;=CZ$2,VLOOKUP($E65-CZ$2,'data input'!$D$3:$E$130,2,FALSE),0)</f>
        <v>0</v>
      </c>
      <c r="DA65" s="5">
        <f>IF($E65&gt;=DA$2,VLOOKUP($E65-DA$2,'data input'!$D$3:$E$130,2,FALSE),0)</f>
        <v>0</v>
      </c>
      <c r="DB65" s="5">
        <f>IF($E65&gt;=DB$2,VLOOKUP($E65-DB$2,'data input'!$D$3:$E$130,2,FALSE),0)</f>
        <v>0</v>
      </c>
      <c r="DC65" s="5">
        <f>IF($E65&gt;=DC$2,VLOOKUP($E65-DC$2,'data input'!$D$3:$E$130,2,FALSE),0)</f>
        <v>0</v>
      </c>
      <c r="DD65" s="5">
        <f>IF($E65&gt;=DD$2,VLOOKUP($E65-DD$2,'data input'!$D$3:$E$130,2,FALSE),0)</f>
        <v>0</v>
      </c>
      <c r="DE65" s="5">
        <f>IF($E65&gt;=DE$2,VLOOKUP($E65-DE$2,'data input'!$D$3:$E$130,2,FALSE),0)</f>
        <v>0</v>
      </c>
      <c r="DF65" s="5">
        <f>IF($E65&gt;=DF$2,VLOOKUP($E65-DF$2,'data input'!$D$3:$E$130,2,FALSE),0)</f>
        <v>0</v>
      </c>
      <c r="DG65" s="5">
        <f>IF($E65&gt;=DG$2,VLOOKUP($E65-DG$2,'data input'!$D$3:$E$130,2,FALSE),0)</f>
        <v>0</v>
      </c>
      <c r="DH65" s="5">
        <f>IF($E65&gt;=DH$2,VLOOKUP($E65-DH$2,'data input'!$D$3:$E$130,2,FALSE),0)</f>
        <v>0</v>
      </c>
      <c r="DI65" s="5">
        <f>IF($E65&gt;=DI$2,VLOOKUP($E65-DI$2,'data input'!$D$3:$E$130,2,FALSE),0)</f>
        <v>0</v>
      </c>
      <c r="DJ65" s="5">
        <f>IF($E65&gt;=DJ$2,VLOOKUP($E65-DJ$2,'data input'!$D$3:$E$130,2,FALSE),0)</f>
        <v>0</v>
      </c>
      <c r="DK65" s="5">
        <f>IF($E65&gt;=DK$2,VLOOKUP($E65-DK$2,'data input'!$D$3:$E$130,2,FALSE),0)</f>
        <v>0</v>
      </c>
      <c r="DL65" s="5">
        <f>IF($E65&gt;=DL$2,VLOOKUP($E65-DL$2,'data input'!$D$3:$E$130,2,FALSE),0)</f>
        <v>0</v>
      </c>
      <c r="DM65" s="5">
        <f>IF($E65&gt;=DM$2,VLOOKUP($E65-DM$2,'data input'!$D$3:$E$130,2,FALSE),0)</f>
        <v>0</v>
      </c>
      <c r="DN65" s="5">
        <f>IF($E65&gt;=DN$2,VLOOKUP($E65-DN$2,'data input'!$D$3:$E$130,2,FALSE),0)</f>
        <v>0</v>
      </c>
      <c r="DO65" s="5">
        <f>IF($E65&gt;=DO$2,VLOOKUP($E65-DO$2,'data input'!$D$3:$E$130,2,FALSE),0)</f>
        <v>0</v>
      </c>
      <c r="DP65" s="5">
        <f>IF($E65&gt;=DP$2,VLOOKUP($E65-DP$2,'data input'!$D$3:$E$130,2,FALSE),0)</f>
        <v>0</v>
      </c>
      <c r="DQ65" s="5">
        <f>IF($E65&gt;=DQ$2,VLOOKUP($E65-DQ$2,'data input'!$D$3:$E$130,2,FALSE),0)</f>
        <v>0</v>
      </c>
      <c r="DR65" s="5">
        <f>IF($E65&gt;=DR$2,VLOOKUP($E65-DR$2,'data input'!$D$3:$E$130,2,FALSE),0)</f>
        <v>0</v>
      </c>
      <c r="DS65" s="5">
        <f>IF($E65&gt;=DS$2,VLOOKUP($E65-DS$2,'data input'!$D$3:$E$130,2,FALSE),0)</f>
        <v>0</v>
      </c>
      <c r="DT65" s="5">
        <f>IF($E65&gt;=DT$2,VLOOKUP($E65-DT$2,'data input'!$D$3:$E$130,2,FALSE),0)</f>
        <v>0</v>
      </c>
      <c r="DU65" s="5">
        <f>IF($E65&gt;=DU$2,VLOOKUP($E65-DU$2,'data input'!$D$3:$E$130,2,FALSE),0)</f>
        <v>0</v>
      </c>
      <c r="DV65" s="5">
        <f>IF($E65&gt;=DV$2,VLOOKUP($E65-DV$2,'data input'!$D$3:$E$130,2,FALSE),0)</f>
        <v>0</v>
      </c>
      <c r="DW65" s="5">
        <f>IF($E65&gt;=DW$2,VLOOKUP($E65-DW$2,'data input'!$D$3:$E$130,2,FALSE),0)</f>
        <v>0</v>
      </c>
      <c r="DX65" s="5">
        <f>IF($E65&gt;=DX$2,VLOOKUP($E65-DX$2,'data input'!$D$3:$E$130,2,FALSE),0)</f>
        <v>0</v>
      </c>
      <c r="DY65" s="5">
        <f>IF($E65&gt;=DY$2,VLOOKUP($E65-DY$2,'data input'!$D$3:$E$130,2,FALSE),0)</f>
        <v>0</v>
      </c>
      <c r="DZ65" s="5">
        <f>IF($E65&gt;=DZ$2,VLOOKUP($E65-DZ$2,'data input'!$D$3:$E$130,2,FALSE),0)</f>
        <v>0</v>
      </c>
      <c r="EA65" s="5">
        <f>IF($E65&gt;=EA$2,VLOOKUP($E65-EA$2,'data input'!$D$3:$E$130,2,FALSE),0)</f>
        <v>0</v>
      </c>
      <c r="EB65" s="5">
        <f>IF($E65&gt;=EB$2,VLOOKUP($E65-EB$2,'data input'!$D$3:$E$130,2,FALSE),0)</f>
        <v>0</v>
      </c>
      <c r="EC65" s="5">
        <f>IF($E65&gt;=EC$2,VLOOKUP($E65-EC$2,'data input'!$D$3:$E$130,2,FALSE),0)</f>
        <v>0</v>
      </c>
    </row>
    <row r="66" spans="5:133">
      <c r="E66" s="7">
        <f>'data input'!B66</f>
        <v>1941</v>
      </c>
      <c r="F66" s="5">
        <f>IF($E66&gt;=F$2,VLOOKUP($E66-F$2,'data input'!$D$3:$E$130,2,FALSE),0)</f>
        <v>4.2263736257952433E-2</v>
      </c>
      <c r="G66" s="5">
        <f>IF($E66&gt;=G$2,VLOOKUP($E66-G$2,'data input'!$D$3:$E$130,2,FALSE),0)</f>
        <v>4.9471468033648103E-2</v>
      </c>
      <c r="H66" s="5">
        <f>IF($E66&gt;=H$2,VLOOKUP($E66-H$2,'data input'!$D$3:$E$130,2,FALSE),0)</f>
        <v>5.7628222276153163E-2</v>
      </c>
      <c r="I66" s="5">
        <f>IF($E66&gt;=I$2,VLOOKUP($E66-I$2,'data input'!$D$3:$E$130,2,FALSE),0)</f>
        <v>6.6807201268858085E-2</v>
      </c>
      <c r="J66" s="5">
        <f>IF($E66&gt;=J$2,VLOOKUP($E66-J$2,'data input'!$D$3:$E$130,2,FALSE),0)</f>
        <v>7.707860055207183E-2</v>
      </c>
      <c r="K66" s="5">
        <f>IF($E66&gt;=K$2,VLOOKUP($E66-K$2,'data input'!$D$3:$E$130,2,FALSE),0)</f>
        <v>8.8507991437402067E-2</v>
      </c>
      <c r="L66" s="5">
        <f>IF($E66&gt;=L$2,VLOOKUP($E66-L$2,'data input'!$D$3:$E$130,2,FALSE),0)</f>
        <v>0.10115462099558592</v>
      </c>
      <c r="M66" s="5">
        <f>IF($E66&gt;=M$2,VLOOKUP($E66-M$2,'data input'!$D$3:$E$130,2,FALSE),0)</f>
        <v>0.11506967022170822</v>
      </c>
      <c r="N66" s="5">
        <f>IF($E66&gt;=N$2,VLOOKUP($E66-N$2,'data input'!$D$3:$E$130,2,FALSE),0)</f>
        <v>0.13029451713680884</v>
      </c>
      <c r="O66" s="5">
        <f>IF($E66&gt;=O$2,VLOOKUP($E66-O$2,'data input'!$D$3:$E$130,2,FALSE),0)</f>
        <v>0.14685905637589591</v>
      </c>
      <c r="P66" s="5">
        <f>IF($E66&gt;=P$2,VLOOKUP($E66-P$2,'data input'!$D$3:$E$130,2,FALSE),0)</f>
        <v>0.16478012998031033</v>
      </c>
      <c r="Q66" s="5">
        <f>IF($E66&gt;=Q$2,VLOOKUP($E66-Q$2,'data input'!$D$3:$E$130,2,FALSE),0)</f>
        <v>0.18406012534675953</v>
      </c>
      <c r="R66" s="5">
        <f>IF($E66&gt;=R$2,VLOOKUP($E66-R$2,'data input'!$D$3:$E$130,2,FALSE),0)</f>
        <v>0.20468579534725262</v>
      </c>
      <c r="S66" s="5">
        <f>IF($E66&gt;=S$2,VLOOKUP($E66-S$2,'data input'!$D$3:$E$130,2,FALSE),0)</f>
        <v>0.22662735237686826</v>
      </c>
      <c r="T66" s="5">
        <f>IF($E66&gt;=T$2,VLOOKUP($E66-T$2,'data input'!$D$3:$E$130,2,FALSE),0)</f>
        <v>0.24983788247177696</v>
      </c>
      <c r="U66" s="5">
        <f>IF($E66&gt;=U$2,VLOOKUP($E66-U$2,'data input'!$D$3:$E$130,2,FALSE),0)</f>
        <v>0.27425311775007355</v>
      </c>
      <c r="V66" s="5">
        <f>IF($E66&gt;=V$2,VLOOKUP($E66-V$2,'data input'!$D$3:$E$130,2,FALSE),0)</f>
        <v>0.29979159546869583</v>
      </c>
      <c r="W66" s="5">
        <f>IF($E66&gt;=W$2,VLOOKUP($E66-W$2,'data input'!$D$3:$E$130,2,FALSE),0)</f>
        <v>0.32635522028792008</v>
      </c>
      <c r="X66" s="5">
        <f>IF($E66&gt;=X$2,VLOOKUP($E66-X$2,'data input'!$D$3:$E$130,2,FALSE),0)</f>
        <v>0.35383023332727614</v>
      </c>
      <c r="Y66" s="5">
        <f>IF($E66&gt;=Y$2,VLOOKUP($E66-Y$2,'data input'!$D$3:$E$130,2,FALSE),0)</f>
        <v>0.38208857781104733</v>
      </c>
      <c r="Z66" s="5">
        <f>IF($E66&gt;=Z$2,VLOOKUP($E66-Z$2,'data input'!$D$3:$E$130,2,FALSE),0)</f>
        <v>0.41098963713127035</v>
      </c>
      <c r="AA66" s="5">
        <f>IF($E66&gt;=AA$2,VLOOKUP($E66-AA$2,'data input'!$D$3:$E$130,2,FALSE),0)</f>
        <v>0.4403823076297575</v>
      </c>
      <c r="AB66" s="5">
        <f>IF($E66&gt;=AB$2,VLOOKUP($E66-AB$2,'data input'!$D$3:$E$130,2,FALSE),0)</f>
        <v>0.47010735594710518</v>
      </c>
      <c r="AC66" s="5">
        <f>IF($E66&gt;=AC$2,VLOOKUP($E66-AC$2,'data input'!$D$3:$E$130,2,FALSE),0)</f>
        <v>0.5</v>
      </c>
      <c r="AD66" s="5">
        <f>IF($E66&gt;=AD$2,VLOOKUP($E66-AD$2,'data input'!$D$3:$E$130,2,FALSE),0)</f>
        <v>0.52989264405289482</v>
      </c>
      <c r="AE66" s="5">
        <f>IF($E66&gt;=AE$2,VLOOKUP($E66-AE$2,'data input'!$D$3:$E$130,2,FALSE),0)</f>
        <v>0.5596176923702425</v>
      </c>
      <c r="AF66" s="5">
        <f>IF($E66&gt;=AF$2,VLOOKUP($E66-AF$2,'data input'!$D$3:$E$130,2,FALSE),0)</f>
        <v>0.58901036286872965</v>
      </c>
      <c r="AG66" s="5">
        <f>IF($E66&gt;=AG$2,VLOOKUP($E66-AG$2,'data input'!$D$3:$E$130,2,FALSE),0)</f>
        <v>0.61791142218895267</v>
      </c>
      <c r="AH66" s="5">
        <f>IF($E66&gt;=AH$2,VLOOKUP($E66-AH$2,'data input'!$D$3:$E$130,2,FALSE),0)</f>
        <v>0.64616976667272386</v>
      </c>
      <c r="AI66" s="5">
        <f>IF($E66&gt;=AI$2,VLOOKUP($E66-AI$2,'data input'!$D$3:$E$130,2,FALSE),0)</f>
        <v>0.67364477971207992</v>
      </c>
      <c r="AJ66" s="5">
        <f>IF($E66&gt;=AJ$2,VLOOKUP($E66-AJ$2,'data input'!$D$3:$E$130,2,FALSE),0)</f>
        <v>0.70020840453130417</v>
      </c>
      <c r="AK66" s="5">
        <f>IF($E66&gt;=AK$2,VLOOKUP($E66-AK$2,'data input'!$D$3:$E$130,2,FALSE),0)</f>
        <v>0.72574688224992645</v>
      </c>
      <c r="AL66" s="5">
        <f>IF($E66&gt;=AL$2,VLOOKUP($E66-AL$2,'data input'!$D$3:$E$130,2,FALSE),0)</f>
        <v>0.75016211752822304</v>
      </c>
      <c r="AM66" s="5">
        <f>IF($E66&gt;=AM$2,VLOOKUP($E66-AM$2,'data input'!$D$3:$E$130,2,FALSE),0)</f>
        <v>0.77337264762313174</v>
      </c>
      <c r="AN66" s="5">
        <f>IF($E66&gt;=AN$2,VLOOKUP($E66-AN$2,'data input'!$D$3:$E$130,2,FALSE),0)</f>
        <v>0.79531420465274738</v>
      </c>
      <c r="AO66" s="5">
        <f>IF($E66&gt;=AO$2,VLOOKUP($E66-AO$2,'data input'!$D$3:$E$130,2,FALSE),0)</f>
        <v>0.81593987465324047</v>
      </c>
      <c r="AP66" s="5">
        <f>IF($E66&gt;=AP$2,VLOOKUP($E66-AP$2,'data input'!$D$3:$E$130,2,FALSE),0)</f>
        <v>0.83521987001968967</v>
      </c>
      <c r="AQ66" s="5">
        <f>IF($E66&gt;=AQ$2,VLOOKUP($E66-AQ$2,'data input'!$D$3:$E$130,2,FALSE),0)</f>
        <v>0.85314094362410409</v>
      </c>
      <c r="AR66" s="5">
        <f>IF($E66&gt;=AR$2,VLOOKUP($E66-AR$2,'data input'!$D$3:$E$130,2,FALSE),0)</f>
        <v>0.86970548286319116</v>
      </c>
      <c r="AS66" s="5">
        <f>IF($E66&gt;=AS$2,VLOOKUP($E66-AS$2,'data input'!$D$3:$E$130,2,FALSE),0)</f>
        <v>0.88493032977829178</v>
      </c>
      <c r="AT66" s="5">
        <f>IF($E66&gt;=AT$2,VLOOKUP($E66-AT$2,'data input'!$D$3:$E$130,2,FALSE),0)</f>
        <v>0.89884537900441408</v>
      </c>
      <c r="AU66" s="5">
        <f>IF($E66&gt;=AU$2,VLOOKUP($E66-AU$2,'data input'!$D$3:$E$130,2,FALSE),0)</f>
        <v>0.91149200856259793</v>
      </c>
      <c r="AV66" s="5">
        <f>IF($E66&gt;=AV$2,VLOOKUP($E66-AV$2,'data input'!$D$3:$E$130,2,FALSE),0)</f>
        <v>0.92292139944792817</v>
      </c>
      <c r="AW66" s="5">
        <f>IF($E66&gt;=AW$2,VLOOKUP($E66-AW$2,'data input'!$D$3:$E$130,2,FALSE),0)</f>
        <v>0.93319279873114191</v>
      </c>
      <c r="AX66" s="5">
        <f>IF($E66&gt;=AX$2,VLOOKUP($E66-AX$2,'data input'!$D$3:$E$130,2,FALSE),0)</f>
        <v>0.94237177772384684</v>
      </c>
      <c r="AY66" s="5">
        <f>IF($E66&gt;=AY$2,VLOOKUP($E66-AY$2,'data input'!$D$3:$E$130,2,FALSE),0)</f>
        <v>0.9505285319663519</v>
      </c>
      <c r="AZ66" s="5">
        <f>IF($E66&gt;=AZ$2,VLOOKUP($E66-AZ$2,'data input'!$D$3:$E$130,2,FALSE),0)</f>
        <v>0.95773626374204757</v>
      </c>
      <c r="BA66" s="5">
        <f>IF($E66&gt;=BA$2,VLOOKUP($E66-BA$2,'data input'!$D$3:$E$130,2,FALSE),0)</f>
        <v>0.96406968088707423</v>
      </c>
      <c r="BB66" s="5">
        <f>IF($E66&gt;=BB$2,VLOOKUP($E66-BB$2,'data input'!$D$3:$E$130,2,FALSE),0)</f>
        <v>0.96960363823473861</v>
      </c>
      <c r="BC66" s="5">
        <f>IF($E66&gt;=BC$2,VLOOKUP($E66-BC$2,'data input'!$D$3:$E$130,2,FALSE),0)</f>
        <v>0.97441194047836144</v>
      </c>
      <c r="BD66" s="5">
        <f>IF($E66&gt;=BD$2,VLOOKUP($E66-BD$2,'data input'!$D$3:$E$130,2,FALSE),0)</f>
        <v>0.97856631788584703</v>
      </c>
      <c r="BE66" s="5">
        <f>IF($E66&gt;=BE$2,VLOOKUP($E66-BE$2,'data input'!$D$3:$E$130,2,FALSE),0)</f>
        <v>0.98213557943718344</v>
      </c>
      <c r="BF66" s="5">
        <f>IF($E66&gt;=BF$2,VLOOKUP($E66-BF$2,'data input'!$D$3:$E$130,2,FALSE),0)</f>
        <v>0.98518494180739014</v>
      </c>
      <c r="BG66" s="5">
        <f>IF($E66&gt;=BG$2,VLOOKUP($E66-BG$2,'data input'!$D$3:$E$130,2,FALSE),0)</f>
        <v>0.98777552734495533</v>
      </c>
      <c r="BH66" s="5">
        <f>IF($E66&gt;=BH$2,VLOOKUP($E66-BH$2,'data input'!$D$3:$E$130,2,FALSE),0)</f>
        <v>0.98996401989972593</v>
      </c>
      <c r="BI66" s="5">
        <f>IF($E66&gt;=BI$2,VLOOKUP($E66-BI$2,'data input'!$D$3:$E$130,2,FALSE),0)</f>
        <v>0.99180246407540384</v>
      </c>
      <c r="BJ66" s="5">
        <f>IF($E66&gt;=BJ$2,VLOOKUP($E66-BJ$2,'data input'!$D$3:$E$130,2,FALSE),0)</f>
        <v>0.99333819120801725</v>
      </c>
      <c r="BK66" s="5">
        <f>IF($E66&gt;=BK$2,VLOOKUP($E66-BK$2,'data input'!$D$3:$E$130,2,FALSE),0)</f>
        <v>0.99461385404593328</v>
      </c>
      <c r="BL66" s="5">
        <f>IF($E66&gt;=BL$2,VLOOKUP($E66-BL$2,'data input'!$D$3:$E$130,2,FALSE),0)</f>
        <v>0.99566755163698739</v>
      </c>
      <c r="BM66" s="5">
        <f>IF($E66&gt;=BM$2,VLOOKUP($E66-BM$2,'data input'!$D$3:$E$130,2,FALSE),0)</f>
        <v>0.99653302619695938</v>
      </c>
      <c r="BN66" s="5">
        <f>IF($E66&gt;=BN$2,VLOOKUP($E66-BN$2,'data input'!$D$3:$E$130,2,FALSE),0)</f>
        <v>0.99723991460873751</v>
      </c>
      <c r="BO66" s="5">
        <f>IF($E66&gt;=BO$2,VLOOKUP($E66-BO$2,'data input'!$D$3:$E$130,2,FALSE),0)</f>
        <v>0.99781403854508677</v>
      </c>
      <c r="BP66" s="5">
        <f>IF($E66&gt;=BP$2,VLOOKUP($E66-BP$2,'data input'!$D$3:$E$130,2,FALSE),0)</f>
        <v>0.99827771888413241</v>
      </c>
      <c r="BQ66" s="5">
        <f>IF($E66&gt;=BQ$2,VLOOKUP($E66-BQ$2,'data input'!$D$3:$E$130,2,FALSE),0)</f>
        <v>0.9986501019683699</v>
      </c>
      <c r="BR66" s="5">
        <f>IF($E66&gt;=BR$2,VLOOKUP($E66-BR$2,'data input'!$D$3:$E$130,2,FALSE),0)</f>
        <v>0</v>
      </c>
      <c r="BS66" s="5">
        <f>IF($E66&gt;=BS$2,VLOOKUP($E66-BS$2,'data input'!$D$3:$E$130,2,FALSE),0)</f>
        <v>0</v>
      </c>
      <c r="BT66" s="5">
        <f>IF($E66&gt;=BT$2,VLOOKUP($E66-BT$2,'data input'!$D$3:$E$130,2,FALSE),0)</f>
        <v>0</v>
      </c>
      <c r="BU66" s="5">
        <f>IF($E66&gt;=BU$2,VLOOKUP($E66-BU$2,'data input'!$D$3:$E$130,2,FALSE),0)</f>
        <v>0</v>
      </c>
      <c r="BV66" s="5">
        <f>IF($E66&gt;=BV$2,VLOOKUP($E66-BV$2,'data input'!$D$3:$E$130,2,FALSE),0)</f>
        <v>0</v>
      </c>
      <c r="BW66" s="5">
        <f>IF($E66&gt;=BW$2,VLOOKUP($E66-BW$2,'data input'!$D$3:$E$130,2,FALSE),0)</f>
        <v>0</v>
      </c>
      <c r="BX66" s="5">
        <f>IF($E66&gt;=BX$2,VLOOKUP($E66-BX$2,'data input'!$D$3:$E$130,2,FALSE),0)</f>
        <v>0</v>
      </c>
      <c r="BY66" s="5">
        <f>IF($E66&gt;=BY$2,VLOOKUP($E66-BY$2,'data input'!$D$3:$E$130,2,FALSE),0)</f>
        <v>0</v>
      </c>
      <c r="BZ66" s="5">
        <f>IF($E66&gt;=BZ$2,VLOOKUP($E66-BZ$2,'data input'!$D$3:$E$130,2,FALSE),0)</f>
        <v>0</v>
      </c>
      <c r="CA66" s="5">
        <f>IF($E66&gt;=CA$2,VLOOKUP($E66-CA$2,'data input'!$D$3:$E$130,2,FALSE),0)</f>
        <v>0</v>
      </c>
      <c r="CB66" s="5">
        <f>IF($E66&gt;=CB$2,VLOOKUP($E66-CB$2,'data input'!$D$3:$E$130,2,FALSE),0)</f>
        <v>0</v>
      </c>
      <c r="CC66" s="5">
        <f>IF($E66&gt;=CC$2,VLOOKUP($E66-CC$2,'data input'!$D$3:$E$130,2,FALSE),0)</f>
        <v>0</v>
      </c>
      <c r="CD66" s="5">
        <f>IF($E66&gt;=CD$2,VLOOKUP($E66-CD$2,'data input'!$D$3:$E$130,2,FALSE),0)</f>
        <v>0</v>
      </c>
      <c r="CE66" s="5">
        <f>IF($E66&gt;=CE$2,VLOOKUP($E66-CE$2,'data input'!$D$3:$E$130,2,FALSE),0)</f>
        <v>0</v>
      </c>
      <c r="CF66" s="5">
        <f>IF($E66&gt;=CF$2,VLOOKUP($E66-CF$2,'data input'!$D$3:$E$130,2,FALSE),0)</f>
        <v>0</v>
      </c>
      <c r="CG66" s="5">
        <f>IF($E66&gt;=CG$2,VLOOKUP($E66-CG$2,'data input'!$D$3:$E$130,2,FALSE),0)</f>
        <v>0</v>
      </c>
      <c r="CH66" s="5">
        <f>IF($E66&gt;=CH$2,VLOOKUP($E66-CH$2,'data input'!$D$3:$E$130,2,FALSE),0)</f>
        <v>0</v>
      </c>
      <c r="CI66" s="5">
        <f>IF($E66&gt;=CI$2,VLOOKUP($E66-CI$2,'data input'!$D$3:$E$130,2,FALSE),0)</f>
        <v>0</v>
      </c>
      <c r="CJ66" s="5">
        <f>IF($E66&gt;=CJ$2,VLOOKUP($E66-CJ$2,'data input'!$D$3:$E$130,2,FALSE),0)</f>
        <v>0</v>
      </c>
      <c r="CK66" s="5">
        <f>IF($E66&gt;=CK$2,VLOOKUP($E66-CK$2,'data input'!$D$3:$E$130,2,FALSE),0)</f>
        <v>0</v>
      </c>
      <c r="CL66" s="5">
        <f>IF($E66&gt;=CL$2,VLOOKUP($E66-CL$2,'data input'!$D$3:$E$130,2,FALSE),0)</f>
        <v>0</v>
      </c>
      <c r="CM66" s="5">
        <f>IF($E66&gt;=CM$2,VLOOKUP($E66-CM$2,'data input'!$D$3:$E$130,2,FALSE),0)</f>
        <v>0</v>
      </c>
      <c r="CN66" s="5">
        <f>IF($E66&gt;=CN$2,VLOOKUP($E66-CN$2,'data input'!$D$3:$E$130,2,FALSE),0)</f>
        <v>0</v>
      </c>
      <c r="CO66" s="5">
        <f>IF($E66&gt;=CO$2,VLOOKUP($E66-CO$2,'data input'!$D$3:$E$130,2,FALSE),0)</f>
        <v>0</v>
      </c>
      <c r="CP66" s="5">
        <f>IF($E66&gt;=CP$2,VLOOKUP($E66-CP$2,'data input'!$D$3:$E$130,2,FALSE),0)</f>
        <v>0</v>
      </c>
      <c r="CQ66" s="5">
        <f>IF($E66&gt;=CQ$2,VLOOKUP($E66-CQ$2,'data input'!$D$3:$E$130,2,FALSE),0)</f>
        <v>0</v>
      </c>
      <c r="CR66" s="5">
        <f>IF($E66&gt;=CR$2,VLOOKUP($E66-CR$2,'data input'!$D$3:$E$130,2,FALSE),0)</f>
        <v>0</v>
      </c>
      <c r="CS66" s="5">
        <f>IF($E66&gt;=CS$2,VLOOKUP($E66-CS$2,'data input'!$D$3:$E$130,2,FALSE),0)</f>
        <v>0</v>
      </c>
      <c r="CT66" s="5">
        <f>IF($E66&gt;=CT$2,VLOOKUP($E66-CT$2,'data input'!$D$3:$E$130,2,FALSE),0)</f>
        <v>0</v>
      </c>
      <c r="CU66" s="5">
        <f>IF($E66&gt;=CU$2,VLOOKUP($E66-CU$2,'data input'!$D$3:$E$130,2,FALSE),0)</f>
        <v>0</v>
      </c>
      <c r="CV66" s="5">
        <f>IF($E66&gt;=CV$2,VLOOKUP($E66-CV$2,'data input'!$D$3:$E$130,2,FALSE),0)</f>
        <v>0</v>
      </c>
      <c r="CW66" s="5">
        <f>IF($E66&gt;=CW$2,VLOOKUP($E66-CW$2,'data input'!$D$3:$E$130,2,FALSE),0)</f>
        <v>0</v>
      </c>
      <c r="CX66" s="5">
        <f>IF($E66&gt;=CX$2,VLOOKUP($E66-CX$2,'data input'!$D$3:$E$130,2,FALSE),0)</f>
        <v>0</v>
      </c>
      <c r="CY66" s="5">
        <f>IF($E66&gt;=CY$2,VLOOKUP($E66-CY$2,'data input'!$D$3:$E$130,2,FALSE),0)</f>
        <v>0</v>
      </c>
      <c r="CZ66" s="5">
        <f>IF($E66&gt;=CZ$2,VLOOKUP($E66-CZ$2,'data input'!$D$3:$E$130,2,FALSE),0)</f>
        <v>0</v>
      </c>
      <c r="DA66" s="5">
        <f>IF($E66&gt;=DA$2,VLOOKUP($E66-DA$2,'data input'!$D$3:$E$130,2,FALSE),0)</f>
        <v>0</v>
      </c>
      <c r="DB66" s="5">
        <f>IF($E66&gt;=DB$2,VLOOKUP($E66-DB$2,'data input'!$D$3:$E$130,2,FALSE),0)</f>
        <v>0</v>
      </c>
      <c r="DC66" s="5">
        <f>IF($E66&gt;=DC$2,VLOOKUP($E66-DC$2,'data input'!$D$3:$E$130,2,FALSE),0)</f>
        <v>0</v>
      </c>
      <c r="DD66" s="5">
        <f>IF($E66&gt;=DD$2,VLOOKUP($E66-DD$2,'data input'!$D$3:$E$130,2,FALSE),0)</f>
        <v>0</v>
      </c>
      <c r="DE66" s="5">
        <f>IF($E66&gt;=DE$2,VLOOKUP($E66-DE$2,'data input'!$D$3:$E$130,2,FALSE),0)</f>
        <v>0</v>
      </c>
      <c r="DF66" s="5">
        <f>IF($E66&gt;=DF$2,VLOOKUP($E66-DF$2,'data input'!$D$3:$E$130,2,FALSE),0)</f>
        <v>0</v>
      </c>
      <c r="DG66" s="5">
        <f>IF($E66&gt;=DG$2,VLOOKUP($E66-DG$2,'data input'!$D$3:$E$130,2,FALSE),0)</f>
        <v>0</v>
      </c>
      <c r="DH66" s="5">
        <f>IF($E66&gt;=DH$2,VLOOKUP($E66-DH$2,'data input'!$D$3:$E$130,2,FALSE),0)</f>
        <v>0</v>
      </c>
      <c r="DI66" s="5">
        <f>IF($E66&gt;=DI$2,VLOOKUP($E66-DI$2,'data input'!$D$3:$E$130,2,FALSE),0)</f>
        <v>0</v>
      </c>
      <c r="DJ66" s="5">
        <f>IF($E66&gt;=DJ$2,VLOOKUP($E66-DJ$2,'data input'!$D$3:$E$130,2,FALSE),0)</f>
        <v>0</v>
      </c>
      <c r="DK66" s="5">
        <f>IF($E66&gt;=DK$2,VLOOKUP($E66-DK$2,'data input'!$D$3:$E$130,2,FALSE),0)</f>
        <v>0</v>
      </c>
      <c r="DL66" s="5">
        <f>IF($E66&gt;=DL$2,VLOOKUP($E66-DL$2,'data input'!$D$3:$E$130,2,FALSE),0)</f>
        <v>0</v>
      </c>
      <c r="DM66" s="5">
        <f>IF($E66&gt;=DM$2,VLOOKUP($E66-DM$2,'data input'!$D$3:$E$130,2,FALSE),0)</f>
        <v>0</v>
      </c>
      <c r="DN66" s="5">
        <f>IF($E66&gt;=DN$2,VLOOKUP($E66-DN$2,'data input'!$D$3:$E$130,2,FALSE),0)</f>
        <v>0</v>
      </c>
      <c r="DO66" s="5">
        <f>IF($E66&gt;=DO$2,VLOOKUP($E66-DO$2,'data input'!$D$3:$E$130,2,FALSE),0)</f>
        <v>0</v>
      </c>
      <c r="DP66" s="5">
        <f>IF($E66&gt;=DP$2,VLOOKUP($E66-DP$2,'data input'!$D$3:$E$130,2,FALSE),0)</f>
        <v>0</v>
      </c>
      <c r="DQ66" s="5">
        <f>IF($E66&gt;=DQ$2,VLOOKUP($E66-DQ$2,'data input'!$D$3:$E$130,2,FALSE),0)</f>
        <v>0</v>
      </c>
      <c r="DR66" s="5">
        <f>IF($E66&gt;=DR$2,VLOOKUP($E66-DR$2,'data input'!$D$3:$E$130,2,FALSE),0)</f>
        <v>0</v>
      </c>
      <c r="DS66" s="5">
        <f>IF($E66&gt;=DS$2,VLOOKUP($E66-DS$2,'data input'!$D$3:$E$130,2,FALSE),0)</f>
        <v>0</v>
      </c>
      <c r="DT66" s="5">
        <f>IF($E66&gt;=DT$2,VLOOKUP($E66-DT$2,'data input'!$D$3:$E$130,2,FALSE),0)</f>
        <v>0</v>
      </c>
      <c r="DU66" s="5">
        <f>IF($E66&gt;=DU$2,VLOOKUP($E66-DU$2,'data input'!$D$3:$E$130,2,FALSE),0)</f>
        <v>0</v>
      </c>
      <c r="DV66" s="5">
        <f>IF($E66&gt;=DV$2,VLOOKUP($E66-DV$2,'data input'!$D$3:$E$130,2,FALSE),0)</f>
        <v>0</v>
      </c>
      <c r="DW66" s="5">
        <f>IF($E66&gt;=DW$2,VLOOKUP($E66-DW$2,'data input'!$D$3:$E$130,2,FALSE),0)</f>
        <v>0</v>
      </c>
      <c r="DX66" s="5">
        <f>IF($E66&gt;=DX$2,VLOOKUP($E66-DX$2,'data input'!$D$3:$E$130,2,FALSE),0)</f>
        <v>0</v>
      </c>
      <c r="DY66" s="5">
        <f>IF($E66&gt;=DY$2,VLOOKUP($E66-DY$2,'data input'!$D$3:$E$130,2,FALSE),0)</f>
        <v>0</v>
      </c>
      <c r="DZ66" s="5">
        <f>IF($E66&gt;=DZ$2,VLOOKUP($E66-DZ$2,'data input'!$D$3:$E$130,2,FALSE),0)</f>
        <v>0</v>
      </c>
      <c r="EA66" s="5">
        <f>IF($E66&gt;=EA$2,VLOOKUP($E66-EA$2,'data input'!$D$3:$E$130,2,FALSE),0)</f>
        <v>0</v>
      </c>
      <c r="EB66" s="5">
        <f>IF($E66&gt;=EB$2,VLOOKUP($E66-EB$2,'data input'!$D$3:$E$130,2,FALSE),0)</f>
        <v>0</v>
      </c>
      <c r="EC66" s="5">
        <f>IF($E66&gt;=EC$2,VLOOKUP($E66-EC$2,'data input'!$D$3:$E$130,2,FALSE),0)</f>
        <v>0</v>
      </c>
    </row>
    <row r="67" spans="5:133">
      <c r="E67" s="7">
        <f>'data input'!B67</f>
        <v>1942</v>
      </c>
      <c r="F67" s="5">
        <f>IF($E67&gt;=F$2,VLOOKUP($E67-F$2,'data input'!$D$3:$E$130,2,FALSE),0)</f>
        <v>3.5930319112925768E-2</v>
      </c>
      <c r="G67" s="5">
        <f>IF($E67&gt;=G$2,VLOOKUP($E67-G$2,'data input'!$D$3:$E$130,2,FALSE),0)</f>
        <v>4.2263736257952433E-2</v>
      </c>
      <c r="H67" s="5">
        <f>IF($E67&gt;=H$2,VLOOKUP($E67-H$2,'data input'!$D$3:$E$130,2,FALSE),0)</f>
        <v>4.9471468033648103E-2</v>
      </c>
      <c r="I67" s="5">
        <f>IF($E67&gt;=I$2,VLOOKUP($E67-I$2,'data input'!$D$3:$E$130,2,FALSE),0)</f>
        <v>5.7628222276153163E-2</v>
      </c>
      <c r="J67" s="5">
        <f>IF($E67&gt;=J$2,VLOOKUP($E67-J$2,'data input'!$D$3:$E$130,2,FALSE),0)</f>
        <v>6.6807201268858085E-2</v>
      </c>
      <c r="K67" s="5">
        <f>IF($E67&gt;=K$2,VLOOKUP($E67-K$2,'data input'!$D$3:$E$130,2,FALSE),0)</f>
        <v>7.707860055207183E-2</v>
      </c>
      <c r="L67" s="5">
        <f>IF($E67&gt;=L$2,VLOOKUP($E67-L$2,'data input'!$D$3:$E$130,2,FALSE),0)</f>
        <v>8.8507991437402067E-2</v>
      </c>
      <c r="M67" s="5">
        <f>IF($E67&gt;=M$2,VLOOKUP($E67-M$2,'data input'!$D$3:$E$130,2,FALSE),0)</f>
        <v>0.10115462099558592</v>
      </c>
      <c r="N67" s="5">
        <f>IF($E67&gt;=N$2,VLOOKUP($E67-N$2,'data input'!$D$3:$E$130,2,FALSE),0)</f>
        <v>0.11506967022170822</v>
      </c>
      <c r="O67" s="5">
        <f>IF($E67&gt;=O$2,VLOOKUP($E67-O$2,'data input'!$D$3:$E$130,2,FALSE),0)</f>
        <v>0.13029451713680884</v>
      </c>
      <c r="P67" s="5">
        <f>IF($E67&gt;=P$2,VLOOKUP($E67-P$2,'data input'!$D$3:$E$130,2,FALSE),0)</f>
        <v>0.14685905637589591</v>
      </c>
      <c r="Q67" s="5">
        <f>IF($E67&gt;=Q$2,VLOOKUP($E67-Q$2,'data input'!$D$3:$E$130,2,FALSE),0)</f>
        <v>0.16478012998031033</v>
      </c>
      <c r="R67" s="5">
        <f>IF($E67&gt;=R$2,VLOOKUP($E67-R$2,'data input'!$D$3:$E$130,2,FALSE),0)</f>
        <v>0.18406012534675953</v>
      </c>
      <c r="S67" s="5">
        <f>IF($E67&gt;=S$2,VLOOKUP($E67-S$2,'data input'!$D$3:$E$130,2,FALSE),0)</f>
        <v>0.20468579534725262</v>
      </c>
      <c r="T67" s="5">
        <f>IF($E67&gt;=T$2,VLOOKUP($E67-T$2,'data input'!$D$3:$E$130,2,FALSE),0)</f>
        <v>0.22662735237686826</v>
      </c>
      <c r="U67" s="5">
        <f>IF($E67&gt;=U$2,VLOOKUP($E67-U$2,'data input'!$D$3:$E$130,2,FALSE),0)</f>
        <v>0.24983788247177696</v>
      </c>
      <c r="V67" s="5">
        <f>IF($E67&gt;=V$2,VLOOKUP($E67-V$2,'data input'!$D$3:$E$130,2,FALSE),0)</f>
        <v>0.27425311775007355</v>
      </c>
      <c r="W67" s="5">
        <f>IF($E67&gt;=W$2,VLOOKUP($E67-W$2,'data input'!$D$3:$E$130,2,FALSE),0)</f>
        <v>0.29979159546869583</v>
      </c>
      <c r="X67" s="5">
        <f>IF($E67&gt;=X$2,VLOOKUP($E67-X$2,'data input'!$D$3:$E$130,2,FALSE),0)</f>
        <v>0.32635522028792008</v>
      </c>
      <c r="Y67" s="5">
        <f>IF($E67&gt;=Y$2,VLOOKUP($E67-Y$2,'data input'!$D$3:$E$130,2,FALSE),0)</f>
        <v>0.35383023332727614</v>
      </c>
      <c r="Z67" s="5">
        <f>IF($E67&gt;=Z$2,VLOOKUP($E67-Z$2,'data input'!$D$3:$E$130,2,FALSE),0)</f>
        <v>0.38208857781104733</v>
      </c>
      <c r="AA67" s="5">
        <f>IF($E67&gt;=AA$2,VLOOKUP($E67-AA$2,'data input'!$D$3:$E$130,2,FALSE),0)</f>
        <v>0.41098963713127035</v>
      </c>
      <c r="AB67" s="5">
        <f>IF($E67&gt;=AB$2,VLOOKUP($E67-AB$2,'data input'!$D$3:$E$130,2,FALSE),0)</f>
        <v>0.4403823076297575</v>
      </c>
      <c r="AC67" s="5">
        <f>IF($E67&gt;=AC$2,VLOOKUP($E67-AC$2,'data input'!$D$3:$E$130,2,FALSE),0)</f>
        <v>0.47010735594710518</v>
      </c>
      <c r="AD67" s="5">
        <f>IF($E67&gt;=AD$2,VLOOKUP($E67-AD$2,'data input'!$D$3:$E$130,2,FALSE),0)</f>
        <v>0.5</v>
      </c>
      <c r="AE67" s="5">
        <f>IF($E67&gt;=AE$2,VLOOKUP($E67-AE$2,'data input'!$D$3:$E$130,2,FALSE),0)</f>
        <v>0.52989264405289482</v>
      </c>
      <c r="AF67" s="5">
        <f>IF($E67&gt;=AF$2,VLOOKUP($E67-AF$2,'data input'!$D$3:$E$130,2,FALSE),0)</f>
        <v>0.5596176923702425</v>
      </c>
      <c r="AG67" s="5">
        <f>IF($E67&gt;=AG$2,VLOOKUP($E67-AG$2,'data input'!$D$3:$E$130,2,FALSE),0)</f>
        <v>0.58901036286872965</v>
      </c>
      <c r="AH67" s="5">
        <f>IF($E67&gt;=AH$2,VLOOKUP($E67-AH$2,'data input'!$D$3:$E$130,2,FALSE),0)</f>
        <v>0.61791142218895267</v>
      </c>
      <c r="AI67" s="5">
        <f>IF($E67&gt;=AI$2,VLOOKUP($E67-AI$2,'data input'!$D$3:$E$130,2,FALSE),0)</f>
        <v>0.64616976667272386</v>
      </c>
      <c r="AJ67" s="5">
        <f>IF($E67&gt;=AJ$2,VLOOKUP($E67-AJ$2,'data input'!$D$3:$E$130,2,FALSE),0)</f>
        <v>0.67364477971207992</v>
      </c>
      <c r="AK67" s="5">
        <f>IF($E67&gt;=AK$2,VLOOKUP($E67-AK$2,'data input'!$D$3:$E$130,2,FALSE),0)</f>
        <v>0.70020840453130417</v>
      </c>
      <c r="AL67" s="5">
        <f>IF($E67&gt;=AL$2,VLOOKUP($E67-AL$2,'data input'!$D$3:$E$130,2,FALSE),0)</f>
        <v>0.72574688224992645</v>
      </c>
      <c r="AM67" s="5">
        <f>IF($E67&gt;=AM$2,VLOOKUP($E67-AM$2,'data input'!$D$3:$E$130,2,FALSE),0)</f>
        <v>0.75016211752822304</v>
      </c>
      <c r="AN67" s="5">
        <f>IF($E67&gt;=AN$2,VLOOKUP($E67-AN$2,'data input'!$D$3:$E$130,2,FALSE),0)</f>
        <v>0.77337264762313174</v>
      </c>
      <c r="AO67" s="5">
        <f>IF($E67&gt;=AO$2,VLOOKUP($E67-AO$2,'data input'!$D$3:$E$130,2,FALSE),0)</f>
        <v>0.79531420465274738</v>
      </c>
      <c r="AP67" s="5">
        <f>IF($E67&gt;=AP$2,VLOOKUP($E67-AP$2,'data input'!$D$3:$E$130,2,FALSE),0)</f>
        <v>0.81593987465324047</v>
      </c>
      <c r="AQ67" s="5">
        <f>IF($E67&gt;=AQ$2,VLOOKUP($E67-AQ$2,'data input'!$D$3:$E$130,2,FALSE),0)</f>
        <v>0.83521987001968967</v>
      </c>
      <c r="AR67" s="5">
        <f>IF($E67&gt;=AR$2,VLOOKUP($E67-AR$2,'data input'!$D$3:$E$130,2,FALSE),0)</f>
        <v>0.85314094362410409</v>
      </c>
      <c r="AS67" s="5">
        <f>IF($E67&gt;=AS$2,VLOOKUP($E67-AS$2,'data input'!$D$3:$E$130,2,FALSE),0)</f>
        <v>0.86970548286319116</v>
      </c>
      <c r="AT67" s="5">
        <f>IF($E67&gt;=AT$2,VLOOKUP($E67-AT$2,'data input'!$D$3:$E$130,2,FALSE),0)</f>
        <v>0.88493032977829178</v>
      </c>
      <c r="AU67" s="5">
        <f>IF($E67&gt;=AU$2,VLOOKUP($E67-AU$2,'data input'!$D$3:$E$130,2,FALSE),0)</f>
        <v>0.89884537900441408</v>
      </c>
      <c r="AV67" s="5">
        <f>IF($E67&gt;=AV$2,VLOOKUP($E67-AV$2,'data input'!$D$3:$E$130,2,FALSE),0)</f>
        <v>0.91149200856259793</v>
      </c>
      <c r="AW67" s="5">
        <f>IF($E67&gt;=AW$2,VLOOKUP($E67-AW$2,'data input'!$D$3:$E$130,2,FALSE),0)</f>
        <v>0.92292139944792817</v>
      </c>
      <c r="AX67" s="5">
        <f>IF($E67&gt;=AX$2,VLOOKUP($E67-AX$2,'data input'!$D$3:$E$130,2,FALSE),0)</f>
        <v>0.93319279873114191</v>
      </c>
      <c r="AY67" s="5">
        <f>IF($E67&gt;=AY$2,VLOOKUP($E67-AY$2,'data input'!$D$3:$E$130,2,FALSE),0)</f>
        <v>0.94237177772384684</v>
      </c>
      <c r="AZ67" s="5">
        <f>IF($E67&gt;=AZ$2,VLOOKUP($E67-AZ$2,'data input'!$D$3:$E$130,2,FALSE),0)</f>
        <v>0.9505285319663519</v>
      </c>
      <c r="BA67" s="5">
        <f>IF($E67&gt;=BA$2,VLOOKUP($E67-BA$2,'data input'!$D$3:$E$130,2,FALSE),0)</f>
        <v>0.95773626374204757</v>
      </c>
      <c r="BB67" s="5">
        <f>IF($E67&gt;=BB$2,VLOOKUP($E67-BB$2,'data input'!$D$3:$E$130,2,FALSE),0)</f>
        <v>0.96406968088707423</v>
      </c>
      <c r="BC67" s="5">
        <f>IF($E67&gt;=BC$2,VLOOKUP($E67-BC$2,'data input'!$D$3:$E$130,2,FALSE),0)</f>
        <v>0.96960363823473861</v>
      </c>
      <c r="BD67" s="5">
        <f>IF($E67&gt;=BD$2,VLOOKUP($E67-BD$2,'data input'!$D$3:$E$130,2,FALSE),0)</f>
        <v>0.97441194047836144</v>
      </c>
      <c r="BE67" s="5">
        <f>IF($E67&gt;=BE$2,VLOOKUP($E67-BE$2,'data input'!$D$3:$E$130,2,FALSE),0)</f>
        <v>0.97856631788584703</v>
      </c>
      <c r="BF67" s="5">
        <f>IF($E67&gt;=BF$2,VLOOKUP($E67-BF$2,'data input'!$D$3:$E$130,2,FALSE),0)</f>
        <v>0.98213557943718344</v>
      </c>
      <c r="BG67" s="5">
        <f>IF($E67&gt;=BG$2,VLOOKUP($E67-BG$2,'data input'!$D$3:$E$130,2,FALSE),0)</f>
        <v>0.98518494180739014</v>
      </c>
      <c r="BH67" s="5">
        <f>IF($E67&gt;=BH$2,VLOOKUP($E67-BH$2,'data input'!$D$3:$E$130,2,FALSE),0)</f>
        <v>0.98777552734495533</v>
      </c>
      <c r="BI67" s="5">
        <f>IF($E67&gt;=BI$2,VLOOKUP($E67-BI$2,'data input'!$D$3:$E$130,2,FALSE),0)</f>
        <v>0.98996401989972593</v>
      </c>
      <c r="BJ67" s="5">
        <f>IF($E67&gt;=BJ$2,VLOOKUP($E67-BJ$2,'data input'!$D$3:$E$130,2,FALSE),0)</f>
        <v>0.99180246407540384</v>
      </c>
      <c r="BK67" s="5">
        <f>IF($E67&gt;=BK$2,VLOOKUP($E67-BK$2,'data input'!$D$3:$E$130,2,FALSE),0)</f>
        <v>0.99333819120801725</v>
      </c>
      <c r="BL67" s="5">
        <f>IF($E67&gt;=BL$2,VLOOKUP($E67-BL$2,'data input'!$D$3:$E$130,2,FALSE),0)</f>
        <v>0.99461385404593328</v>
      </c>
      <c r="BM67" s="5">
        <f>IF($E67&gt;=BM$2,VLOOKUP($E67-BM$2,'data input'!$D$3:$E$130,2,FALSE),0)</f>
        <v>0.99566755163698739</v>
      </c>
      <c r="BN67" s="5">
        <f>IF($E67&gt;=BN$2,VLOOKUP($E67-BN$2,'data input'!$D$3:$E$130,2,FALSE),0)</f>
        <v>0.99653302619695938</v>
      </c>
      <c r="BO67" s="5">
        <f>IF($E67&gt;=BO$2,VLOOKUP($E67-BO$2,'data input'!$D$3:$E$130,2,FALSE),0)</f>
        <v>0.99723991460873751</v>
      </c>
      <c r="BP67" s="5">
        <f>IF($E67&gt;=BP$2,VLOOKUP($E67-BP$2,'data input'!$D$3:$E$130,2,FALSE),0)</f>
        <v>0.99781403854508677</v>
      </c>
      <c r="BQ67" s="5">
        <f>IF($E67&gt;=BQ$2,VLOOKUP($E67-BQ$2,'data input'!$D$3:$E$130,2,FALSE),0)</f>
        <v>0.99827771888413241</v>
      </c>
      <c r="BR67" s="5">
        <f>IF($E67&gt;=BR$2,VLOOKUP($E67-BR$2,'data input'!$D$3:$E$130,2,FALSE),0)</f>
        <v>0.9986501019683699</v>
      </c>
      <c r="BS67" s="5">
        <f>IF($E67&gt;=BS$2,VLOOKUP($E67-BS$2,'data input'!$D$3:$E$130,2,FALSE),0)</f>
        <v>0</v>
      </c>
      <c r="BT67" s="5">
        <f>IF($E67&gt;=BT$2,VLOOKUP($E67-BT$2,'data input'!$D$3:$E$130,2,FALSE),0)</f>
        <v>0</v>
      </c>
      <c r="BU67" s="5">
        <f>IF($E67&gt;=BU$2,VLOOKUP($E67-BU$2,'data input'!$D$3:$E$130,2,FALSE),0)</f>
        <v>0</v>
      </c>
      <c r="BV67" s="5">
        <f>IF($E67&gt;=BV$2,VLOOKUP($E67-BV$2,'data input'!$D$3:$E$130,2,FALSE),0)</f>
        <v>0</v>
      </c>
      <c r="BW67" s="5">
        <f>IF($E67&gt;=BW$2,VLOOKUP($E67-BW$2,'data input'!$D$3:$E$130,2,FALSE),0)</f>
        <v>0</v>
      </c>
      <c r="BX67" s="5">
        <f>IF($E67&gt;=BX$2,VLOOKUP($E67-BX$2,'data input'!$D$3:$E$130,2,FALSE),0)</f>
        <v>0</v>
      </c>
      <c r="BY67" s="5">
        <f>IF($E67&gt;=BY$2,VLOOKUP($E67-BY$2,'data input'!$D$3:$E$130,2,FALSE),0)</f>
        <v>0</v>
      </c>
      <c r="BZ67" s="5">
        <f>IF($E67&gt;=BZ$2,VLOOKUP($E67-BZ$2,'data input'!$D$3:$E$130,2,FALSE),0)</f>
        <v>0</v>
      </c>
      <c r="CA67" s="5">
        <f>IF($E67&gt;=CA$2,VLOOKUP($E67-CA$2,'data input'!$D$3:$E$130,2,FALSE),0)</f>
        <v>0</v>
      </c>
      <c r="CB67" s="5">
        <f>IF($E67&gt;=CB$2,VLOOKUP($E67-CB$2,'data input'!$D$3:$E$130,2,FALSE),0)</f>
        <v>0</v>
      </c>
      <c r="CC67" s="5">
        <f>IF($E67&gt;=CC$2,VLOOKUP($E67-CC$2,'data input'!$D$3:$E$130,2,FALSE),0)</f>
        <v>0</v>
      </c>
      <c r="CD67" s="5">
        <f>IF($E67&gt;=CD$2,VLOOKUP($E67-CD$2,'data input'!$D$3:$E$130,2,FALSE),0)</f>
        <v>0</v>
      </c>
      <c r="CE67" s="5">
        <f>IF($E67&gt;=CE$2,VLOOKUP($E67-CE$2,'data input'!$D$3:$E$130,2,FALSE),0)</f>
        <v>0</v>
      </c>
      <c r="CF67" s="5">
        <f>IF($E67&gt;=CF$2,VLOOKUP($E67-CF$2,'data input'!$D$3:$E$130,2,FALSE),0)</f>
        <v>0</v>
      </c>
      <c r="CG67" s="5">
        <f>IF($E67&gt;=CG$2,VLOOKUP($E67-CG$2,'data input'!$D$3:$E$130,2,FALSE),0)</f>
        <v>0</v>
      </c>
      <c r="CH67" s="5">
        <f>IF($E67&gt;=CH$2,VLOOKUP($E67-CH$2,'data input'!$D$3:$E$130,2,FALSE),0)</f>
        <v>0</v>
      </c>
      <c r="CI67" s="5">
        <f>IF($E67&gt;=CI$2,VLOOKUP($E67-CI$2,'data input'!$D$3:$E$130,2,FALSE),0)</f>
        <v>0</v>
      </c>
      <c r="CJ67" s="5">
        <f>IF($E67&gt;=CJ$2,VLOOKUP($E67-CJ$2,'data input'!$D$3:$E$130,2,FALSE),0)</f>
        <v>0</v>
      </c>
      <c r="CK67" s="5">
        <f>IF($E67&gt;=CK$2,VLOOKUP($E67-CK$2,'data input'!$D$3:$E$130,2,FALSE),0)</f>
        <v>0</v>
      </c>
      <c r="CL67" s="5">
        <f>IF($E67&gt;=CL$2,VLOOKUP($E67-CL$2,'data input'!$D$3:$E$130,2,FALSE),0)</f>
        <v>0</v>
      </c>
      <c r="CM67" s="5">
        <f>IF($E67&gt;=CM$2,VLOOKUP($E67-CM$2,'data input'!$D$3:$E$130,2,FALSE),0)</f>
        <v>0</v>
      </c>
      <c r="CN67" s="5">
        <f>IF($E67&gt;=CN$2,VLOOKUP($E67-CN$2,'data input'!$D$3:$E$130,2,FALSE),0)</f>
        <v>0</v>
      </c>
      <c r="CO67" s="5">
        <f>IF($E67&gt;=CO$2,VLOOKUP($E67-CO$2,'data input'!$D$3:$E$130,2,FALSE),0)</f>
        <v>0</v>
      </c>
      <c r="CP67" s="5">
        <f>IF($E67&gt;=CP$2,VLOOKUP($E67-CP$2,'data input'!$D$3:$E$130,2,FALSE),0)</f>
        <v>0</v>
      </c>
      <c r="CQ67" s="5">
        <f>IF($E67&gt;=CQ$2,VLOOKUP($E67-CQ$2,'data input'!$D$3:$E$130,2,FALSE),0)</f>
        <v>0</v>
      </c>
      <c r="CR67" s="5">
        <f>IF($E67&gt;=CR$2,VLOOKUP($E67-CR$2,'data input'!$D$3:$E$130,2,FALSE),0)</f>
        <v>0</v>
      </c>
      <c r="CS67" s="5">
        <f>IF($E67&gt;=CS$2,VLOOKUP($E67-CS$2,'data input'!$D$3:$E$130,2,FALSE),0)</f>
        <v>0</v>
      </c>
      <c r="CT67" s="5">
        <f>IF($E67&gt;=CT$2,VLOOKUP($E67-CT$2,'data input'!$D$3:$E$130,2,FALSE),0)</f>
        <v>0</v>
      </c>
      <c r="CU67" s="5">
        <f>IF($E67&gt;=CU$2,VLOOKUP($E67-CU$2,'data input'!$D$3:$E$130,2,FALSE),0)</f>
        <v>0</v>
      </c>
      <c r="CV67" s="5">
        <f>IF($E67&gt;=CV$2,VLOOKUP($E67-CV$2,'data input'!$D$3:$E$130,2,FALSE),0)</f>
        <v>0</v>
      </c>
      <c r="CW67" s="5">
        <f>IF($E67&gt;=CW$2,VLOOKUP($E67-CW$2,'data input'!$D$3:$E$130,2,FALSE),0)</f>
        <v>0</v>
      </c>
      <c r="CX67" s="5">
        <f>IF($E67&gt;=CX$2,VLOOKUP($E67-CX$2,'data input'!$D$3:$E$130,2,FALSE),0)</f>
        <v>0</v>
      </c>
      <c r="CY67" s="5">
        <f>IF($E67&gt;=CY$2,VLOOKUP($E67-CY$2,'data input'!$D$3:$E$130,2,FALSE),0)</f>
        <v>0</v>
      </c>
      <c r="CZ67" s="5">
        <f>IF($E67&gt;=CZ$2,VLOOKUP($E67-CZ$2,'data input'!$D$3:$E$130,2,FALSE),0)</f>
        <v>0</v>
      </c>
      <c r="DA67" s="5">
        <f>IF($E67&gt;=DA$2,VLOOKUP($E67-DA$2,'data input'!$D$3:$E$130,2,FALSE),0)</f>
        <v>0</v>
      </c>
      <c r="DB67" s="5">
        <f>IF($E67&gt;=DB$2,VLOOKUP($E67-DB$2,'data input'!$D$3:$E$130,2,FALSE),0)</f>
        <v>0</v>
      </c>
      <c r="DC67" s="5">
        <f>IF($E67&gt;=DC$2,VLOOKUP($E67-DC$2,'data input'!$D$3:$E$130,2,FALSE),0)</f>
        <v>0</v>
      </c>
      <c r="DD67" s="5">
        <f>IF($E67&gt;=DD$2,VLOOKUP($E67-DD$2,'data input'!$D$3:$E$130,2,FALSE),0)</f>
        <v>0</v>
      </c>
      <c r="DE67" s="5">
        <f>IF($E67&gt;=DE$2,VLOOKUP($E67-DE$2,'data input'!$D$3:$E$130,2,FALSE),0)</f>
        <v>0</v>
      </c>
      <c r="DF67" s="5">
        <f>IF($E67&gt;=DF$2,VLOOKUP($E67-DF$2,'data input'!$D$3:$E$130,2,FALSE),0)</f>
        <v>0</v>
      </c>
      <c r="DG67" s="5">
        <f>IF($E67&gt;=DG$2,VLOOKUP($E67-DG$2,'data input'!$D$3:$E$130,2,FALSE),0)</f>
        <v>0</v>
      </c>
      <c r="DH67" s="5">
        <f>IF($E67&gt;=DH$2,VLOOKUP($E67-DH$2,'data input'!$D$3:$E$130,2,FALSE),0)</f>
        <v>0</v>
      </c>
      <c r="DI67" s="5">
        <f>IF($E67&gt;=DI$2,VLOOKUP($E67-DI$2,'data input'!$D$3:$E$130,2,FALSE),0)</f>
        <v>0</v>
      </c>
      <c r="DJ67" s="5">
        <f>IF($E67&gt;=DJ$2,VLOOKUP($E67-DJ$2,'data input'!$D$3:$E$130,2,FALSE),0)</f>
        <v>0</v>
      </c>
      <c r="DK67" s="5">
        <f>IF($E67&gt;=DK$2,VLOOKUP($E67-DK$2,'data input'!$D$3:$E$130,2,FALSE),0)</f>
        <v>0</v>
      </c>
      <c r="DL67" s="5">
        <f>IF($E67&gt;=DL$2,VLOOKUP($E67-DL$2,'data input'!$D$3:$E$130,2,FALSE),0)</f>
        <v>0</v>
      </c>
      <c r="DM67" s="5">
        <f>IF($E67&gt;=DM$2,VLOOKUP($E67-DM$2,'data input'!$D$3:$E$130,2,FALSE),0)</f>
        <v>0</v>
      </c>
      <c r="DN67" s="5">
        <f>IF($E67&gt;=DN$2,VLOOKUP($E67-DN$2,'data input'!$D$3:$E$130,2,FALSE),0)</f>
        <v>0</v>
      </c>
      <c r="DO67" s="5">
        <f>IF($E67&gt;=DO$2,VLOOKUP($E67-DO$2,'data input'!$D$3:$E$130,2,FALSE),0)</f>
        <v>0</v>
      </c>
      <c r="DP67" s="5">
        <f>IF($E67&gt;=DP$2,VLOOKUP($E67-DP$2,'data input'!$D$3:$E$130,2,FALSE),0)</f>
        <v>0</v>
      </c>
      <c r="DQ67" s="5">
        <f>IF($E67&gt;=DQ$2,VLOOKUP($E67-DQ$2,'data input'!$D$3:$E$130,2,FALSE),0)</f>
        <v>0</v>
      </c>
      <c r="DR67" s="5">
        <f>IF($E67&gt;=DR$2,VLOOKUP($E67-DR$2,'data input'!$D$3:$E$130,2,FALSE),0)</f>
        <v>0</v>
      </c>
      <c r="DS67" s="5">
        <f>IF($E67&gt;=DS$2,VLOOKUP($E67-DS$2,'data input'!$D$3:$E$130,2,FALSE),0)</f>
        <v>0</v>
      </c>
      <c r="DT67" s="5">
        <f>IF($E67&gt;=DT$2,VLOOKUP($E67-DT$2,'data input'!$D$3:$E$130,2,FALSE),0)</f>
        <v>0</v>
      </c>
      <c r="DU67" s="5">
        <f>IF($E67&gt;=DU$2,VLOOKUP($E67-DU$2,'data input'!$D$3:$E$130,2,FALSE),0)</f>
        <v>0</v>
      </c>
      <c r="DV67" s="5">
        <f>IF($E67&gt;=DV$2,VLOOKUP($E67-DV$2,'data input'!$D$3:$E$130,2,FALSE),0)</f>
        <v>0</v>
      </c>
      <c r="DW67" s="5">
        <f>IF($E67&gt;=DW$2,VLOOKUP($E67-DW$2,'data input'!$D$3:$E$130,2,FALSE),0)</f>
        <v>0</v>
      </c>
      <c r="DX67" s="5">
        <f>IF($E67&gt;=DX$2,VLOOKUP($E67-DX$2,'data input'!$D$3:$E$130,2,FALSE),0)</f>
        <v>0</v>
      </c>
      <c r="DY67" s="5">
        <f>IF($E67&gt;=DY$2,VLOOKUP($E67-DY$2,'data input'!$D$3:$E$130,2,FALSE),0)</f>
        <v>0</v>
      </c>
      <c r="DZ67" s="5">
        <f>IF($E67&gt;=DZ$2,VLOOKUP($E67-DZ$2,'data input'!$D$3:$E$130,2,FALSE),0)</f>
        <v>0</v>
      </c>
      <c r="EA67" s="5">
        <f>IF($E67&gt;=EA$2,VLOOKUP($E67-EA$2,'data input'!$D$3:$E$130,2,FALSE),0)</f>
        <v>0</v>
      </c>
      <c r="EB67" s="5">
        <f>IF($E67&gt;=EB$2,VLOOKUP($E67-EB$2,'data input'!$D$3:$E$130,2,FALSE),0)</f>
        <v>0</v>
      </c>
      <c r="EC67" s="5">
        <f>IF($E67&gt;=EC$2,VLOOKUP($E67-EC$2,'data input'!$D$3:$E$130,2,FALSE),0)</f>
        <v>0</v>
      </c>
    </row>
    <row r="68" spans="5:133">
      <c r="E68" s="7">
        <f>'data input'!B68</f>
        <v>1943</v>
      </c>
      <c r="F68" s="5">
        <f>IF($E68&gt;=F$2,VLOOKUP($E68-F$2,'data input'!$D$3:$E$130,2,FALSE),0)</f>
        <v>3.0396361765261393E-2</v>
      </c>
      <c r="G68" s="5">
        <f>IF($E68&gt;=G$2,VLOOKUP($E68-G$2,'data input'!$D$3:$E$130,2,FALSE),0)</f>
        <v>3.5930319112925768E-2</v>
      </c>
      <c r="H68" s="5">
        <f>IF($E68&gt;=H$2,VLOOKUP($E68-H$2,'data input'!$D$3:$E$130,2,FALSE),0)</f>
        <v>4.2263736257952433E-2</v>
      </c>
      <c r="I68" s="5">
        <f>IF($E68&gt;=I$2,VLOOKUP($E68-I$2,'data input'!$D$3:$E$130,2,FALSE),0)</f>
        <v>4.9471468033648103E-2</v>
      </c>
      <c r="J68" s="5">
        <f>IF($E68&gt;=J$2,VLOOKUP($E68-J$2,'data input'!$D$3:$E$130,2,FALSE),0)</f>
        <v>5.7628222276153163E-2</v>
      </c>
      <c r="K68" s="5">
        <f>IF($E68&gt;=K$2,VLOOKUP($E68-K$2,'data input'!$D$3:$E$130,2,FALSE),0)</f>
        <v>6.6807201268858085E-2</v>
      </c>
      <c r="L68" s="5">
        <f>IF($E68&gt;=L$2,VLOOKUP($E68-L$2,'data input'!$D$3:$E$130,2,FALSE),0)</f>
        <v>7.707860055207183E-2</v>
      </c>
      <c r="M68" s="5">
        <f>IF($E68&gt;=M$2,VLOOKUP($E68-M$2,'data input'!$D$3:$E$130,2,FALSE),0)</f>
        <v>8.8507991437402067E-2</v>
      </c>
      <c r="N68" s="5">
        <f>IF($E68&gt;=N$2,VLOOKUP($E68-N$2,'data input'!$D$3:$E$130,2,FALSE),0)</f>
        <v>0.10115462099558592</v>
      </c>
      <c r="O68" s="5">
        <f>IF($E68&gt;=O$2,VLOOKUP($E68-O$2,'data input'!$D$3:$E$130,2,FALSE),0)</f>
        <v>0.11506967022170822</v>
      </c>
      <c r="P68" s="5">
        <f>IF($E68&gt;=P$2,VLOOKUP($E68-P$2,'data input'!$D$3:$E$130,2,FALSE),0)</f>
        <v>0.13029451713680884</v>
      </c>
      <c r="Q68" s="5">
        <f>IF($E68&gt;=Q$2,VLOOKUP($E68-Q$2,'data input'!$D$3:$E$130,2,FALSE),0)</f>
        <v>0.14685905637589591</v>
      </c>
      <c r="R68" s="5">
        <f>IF($E68&gt;=R$2,VLOOKUP($E68-R$2,'data input'!$D$3:$E$130,2,FALSE),0)</f>
        <v>0.16478012998031033</v>
      </c>
      <c r="S68" s="5">
        <f>IF($E68&gt;=S$2,VLOOKUP($E68-S$2,'data input'!$D$3:$E$130,2,FALSE),0)</f>
        <v>0.18406012534675953</v>
      </c>
      <c r="T68" s="5">
        <f>IF($E68&gt;=T$2,VLOOKUP($E68-T$2,'data input'!$D$3:$E$130,2,FALSE),0)</f>
        <v>0.20468579534725262</v>
      </c>
      <c r="U68" s="5">
        <f>IF($E68&gt;=U$2,VLOOKUP($E68-U$2,'data input'!$D$3:$E$130,2,FALSE),0)</f>
        <v>0.22662735237686826</v>
      </c>
      <c r="V68" s="5">
        <f>IF($E68&gt;=V$2,VLOOKUP($E68-V$2,'data input'!$D$3:$E$130,2,FALSE),0)</f>
        <v>0.24983788247177696</v>
      </c>
      <c r="W68" s="5">
        <f>IF($E68&gt;=W$2,VLOOKUP($E68-W$2,'data input'!$D$3:$E$130,2,FALSE),0)</f>
        <v>0.27425311775007355</v>
      </c>
      <c r="X68" s="5">
        <f>IF($E68&gt;=X$2,VLOOKUP($E68-X$2,'data input'!$D$3:$E$130,2,FALSE),0)</f>
        <v>0.29979159546869583</v>
      </c>
      <c r="Y68" s="5">
        <f>IF($E68&gt;=Y$2,VLOOKUP($E68-Y$2,'data input'!$D$3:$E$130,2,FALSE),0)</f>
        <v>0.32635522028792008</v>
      </c>
      <c r="Z68" s="5">
        <f>IF($E68&gt;=Z$2,VLOOKUP($E68-Z$2,'data input'!$D$3:$E$130,2,FALSE),0)</f>
        <v>0.35383023332727614</v>
      </c>
      <c r="AA68" s="5">
        <f>IF($E68&gt;=AA$2,VLOOKUP($E68-AA$2,'data input'!$D$3:$E$130,2,FALSE),0)</f>
        <v>0.38208857781104733</v>
      </c>
      <c r="AB68" s="5">
        <f>IF($E68&gt;=AB$2,VLOOKUP($E68-AB$2,'data input'!$D$3:$E$130,2,FALSE),0)</f>
        <v>0.41098963713127035</v>
      </c>
      <c r="AC68" s="5">
        <f>IF($E68&gt;=AC$2,VLOOKUP($E68-AC$2,'data input'!$D$3:$E$130,2,FALSE),0)</f>
        <v>0.4403823076297575</v>
      </c>
      <c r="AD68" s="5">
        <f>IF($E68&gt;=AD$2,VLOOKUP($E68-AD$2,'data input'!$D$3:$E$130,2,FALSE),0)</f>
        <v>0.47010735594710518</v>
      </c>
      <c r="AE68" s="5">
        <f>IF($E68&gt;=AE$2,VLOOKUP($E68-AE$2,'data input'!$D$3:$E$130,2,FALSE),0)</f>
        <v>0.5</v>
      </c>
      <c r="AF68" s="5">
        <f>IF($E68&gt;=AF$2,VLOOKUP($E68-AF$2,'data input'!$D$3:$E$130,2,FALSE),0)</f>
        <v>0.52989264405289482</v>
      </c>
      <c r="AG68" s="5">
        <f>IF($E68&gt;=AG$2,VLOOKUP($E68-AG$2,'data input'!$D$3:$E$130,2,FALSE),0)</f>
        <v>0.5596176923702425</v>
      </c>
      <c r="AH68" s="5">
        <f>IF($E68&gt;=AH$2,VLOOKUP($E68-AH$2,'data input'!$D$3:$E$130,2,FALSE),0)</f>
        <v>0.58901036286872965</v>
      </c>
      <c r="AI68" s="5">
        <f>IF($E68&gt;=AI$2,VLOOKUP($E68-AI$2,'data input'!$D$3:$E$130,2,FALSE),0)</f>
        <v>0.61791142218895267</v>
      </c>
      <c r="AJ68" s="5">
        <f>IF($E68&gt;=AJ$2,VLOOKUP($E68-AJ$2,'data input'!$D$3:$E$130,2,FALSE),0)</f>
        <v>0.64616976667272386</v>
      </c>
      <c r="AK68" s="5">
        <f>IF($E68&gt;=AK$2,VLOOKUP($E68-AK$2,'data input'!$D$3:$E$130,2,FALSE),0)</f>
        <v>0.67364477971207992</v>
      </c>
      <c r="AL68" s="5">
        <f>IF($E68&gt;=AL$2,VLOOKUP($E68-AL$2,'data input'!$D$3:$E$130,2,FALSE),0)</f>
        <v>0.70020840453130417</v>
      </c>
      <c r="AM68" s="5">
        <f>IF($E68&gt;=AM$2,VLOOKUP($E68-AM$2,'data input'!$D$3:$E$130,2,FALSE),0)</f>
        <v>0.72574688224992645</v>
      </c>
      <c r="AN68" s="5">
        <f>IF($E68&gt;=AN$2,VLOOKUP($E68-AN$2,'data input'!$D$3:$E$130,2,FALSE),0)</f>
        <v>0.75016211752822304</v>
      </c>
      <c r="AO68" s="5">
        <f>IF($E68&gt;=AO$2,VLOOKUP($E68-AO$2,'data input'!$D$3:$E$130,2,FALSE),0)</f>
        <v>0.77337264762313174</v>
      </c>
      <c r="AP68" s="5">
        <f>IF($E68&gt;=AP$2,VLOOKUP($E68-AP$2,'data input'!$D$3:$E$130,2,FALSE),0)</f>
        <v>0.79531420465274738</v>
      </c>
      <c r="AQ68" s="5">
        <f>IF($E68&gt;=AQ$2,VLOOKUP($E68-AQ$2,'data input'!$D$3:$E$130,2,FALSE),0)</f>
        <v>0.81593987465324047</v>
      </c>
      <c r="AR68" s="5">
        <f>IF($E68&gt;=AR$2,VLOOKUP($E68-AR$2,'data input'!$D$3:$E$130,2,FALSE),0)</f>
        <v>0.83521987001968967</v>
      </c>
      <c r="AS68" s="5">
        <f>IF($E68&gt;=AS$2,VLOOKUP($E68-AS$2,'data input'!$D$3:$E$130,2,FALSE),0)</f>
        <v>0.85314094362410409</v>
      </c>
      <c r="AT68" s="5">
        <f>IF($E68&gt;=AT$2,VLOOKUP($E68-AT$2,'data input'!$D$3:$E$130,2,FALSE),0)</f>
        <v>0.86970548286319116</v>
      </c>
      <c r="AU68" s="5">
        <f>IF($E68&gt;=AU$2,VLOOKUP($E68-AU$2,'data input'!$D$3:$E$130,2,FALSE),0)</f>
        <v>0.88493032977829178</v>
      </c>
      <c r="AV68" s="5">
        <f>IF($E68&gt;=AV$2,VLOOKUP($E68-AV$2,'data input'!$D$3:$E$130,2,FALSE),0)</f>
        <v>0.89884537900441408</v>
      </c>
      <c r="AW68" s="5">
        <f>IF($E68&gt;=AW$2,VLOOKUP($E68-AW$2,'data input'!$D$3:$E$130,2,FALSE),0)</f>
        <v>0.91149200856259793</v>
      </c>
      <c r="AX68" s="5">
        <f>IF($E68&gt;=AX$2,VLOOKUP($E68-AX$2,'data input'!$D$3:$E$130,2,FALSE),0)</f>
        <v>0.92292139944792817</v>
      </c>
      <c r="AY68" s="5">
        <f>IF($E68&gt;=AY$2,VLOOKUP($E68-AY$2,'data input'!$D$3:$E$130,2,FALSE),0)</f>
        <v>0.93319279873114191</v>
      </c>
      <c r="AZ68" s="5">
        <f>IF($E68&gt;=AZ$2,VLOOKUP($E68-AZ$2,'data input'!$D$3:$E$130,2,FALSE),0)</f>
        <v>0.94237177772384684</v>
      </c>
      <c r="BA68" s="5">
        <f>IF($E68&gt;=BA$2,VLOOKUP($E68-BA$2,'data input'!$D$3:$E$130,2,FALSE),0)</f>
        <v>0.9505285319663519</v>
      </c>
      <c r="BB68" s="5">
        <f>IF($E68&gt;=BB$2,VLOOKUP($E68-BB$2,'data input'!$D$3:$E$130,2,FALSE),0)</f>
        <v>0.95773626374204757</v>
      </c>
      <c r="BC68" s="5">
        <f>IF($E68&gt;=BC$2,VLOOKUP($E68-BC$2,'data input'!$D$3:$E$130,2,FALSE),0)</f>
        <v>0.96406968088707423</v>
      </c>
      <c r="BD68" s="5">
        <f>IF($E68&gt;=BD$2,VLOOKUP($E68-BD$2,'data input'!$D$3:$E$130,2,FALSE),0)</f>
        <v>0.96960363823473861</v>
      </c>
      <c r="BE68" s="5">
        <f>IF($E68&gt;=BE$2,VLOOKUP($E68-BE$2,'data input'!$D$3:$E$130,2,FALSE),0)</f>
        <v>0.97441194047836144</v>
      </c>
      <c r="BF68" s="5">
        <f>IF($E68&gt;=BF$2,VLOOKUP($E68-BF$2,'data input'!$D$3:$E$130,2,FALSE),0)</f>
        <v>0.97856631788584703</v>
      </c>
      <c r="BG68" s="5">
        <f>IF($E68&gt;=BG$2,VLOOKUP($E68-BG$2,'data input'!$D$3:$E$130,2,FALSE),0)</f>
        <v>0.98213557943718344</v>
      </c>
      <c r="BH68" s="5">
        <f>IF($E68&gt;=BH$2,VLOOKUP($E68-BH$2,'data input'!$D$3:$E$130,2,FALSE),0)</f>
        <v>0.98518494180739014</v>
      </c>
      <c r="BI68" s="5">
        <f>IF($E68&gt;=BI$2,VLOOKUP($E68-BI$2,'data input'!$D$3:$E$130,2,FALSE),0)</f>
        <v>0.98777552734495533</v>
      </c>
      <c r="BJ68" s="5">
        <f>IF($E68&gt;=BJ$2,VLOOKUP($E68-BJ$2,'data input'!$D$3:$E$130,2,FALSE),0)</f>
        <v>0.98996401989972593</v>
      </c>
      <c r="BK68" s="5">
        <f>IF($E68&gt;=BK$2,VLOOKUP($E68-BK$2,'data input'!$D$3:$E$130,2,FALSE),0)</f>
        <v>0.99180246407540384</v>
      </c>
      <c r="BL68" s="5">
        <f>IF($E68&gt;=BL$2,VLOOKUP($E68-BL$2,'data input'!$D$3:$E$130,2,FALSE),0)</f>
        <v>0.99333819120801725</v>
      </c>
      <c r="BM68" s="5">
        <f>IF($E68&gt;=BM$2,VLOOKUP($E68-BM$2,'data input'!$D$3:$E$130,2,FALSE),0)</f>
        <v>0.99461385404593328</v>
      </c>
      <c r="BN68" s="5">
        <f>IF($E68&gt;=BN$2,VLOOKUP($E68-BN$2,'data input'!$D$3:$E$130,2,FALSE),0)</f>
        <v>0.99566755163698739</v>
      </c>
      <c r="BO68" s="5">
        <f>IF($E68&gt;=BO$2,VLOOKUP($E68-BO$2,'data input'!$D$3:$E$130,2,FALSE),0)</f>
        <v>0.99653302619695938</v>
      </c>
      <c r="BP68" s="5">
        <f>IF($E68&gt;=BP$2,VLOOKUP($E68-BP$2,'data input'!$D$3:$E$130,2,FALSE),0)</f>
        <v>0.99723991460873751</v>
      </c>
      <c r="BQ68" s="5">
        <f>IF($E68&gt;=BQ$2,VLOOKUP($E68-BQ$2,'data input'!$D$3:$E$130,2,FALSE),0)</f>
        <v>0.99781403854508677</v>
      </c>
      <c r="BR68" s="5">
        <f>IF($E68&gt;=BR$2,VLOOKUP($E68-BR$2,'data input'!$D$3:$E$130,2,FALSE),0)</f>
        <v>0.99827771888413241</v>
      </c>
      <c r="BS68" s="5">
        <f>IF($E68&gt;=BS$2,VLOOKUP($E68-BS$2,'data input'!$D$3:$E$130,2,FALSE),0)</f>
        <v>0.9986501019683699</v>
      </c>
      <c r="BT68" s="5">
        <f>IF($E68&gt;=BT$2,VLOOKUP($E68-BT$2,'data input'!$D$3:$E$130,2,FALSE),0)</f>
        <v>0</v>
      </c>
      <c r="BU68" s="5">
        <f>IF($E68&gt;=BU$2,VLOOKUP($E68-BU$2,'data input'!$D$3:$E$130,2,FALSE),0)</f>
        <v>0</v>
      </c>
      <c r="BV68" s="5">
        <f>IF($E68&gt;=BV$2,VLOOKUP($E68-BV$2,'data input'!$D$3:$E$130,2,FALSE),0)</f>
        <v>0</v>
      </c>
      <c r="BW68" s="5">
        <f>IF($E68&gt;=BW$2,VLOOKUP($E68-BW$2,'data input'!$D$3:$E$130,2,FALSE),0)</f>
        <v>0</v>
      </c>
      <c r="BX68" s="5">
        <f>IF($E68&gt;=BX$2,VLOOKUP($E68-BX$2,'data input'!$D$3:$E$130,2,FALSE),0)</f>
        <v>0</v>
      </c>
      <c r="BY68" s="5">
        <f>IF($E68&gt;=BY$2,VLOOKUP($E68-BY$2,'data input'!$D$3:$E$130,2,FALSE),0)</f>
        <v>0</v>
      </c>
      <c r="BZ68" s="5">
        <f>IF($E68&gt;=BZ$2,VLOOKUP($E68-BZ$2,'data input'!$D$3:$E$130,2,FALSE),0)</f>
        <v>0</v>
      </c>
      <c r="CA68" s="5">
        <f>IF($E68&gt;=CA$2,VLOOKUP($E68-CA$2,'data input'!$D$3:$E$130,2,FALSE),0)</f>
        <v>0</v>
      </c>
      <c r="CB68" s="5">
        <f>IF($E68&gt;=CB$2,VLOOKUP($E68-CB$2,'data input'!$D$3:$E$130,2,FALSE),0)</f>
        <v>0</v>
      </c>
      <c r="CC68" s="5">
        <f>IF($E68&gt;=CC$2,VLOOKUP($E68-CC$2,'data input'!$D$3:$E$130,2,FALSE),0)</f>
        <v>0</v>
      </c>
      <c r="CD68" s="5">
        <f>IF($E68&gt;=CD$2,VLOOKUP($E68-CD$2,'data input'!$D$3:$E$130,2,FALSE),0)</f>
        <v>0</v>
      </c>
      <c r="CE68" s="5">
        <f>IF($E68&gt;=CE$2,VLOOKUP($E68-CE$2,'data input'!$D$3:$E$130,2,FALSE),0)</f>
        <v>0</v>
      </c>
      <c r="CF68" s="5">
        <f>IF($E68&gt;=CF$2,VLOOKUP($E68-CF$2,'data input'!$D$3:$E$130,2,FALSE),0)</f>
        <v>0</v>
      </c>
      <c r="CG68" s="5">
        <f>IF($E68&gt;=CG$2,VLOOKUP($E68-CG$2,'data input'!$D$3:$E$130,2,FALSE),0)</f>
        <v>0</v>
      </c>
      <c r="CH68" s="5">
        <f>IF($E68&gt;=CH$2,VLOOKUP($E68-CH$2,'data input'!$D$3:$E$130,2,FALSE),0)</f>
        <v>0</v>
      </c>
      <c r="CI68" s="5">
        <f>IF($E68&gt;=CI$2,VLOOKUP($E68-CI$2,'data input'!$D$3:$E$130,2,FALSE),0)</f>
        <v>0</v>
      </c>
      <c r="CJ68" s="5">
        <f>IF($E68&gt;=CJ$2,VLOOKUP($E68-CJ$2,'data input'!$D$3:$E$130,2,FALSE),0)</f>
        <v>0</v>
      </c>
      <c r="CK68" s="5">
        <f>IF($E68&gt;=CK$2,VLOOKUP($E68-CK$2,'data input'!$D$3:$E$130,2,FALSE),0)</f>
        <v>0</v>
      </c>
      <c r="CL68" s="5">
        <f>IF($E68&gt;=CL$2,VLOOKUP($E68-CL$2,'data input'!$D$3:$E$130,2,FALSE),0)</f>
        <v>0</v>
      </c>
      <c r="CM68" s="5">
        <f>IF($E68&gt;=CM$2,VLOOKUP($E68-CM$2,'data input'!$D$3:$E$130,2,FALSE),0)</f>
        <v>0</v>
      </c>
      <c r="CN68" s="5">
        <f>IF($E68&gt;=CN$2,VLOOKUP($E68-CN$2,'data input'!$D$3:$E$130,2,FALSE),0)</f>
        <v>0</v>
      </c>
      <c r="CO68" s="5">
        <f>IF($E68&gt;=CO$2,VLOOKUP($E68-CO$2,'data input'!$D$3:$E$130,2,FALSE),0)</f>
        <v>0</v>
      </c>
      <c r="CP68" s="5">
        <f>IF($E68&gt;=CP$2,VLOOKUP($E68-CP$2,'data input'!$D$3:$E$130,2,FALSE),0)</f>
        <v>0</v>
      </c>
      <c r="CQ68" s="5">
        <f>IF($E68&gt;=CQ$2,VLOOKUP($E68-CQ$2,'data input'!$D$3:$E$130,2,FALSE),0)</f>
        <v>0</v>
      </c>
      <c r="CR68" s="5">
        <f>IF($E68&gt;=CR$2,VLOOKUP($E68-CR$2,'data input'!$D$3:$E$130,2,FALSE),0)</f>
        <v>0</v>
      </c>
      <c r="CS68" s="5">
        <f>IF($E68&gt;=CS$2,VLOOKUP($E68-CS$2,'data input'!$D$3:$E$130,2,FALSE),0)</f>
        <v>0</v>
      </c>
      <c r="CT68" s="5">
        <f>IF($E68&gt;=CT$2,VLOOKUP($E68-CT$2,'data input'!$D$3:$E$130,2,FALSE),0)</f>
        <v>0</v>
      </c>
      <c r="CU68" s="5">
        <f>IF($E68&gt;=CU$2,VLOOKUP($E68-CU$2,'data input'!$D$3:$E$130,2,FALSE),0)</f>
        <v>0</v>
      </c>
      <c r="CV68" s="5">
        <f>IF($E68&gt;=CV$2,VLOOKUP($E68-CV$2,'data input'!$D$3:$E$130,2,FALSE),0)</f>
        <v>0</v>
      </c>
      <c r="CW68" s="5">
        <f>IF($E68&gt;=CW$2,VLOOKUP($E68-CW$2,'data input'!$D$3:$E$130,2,FALSE),0)</f>
        <v>0</v>
      </c>
      <c r="CX68" s="5">
        <f>IF($E68&gt;=CX$2,VLOOKUP($E68-CX$2,'data input'!$D$3:$E$130,2,FALSE),0)</f>
        <v>0</v>
      </c>
      <c r="CY68" s="5">
        <f>IF($E68&gt;=CY$2,VLOOKUP($E68-CY$2,'data input'!$D$3:$E$130,2,FALSE),0)</f>
        <v>0</v>
      </c>
      <c r="CZ68" s="5">
        <f>IF($E68&gt;=CZ$2,VLOOKUP($E68-CZ$2,'data input'!$D$3:$E$130,2,FALSE),0)</f>
        <v>0</v>
      </c>
      <c r="DA68" s="5">
        <f>IF($E68&gt;=DA$2,VLOOKUP($E68-DA$2,'data input'!$D$3:$E$130,2,FALSE),0)</f>
        <v>0</v>
      </c>
      <c r="DB68" s="5">
        <f>IF($E68&gt;=DB$2,VLOOKUP($E68-DB$2,'data input'!$D$3:$E$130,2,FALSE),0)</f>
        <v>0</v>
      </c>
      <c r="DC68" s="5">
        <f>IF($E68&gt;=DC$2,VLOOKUP($E68-DC$2,'data input'!$D$3:$E$130,2,FALSE),0)</f>
        <v>0</v>
      </c>
      <c r="DD68" s="5">
        <f>IF($E68&gt;=DD$2,VLOOKUP($E68-DD$2,'data input'!$D$3:$E$130,2,FALSE),0)</f>
        <v>0</v>
      </c>
      <c r="DE68" s="5">
        <f>IF($E68&gt;=DE$2,VLOOKUP($E68-DE$2,'data input'!$D$3:$E$130,2,FALSE),0)</f>
        <v>0</v>
      </c>
      <c r="DF68" s="5">
        <f>IF($E68&gt;=DF$2,VLOOKUP($E68-DF$2,'data input'!$D$3:$E$130,2,FALSE),0)</f>
        <v>0</v>
      </c>
      <c r="DG68" s="5">
        <f>IF($E68&gt;=DG$2,VLOOKUP($E68-DG$2,'data input'!$D$3:$E$130,2,FALSE),0)</f>
        <v>0</v>
      </c>
      <c r="DH68" s="5">
        <f>IF($E68&gt;=DH$2,VLOOKUP($E68-DH$2,'data input'!$D$3:$E$130,2,FALSE),0)</f>
        <v>0</v>
      </c>
      <c r="DI68" s="5">
        <f>IF($E68&gt;=DI$2,VLOOKUP($E68-DI$2,'data input'!$D$3:$E$130,2,FALSE),0)</f>
        <v>0</v>
      </c>
      <c r="DJ68" s="5">
        <f>IF($E68&gt;=DJ$2,VLOOKUP($E68-DJ$2,'data input'!$D$3:$E$130,2,FALSE),0)</f>
        <v>0</v>
      </c>
      <c r="DK68" s="5">
        <f>IF($E68&gt;=DK$2,VLOOKUP($E68-DK$2,'data input'!$D$3:$E$130,2,FALSE),0)</f>
        <v>0</v>
      </c>
      <c r="DL68" s="5">
        <f>IF($E68&gt;=DL$2,VLOOKUP($E68-DL$2,'data input'!$D$3:$E$130,2,FALSE),0)</f>
        <v>0</v>
      </c>
      <c r="DM68" s="5">
        <f>IF($E68&gt;=DM$2,VLOOKUP($E68-DM$2,'data input'!$D$3:$E$130,2,FALSE),0)</f>
        <v>0</v>
      </c>
      <c r="DN68" s="5">
        <f>IF($E68&gt;=DN$2,VLOOKUP($E68-DN$2,'data input'!$D$3:$E$130,2,FALSE),0)</f>
        <v>0</v>
      </c>
      <c r="DO68" s="5">
        <f>IF($E68&gt;=DO$2,VLOOKUP($E68-DO$2,'data input'!$D$3:$E$130,2,FALSE),0)</f>
        <v>0</v>
      </c>
      <c r="DP68" s="5">
        <f>IF($E68&gt;=DP$2,VLOOKUP($E68-DP$2,'data input'!$D$3:$E$130,2,FALSE),0)</f>
        <v>0</v>
      </c>
      <c r="DQ68" s="5">
        <f>IF($E68&gt;=DQ$2,VLOOKUP($E68-DQ$2,'data input'!$D$3:$E$130,2,FALSE),0)</f>
        <v>0</v>
      </c>
      <c r="DR68" s="5">
        <f>IF($E68&gt;=DR$2,VLOOKUP($E68-DR$2,'data input'!$D$3:$E$130,2,FALSE),0)</f>
        <v>0</v>
      </c>
      <c r="DS68" s="5">
        <f>IF($E68&gt;=DS$2,VLOOKUP($E68-DS$2,'data input'!$D$3:$E$130,2,FALSE),0)</f>
        <v>0</v>
      </c>
      <c r="DT68" s="5">
        <f>IF($E68&gt;=DT$2,VLOOKUP($E68-DT$2,'data input'!$D$3:$E$130,2,FALSE),0)</f>
        <v>0</v>
      </c>
      <c r="DU68" s="5">
        <f>IF($E68&gt;=DU$2,VLOOKUP($E68-DU$2,'data input'!$D$3:$E$130,2,FALSE),0)</f>
        <v>0</v>
      </c>
      <c r="DV68" s="5">
        <f>IF($E68&gt;=DV$2,VLOOKUP($E68-DV$2,'data input'!$D$3:$E$130,2,FALSE),0)</f>
        <v>0</v>
      </c>
      <c r="DW68" s="5">
        <f>IF($E68&gt;=DW$2,VLOOKUP($E68-DW$2,'data input'!$D$3:$E$130,2,FALSE),0)</f>
        <v>0</v>
      </c>
      <c r="DX68" s="5">
        <f>IF($E68&gt;=DX$2,VLOOKUP($E68-DX$2,'data input'!$D$3:$E$130,2,FALSE),0)</f>
        <v>0</v>
      </c>
      <c r="DY68" s="5">
        <f>IF($E68&gt;=DY$2,VLOOKUP($E68-DY$2,'data input'!$D$3:$E$130,2,FALSE),0)</f>
        <v>0</v>
      </c>
      <c r="DZ68" s="5">
        <f>IF($E68&gt;=DZ$2,VLOOKUP($E68-DZ$2,'data input'!$D$3:$E$130,2,FALSE),0)</f>
        <v>0</v>
      </c>
      <c r="EA68" s="5">
        <f>IF($E68&gt;=EA$2,VLOOKUP($E68-EA$2,'data input'!$D$3:$E$130,2,FALSE),0)</f>
        <v>0</v>
      </c>
      <c r="EB68" s="5">
        <f>IF($E68&gt;=EB$2,VLOOKUP($E68-EB$2,'data input'!$D$3:$E$130,2,FALSE),0)</f>
        <v>0</v>
      </c>
      <c r="EC68" s="5">
        <f>IF($E68&gt;=EC$2,VLOOKUP($E68-EC$2,'data input'!$D$3:$E$130,2,FALSE),0)</f>
        <v>0</v>
      </c>
    </row>
    <row r="69" spans="5:133">
      <c r="E69" s="7">
        <f>'data input'!B69</f>
        <v>1944</v>
      </c>
      <c r="F69" s="5">
        <f>IF($E69&gt;=F$2,VLOOKUP($E69-F$2,'data input'!$D$3:$E$130,2,FALSE),0)</f>
        <v>2.5588059521638562E-2</v>
      </c>
      <c r="G69" s="5">
        <f>IF($E69&gt;=G$2,VLOOKUP($E69-G$2,'data input'!$D$3:$E$130,2,FALSE),0)</f>
        <v>3.0396361765261393E-2</v>
      </c>
      <c r="H69" s="5">
        <f>IF($E69&gt;=H$2,VLOOKUP($E69-H$2,'data input'!$D$3:$E$130,2,FALSE),0)</f>
        <v>3.5930319112925768E-2</v>
      </c>
      <c r="I69" s="5">
        <f>IF($E69&gt;=I$2,VLOOKUP($E69-I$2,'data input'!$D$3:$E$130,2,FALSE),0)</f>
        <v>4.2263736257952433E-2</v>
      </c>
      <c r="J69" s="5">
        <f>IF($E69&gt;=J$2,VLOOKUP($E69-J$2,'data input'!$D$3:$E$130,2,FALSE),0)</f>
        <v>4.9471468033648103E-2</v>
      </c>
      <c r="K69" s="5">
        <f>IF($E69&gt;=K$2,VLOOKUP($E69-K$2,'data input'!$D$3:$E$130,2,FALSE),0)</f>
        <v>5.7628222276153163E-2</v>
      </c>
      <c r="L69" s="5">
        <f>IF($E69&gt;=L$2,VLOOKUP($E69-L$2,'data input'!$D$3:$E$130,2,FALSE),0)</f>
        <v>6.6807201268858085E-2</v>
      </c>
      <c r="M69" s="5">
        <f>IF($E69&gt;=M$2,VLOOKUP($E69-M$2,'data input'!$D$3:$E$130,2,FALSE),0)</f>
        <v>7.707860055207183E-2</v>
      </c>
      <c r="N69" s="5">
        <f>IF($E69&gt;=N$2,VLOOKUP($E69-N$2,'data input'!$D$3:$E$130,2,FALSE),0)</f>
        <v>8.8507991437402067E-2</v>
      </c>
      <c r="O69" s="5">
        <f>IF($E69&gt;=O$2,VLOOKUP($E69-O$2,'data input'!$D$3:$E$130,2,FALSE),0)</f>
        <v>0.10115462099558592</v>
      </c>
      <c r="P69" s="5">
        <f>IF($E69&gt;=P$2,VLOOKUP($E69-P$2,'data input'!$D$3:$E$130,2,FALSE),0)</f>
        <v>0.11506967022170822</v>
      </c>
      <c r="Q69" s="5">
        <f>IF($E69&gt;=Q$2,VLOOKUP($E69-Q$2,'data input'!$D$3:$E$130,2,FALSE),0)</f>
        <v>0.13029451713680884</v>
      </c>
      <c r="R69" s="5">
        <f>IF($E69&gt;=R$2,VLOOKUP($E69-R$2,'data input'!$D$3:$E$130,2,FALSE),0)</f>
        <v>0.14685905637589591</v>
      </c>
      <c r="S69" s="5">
        <f>IF($E69&gt;=S$2,VLOOKUP($E69-S$2,'data input'!$D$3:$E$130,2,FALSE),0)</f>
        <v>0.16478012998031033</v>
      </c>
      <c r="T69" s="5">
        <f>IF($E69&gt;=T$2,VLOOKUP($E69-T$2,'data input'!$D$3:$E$130,2,FALSE),0)</f>
        <v>0.18406012534675953</v>
      </c>
      <c r="U69" s="5">
        <f>IF($E69&gt;=U$2,VLOOKUP($E69-U$2,'data input'!$D$3:$E$130,2,FALSE),0)</f>
        <v>0.20468579534725262</v>
      </c>
      <c r="V69" s="5">
        <f>IF($E69&gt;=V$2,VLOOKUP($E69-V$2,'data input'!$D$3:$E$130,2,FALSE),0)</f>
        <v>0.22662735237686826</v>
      </c>
      <c r="W69" s="5">
        <f>IF($E69&gt;=W$2,VLOOKUP($E69-W$2,'data input'!$D$3:$E$130,2,FALSE),0)</f>
        <v>0.24983788247177696</v>
      </c>
      <c r="X69" s="5">
        <f>IF($E69&gt;=X$2,VLOOKUP($E69-X$2,'data input'!$D$3:$E$130,2,FALSE),0)</f>
        <v>0.27425311775007355</v>
      </c>
      <c r="Y69" s="5">
        <f>IF($E69&gt;=Y$2,VLOOKUP($E69-Y$2,'data input'!$D$3:$E$130,2,FALSE),0)</f>
        <v>0.29979159546869583</v>
      </c>
      <c r="Z69" s="5">
        <f>IF($E69&gt;=Z$2,VLOOKUP($E69-Z$2,'data input'!$D$3:$E$130,2,FALSE),0)</f>
        <v>0.32635522028792008</v>
      </c>
      <c r="AA69" s="5">
        <f>IF($E69&gt;=AA$2,VLOOKUP($E69-AA$2,'data input'!$D$3:$E$130,2,FALSE),0)</f>
        <v>0.35383023332727614</v>
      </c>
      <c r="AB69" s="5">
        <f>IF($E69&gt;=AB$2,VLOOKUP($E69-AB$2,'data input'!$D$3:$E$130,2,FALSE),0)</f>
        <v>0.38208857781104733</v>
      </c>
      <c r="AC69" s="5">
        <f>IF($E69&gt;=AC$2,VLOOKUP($E69-AC$2,'data input'!$D$3:$E$130,2,FALSE),0)</f>
        <v>0.41098963713127035</v>
      </c>
      <c r="AD69" s="5">
        <f>IF($E69&gt;=AD$2,VLOOKUP($E69-AD$2,'data input'!$D$3:$E$130,2,FALSE),0)</f>
        <v>0.4403823076297575</v>
      </c>
      <c r="AE69" s="5">
        <f>IF($E69&gt;=AE$2,VLOOKUP($E69-AE$2,'data input'!$D$3:$E$130,2,FALSE),0)</f>
        <v>0.47010735594710518</v>
      </c>
      <c r="AF69" s="5">
        <f>IF($E69&gt;=AF$2,VLOOKUP($E69-AF$2,'data input'!$D$3:$E$130,2,FALSE),0)</f>
        <v>0.5</v>
      </c>
      <c r="AG69" s="5">
        <f>IF($E69&gt;=AG$2,VLOOKUP($E69-AG$2,'data input'!$D$3:$E$130,2,FALSE),0)</f>
        <v>0.52989264405289482</v>
      </c>
      <c r="AH69" s="5">
        <f>IF($E69&gt;=AH$2,VLOOKUP($E69-AH$2,'data input'!$D$3:$E$130,2,FALSE),0)</f>
        <v>0.5596176923702425</v>
      </c>
      <c r="AI69" s="5">
        <f>IF($E69&gt;=AI$2,VLOOKUP($E69-AI$2,'data input'!$D$3:$E$130,2,FALSE),0)</f>
        <v>0.58901036286872965</v>
      </c>
      <c r="AJ69" s="5">
        <f>IF($E69&gt;=AJ$2,VLOOKUP($E69-AJ$2,'data input'!$D$3:$E$130,2,FALSE),0)</f>
        <v>0.61791142218895267</v>
      </c>
      <c r="AK69" s="5">
        <f>IF($E69&gt;=AK$2,VLOOKUP($E69-AK$2,'data input'!$D$3:$E$130,2,FALSE),0)</f>
        <v>0.64616976667272386</v>
      </c>
      <c r="AL69" s="5">
        <f>IF($E69&gt;=AL$2,VLOOKUP($E69-AL$2,'data input'!$D$3:$E$130,2,FALSE),0)</f>
        <v>0.67364477971207992</v>
      </c>
      <c r="AM69" s="5">
        <f>IF($E69&gt;=AM$2,VLOOKUP($E69-AM$2,'data input'!$D$3:$E$130,2,FALSE),0)</f>
        <v>0.70020840453130417</v>
      </c>
      <c r="AN69" s="5">
        <f>IF($E69&gt;=AN$2,VLOOKUP($E69-AN$2,'data input'!$D$3:$E$130,2,FALSE),0)</f>
        <v>0.72574688224992645</v>
      </c>
      <c r="AO69" s="5">
        <f>IF($E69&gt;=AO$2,VLOOKUP($E69-AO$2,'data input'!$D$3:$E$130,2,FALSE),0)</f>
        <v>0.75016211752822304</v>
      </c>
      <c r="AP69" s="5">
        <f>IF($E69&gt;=AP$2,VLOOKUP($E69-AP$2,'data input'!$D$3:$E$130,2,FALSE),0)</f>
        <v>0.77337264762313174</v>
      </c>
      <c r="AQ69" s="5">
        <f>IF($E69&gt;=AQ$2,VLOOKUP($E69-AQ$2,'data input'!$D$3:$E$130,2,FALSE),0)</f>
        <v>0.79531420465274738</v>
      </c>
      <c r="AR69" s="5">
        <f>IF($E69&gt;=AR$2,VLOOKUP($E69-AR$2,'data input'!$D$3:$E$130,2,FALSE),0)</f>
        <v>0.81593987465324047</v>
      </c>
      <c r="AS69" s="5">
        <f>IF($E69&gt;=AS$2,VLOOKUP($E69-AS$2,'data input'!$D$3:$E$130,2,FALSE),0)</f>
        <v>0.83521987001968967</v>
      </c>
      <c r="AT69" s="5">
        <f>IF($E69&gt;=AT$2,VLOOKUP($E69-AT$2,'data input'!$D$3:$E$130,2,FALSE),0)</f>
        <v>0.85314094362410409</v>
      </c>
      <c r="AU69" s="5">
        <f>IF($E69&gt;=AU$2,VLOOKUP($E69-AU$2,'data input'!$D$3:$E$130,2,FALSE),0)</f>
        <v>0.86970548286319116</v>
      </c>
      <c r="AV69" s="5">
        <f>IF($E69&gt;=AV$2,VLOOKUP($E69-AV$2,'data input'!$D$3:$E$130,2,FALSE),0)</f>
        <v>0.88493032977829178</v>
      </c>
      <c r="AW69" s="5">
        <f>IF($E69&gt;=AW$2,VLOOKUP($E69-AW$2,'data input'!$D$3:$E$130,2,FALSE),0)</f>
        <v>0.89884537900441408</v>
      </c>
      <c r="AX69" s="5">
        <f>IF($E69&gt;=AX$2,VLOOKUP($E69-AX$2,'data input'!$D$3:$E$130,2,FALSE),0)</f>
        <v>0.91149200856259793</v>
      </c>
      <c r="AY69" s="5">
        <f>IF($E69&gt;=AY$2,VLOOKUP($E69-AY$2,'data input'!$D$3:$E$130,2,FALSE),0)</f>
        <v>0.92292139944792817</v>
      </c>
      <c r="AZ69" s="5">
        <f>IF($E69&gt;=AZ$2,VLOOKUP($E69-AZ$2,'data input'!$D$3:$E$130,2,FALSE),0)</f>
        <v>0.93319279873114191</v>
      </c>
      <c r="BA69" s="5">
        <f>IF($E69&gt;=BA$2,VLOOKUP($E69-BA$2,'data input'!$D$3:$E$130,2,FALSE),0)</f>
        <v>0.94237177772384684</v>
      </c>
      <c r="BB69" s="5">
        <f>IF($E69&gt;=BB$2,VLOOKUP($E69-BB$2,'data input'!$D$3:$E$130,2,FALSE),0)</f>
        <v>0.9505285319663519</v>
      </c>
      <c r="BC69" s="5">
        <f>IF($E69&gt;=BC$2,VLOOKUP($E69-BC$2,'data input'!$D$3:$E$130,2,FALSE),0)</f>
        <v>0.95773626374204757</v>
      </c>
      <c r="BD69" s="5">
        <f>IF($E69&gt;=BD$2,VLOOKUP($E69-BD$2,'data input'!$D$3:$E$130,2,FALSE),0)</f>
        <v>0.96406968088707423</v>
      </c>
      <c r="BE69" s="5">
        <f>IF($E69&gt;=BE$2,VLOOKUP($E69-BE$2,'data input'!$D$3:$E$130,2,FALSE),0)</f>
        <v>0.96960363823473861</v>
      </c>
      <c r="BF69" s="5">
        <f>IF($E69&gt;=BF$2,VLOOKUP($E69-BF$2,'data input'!$D$3:$E$130,2,FALSE),0)</f>
        <v>0.97441194047836144</v>
      </c>
      <c r="BG69" s="5">
        <f>IF($E69&gt;=BG$2,VLOOKUP($E69-BG$2,'data input'!$D$3:$E$130,2,FALSE),0)</f>
        <v>0.97856631788584703</v>
      </c>
      <c r="BH69" s="5">
        <f>IF($E69&gt;=BH$2,VLOOKUP($E69-BH$2,'data input'!$D$3:$E$130,2,FALSE),0)</f>
        <v>0.98213557943718344</v>
      </c>
      <c r="BI69" s="5">
        <f>IF($E69&gt;=BI$2,VLOOKUP($E69-BI$2,'data input'!$D$3:$E$130,2,FALSE),0)</f>
        <v>0.98518494180739014</v>
      </c>
      <c r="BJ69" s="5">
        <f>IF($E69&gt;=BJ$2,VLOOKUP($E69-BJ$2,'data input'!$D$3:$E$130,2,FALSE),0)</f>
        <v>0.98777552734495533</v>
      </c>
      <c r="BK69" s="5">
        <f>IF($E69&gt;=BK$2,VLOOKUP($E69-BK$2,'data input'!$D$3:$E$130,2,FALSE),0)</f>
        <v>0.98996401989972593</v>
      </c>
      <c r="BL69" s="5">
        <f>IF($E69&gt;=BL$2,VLOOKUP($E69-BL$2,'data input'!$D$3:$E$130,2,FALSE),0)</f>
        <v>0.99180246407540384</v>
      </c>
      <c r="BM69" s="5">
        <f>IF($E69&gt;=BM$2,VLOOKUP($E69-BM$2,'data input'!$D$3:$E$130,2,FALSE),0)</f>
        <v>0.99333819120801725</v>
      </c>
      <c r="BN69" s="5">
        <f>IF($E69&gt;=BN$2,VLOOKUP($E69-BN$2,'data input'!$D$3:$E$130,2,FALSE),0)</f>
        <v>0.99461385404593328</v>
      </c>
      <c r="BO69" s="5">
        <f>IF($E69&gt;=BO$2,VLOOKUP($E69-BO$2,'data input'!$D$3:$E$130,2,FALSE),0)</f>
        <v>0.99566755163698739</v>
      </c>
      <c r="BP69" s="5">
        <f>IF($E69&gt;=BP$2,VLOOKUP($E69-BP$2,'data input'!$D$3:$E$130,2,FALSE),0)</f>
        <v>0.99653302619695938</v>
      </c>
      <c r="BQ69" s="5">
        <f>IF($E69&gt;=BQ$2,VLOOKUP($E69-BQ$2,'data input'!$D$3:$E$130,2,FALSE),0)</f>
        <v>0.99723991460873751</v>
      </c>
      <c r="BR69" s="5">
        <f>IF($E69&gt;=BR$2,VLOOKUP($E69-BR$2,'data input'!$D$3:$E$130,2,FALSE),0)</f>
        <v>0.99781403854508677</v>
      </c>
      <c r="BS69" s="5">
        <f>IF($E69&gt;=BS$2,VLOOKUP($E69-BS$2,'data input'!$D$3:$E$130,2,FALSE),0)</f>
        <v>0.99827771888413241</v>
      </c>
      <c r="BT69" s="5">
        <f>IF($E69&gt;=BT$2,VLOOKUP($E69-BT$2,'data input'!$D$3:$E$130,2,FALSE),0)</f>
        <v>0.9986501019683699</v>
      </c>
      <c r="BU69" s="5">
        <f>IF($E69&gt;=BU$2,VLOOKUP($E69-BU$2,'data input'!$D$3:$E$130,2,FALSE),0)</f>
        <v>0</v>
      </c>
      <c r="BV69" s="5">
        <f>IF($E69&gt;=BV$2,VLOOKUP($E69-BV$2,'data input'!$D$3:$E$130,2,FALSE),0)</f>
        <v>0</v>
      </c>
      <c r="BW69" s="5">
        <f>IF($E69&gt;=BW$2,VLOOKUP($E69-BW$2,'data input'!$D$3:$E$130,2,FALSE),0)</f>
        <v>0</v>
      </c>
      <c r="BX69" s="5">
        <f>IF($E69&gt;=BX$2,VLOOKUP($E69-BX$2,'data input'!$D$3:$E$130,2,FALSE),0)</f>
        <v>0</v>
      </c>
      <c r="BY69" s="5">
        <f>IF($E69&gt;=BY$2,VLOOKUP($E69-BY$2,'data input'!$D$3:$E$130,2,FALSE),0)</f>
        <v>0</v>
      </c>
      <c r="BZ69" s="5">
        <f>IF($E69&gt;=BZ$2,VLOOKUP($E69-BZ$2,'data input'!$D$3:$E$130,2,FALSE),0)</f>
        <v>0</v>
      </c>
      <c r="CA69" s="5">
        <f>IF($E69&gt;=CA$2,VLOOKUP($E69-CA$2,'data input'!$D$3:$E$130,2,FALSE),0)</f>
        <v>0</v>
      </c>
      <c r="CB69" s="5">
        <f>IF($E69&gt;=CB$2,VLOOKUP($E69-CB$2,'data input'!$D$3:$E$130,2,FALSE),0)</f>
        <v>0</v>
      </c>
      <c r="CC69" s="5">
        <f>IF($E69&gt;=CC$2,VLOOKUP($E69-CC$2,'data input'!$D$3:$E$130,2,FALSE),0)</f>
        <v>0</v>
      </c>
      <c r="CD69" s="5">
        <f>IF($E69&gt;=CD$2,VLOOKUP($E69-CD$2,'data input'!$D$3:$E$130,2,FALSE),0)</f>
        <v>0</v>
      </c>
      <c r="CE69" s="5">
        <f>IF($E69&gt;=CE$2,VLOOKUP($E69-CE$2,'data input'!$D$3:$E$130,2,FALSE),0)</f>
        <v>0</v>
      </c>
      <c r="CF69" s="5">
        <f>IF($E69&gt;=CF$2,VLOOKUP($E69-CF$2,'data input'!$D$3:$E$130,2,FALSE),0)</f>
        <v>0</v>
      </c>
      <c r="CG69" s="5">
        <f>IF($E69&gt;=CG$2,VLOOKUP($E69-CG$2,'data input'!$D$3:$E$130,2,FALSE),0)</f>
        <v>0</v>
      </c>
      <c r="CH69" s="5">
        <f>IF($E69&gt;=CH$2,VLOOKUP($E69-CH$2,'data input'!$D$3:$E$130,2,FALSE),0)</f>
        <v>0</v>
      </c>
      <c r="CI69" s="5">
        <f>IF($E69&gt;=CI$2,VLOOKUP($E69-CI$2,'data input'!$D$3:$E$130,2,FALSE),0)</f>
        <v>0</v>
      </c>
      <c r="CJ69" s="5">
        <f>IF($E69&gt;=CJ$2,VLOOKUP($E69-CJ$2,'data input'!$D$3:$E$130,2,FALSE),0)</f>
        <v>0</v>
      </c>
      <c r="CK69" s="5">
        <f>IF($E69&gt;=CK$2,VLOOKUP($E69-CK$2,'data input'!$D$3:$E$130,2,FALSE),0)</f>
        <v>0</v>
      </c>
      <c r="CL69" s="5">
        <f>IF($E69&gt;=CL$2,VLOOKUP($E69-CL$2,'data input'!$D$3:$E$130,2,FALSE),0)</f>
        <v>0</v>
      </c>
      <c r="CM69" s="5">
        <f>IF($E69&gt;=CM$2,VLOOKUP($E69-CM$2,'data input'!$D$3:$E$130,2,FALSE),0)</f>
        <v>0</v>
      </c>
      <c r="CN69" s="5">
        <f>IF($E69&gt;=CN$2,VLOOKUP($E69-CN$2,'data input'!$D$3:$E$130,2,FALSE),0)</f>
        <v>0</v>
      </c>
      <c r="CO69" s="5">
        <f>IF($E69&gt;=CO$2,VLOOKUP($E69-CO$2,'data input'!$D$3:$E$130,2,FALSE),0)</f>
        <v>0</v>
      </c>
      <c r="CP69" s="5">
        <f>IF($E69&gt;=CP$2,VLOOKUP($E69-CP$2,'data input'!$D$3:$E$130,2,FALSE),0)</f>
        <v>0</v>
      </c>
      <c r="CQ69" s="5">
        <f>IF($E69&gt;=CQ$2,VLOOKUP($E69-CQ$2,'data input'!$D$3:$E$130,2,FALSE),0)</f>
        <v>0</v>
      </c>
      <c r="CR69" s="5">
        <f>IF($E69&gt;=CR$2,VLOOKUP($E69-CR$2,'data input'!$D$3:$E$130,2,FALSE),0)</f>
        <v>0</v>
      </c>
      <c r="CS69" s="5">
        <f>IF($E69&gt;=CS$2,VLOOKUP($E69-CS$2,'data input'!$D$3:$E$130,2,FALSE),0)</f>
        <v>0</v>
      </c>
      <c r="CT69" s="5">
        <f>IF($E69&gt;=CT$2,VLOOKUP($E69-CT$2,'data input'!$D$3:$E$130,2,FALSE),0)</f>
        <v>0</v>
      </c>
      <c r="CU69" s="5">
        <f>IF($E69&gt;=CU$2,VLOOKUP($E69-CU$2,'data input'!$D$3:$E$130,2,FALSE),0)</f>
        <v>0</v>
      </c>
      <c r="CV69" s="5">
        <f>IF($E69&gt;=CV$2,VLOOKUP($E69-CV$2,'data input'!$D$3:$E$130,2,FALSE),0)</f>
        <v>0</v>
      </c>
      <c r="CW69" s="5">
        <f>IF($E69&gt;=CW$2,VLOOKUP($E69-CW$2,'data input'!$D$3:$E$130,2,FALSE),0)</f>
        <v>0</v>
      </c>
      <c r="CX69" s="5">
        <f>IF($E69&gt;=CX$2,VLOOKUP($E69-CX$2,'data input'!$D$3:$E$130,2,FALSE),0)</f>
        <v>0</v>
      </c>
      <c r="CY69" s="5">
        <f>IF($E69&gt;=CY$2,VLOOKUP($E69-CY$2,'data input'!$D$3:$E$130,2,FALSE),0)</f>
        <v>0</v>
      </c>
      <c r="CZ69" s="5">
        <f>IF($E69&gt;=CZ$2,VLOOKUP($E69-CZ$2,'data input'!$D$3:$E$130,2,FALSE),0)</f>
        <v>0</v>
      </c>
      <c r="DA69" s="5">
        <f>IF($E69&gt;=DA$2,VLOOKUP($E69-DA$2,'data input'!$D$3:$E$130,2,FALSE),0)</f>
        <v>0</v>
      </c>
      <c r="DB69" s="5">
        <f>IF($E69&gt;=DB$2,VLOOKUP($E69-DB$2,'data input'!$D$3:$E$130,2,FALSE),0)</f>
        <v>0</v>
      </c>
      <c r="DC69" s="5">
        <f>IF($E69&gt;=DC$2,VLOOKUP($E69-DC$2,'data input'!$D$3:$E$130,2,FALSE),0)</f>
        <v>0</v>
      </c>
      <c r="DD69" s="5">
        <f>IF($E69&gt;=DD$2,VLOOKUP($E69-DD$2,'data input'!$D$3:$E$130,2,FALSE),0)</f>
        <v>0</v>
      </c>
      <c r="DE69" s="5">
        <f>IF($E69&gt;=DE$2,VLOOKUP($E69-DE$2,'data input'!$D$3:$E$130,2,FALSE),0)</f>
        <v>0</v>
      </c>
      <c r="DF69" s="5">
        <f>IF($E69&gt;=DF$2,VLOOKUP($E69-DF$2,'data input'!$D$3:$E$130,2,FALSE),0)</f>
        <v>0</v>
      </c>
      <c r="DG69" s="5">
        <f>IF($E69&gt;=DG$2,VLOOKUP($E69-DG$2,'data input'!$D$3:$E$130,2,FALSE),0)</f>
        <v>0</v>
      </c>
      <c r="DH69" s="5">
        <f>IF($E69&gt;=DH$2,VLOOKUP($E69-DH$2,'data input'!$D$3:$E$130,2,FALSE),0)</f>
        <v>0</v>
      </c>
      <c r="DI69" s="5">
        <f>IF($E69&gt;=DI$2,VLOOKUP($E69-DI$2,'data input'!$D$3:$E$130,2,FALSE),0)</f>
        <v>0</v>
      </c>
      <c r="DJ69" s="5">
        <f>IF($E69&gt;=DJ$2,VLOOKUP($E69-DJ$2,'data input'!$D$3:$E$130,2,FALSE),0)</f>
        <v>0</v>
      </c>
      <c r="DK69" s="5">
        <f>IF($E69&gt;=DK$2,VLOOKUP($E69-DK$2,'data input'!$D$3:$E$130,2,FALSE),0)</f>
        <v>0</v>
      </c>
      <c r="DL69" s="5">
        <f>IF($E69&gt;=DL$2,VLOOKUP($E69-DL$2,'data input'!$D$3:$E$130,2,FALSE),0)</f>
        <v>0</v>
      </c>
      <c r="DM69" s="5">
        <f>IF($E69&gt;=DM$2,VLOOKUP($E69-DM$2,'data input'!$D$3:$E$130,2,FALSE),0)</f>
        <v>0</v>
      </c>
      <c r="DN69" s="5">
        <f>IF($E69&gt;=DN$2,VLOOKUP($E69-DN$2,'data input'!$D$3:$E$130,2,FALSE),0)</f>
        <v>0</v>
      </c>
      <c r="DO69" s="5">
        <f>IF($E69&gt;=DO$2,VLOOKUP($E69-DO$2,'data input'!$D$3:$E$130,2,FALSE),0)</f>
        <v>0</v>
      </c>
      <c r="DP69" s="5">
        <f>IF($E69&gt;=DP$2,VLOOKUP($E69-DP$2,'data input'!$D$3:$E$130,2,FALSE),0)</f>
        <v>0</v>
      </c>
      <c r="DQ69" s="5">
        <f>IF($E69&gt;=DQ$2,VLOOKUP($E69-DQ$2,'data input'!$D$3:$E$130,2,FALSE),0)</f>
        <v>0</v>
      </c>
      <c r="DR69" s="5">
        <f>IF($E69&gt;=DR$2,VLOOKUP($E69-DR$2,'data input'!$D$3:$E$130,2,FALSE),0)</f>
        <v>0</v>
      </c>
      <c r="DS69" s="5">
        <f>IF($E69&gt;=DS$2,VLOOKUP($E69-DS$2,'data input'!$D$3:$E$130,2,FALSE),0)</f>
        <v>0</v>
      </c>
      <c r="DT69" s="5">
        <f>IF($E69&gt;=DT$2,VLOOKUP($E69-DT$2,'data input'!$D$3:$E$130,2,FALSE),0)</f>
        <v>0</v>
      </c>
      <c r="DU69" s="5">
        <f>IF($E69&gt;=DU$2,VLOOKUP($E69-DU$2,'data input'!$D$3:$E$130,2,FALSE),0)</f>
        <v>0</v>
      </c>
      <c r="DV69" s="5">
        <f>IF($E69&gt;=DV$2,VLOOKUP($E69-DV$2,'data input'!$D$3:$E$130,2,FALSE),0)</f>
        <v>0</v>
      </c>
      <c r="DW69" s="5">
        <f>IF($E69&gt;=DW$2,VLOOKUP($E69-DW$2,'data input'!$D$3:$E$130,2,FALSE),0)</f>
        <v>0</v>
      </c>
      <c r="DX69" s="5">
        <f>IF($E69&gt;=DX$2,VLOOKUP($E69-DX$2,'data input'!$D$3:$E$130,2,FALSE),0)</f>
        <v>0</v>
      </c>
      <c r="DY69" s="5">
        <f>IF($E69&gt;=DY$2,VLOOKUP($E69-DY$2,'data input'!$D$3:$E$130,2,FALSE),0)</f>
        <v>0</v>
      </c>
      <c r="DZ69" s="5">
        <f>IF($E69&gt;=DZ$2,VLOOKUP($E69-DZ$2,'data input'!$D$3:$E$130,2,FALSE),0)</f>
        <v>0</v>
      </c>
      <c r="EA69" s="5">
        <f>IF($E69&gt;=EA$2,VLOOKUP($E69-EA$2,'data input'!$D$3:$E$130,2,FALSE),0)</f>
        <v>0</v>
      </c>
      <c r="EB69" s="5">
        <f>IF($E69&gt;=EB$2,VLOOKUP($E69-EB$2,'data input'!$D$3:$E$130,2,FALSE),0)</f>
        <v>0</v>
      </c>
      <c r="EC69" s="5">
        <f>IF($E69&gt;=EC$2,VLOOKUP($E69-EC$2,'data input'!$D$3:$E$130,2,FALSE),0)</f>
        <v>0</v>
      </c>
    </row>
    <row r="70" spans="5:133">
      <c r="E70" s="7">
        <f>'data input'!B70</f>
        <v>1945</v>
      </c>
      <c r="F70" s="5">
        <f>IF($E70&gt;=F$2,VLOOKUP($E70-F$2,'data input'!$D$3:$E$130,2,FALSE),0)</f>
        <v>2.1433682114152974E-2</v>
      </c>
      <c r="G70" s="5">
        <f>IF($E70&gt;=G$2,VLOOKUP($E70-G$2,'data input'!$D$3:$E$130,2,FALSE),0)</f>
        <v>2.5588059521638562E-2</v>
      </c>
      <c r="H70" s="5">
        <f>IF($E70&gt;=H$2,VLOOKUP($E70-H$2,'data input'!$D$3:$E$130,2,FALSE),0)</f>
        <v>3.0396361765261393E-2</v>
      </c>
      <c r="I70" s="5">
        <f>IF($E70&gt;=I$2,VLOOKUP($E70-I$2,'data input'!$D$3:$E$130,2,FALSE),0)</f>
        <v>3.5930319112925768E-2</v>
      </c>
      <c r="J70" s="5">
        <f>IF($E70&gt;=J$2,VLOOKUP($E70-J$2,'data input'!$D$3:$E$130,2,FALSE),0)</f>
        <v>4.2263736257952433E-2</v>
      </c>
      <c r="K70" s="5">
        <f>IF($E70&gt;=K$2,VLOOKUP($E70-K$2,'data input'!$D$3:$E$130,2,FALSE),0)</f>
        <v>4.9471468033648103E-2</v>
      </c>
      <c r="L70" s="5">
        <f>IF($E70&gt;=L$2,VLOOKUP($E70-L$2,'data input'!$D$3:$E$130,2,FALSE),0)</f>
        <v>5.7628222276153163E-2</v>
      </c>
      <c r="M70" s="5">
        <f>IF($E70&gt;=M$2,VLOOKUP($E70-M$2,'data input'!$D$3:$E$130,2,FALSE),0)</f>
        <v>6.6807201268858085E-2</v>
      </c>
      <c r="N70" s="5">
        <f>IF($E70&gt;=N$2,VLOOKUP($E70-N$2,'data input'!$D$3:$E$130,2,FALSE),0)</f>
        <v>7.707860055207183E-2</v>
      </c>
      <c r="O70" s="5">
        <f>IF($E70&gt;=O$2,VLOOKUP($E70-O$2,'data input'!$D$3:$E$130,2,FALSE),0)</f>
        <v>8.8507991437402067E-2</v>
      </c>
      <c r="P70" s="5">
        <f>IF($E70&gt;=P$2,VLOOKUP($E70-P$2,'data input'!$D$3:$E$130,2,FALSE),0)</f>
        <v>0.10115462099558592</v>
      </c>
      <c r="Q70" s="5">
        <f>IF($E70&gt;=Q$2,VLOOKUP($E70-Q$2,'data input'!$D$3:$E$130,2,FALSE),0)</f>
        <v>0.11506967022170822</v>
      </c>
      <c r="R70" s="5">
        <f>IF($E70&gt;=R$2,VLOOKUP($E70-R$2,'data input'!$D$3:$E$130,2,FALSE),0)</f>
        <v>0.13029451713680884</v>
      </c>
      <c r="S70" s="5">
        <f>IF($E70&gt;=S$2,VLOOKUP($E70-S$2,'data input'!$D$3:$E$130,2,FALSE),0)</f>
        <v>0.14685905637589591</v>
      </c>
      <c r="T70" s="5">
        <f>IF($E70&gt;=T$2,VLOOKUP($E70-T$2,'data input'!$D$3:$E$130,2,FALSE),0)</f>
        <v>0.16478012998031033</v>
      </c>
      <c r="U70" s="5">
        <f>IF($E70&gt;=U$2,VLOOKUP($E70-U$2,'data input'!$D$3:$E$130,2,FALSE),0)</f>
        <v>0.18406012534675953</v>
      </c>
      <c r="V70" s="5">
        <f>IF($E70&gt;=V$2,VLOOKUP($E70-V$2,'data input'!$D$3:$E$130,2,FALSE),0)</f>
        <v>0.20468579534725262</v>
      </c>
      <c r="W70" s="5">
        <f>IF($E70&gt;=W$2,VLOOKUP($E70-W$2,'data input'!$D$3:$E$130,2,FALSE),0)</f>
        <v>0.22662735237686826</v>
      </c>
      <c r="X70" s="5">
        <f>IF($E70&gt;=X$2,VLOOKUP($E70-X$2,'data input'!$D$3:$E$130,2,FALSE),0)</f>
        <v>0.24983788247177696</v>
      </c>
      <c r="Y70" s="5">
        <f>IF($E70&gt;=Y$2,VLOOKUP($E70-Y$2,'data input'!$D$3:$E$130,2,FALSE),0)</f>
        <v>0.27425311775007355</v>
      </c>
      <c r="Z70" s="5">
        <f>IF($E70&gt;=Z$2,VLOOKUP($E70-Z$2,'data input'!$D$3:$E$130,2,FALSE),0)</f>
        <v>0.29979159546869583</v>
      </c>
      <c r="AA70" s="5">
        <f>IF($E70&gt;=AA$2,VLOOKUP($E70-AA$2,'data input'!$D$3:$E$130,2,FALSE),0)</f>
        <v>0.32635522028792008</v>
      </c>
      <c r="AB70" s="5">
        <f>IF($E70&gt;=AB$2,VLOOKUP($E70-AB$2,'data input'!$D$3:$E$130,2,FALSE),0)</f>
        <v>0.35383023332727614</v>
      </c>
      <c r="AC70" s="5">
        <f>IF($E70&gt;=AC$2,VLOOKUP($E70-AC$2,'data input'!$D$3:$E$130,2,FALSE),0)</f>
        <v>0.38208857781104733</v>
      </c>
      <c r="AD70" s="5">
        <f>IF($E70&gt;=AD$2,VLOOKUP($E70-AD$2,'data input'!$D$3:$E$130,2,FALSE),0)</f>
        <v>0.41098963713127035</v>
      </c>
      <c r="AE70" s="5">
        <f>IF($E70&gt;=AE$2,VLOOKUP($E70-AE$2,'data input'!$D$3:$E$130,2,FALSE),0)</f>
        <v>0.4403823076297575</v>
      </c>
      <c r="AF70" s="5">
        <f>IF($E70&gt;=AF$2,VLOOKUP($E70-AF$2,'data input'!$D$3:$E$130,2,FALSE),0)</f>
        <v>0.47010735594710518</v>
      </c>
      <c r="AG70" s="5">
        <f>IF($E70&gt;=AG$2,VLOOKUP($E70-AG$2,'data input'!$D$3:$E$130,2,FALSE),0)</f>
        <v>0.5</v>
      </c>
      <c r="AH70" s="5">
        <f>IF($E70&gt;=AH$2,VLOOKUP($E70-AH$2,'data input'!$D$3:$E$130,2,FALSE),0)</f>
        <v>0.52989264405289482</v>
      </c>
      <c r="AI70" s="5">
        <f>IF($E70&gt;=AI$2,VLOOKUP($E70-AI$2,'data input'!$D$3:$E$130,2,FALSE),0)</f>
        <v>0.5596176923702425</v>
      </c>
      <c r="AJ70" s="5">
        <f>IF($E70&gt;=AJ$2,VLOOKUP($E70-AJ$2,'data input'!$D$3:$E$130,2,FALSE),0)</f>
        <v>0.58901036286872965</v>
      </c>
      <c r="AK70" s="5">
        <f>IF($E70&gt;=AK$2,VLOOKUP($E70-AK$2,'data input'!$D$3:$E$130,2,FALSE),0)</f>
        <v>0.61791142218895267</v>
      </c>
      <c r="AL70" s="5">
        <f>IF($E70&gt;=AL$2,VLOOKUP($E70-AL$2,'data input'!$D$3:$E$130,2,FALSE),0)</f>
        <v>0.64616976667272386</v>
      </c>
      <c r="AM70" s="5">
        <f>IF($E70&gt;=AM$2,VLOOKUP($E70-AM$2,'data input'!$D$3:$E$130,2,FALSE),0)</f>
        <v>0.67364477971207992</v>
      </c>
      <c r="AN70" s="5">
        <f>IF($E70&gt;=AN$2,VLOOKUP($E70-AN$2,'data input'!$D$3:$E$130,2,FALSE),0)</f>
        <v>0.70020840453130417</v>
      </c>
      <c r="AO70" s="5">
        <f>IF($E70&gt;=AO$2,VLOOKUP($E70-AO$2,'data input'!$D$3:$E$130,2,FALSE),0)</f>
        <v>0.72574688224992645</v>
      </c>
      <c r="AP70" s="5">
        <f>IF($E70&gt;=AP$2,VLOOKUP($E70-AP$2,'data input'!$D$3:$E$130,2,FALSE),0)</f>
        <v>0.75016211752822304</v>
      </c>
      <c r="AQ70" s="5">
        <f>IF($E70&gt;=AQ$2,VLOOKUP($E70-AQ$2,'data input'!$D$3:$E$130,2,FALSE),0)</f>
        <v>0.77337264762313174</v>
      </c>
      <c r="AR70" s="5">
        <f>IF($E70&gt;=AR$2,VLOOKUP($E70-AR$2,'data input'!$D$3:$E$130,2,FALSE),0)</f>
        <v>0.79531420465274738</v>
      </c>
      <c r="AS70" s="5">
        <f>IF($E70&gt;=AS$2,VLOOKUP($E70-AS$2,'data input'!$D$3:$E$130,2,FALSE),0)</f>
        <v>0.81593987465324047</v>
      </c>
      <c r="AT70" s="5">
        <f>IF($E70&gt;=AT$2,VLOOKUP($E70-AT$2,'data input'!$D$3:$E$130,2,FALSE),0)</f>
        <v>0.83521987001968967</v>
      </c>
      <c r="AU70" s="5">
        <f>IF($E70&gt;=AU$2,VLOOKUP($E70-AU$2,'data input'!$D$3:$E$130,2,FALSE),0)</f>
        <v>0.85314094362410409</v>
      </c>
      <c r="AV70" s="5">
        <f>IF($E70&gt;=AV$2,VLOOKUP($E70-AV$2,'data input'!$D$3:$E$130,2,FALSE),0)</f>
        <v>0.86970548286319116</v>
      </c>
      <c r="AW70" s="5">
        <f>IF($E70&gt;=AW$2,VLOOKUP($E70-AW$2,'data input'!$D$3:$E$130,2,FALSE),0)</f>
        <v>0.88493032977829178</v>
      </c>
      <c r="AX70" s="5">
        <f>IF($E70&gt;=AX$2,VLOOKUP($E70-AX$2,'data input'!$D$3:$E$130,2,FALSE),0)</f>
        <v>0.89884537900441408</v>
      </c>
      <c r="AY70" s="5">
        <f>IF($E70&gt;=AY$2,VLOOKUP($E70-AY$2,'data input'!$D$3:$E$130,2,FALSE),0)</f>
        <v>0.91149200856259793</v>
      </c>
      <c r="AZ70" s="5">
        <f>IF($E70&gt;=AZ$2,VLOOKUP($E70-AZ$2,'data input'!$D$3:$E$130,2,FALSE),0)</f>
        <v>0.92292139944792817</v>
      </c>
      <c r="BA70" s="5">
        <f>IF($E70&gt;=BA$2,VLOOKUP($E70-BA$2,'data input'!$D$3:$E$130,2,FALSE),0)</f>
        <v>0.93319279873114191</v>
      </c>
      <c r="BB70" s="5">
        <f>IF($E70&gt;=BB$2,VLOOKUP($E70-BB$2,'data input'!$D$3:$E$130,2,FALSE),0)</f>
        <v>0.94237177772384684</v>
      </c>
      <c r="BC70" s="5">
        <f>IF($E70&gt;=BC$2,VLOOKUP($E70-BC$2,'data input'!$D$3:$E$130,2,FALSE),0)</f>
        <v>0.9505285319663519</v>
      </c>
      <c r="BD70" s="5">
        <f>IF($E70&gt;=BD$2,VLOOKUP($E70-BD$2,'data input'!$D$3:$E$130,2,FALSE),0)</f>
        <v>0.95773626374204757</v>
      </c>
      <c r="BE70" s="5">
        <f>IF($E70&gt;=BE$2,VLOOKUP($E70-BE$2,'data input'!$D$3:$E$130,2,FALSE),0)</f>
        <v>0.96406968088707423</v>
      </c>
      <c r="BF70" s="5">
        <f>IF($E70&gt;=BF$2,VLOOKUP($E70-BF$2,'data input'!$D$3:$E$130,2,FALSE),0)</f>
        <v>0.96960363823473861</v>
      </c>
      <c r="BG70" s="5">
        <f>IF($E70&gt;=BG$2,VLOOKUP($E70-BG$2,'data input'!$D$3:$E$130,2,FALSE),0)</f>
        <v>0.97441194047836144</v>
      </c>
      <c r="BH70" s="5">
        <f>IF($E70&gt;=BH$2,VLOOKUP($E70-BH$2,'data input'!$D$3:$E$130,2,FALSE),0)</f>
        <v>0.97856631788584703</v>
      </c>
      <c r="BI70" s="5">
        <f>IF($E70&gt;=BI$2,VLOOKUP($E70-BI$2,'data input'!$D$3:$E$130,2,FALSE),0)</f>
        <v>0.98213557943718344</v>
      </c>
      <c r="BJ70" s="5">
        <f>IF($E70&gt;=BJ$2,VLOOKUP($E70-BJ$2,'data input'!$D$3:$E$130,2,FALSE),0)</f>
        <v>0.98518494180739014</v>
      </c>
      <c r="BK70" s="5">
        <f>IF($E70&gt;=BK$2,VLOOKUP($E70-BK$2,'data input'!$D$3:$E$130,2,FALSE),0)</f>
        <v>0.98777552734495533</v>
      </c>
      <c r="BL70" s="5">
        <f>IF($E70&gt;=BL$2,VLOOKUP($E70-BL$2,'data input'!$D$3:$E$130,2,FALSE),0)</f>
        <v>0.98996401989972593</v>
      </c>
      <c r="BM70" s="5">
        <f>IF($E70&gt;=BM$2,VLOOKUP($E70-BM$2,'data input'!$D$3:$E$130,2,FALSE),0)</f>
        <v>0.99180246407540384</v>
      </c>
      <c r="BN70" s="5">
        <f>IF($E70&gt;=BN$2,VLOOKUP($E70-BN$2,'data input'!$D$3:$E$130,2,FALSE),0)</f>
        <v>0.99333819120801725</v>
      </c>
      <c r="BO70" s="5">
        <f>IF($E70&gt;=BO$2,VLOOKUP($E70-BO$2,'data input'!$D$3:$E$130,2,FALSE),0)</f>
        <v>0.99461385404593328</v>
      </c>
      <c r="BP70" s="5">
        <f>IF($E70&gt;=BP$2,VLOOKUP($E70-BP$2,'data input'!$D$3:$E$130,2,FALSE),0)</f>
        <v>0.99566755163698739</v>
      </c>
      <c r="BQ70" s="5">
        <f>IF($E70&gt;=BQ$2,VLOOKUP($E70-BQ$2,'data input'!$D$3:$E$130,2,FALSE),0)</f>
        <v>0.99653302619695938</v>
      </c>
      <c r="BR70" s="5">
        <f>IF($E70&gt;=BR$2,VLOOKUP($E70-BR$2,'data input'!$D$3:$E$130,2,FALSE),0)</f>
        <v>0.99723991460873751</v>
      </c>
      <c r="BS70" s="5">
        <f>IF($E70&gt;=BS$2,VLOOKUP($E70-BS$2,'data input'!$D$3:$E$130,2,FALSE),0)</f>
        <v>0.99781403854508677</v>
      </c>
      <c r="BT70" s="5">
        <f>IF($E70&gt;=BT$2,VLOOKUP($E70-BT$2,'data input'!$D$3:$E$130,2,FALSE),0)</f>
        <v>0.99827771888413241</v>
      </c>
      <c r="BU70" s="5">
        <f>IF($E70&gt;=BU$2,VLOOKUP($E70-BU$2,'data input'!$D$3:$E$130,2,FALSE),0)</f>
        <v>0.9986501019683699</v>
      </c>
      <c r="BV70" s="5">
        <f>IF($E70&gt;=BV$2,VLOOKUP($E70-BV$2,'data input'!$D$3:$E$130,2,FALSE),0)</f>
        <v>0</v>
      </c>
      <c r="BW70" s="5">
        <f>IF($E70&gt;=BW$2,VLOOKUP($E70-BW$2,'data input'!$D$3:$E$130,2,FALSE),0)</f>
        <v>0</v>
      </c>
      <c r="BX70" s="5">
        <f>IF($E70&gt;=BX$2,VLOOKUP($E70-BX$2,'data input'!$D$3:$E$130,2,FALSE),0)</f>
        <v>0</v>
      </c>
      <c r="BY70" s="5">
        <f>IF($E70&gt;=BY$2,VLOOKUP($E70-BY$2,'data input'!$D$3:$E$130,2,FALSE),0)</f>
        <v>0</v>
      </c>
      <c r="BZ70" s="5">
        <f>IF($E70&gt;=BZ$2,VLOOKUP($E70-BZ$2,'data input'!$D$3:$E$130,2,FALSE),0)</f>
        <v>0</v>
      </c>
      <c r="CA70" s="5">
        <f>IF($E70&gt;=CA$2,VLOOKUP($E70-CA$2,'data input'!$D$3:$E$130,2,FALSE),0)</f>
        <v>0</v>
      </c>
      <c r="CB70" s="5">
        <f>IF($E70&gt;=CB$2,VLOOKUP($E70-CB$2,'data input'!$D$3:$E$130,2,FALSE),0)</f>
        <v>0</v>
      </c>
      <c r="CC70" s="5">
        <f>IF($E70&gt;=CC$2,VLOOKUP($E70-CC$2,'data input'!$D$3:$E$130,2,FALSE),0)</f>
        <v>0</v>
      </c>
      <c r="CD70" s="5">
        <f>IF($E70&gt;=CD$2,VLOOKUP($E70-CD$2,'data input'!$D$3:$E$130,2,FALSE),0)</f>
        <v>0</v>
      </c>
      <c r="CE70" s="5">
        <f>IF($E70&gt;=CE$2,VLOOKUP($E70-CE$2,'data input'!$D$3:$E$130,2,FALSE),0)</f>
        <v>0</v>
      </c>
      <c r="CF70" s="5">
        <f>IF($E70&gt;=CF$2,VLOOKUP($E70-CF$2,'data input'!$D$3:$E$130,2,FALSE),0)</f>
        <v>0</v>
      </c>
      <c r="CG70" s="5">
        <f>IF($E70&gt;=CG$2,VLOOKUP($E70-CG$2,'data input'!$D$3:$E$130,2,FALSE),0)</f>
        <v>0</v>
      </c>
      <c r="CH70" s="5">
        <f>IF($E70&gt;=CH$2,VLOOKUP($E70-CH$2,'data input'!$D$3:$E$130,2,FALSE),0)</f>
        <v>0</v>
      </c>
      <c r="CI70" s="5">
        <f>IF($E70&gt;=CI$2,VLOOKUP($E70-CI$2,'data input'!$D$3:$E$130,2,FALSE),0)</f>
        <v>0</v>
      </c>
      <c r="CJ70" s="5">
        <f>IF($E70&gt;=CJ$2,VLOOKUP($E70-CJ$2,'data input'!$D$3:$E$130,2,FALSE),0)</f>
        <v>0</v>
      </c>
      <c r="CK70" s="5">
        <f>IF($E70&gt;=CK$2,VLOOKUP($E70-CK$2,'data input'!$D$3:$E$130,2,FALSE),0)</f>
        <v>0</v>
      </c>
      <c r="CL70" s="5">
        <f>IF($E70&gt;=CL$2,VLOOKUP($E70-CL$2,'data input'!$D$3:$E$130,2,FALSE),0)</f>
        <v>0</v>
      </c>
      <c r="CM70" s="5">
        <f>IF($E70&gt;=CM$2,VLOOKUP($E70-CM$2,'data input'!$D$3:$E$130,2,FALSE),0)</f>
        <v>0</v>
      </c>
      <c r="CN70" s="5">
        <f>IF($E70&gt;=CN$2,VLOOKUP($E70-CN$2,'data input'!$D$3:$E$130,2,FALSE),0)</f>
        <v>0</v>
      </c>
      <c r="CO70" s="5">
        <f>IF($E70&gt;=CO$2,VLOOKUP($E70-CO$2,'data input'!$D$3:$E$130,2,FALSE),0)</f>
        <v>0</v>
      </c>
      <c r="CP70" s="5">
        <f>IF($E70&gt;=CP$2,VLOOKUP($E70-CP$2,'data input'!$D$3:$E$130,2,FALSE),0)</f>
        <v>0</v>
      </c>
      <c r="CQ70" s="5">
        <f>IF($E70&gt;=CQ$2,VLOOKUP($E70-CQ$2,'data input'!$D$3:$E$130,2,FALSE),0)</f>
        <v>0</v>
      </c>
      <c r="CR70" s="5">
        <f>IF($E70&gt;=CR$2,VLOOKUP($E70-CR$2,'data input'!$D$3:$E$130,2,FALSE),0)</f>
        <v>0</v>
      </c>
      <c r="CS70" s="5">
        <f>IF($E70&gt;=CS$2,VLOOKUP($E70-CS$2,'data input'!$D$3:$E$130,2,FALSE),0)</f>
        <v>0</v>
      </c>
      <c r="CT70" s="5">
        <f>IF($E70&gt;=CT$2,VLOOKUP($E70-CT$2,'data input'!$D$3:$E$130,2,FALSE),0)</f>
        <v>0</v>
      </c>
      <c r="CU70" s="5">
        <f>IF($E70&gt;=CU$2,VLOOKUP($E70-CU$2,'data input'!$D$3:$E$130,2,FALSE),0)</f>
        <v>0</v>
      </c>
      <c r="CV70" s="5">
        <f>IF($E70&gt;=CV$2,VLOOKUP($E70-CV$2,'data input'!$D$3:$E$130,2,FALSE),0)</f>
        <v>0</v>
      </c>
      <c r="CW70" s="5">
        <f>IF($E70&gt;=CW$2,VLOOKUP($E70-CW$2,'data input'!$D$3:$E$130,2,FALSE),0)</f>
        <v>0</v>
      </c>
      <c r="CX70" s="5">
        <f>IF($E70&gt;=CX$2,VLOOKUP($E70-CX$2,'data input'!$D$3:$E$130,2,FALSE),0)</f>
        <v>0</v>
      </c>
      <c r="CY70" s="5">
        <f>IF($E70&gt;=CY$2,VLOOKUP($E70-CY$2,'data input'!$D$3:$E$130,2,FALSE),0)</f>
        <v>0</v>
      </c>
      <c r="CZ70" s="5">
        <f>IF($E70&gt;=CZ$2,VLOOKUP($E70-CZ$2,'data input'!$D$3:$E$130,2,FALSE),0)</f>
        <v>0</v>
      </c>
      <c r="DA70" s="5">
        <f>IF($E70&gt;=DA$2,VLOOKUP($E70-DA$2,'data input'!$D$3:$E$130,2,FALSE),0)</f>
        <v>0</v>
      </c>
      <c r="DB70" s="5">
        <f>IF($E70&gt;=DB$2,VLOOKUP($E70-DB$2,'data input'!$D$3:$E$130,2,FALSE),0)</f>
        <v>0</v>
      </c>
      <c r="DC70" s="5">
        <f>IF($E70&gt;=DC$2,VLOOKUP($E70-DC$2,'data input'!$D$3:$E$130,2,FALSE),0)</f>
        <v>0</v>
      </c>
      <c r="DD70" s="5">
        <f>IF($E70&gt;=DD$2,VLOOKUP($E70-DD$2,'data input'!$D$3:$E$130,2,FALSE),0)</f>
        <v>0</v>
      </c>
      <c r="DE70" s="5">
        <f>IF($E70&gt;=DE$2,VLOOKUP($E70-DE$2,'data input'!$D$3:$E$130,2,FALSE),0)</f>
        <v>0</v>
      </c>
      <c r="DF70" s="5">
        <f>IF($E70&gt;=DF$2,VLOOKUP($E70-DF$2,'data input'!$D$3:$E$130,2,FALSE),0)</f>
        <v>0</v>
      </c>
      <c r="DG70" s="5">
        <f>IF($E70&gt;=DG$2,VLOOKUP($E70-DG$2,'data input'!$D$3:$E$130,2,FALSE),0)</f>
        <v>0</v>
      </c>
      <c r="DH70" s="5">
        <f>IF($E70&gt;=DH$2,VLOOKUP($E70-DH$2,'data input'!$D$3:$E$130,2,FALSE),0)</f>
        <v>0</v>
      </c>
      <c r="DI70" s="5">
        <f>IF($E70&gt;=DI$2,VLOOKUP($E70-DI$2,'data input'!$D$3:$E$130,2,FALSE),0)</f>
        <v>0</v>
      </c>
      <c r="DJ70" s="5">
        <f>IF($E70&gt;=DJ$2,VLOOKUP($E70-DJ$2,'data input'!$D$3:$E$130,2,FALSE),0)</f>
        <v>0</v>
      </c>
      <c r="DK70" s="5">
        <f>IF($E70&gt;=DK$2,VLOOKUP($E70-DK$2,'data input'!$D$3:$E$130,2,FALSE),0)</f>
        <v>0</v>
      </c>
      <c r="DL70" s="5">
        <f>IF($E70&gt;=DL$2,VLOOKUP($E70-DL$2,'data input'!$D$3:$E$130,2,FALSE),0)</f>
        <v>0</v>
      </c>
      <c r="DM70" s="5">
        <f>IF($E70&gt;=DM$2,VLOOKUP($E70-DM$2,'data input'!$D$3:$E$130,2,FALSE),0)</f>
        <v>0</v>
      </c>
      <c r="DN70" s="5">
        <f>IF($E70&gt;=DN$2,VLOOKUP($E70-DN$2,'data input'!$D$3:$E$130,2,FALSE),0)</f>
        <v>0</v>
      </c>
      <c r="DO70" s="5">
        <f>IF($E70&gt;=DO$2,VLOOKUP($E70-DO$2,'data input'!$D$3:$E$130,2,FALSE),0)</f>
        <v>0</v>
      </c>
      <c r="DP70" s="5">
        <f>IF($E70&gt;=DP$2,VLOOKUP($E70-DP$2,'data input'!$D$3:$E$130,2,FALSE),0)</f>
        <v>0</v>
      </c>
      <c r="DQ70" s="5">
        <f>IF($E70&gt;=DQ$2,VLOOKUP($E70-DQ$2,'data input'!$D$3:$E$130,2,FALSE),0)</f>
        <v>0</v>
      </c>
      <c r="DR70" s="5">
        <f>IF($E70&gt;=DR$2,VLOOKUP($E70-DR$2,'data input'!$D$3:$E$130,2,FALSE),0)</f>
        <v>0</v>
      </c>
      <c r="DS70" s="5">
        <f>IF($E70&gt;=DS$2,VLOOKUP($E70-DS$2,'data input'!$D$3:$E$130,2,FALSE),0)</f>
        <v>0</v>
      </c>
      <c r="DT70" s="5">
        <f>IF($E70&gt;=DT$2,VLOOKUP($E70-DT$2,'data input'!$D$3:$E$130,2,FALSE),0)</f>
        <v>0</v>
      </c>
      <c r="DU70" s="5">
        <f>IF($E70&gt;=DU$2,VLOOKUP($E70-DU$2,'data input'!$D$3:$E$130,2,FALSE),0)</f>
        <v>0</v>
      </c>
      <c r="DV70" s="5">
        <f>IF($E70&gt;=DV$2,VLOOKUP($E70-DV$2,'data input'!$D$3:$E$130,2,FALSE),0)</f>
        <v>0</v>
      </c>
      <c r="DW70" s="5">
        <f>IF($E70&gt;=DW$2,VLOOKUP($E70-DW$2,'data input'!$D$3:$E$130,2,FALSE),0)</f>
        <v>0</v>
      </c>
      <c r="DX70" s="5">
        <f>IF($E70&gt;=DX$2,VLOOKUP($E70-DX$2,'data input'!$D$3:$E$130,2,FALSE),0)</f>
        <v>0</v>
      </c>
      <c r="DY70" s="5">
        <f>IF($E70&gt;=DY$2,VLOOKUP($E70-DY$2,'data input'!$D$3:$E$130,2,FALSE),0)</f>
        <v>0</v>
      </c>
      <c r="DZ70" s="5">
        <f>IF($E70&gt;=DZ$2,VLOOKUP($E70-DZ$2,'data input'!$D$3:$E$130,2,FALSE),0)</f>
        <v>0</v>
      </c>
      <c r="EA70" s="5">
        <f>IF($E70&gt;=EA$2,VLOOKUP($E70-EA$2,'data input'!$D$3:$E$130,2,FALSE),0)</f>
        <v>0</v>
      </c>
      <c r="EB70" s="5">
        <f>IF($E70&gt;=EB$2,VLOOKUP($E70-EB$2,'data input'!$D$3:$E$130,2,FALSE),0)</f>
        <v>0</v>
      </c>
      <c r="EC70" s="5">
        <f>IF($E70&gt;=EC$2,VLOOKUP($E70-EC$2,'data input'!$D$3:$E$130,2,FALSE),0)</f>
        <v>0</v>
      </c>
    </row>
    <row r="71" spans="5:133">
      <c r="E71" s="7">
        <f>'data input'!B71</f>
        <v>1946</v>
      </c>
      <c r="F71" s="5">
        <f>IF($E71&gt;=F$2,VLOOKUP($E71-F$2,'data input'!$D$3:$E$130,2,FALSE),0)</f>
        <v>1.7864420562816563E-2</v>
      </c>
      <c r="G71" s="5">
        <f>IF($E71&gt;=G$2,VLOOKUP($E71-G$2,'data input'!$D$3:$E$130,2,FALSE),0)</f>
        <v>2.1433682114152974E-2</v>
      </c>
      <c r="H71" s="5">
        <f>IF($E71&gt;=H$2,VLOOKUP($E71-H$2,'data input'!$D$3:$E$130,2,FALSE),0)</f>
        <v>2.5588059521638562E-2</v>
      </c>
      <c r="I71" s="5">
        <f>IF($E71&gt;=I$2,VLOOKUP($E71-I$2,'data input'!$D$3:$E$130,2,FALSE),0)</f>
        <v>3.0396361765261393E-2</v>
      </c>
      <c r="J71" s="5">
        <f>IF($E71&gt;=J$2,VLOOKUP($E71-J$2,'data input'!$D$3:$E$130,2,FALSE),0)</f>
        <v>3.5930319112925768E-2</v>
      </c>
      <c r="K71" s="5">
        <f>IF($E71&gt;=K$2,VLOOKUP($E71-K$2,'data input'!$D$3:$E$130,2,FALSE),0)</f>
        <v>4.2263736257952433E-2</v>
      </c>
      <c r="L71" s="5">
        <f>IF($E71&gt;=L$2,VLOOKUP($E71-L$2,'data input'!$D$3:$E$130,2,FALSE),0)</f>
        <v>4.9471468033648103E-2</v>
      </c>
      <c r="M71" s="5">
        <f>IF($E71&gt;=M$2,VLOOKUP($E71-M$2,'data input'!$D$3:$E$130,2,FALSE),0)</f>
        <v>5.7628222276153163E-2</v>
      </c>
      <c r="N71" s="5">
        <f>IF($E71&gt;=N$2,VLOOKUP($E71-N$2,'data input'!$D$3:$E$130,2,FALSE),0)</f>
        <v>6.6807201268858085E-2</v>
      </c>
      <c r="O71" s="5">
        <f>IF($E71&gt;=O$2,VLOOKUP($E71-O$2,'data input'!$D$3:$E$130,2,FALSE),0)</f>
        <v>7.707860055207183E-2</v>
      </c>
      <c r="P71" s="5">
        <f>IF($E71&gt;=P$2,VLOOKUP($E71-P$2,'data input'!$D$3:$E$130,2,FALSE),0)</f>
        <v>8.8507991437402067E-2</v>
      </c>
      <c r="Q71" s="5">
        <f>IF($E71&gt;=Q$2,VLOOKUP($E71-Q$2,'data input'!$D$3:$E$130,2,FALSE),0)</f>
        <v>0.10115462099558592</v>
      </c>
      <c r="R71" s="5">
        <f>IF($E71&gt;=R$2,VLOOKUP($E71-R$2,'data input'!$D$3:$E$130,2,FALSE),0)</f>
        <v>0.11506967022170822</v>
      </c>
      <c r="S71" s="5">
        <f>IF($E71&gt;=S$2,VLOOKUP($E71-S$2,'data input'!$D$3:$E$130,2,FALSE),0)</f>
        <v>0.13029451713680884</v>
      </c>
      <c r="T71" s="5">
        <f>IF($E71&gt;=T$2,VLOOKUP($E71-T$2,'data input'!$D$3:$E$130,2,FALSE),0)</f>
        <v>0.14685905637589591</v>
      </c>
      <c r="U71" s="5">
        <f>IF($E71&gt;=U$2,VLOOKUP($E71-U$2,'data input'!$D$3:$E$130,2,FALSE),0)</f>
        <v>0.16478012998031033</v>
      </c>
      <c r="V71" s="5">
        <f>IF($E71&gt;=V$2,VLOOKUP($E71-V$2,'data input'!$D$3:$E$130,2,FALSE),0)</f>
        <v>0.18406012534675953</v>
      </c>
      <c r="W71" s="5">
        <f>IF($E71&gt;=W$2,VLOOKUP($E71-W$2,'data input'!$D$3:$E$130,2,FALSE),0)</f>
        <v>0.20468579534725262</v>
      </c>
      <c r="X71" s="5">
        <f>IF($E71&gt;=X$2,VLOOKUP($E71-X$2,'data input'!$D$3:$E$130,2,FALSE),0)</f>
        <v>0.22662735237686826</v>
      </c>
      <c r="Y71" s="5">
        <f>IF($E71&gt;=Y$2,VLOOKUP($E71-Y$2,'data input'!$D$3:$E$130,2,FALSE),0)</f>
        <v>0.24983788247177696</v>
      </c>
      <c r="Z71" s="5">
        <f>IF($E71&gt;=Z$2,VLOOKUP($E71-Z$2,'data input'!$D$3:$E$130,2,FALSE),0)</f>
        <v>0.27425311775007355</v>
      </c>
      <c r="AA71" s="5">
        <f>IF($E71&gt;=AA$2,VLOOKUP($E71-AA$2,'data input'!$D$3:$E$130,2,FALSE),0)</f>
        <v>0.29979159546869583</v>
      </c>
      <c r="AB71" s="5">
        <f>IF($E71&gt;=AB$2,VLOOKUP($E71-AB$2,'data input'!$D$3:$E$130,2,FALSE),0)</f>
        <v>0.32635522028792008</v>
      </c>
      <c r="AC71" s="5">
        <f>IF($E71&gt;=AC$2,VLOOKUP($E71-AC$2,'data input'!$D$3:$E$130,2,FALSE),0)</f>
        <v>0.35383023332727614</v>
      </c>
      <c r="AD71" s="5">
        <f>IF($E71&gt;=AD$2,VLOOKUP($E71-AD$2,'data input'!$D$3:$E$130,2,FALSE),0)</f>
        <v>0.38208857781104733</v>
      </c>
      <c r="AE71" s="5">
        <f>IF($E71&gt;=AE$2,VLOOKUP($E71-AE$2,'data input'!$D$3:$E$130,2,FALSE),0)</f>
        <v>0.41098963713127035</v>
      </c>
      <c r="AF71" s="5">
        <f>IF($E71&gt;=AF$2,VLOOKUP($E71-AF$2,'data input'!$D$3:$E$130,2,FALSE),0)</f>
        <v>0.4403823076297575</v>
      </c>
      <c r="AG71" s="5">
        <f>IF($E71&gt;=AG$2,VLOOKUP($E71-AG$2,'data input'!$D$3:$E$130,2,FALSE),0)</f>
        <v>0.47010735594710518</v>
      </c>
      <c r="AH71" s="5">
        <f>IF($E71&gt;=AH$2,VLOOKUP($E71-AH$2,'data input'!$D$3:$E$130,2,FALSE),0)</f>
        <v>0.5</v>
      </c>
      <c r="AI71" s="5">
        <f>IF($E71&gt;=AI$2,VLOOKUP($E71-AI$2,'data input'!$D$3:$E$130,2,FALSE),0)</f>
        <v>0.52989264405289482</v>
      </c>
      <c r="AJ71" s="5">
        <f>IF($E71&gt;=AJ$2,VLOOKUP($E71-AJ$2,'data input'!$D$3:$E$130,2,FALSE),0)</f>
        <v>0.5596176923702425</v>
      </c>
      <c r="AK71" s="5">
        <f>IF($E71&gt;=AK$2,VLOOKUP($E71-AK$2,'data input'!$D$3:$E$130,2,FALSE),0)</f>
        <v>0.58901036286872965</v>
      </c>
      <c r="AL71" s="5">
        <f>IF($E71&gt;=AL$2,VLOOKUP($E71-AL$2,'data input'!$D$3:$E$130,2,FALSE),0)</f>
        <v>0.61791142218895267</v>
      </c>
      <c r="AM71" s="5">
        <f>IF($E71&gt;=AM$2,VLOOKUP($E71-AM$2,'data input'!$D$3:$E$130,2,FALSE),0)</f>
        <v>0.64616976667272386</v>
      </c>
      <c r="AN71" s="5">
        <f>IF($E71&gt;=AN$2,VLOOKUP($E71-AN$2,'data input'!$D$3:$E$130,2,FALSE),0)</f>
        <v>0.67364477971207992</v>
      </c>
      <c r="AO71" s="5">
        <f>IF($E71&gt;=AO$2,VLOOKUP($E71-AO$2,'data input'!$D$3:$E$130,2,FALSE),0)</f>
        <v>0.70020840453130417</v>
      </c>
      <c r="AP71" s="5">
        <f>IF($E71&gt;=AP$2,VLOOKUP($E71-AP$2,'data input'!$D$3:$E$130,2,FALSE),0)</f>
        <v>0.72574688224992645</v>
      </c>
      <c r="AQ71" s="5">
        <f>IF($E71&gt;=AQ$2,VLOOKUP($E71-AQ$2,'data input'!$D$3:$E$130,2,FALSE),0)</f>
        <v>0.75016211752822304</v>
      </c>
      <c r="AR71" s="5">
        <f>IF($E71&gt;=AR$2,VLOOKUP($E71-AR$2,'data input'!$D$3:$E$130,2,FALSE),0)</f>
        <v>0.77337264762313174</v>
      </c>
      <c r="AS71" s="5">
        <f>IF($E71&gt;=AS$2,VLOOKUP($E71-AS$2,'data input'!$D$3:$E$130,2,FALSE),0)</f>
        <v>0.79531420465274738</v>
      </c>
      <c r="AT71" s="5">
        <f>IF($E71&gt;=AT$2,VLOOKUP($E71-AT$2,'data input'!$D$3:$E$130,2,FALSE),0)</f>
        <v>0.81593987465324047</v>
      </c>
      <c r="AU71" s="5">
        <f>IF($E71&gt;=AU$2,VLOOKUP($E71-AU$2,'data input'!$D$3:$E$130,2,FALSE),0)</f>
        <v>0.83521987001968967</v>
      </c>
      <c r="AV71" s="5">
        <f>IF($E71&gt;=AV$2,VLOOKUP($E71-AV$2,'data input'!$D$3:$E$130,2,FALSE),0)</f>
        <v>0.85314094362410409</v>
      </c>
      <c r="AW71" s="5">
        <f>IF($E71&gt;=AW$2,VLOOKUP($E71-AW$2,'data input'!$D$3:$E$130,2,FALSE),0)</f>
        <v>0.86970548286319116</v>
      </c>
      <c r="AX71" s="5">
        <f>IF($E71&gt;=AX$2,VLOOKUP($E71-AX$2,'data input'!$D$3:$E$130,2,FALSE),0)</f>
        <v>0.88493032977829178</v>
      </c>
      <c r="AY71" s="5">
        <f>IF($E71&gt;=AY$2,VLOOKUP($E71-AY$2,'data input'!$D$3:$E$130,2,FALSE),0)</f>
        <v>0.89884537900441408</v>
      </c>
      <c r="AZ71" s="5">
        <f>IF($E71&gt;=AZ$2,VLOOKUP($E71-AZ$2,'data input'!$D$3:$E$130,2,FALSE),0)</f>
        <v>0.91149200856259793</v>
      </c>
      <c r="BA71" s="5">
        <f>IF($E71&gt;=BA$2,VLOOKUP($E71-BA$2,'data input'!$D$3:$E$130,2,FALSE),0)</f>
        <v>0.92292139944792817</v>
      </c>
      <c r="BB71" s="5">
        <f>IF($E71&gt;=BB$2,VLOOKUP($E71-BB$2,'data input'!$D$3:$E$130,2,FALSE),0)</f>
        <v>0.93319279873114191</v>
      </c>
      <c r="BC71" s="5">
        <f>IF($E71&gt;=BC$2,VLOOKUP($E71-BC$2,'data input'!$D$3:$E$130,2,FALSE),0)</f>
        <v>0.94237177772384684</v>
      </c>
      <c r="BD71" s="5">
        <f>IF($E71&gt;=BD$2,VLOOKUP($E71-BD$2,'data input'!$D$3:$E$130,2,FALSE),0)</f>
        <v>0.9505285319663519</v>
      </c>
      <c r="BE71" s="5">
        <f>IF($E71&gt;=BE$2,VLOOKUP($E71-BE$2,'data input'!$D$3:$E$130,2,FALSE),0)</f>
        <v>0.95773626374204757</v>
      </c>
      <c r="BF71" s="5">
        <f>IF($E71&gt;=BF$2,VLOOKUP($E71-BF$2,'data input'!$D$3:$E$130,2,FALSE),0)</f>
        <v>0.96406968088707423</v>
      </c>
      <c r="BG71" s="5">
        <f>IF($E71&gt;=BG$2,VLOOKUP($E71-BG$2,'data input'!$D$3:$E$130,2,FALSE),0)</f>
        <v>0.96960363823473861</v>
      </c>
      <c r="BH71" s="5">
        <f>IF($E71&gt;=BH$2,VLOOKUP($E71-BH$2,'data input'!$D$3:$E$130,2,FALSE),0)</f>
        <v>0.97441194047836144</v>
      </c>
      <c r="BI71" s="5">
        <f>IF($E71&gt;=BI$2,VLOOKUP($E71-BI$2,'data input'!$D$3:$E$130,2,FALSE),0)</f>
        <v>0.97856631788584703</v>
      </c>
      <c r="BJ71" s="5">
        <f>IF($E71&gt;=BJ$2,VLOOKUP($E71-BJ$2,'data input'!$D$3:$E$130,2,FALSE),0)</f>
        <v>0.98213557943718344</v>
      </c>
      <c r="BK71" s="5">
        <f>IF($E71&gt;=BK$2,VLOOKUP($E71-BK$2,'data input'!$D$3:$E$130,2,FALSE),0)</f>
        <v>0.98518494180739014</v>
      </c>
      <c r="BL71" s="5">
        <f>IF($E71&gt;=BL$2,VLOOKUP($E71-BL$2,'data input'!$D$3:$E$130,2,FALSE),0)</f>
        <v>0.98777552734495533</v>
      </c>
      <c r="BM71" s="5">
        <f>IF($E71&gt;=BM$2,VLOOKUP($E71-BM$2,'data input'!$D$3:$E$130,2,FALSE),0)</f>
        <v>0.98996401989972593</v>
      </c>
      <c r="BN71" s="5">
        <f>IF($E71&gt;=BN$2,VLOOKUP($E71-BN$2,'data input'!$D$3:$E$130,2,FALSE),0)</f>
        <v>0.99180246407540384</v>
      </c>
      <c r="BO71" s="5">
        <f>IF($E71&gt;=BO$2,VLOOKUP($E71-BO$2,'data input'!$D$3:$E$130,2,FALSE),0)</f>
        <v>0.99333819120801725</v>
      </c>
      <c r="BP71" s="5">
        <f>IF($E71&gt;=BP$2,VLOOKUP($E71-BP$2,'data input'!$D$3:$E$130,2,FALSE),0)</f>
        <v>0.99461385404593328</v>
      </c>
      <c r="BQ71" s="5">
        <f>IF($E71&gt;=BQ$2,VLOOKUP($E71-BQ$2,'data input'!$D$3:$E$130,2,FALSE),0)</f>
        <v>0.99566755163698739</v>
      </c>
      <c r="BR71" s="5">
        <f>IF($E71&gt;=BR$2,VLOOKUP($E71-BR$2,'data input'!$D$3:$E$130,2,FALSE),0)</f>
        <v>0.99653302619695938</v>
      </c>
      <c r="BS71" s="5">
        <f>IF($E71&gt;=BS$2,VLOOKUP($E71-BS$2,'data input'!$D$3:$E$130,2,FALSE),0)</f>
        <v>0.99723991460873751</v>
      </c>
      <c r="BT71" s="5">
        <f>IF($E71&gt;=BT$2,VLOOKUP($E71-BT$2,'data input'!$D$3:$E$130,2,FALSE),0)</f>
        <v>0.99781403854508677</v>
      </c>
      <c r="BU71" s="5">
        <f>IF($E71&gt;=BU$2,VLOOKUP($E71-BU$2,'data input'!$D$3:$E$130,2,FALSE),0)</f>
        <v>0.99827771888413241</v>
      </c>
      <c r="BV71" s="5">
        <f>IF($E71&gt;=BV$2,VLOOKUP($E71-BV$2,'data input'!$D$3:$E$130,2,FALSE),0)</f>
        <v>0.9986501019683699</v>
      </c>
      <c r="BW71" s="5">
        <f>IF($E71&gt;=BW$2,VLOOKUP($E71-BW$2,'data input'!$D$3:$E$130,2,FALSE),0)</f>
        <v>0</v>
      </c>
      <c r="BX71" s="5">
        <f>IF($E71&gt;=BX$2,VLOOKUP($E71-BX$2,'data input'!$D$3:$E$130,2,FALSE),0)</f>
        <v>0</v>
      </c>
      <c r="BY71" s="5">
        <f>IF($E71&gt;=BY$2,VLOOKUP($E71-BY$2,'data input'!$D$3:$E$130,2,FALSE),0)</f>
        <v>0</v>
      </c>
      <c r="BZ71" s="5">
        <f>IF($E71&gt;=BZ$2,VLOOKUP($E71-BZ$2,'data input'!$D$3:$E$130,2,FALSE),0)</f>
        <v>0</v>
      </c>
      <c r="CA71" s="5">
        <f>IF($E71&gt;=CA$2,VLOOKUP($E71-CA$2,'data input'!$D$3:$E$130,2,FALSE),0)</f>
        <v>0</v>
      </c>
      <c r="CB71" s="5">
        <f>IF($E71&gt;=CB$2,VLOOKUP($E71-CB$2,'data input'!$D$3:$E$130,2,FALSE),0)</f>
        <v>0</v>
      </c>
      <c r="CC71" s="5">
        <f>IF($E71&gt;=CC$2,VLOOKUP($E71-CC$2,'data input'!$D$3:$E$130,2,FALSE),0)</f>
        <v>0</v>
      </c>
      <c r="CD71" s="5">
        <f>IF($E71&gt;=CD$2,VLOOKUP($E71-CD$2,'data input'!$D$3:$E$130,2,FALSE),0)</f>
        <v>0</v>
      </c>
      <c r="CE71" s="5">
        <f>IF($E71&gt;=CE$2,VLOOKUP($E71-CE$2,'data input'!$D$3:$E$130,2,FALSE),0)</f>
        <v>0</v>
      </c>
      <c r="CF71" s="5">
        <f>IF($E71&gt;=CF$2,VLOOKUP($E71-CF$2,'data input'!$D$3:$E$130,2,FALSE),0)</f>
        <v>0</v>
      </c>
      <c r="CG71" s="5">
        <f>IF($E71&gt;=CG$2,VLOOKUP($E71-CG$2,'data input'!$D$3:$E$130,2,FALSE),0)</f>
        <v>0</v>
      </c>
      <c r="CH71" s="5">
        <f>IF($E71&gt;=CH$2,VLOOKUP($E71-CH$2,'data input'!$D$3:$E$130,2,FALSE),0)</f>
        <v>0</v>
      </c>
      <c r="CI71" s="5">
        <f>IF($E71&gt;=CI$2,VLOOKUP($E71-CI$2,'data input'!$D$3:$E$130,2,FALSE),0)</f>
        <v>0</v>
      </c>
      <c r="CJ71" s="5">
        <f>IF($E71&gt;=CJ$2,VLOOKUP($E71-CJ$2,'data input'!$D$3:$E$130,2,FALSE),0)</f>
        <v>0</v>
      </c>
      <c r="CK71" s="5">
        <f>IF($E71&gt;=CK$2,VLOOKUP($E71-CK$2,'data input'!$D$3:$E$130,2,FALSE),0)</f>
        <v>0</v>
      </c>
      <c r="CL71" s="5">
        <f>IF($E71&gt;=CL$2,VLOOKUP($E71-CL$2,'data input'!$D$3:$E$130,2,FALSE),0)</f>
        <v>0</v>
      </c>
      <c r="CM71" s="5">
        <f>IF($E71&gt;=CM$2,VLOOKUP($E71-CM$2,'data input'!$D$3:$E$130,2,FALSE),0)</f>
        <v>0</v>
      </c>
      <c r="CN71" s="5">
        <f>IF($E71&gt;=CN$2,VLOOKUP($E71-CN$2,'data input'!$D$3:$E$130,2,FALSE),0)</f>
        <v>0</v>
      </c>
      <c r="CO71" s="5">
        <f>IF($E71&gt;=CO$2,VLOOKUP($E71-CO$2,'data input'!$D$3:$E$130,2,FALSE),0)</f>
        <v>0</v>
      </c>
      <c r="CP71" s="5">
        <f>IF($E71&gt;=CP$2,VLOOKUP($E71-CP$2,'data input'!$D$3:$E$130,2,FALSE),0)</f>
        <v>0</v>
      </c>
      <c r="CQ71" s="5">
        <f>IF($E71&gt;=CQ$2,VLOOKUP($E71-CQ$2,'data input'!$D$3:$E$130,2,FALSE),0)</f>
        <v>0</v>
      </c>
      <c r="CR71" s="5">
        <f>IF($E71&gt;=CR$2,VLOOKUP($E71-CR$2,'data input'!$D$3:$E$130,2,FALSE),0)</f>
        <v>0</v>
      </c>
      <c r="CS71" s="5">
        <f>IF($E71&gt;=CS$2,VLOOKUP($E71-CS$2,'data input'!$D$3:$E$130,2,FALSE),0)</f>
        <v>0</v>
      </c>
      <c r="CT71" s="5">
        <f>IF($E71&gt;=CT$2,VLOOKUP($E71-CT$2,'data input'!$D$3:$E$130,2,FALSE),0)</f>
        <v>0</v>
      </c>
      <c r="CU71" s="5">
        <f>IF($E71&gt;=CU$2,VLOOKUP($E71-CU$2,'data input'!$D$3:$E$130,2,FALSE),0)</f>
        <v>0</v>
      </c>
      <c r="CV71" s="5">
        <f>IF($E71&gt;=CV$2,VLOOKUP($E71-CV$2,'data input'!$D$3:$E$130,2,FALSE),0)</f>
        <v>0</v>
      </c>
      <c r="CW71" s="5">
        <f>IF($E71&gt;=CW$2,VLOOKUP($E71-CW$2,'data input'!$D$3:$E$130,2,FALSE),0)</f>
        <v>0</v>
      </c>
      <c r="CX71" s="5">
        <f>IF($E71&gt;=CX$2,VLOOKUP($E71-CX$2,'data input'!$D$3:$E$130,2,FALSE),0)</f>
        <v>0</v>
      </c>
      <c r="CY71" s="5">
        <f>IF($E71&gt;=CY$2,VLOOKUP($E71-CY$2,'data input'!$D$3:$E$130,2,FALSE),0)</f>
        <v>0</v>
      </c>
      <c r="CZ71" s="5">
        <f>IF($E71&gt;=CZ$2,VLOOKUP($E71-CZ$2,'data input'!$D$3:$E$130,2,FALSE),0)</f>
        <v>0</v>
      </c>
      <c r="DA71" s="5">
        <f>IF($E71&gt;=DA$2,VLOOKUP($E71-DA$2,'data input'!$D$3:$E$130,2,FALSE),0)</f>
        <v>0</v>
      </c>
      <c r="DB71" s="5">
        <f>IF($E71&gt;=DB$2,VLOOKUP($E71-DB$2,'data input'!$D$3:$E$130,2,FALSE),0)</f>
        <v>0</v>
      </c>
      <c r="DC71" s="5">
        <f>IF($E71&gt;=DC$2,VLOOKUP($E71-DC$2,'data input'!$D$3:$E$130,2,FALSE),0)</f>
        <v>0</v>
      </c>
      <c r="DD71" s="5">
        <f>IF($E71&gt;=DD$2,VLOOKUP($E71-DD$2,'data input'!$D$3:$E$130,2,FALSE),0)</f>
        <v>0</v>
      </c>
      <c r="DE71" s="5">
        <f>IF($E71&gt;=DE$2,VLOOKUP($E71-DE$2,'data input'!$D$3:$E$130,2,FALSE),0)</f>
        <v>0</v>
      </c>
      <c r="DF71" s="5">
        <f>IF($E71&gt;=DF$2,VLOOKUP($E71-DF$2,'data input'!$D$3:$E$130,2,FALSE),0)</f>
        <v>0</v>
      </c>
      <c r="DG71" s="5">
        <f>IF($E71&gt;=DG$2,VLOOKUP($E71-DG$2,'data input'!$D$3:$E$130,2,FALSE),0)</f>
        <v>0</v>
      </c>
      <c r="DH71" s="5">
        <f>IF($E71&gt;=DH$2,VLOOKUP($E71-DH$2,'data input'!$D$3:$E$130,2,FALSE),0)</f>
        <v>0</v>
      </c>
      <c r="DI71" s="5">
        <f>IF($E71&gt;=DI$2,VLOOKUP($E71-DI$2,'data input'!$D$3:$E$130,2,FALSE),0)</f>
        <v>0</v>
      </c>
      <c r="DJ71" s="5">
        <f>IF($E71&gt;=DJ$2,VLOOKUP($E71-DJ$2,'data input'!$D$3:$E$130,2,FALSE),0)</f>
        <v>0</v>
      </c>
      <c r="DK71" s="5">
        <f>IF($E71&gt;=DK$2,VLOOKUP($E71-DK$2,'data input'!$D$3:$E$130,2,FALSE),0)</f>
        <v>0</v>
      </c>
      <c r="DL71" s="5">
        <f>IF($E71&gt;=DL$2,VLOOKUP($E71-DL$2,'data input'!$D$3:$E$130,2,FALSE),0)</f>
        <v>0</v>
      </c>
      <c r="DM71" s="5">
        <f>IF($E71&gt;=DM$2,VLOOKUP($E71-DM$2,'data input'!$D$3:$E$130,2,FALSE),0)</f>
        <v>0</v>
      </c>
      <c r="DN71" s="5">
        <f>IF($E71&gt;=DN$2,VLOOKUP($E71-DN$2,'data input'!$D$3:$E$130,2,FALSE),0)</f>
        <v>0</v>
      </c>
      <c r="DO71" s="5">
        <f>IF($E71&gt;=DO$2,VLOOKUP($E71-DO$2,'data input'!$D$3:$E$130,2,FALSE),0)</f>
        <v>0</v>
      </c>
      <c r="DP71" s="5">
        <f>IF($E71&gt;=DP$2,VLOOKUP($E71-DP$2,'data input'!$D$3:$E$130,2,FALSE),0)</f>
        <v>0</v>
      </c>
      <c r="DQ71" s="5">
        <f>IF($E71&gt;=DQ$2,VLOOKUP($E71-DQ$2,'data input'!$D$3:$E$130,2,FALSE),0)</f>
        <v>0</v>
      </c>
      <c r="DR71" s="5">
        <f>IF($E71&gt;=DR$2,VLOOKUP($E71-DR$2,'data input'!$D$3:$E$130,2,FALSE),0)</f>
        <v>0</v>
      </c>
      <c r="DS71" s="5">
        <f>IF($E71&gt;=DS$2,VLOOKUP($E71-DS$2,'data input'!$D$3:$E$130,2,FALSE),0)</f>
        <v>0</v>
      </c>
      <c r="DT71" s="5">
        <f>IF($E71&gt;=DT$2,VLOOKUP($E71-DT$2,'data input'!$D$3:$E$130,2,FALSE),0)</f>
        <v>0</v>
      </c>
      <c r="DU71" s="5">
        <f>IF($E71&gt;=DU$2,VLOOKUP($E71-DU$2,'data input'!$D$3:$E$130,2,FALSE),0)</f>
        <v>0</v>
      </c>
      <c r="DV71" s="5">
        <f>IF($E71&gt;=DV$2,VLOOKUP($E71-DV$2,'data input'!$D$3:$E$130,2,FALSE),0)</f>
        <v>0</v>
      </c>
      <c r="DW71" s="5">
        <f>IF($E71&gt;=DW$2,VLOOKUP($E71-DW$2,'data input'!$D$3:$E$130,2,FALSE),0)</f>
        <v>0</v>
      </c>
      <c r="DX71" s="5">
        <f>IF($E71&gt;=DX$2,VLOOKUP($E71-DX$2,'data input'!$D$3:$E$130,2,FALSE),0)</f>
        <v>0</v>
      </c>
      <c r="DY71" s="5">
        <f>IF($E71&gt;=DY$2,VLOOKUP($E71-DY$2,'data input'!$D$3:$E$130,2,FALSE),0)</f>
        <v>0</v>
      </c>
      <c r="DZ71" s="5">
        <f>IF($E71&gt;=DZ$2,VLOOKUP($E71-DZ$2,'data input'!$D$3:$E$130,2,FALSE),0)</f>
        <v>0</v>
      </c>
      <c r="EA71" s="5">
        <f>IF($E71&gt;=EA$2,VLOOKUP($E71-EA$2,'data input'!$D$3:$E$130,2,FALSE),0)</f>
        <v>0</v>
      </c>
      <c r="EB71" s="5">
        <f>IF($E71&gt;=EB$2,VLOOKUP($E71-EB$2,'data input'!$D$3:$E$130,2,FALSE),0)</f>
        <v>0</v>
      </c>
      <c r="EC71" s="5">
        <f>IF($E71&gt;=EC$2,VLOOKUP($E71-EC$2,'data input'!$D$3:$E$130,2,FALSE),0)</f>
        <v>0</v>
      </c>
    </row>
    <row r="72" spans="5:133">
      <c r="E72" s="7">
        <f>'data input'!B72</f>
        <v>1947</v>
      </c>
      <c r="F72" s="5">
        <f>IF($E72&gt;=F$2,VLOOKUP($E72-F$2,'data input'!$D$3:$E$130,2,FALSE),0)</f>
        <v>1.4815058192609865E-2</v>
      </c>
      <c r="G72" s="5">
        <f>IF($E72&gt;=G$2,VLOOKUP($E72-G$2,'data input'!$D$3:$E$130,2,FALSE),0)</f>
        <v>1.7864420562816563E-2</v>
      </c>
      <c r="H72" s="5">
        <f>IF($E72&gt;=H$2,VLOOKUP($E72-H$2,'data input'!$D$3:$E$130,2,FALSE),0)</f>
        <v>2.1433682114152974E-2</v>
      </c>
      <c r="I72" s="5">
        <f>IF($E72&gt;=I$2,VLOOKUP($E72-I$2,'data input'!$D$3:$E$130,2,FALSE),0)</f>
        <v>2.5588059521638562E-2</v>
      </c>
      <c r="J72" s="5">
        <f>IF($E72&gt;=J$2,VLOOKUP($E72-J$2,'data input'!$D$3:$E$130,2,FALSE),0)</f>
        <v>3.0396361765261393E-2</v>
      </c>
      <c r="K72" s="5">
        <f>IF($E72&gt;=K$2,VLOOKUP($E72-K$2,'data input'!$D$3:$E$130,2,FALSE),0)</f>
        <v>3.5930319112925768E-2</v>
      </c>
      <c r="L72" s="5">
        <f>IF($E72&gt;=L$2,VLOOKUP($E72-L$2,'data input'!$D$3:$E$130,2,FALSE),0)</f>
        <v>4.2263736257952433E-2</v>
      </c>
      <c r="M72" s="5">
        <f>IF($E72&gt;=M$2,VLOOKUP($E72-M$2,'data input'!$D$3:$E$130,2,FALSE),0)</f>
        <v>4.9471468033648103E-2</v>
      </c>
      <c r="N72" s="5">
        <f>IF($E72&gt;=N$2,VLOOKUP($E72-N$2,'data input'!$D$3:$E$130,2,FALSE),0)</f>
        <v>5.7628222276153163E-2</v>
      </c>
      <c r="O72" s="5">
        <f>IF($E72&gt;=O$2,VLOOKUP($E72-O$2,'data input'!$D$3:$E$130,2,FALSE),0)</f>
        <v>6.6807201268858085E-2</v>
      </c>
      <c r="P72" s="5">
        <f>IF($E72&gt;=P$2,VLOOKUP($E72-P$2,'data input'!$D$3:$E$130,2,FALSE),0)</f>
        <v>7.707860055207183E-2</v>
      </c>
      <c r="Q72" s="5">
        <f>IF($E72&gt;=Q$2,VLOOKUP($E72-Q$2,'data input'!$D$3:$E$130,2,FALSE),0)</f>
        <v>8.8507991437402067E-2</v>
      </c>
      <c r="R72" s="5">
        <f>IF($E72&gt;=R$2,VLOOKUP($E72-R$2,'data input'!$D$3:$E$130,2,FALSE),0)</f>
        <v>0.10115462099558592</v>
      </c>
      <c r="S72" s="5">
        <f>IF($E72&gt;=S$2,VLOOKUP($E72-S$2,'data input'!$D$3:$E$130,2,FALSE),0)</f>
        <v>0.11506967022170822</v>
      </c>
      <c r="T72" s="5">
        <f>IF($E72&gt;=T$2,VLOOKUP($E72-T$2,'data input'!$D$3:$E$130,2,FALSE),0)</f>
        <v>0.13029451713680884</v>
      </c>
      <c r="U72" s="5">
        <f>IF($E72&gt;=U$2,VLOOKUP($E72-U$2,'data input'!$D$3:$E$130,2,FALSE),0)</f>
        <v>0.14685905637589591</v>
      </c>
      <c r="V72" s="5">
        <f>IF($E72&gt;=V$2,VLOOKUP($E72-V$2,'data input'!$D$3:$E$130,2,FALSE),0)</f>
        <v>0.16478012998031033</v>
      </c>
      <c r="W72" s="5">
        <f>IF($E72&gt;=W$2,VLOOKUP($E72-W$2,'data input'!$D$3:$E$130,2,FALSE),0)</f>
        <v>0.18406012534675953</v>
      </c>
      <c r="X72" s="5">
        <f>IF($E72&gt;=X$2,VLOOKUP($E72-X$2,'data input'!$D$3:$E$130,2,FALSE),0)</f>
        <v>0.20468579534725262</v>
      </c>
      <c r="Y72" s="5">
        <f>IF($E72&gt;=Y$2,VLOOKUP($E72-Y$2,'data input'!$D$3:$E$130,2,FALSE),0)</f>
        <v>0.22662735237686826</v>
      </c>
      <c r="Z72" s="5">
        <f>IF($E72&gt;=Z$2,VLOOKUP($E72-Z$2,'data input'!$D$3:$E$130,2,FALSE),0)</f>
        <v>0.24983788247177696</v>
      </c>
      <c r="AA72" s="5">
        <f>IF($E72&gt;=AA$2,VLOOKUP($E72-AA$2,'data input'!$D$3:$E$130,2,FALSE),0)</f>
        <v>0.27425311775007355</v>
      </c>
      <c r="AB72" s="5">
        <f>IF($E72&gt;=AB$2,VLOOKUP($E72-AB$2,'data input'!$D$3:$E$130,2,FALSE),0)</f>
        <v>0.29979159546869583</v>
      </c>
      <c r="AC72" s="5">
        <f>IF($E72&gt;=AC$2,VLOOKUP($E72-AC$2,'data input'!$D$3:$E$130,2,FALSE),0)</f>
        <v>0.32635522028792008</v>
      </c>
      <c r="AD72" s="5">
        <f>IF($E72&gt;=AD$2,VLOOKUP($E72-AD$2,'data input'!$D$3:$E$130,2,FALSE),0)</f>
        <v>0.35383023332727614</v>
      </c>
      <c r="AE72" s="5">
        <f>IF($E72&gt;=AE$2,VLOOKUP($E72-AE$2,'data input'!$D$3:$E$130,2,FALSE),0)</f>
        <v>0.38208857781104733</v>
      </c>
      <c r="AF72" s="5">
        <f>IF($E72&gt;=AF$2,VLOOKUP($E72-AF$2,'data input'!$D$3:$E$130,2,FALSE),0)</f>
        <v>0.41098963713127035</v>
      </c>
      <c r="AG72" s="5">
        <f>IF($E72&gt;=AG$2,VLOOKUP($E72-AG$2,'data input'!$D$3:$E$130,2,FALSE),0)</f>
        <v>0.4403823076297575</v>
      </c>
      <c r="AH72" s="5">
        <f>IF($E72&gt;=AH$2,VLOOKUP($E72-AH$2,'data input'!$D$3:$E$130,2,FALSE),0)</f>
        <v>0.47010735594710518</v>
      </c>
      <c r="AI72" s="5">
        <f>IF($E72&gt;=AI$2,VLOOKUP($E72-AI$2,'data input'!$D$3:$E$130,2,FALSE),0)</f>
        <v>0.5</v>
      </c>
      <c r="AJ72" s="5">
        <f>IF($E72&gt;=AJ$2,VLOOKUP($E72-AJ$2,'data input'!$D$3:$E$130,2,FALSE),0)</f>
        <v>0.52989264405289482</v>
      </c>
      <c r="AK72" s="5">
        <f>IF($E72&gt;=AK$2,VLOOKUP($E72-AK$2,'data input'!$D$3:$E$130,2,FALSE),0)</f>
        <v>0.5596176923702425</v>
      </c>
      <c r="AL72" s="5">
        <f>IF($E72&gt;=AL$2,VLOOKUP($E72-AL$2,'data input'!$D$3:$E$130,2,FALSE),0)</f>
        <v>0.58901036286872965</v>
      </c>
      <c r="AM72" s="5">
        <f>IF($E72&gt;=AM$2,VLOOKUP($E72-AM$2,'data input'!$D$3:$E$130,2,FALSE),0)</f>
        <v>0.61791142218895267</v>
      </c>
      <c r="AN72" s="5">
        <f>IF($E72&gt;=AN$2,VLOOKUP($E72-AN$2,'data input'!$D$3:$E$130,2,FALSE),0)</f>
        <v>0.64616976667272386</v>
      </c>
      <c r="AO72" s="5">
        <f>IF($E72&gt;=AO$2,VLOOKUP($E72-AO$2,'data input'!$D$3:$E$130,2,FALSE),0)</f>
        <v>0.67364477971207992</v>
      </c>
      <c r="AP72" s="5">
        <f>IF($E72&gt;=AP$2,VLOOKUP($E72-AP$2,'data input'!$D$3:$E$130,2,FALSE),0)</f>
        <v>0.70020840453130417</v>
      </c>
      <c r="AQ72" s="5">
        <f>IF($E72&gt;=AQ$2,VLOOKUP($E72-AQ$2,'data input'!$D$3:$E$130,2,FALSE),0)</f>
        <v>0.72574688224992645</v>
      </c>
      <c r="AR72" s="5">
        <f>IF($E72&gt;=AR$2,VLOOKUP($E72-AR$2,'data input'!$D$3:$E$130,2,FALSE),0)</f>
        <v>0.75016211752822304</v>
      </c>
      <c r="AS72" s="5">
        <f>IF($E72&gt;=AS$2,VLOOKUP($E72-AS$2,'data input'!$D$3:$E$130,2,FALSE),0)</f>
        <v>0.77337264762313174</v>
      </c>
      <c r="AT72" s="5">
        <f>IF($E72&gt;=AT$2,VLOOKUP($E72-AT$2,'data input'!$D$3:$E$130,2,FALSE),0)</f>
        <v>0.79531420465274738</v>
      </c>
      <c r="AU72" s="5">
        <f>IF($E72&gt;=AU$2,VLOOKUP($E72-AU$2,'data input'!$D$3:$E$130,2,FALSE),0)</f>
        <v>0.81593987465324047</v>
      </c>
      <c r="AV72" s="5">
        <f>IF($E72&gt;=AV$2,VLOOKUP($E72-AV$2,'data input'!$D$3:$E$130,2,FALSE),0)</f>
        <v>0.83521987001968967</v>
      </c>
      <c r="AW72" s="5">
        <f>IF($E72&gt;=AW$2,VLOOKUP($E72-AW$2,'data input'!$D$3:$E$130,2,FALSE),0)</f>
        <v>0.85314094362410409</v>
      </c>
      <c r="AX72" s="5">
        <f>IF($E72&gt;=AX$2,VLOOKUP($E72-AX$2,'data input'!$D$3:$E$130,2,FALSE),0)</f>
        <v>0.86970548286319116</v>
      </c>
      <c r="AY72" s="5">
        <f>IF($E72&gt;=AY$2,VLOOKUP($E72-AY$2,'data input'!$D$3:$E$130,2,FALSE),0)</f>
        <v>0.88493032977829178</v>
      </c>
      <c r="AZ72" s="5">
        <f>IF($E72&gt;=AZ$2,VLOOKUP($E72-AZ$2,'data input'!$D$3:$E$130,2,FALSE),0)</f>
        <v>0.89884537900441408</v>
      </c>
      <c r="BA72" s="5">
        <f>IF($E72&gt;=BA$2,VLOOKUP($E72-BA$2,'data input'!$D$3:$E$130,2,FALSE),0)</f>
        <v>0.91149200856259793</v>
      </c>
      <c r="BB72" s="5">
        <f>IF($E72&gt;=BB$2,VLOOKUP($E72-BB$2,'data input'!$D$3:$E$130,2,FALSE),0)</f>
        <v>0.92292139944792817</v>
      </c>
      <c r="BC72" s="5">
        <f>IF($E72&gt;=BC$2,VLOOKUP($E72-BC$2,'data input'!$D$3:$E$130,2,FALSE),0)</f>
        <v>0.93319279873114191</v>
      </c>
      <c r="BD72" s="5">
        <f>IF($E72&gt;=BD$2,VLOOKUP($E72-BD$2,'data input'!$D$3:$E$130,2,FALSE),0)</f>
        <v>0.94237177772384684</v>
      </c>
      <c r="BE72" s="5">
        <f>IF($E72&gt;=BE$2,VLOOKUP($E72-BE$2,'data input'!$D$3:$E$130,2,FALSE),0)</f>
        <v>0.9505285319663519</v>
      </c>
      <c r="BF72" s="5">
        <f>IF($E72&gt;=BF$2,VLOOKUP($E72-BF$2,'data input'!$D$3:$E$130,2,FALSE),0)</f>
        <v>0.95773626374204757</v>
      </c>
      <c r="BG72" s="5">
        <f>IF($E72&gt;=BG$2,VLOOKUP($E72-BG$2,'data input'!$D$3:$E$130,2,FALSE),0)</f>
        <v>0.96406968088707423</v>
      </c>
      <c r="BH72" s="5">
        <f>IF($E72&gt;=BH$2,VLOOKUP($E72-BH$2,'data input'!$D$3:$E$130,2,FALSE),0)</f>
        <v>0.96960363823473861</v>
      </c>
      <c r="BI72" s="5">
        <f>IF($E72&gt;=BI$2,VLOOKUP($E72-BI$2,'data input'!$D$3:$E$130,2,FALSE),0)</f>
        <v>0.97441194047836144</v>
      </c>
      <c r="BJ72" s="5">
        <f>IF($E72&gt;=BJ$2,VLOOKUP($E72-BJ$2,'data input'!$D$3:$E$130,2,FALSE),0)</f>
        <v>0.97856631788584703</v>
      </c>
      <c r="BK72" s="5">
        <f>IF($E72&gt;=BK$2,VLOOKUP($E72-BK$2,'data input'!$D$3:$E$130,2,FALSE),0)</f>
        <v>0.98213557943718344</v>
      </c>
      <c r="BL72" s="5">
        <f>IF($E72&gt;=BL$2,VLOOKUP($E72-BL$2,'data input'!$D$3:$E$130,2,FALSE),0)</f>
        <v>0.98518494180739014</v>
      </c>
      <c r="BM72" s="5">
        <f>IF($E72&gt;=BM$2,VLOOKUP($E72-BM$2,'data input'!$D$3:$E$130,2,FALSE),0)</f>
        <v>0.98777552734495533</v>
      </c>
      <c r="BN72" s="5">
        <f>IF($E72&gt;=BN$2,VLOOKUP($E72-BN$2,'data input'!$D$3:$E$130,2,FALSE),0)</f>
        <v>0.98996401989972593</v>
      </c>
      <c r="BO72" s="5">
        <f>IF($E72&gt;=BO$2,VLOOKUP($E72-BO$2,'data input'!$D$3:$E$130,2,FALSE),0)</f>
        <v>0.99180246407540384</v>
      </c>
      <c r="BP72" s="5">
        <f>IF($E72&gt;=BP$2,VLOOKUP($E72-BP$2,'data input'!$D$3:$E$130,2,FALSE),0)</f>
        <v>0.99333819120801725</v>
      </c>
      <c r="BQ72" s="5">
        <f>IF($E72&gt;=BQ$2,VLOOKUP($E72-BQ$2,'data input'!$D$3:$E$130,2,FALSE),0)</f>
        <v>0.99461385404593328</v>
      </c>
      <c r="BR72" s="5">
        <f>IF($E72&gt;=BR$2,VLOOKUP($E72-BR$2,'data input'!$D$3:$E$130,2,FALSE),0)</f>
        <v>0.99566755163698739</v>
      </c>
      <c r="BS72" s="5">
        <f>IF($E72&gt;=BS$2,VLOOKUP($E72-BS$2,'data input'!$D$3:$E$130,2,FALSE),0)</f>
        <v>0.99653302619695938</v>
      </c>
      <c r="BT72" s="5">
        <f>IF($E72&gt;=BT$2,VLOOKUP($E72-BT$2,'data input'!$D$3:$E$130,2,FALSE),0)</f>
        <v>0.99723991460873751</v>
      </c>
      <c r="BU72" s="5">
        <f>IF($E72&gt;=BU$2,VLOOKUP($E72-BU$2,'data input'!$D$3:$E$130,2,FALSE),0)</f>
        <v>0.99781403854508677</v>
      </c>
      <c r="BV72" s="5">
        <f>IF($E72&gt;=BV$2,VLOOKUP($E72-BV$2,'data input'!$D$3:$E$130,2,FALSE),0)</f>
        <v>0.99827771888413241</v>
      </c>
      <c r="BW72" s="5">
        <f>IF($E72&gt;=BW$2,VLOOKUP($E72-BW$2,'data input'!$D$3:$E$130,2,FALSE),0)</f>
        <v>0.9986501019683699</v>
      </c>
      <c r="BX72" s="5">
        <f>IF($E72&gt;=BX$2,VLOOKUP($E72-BX$2,'data input'!$D$3:$E$130,2,FALSE),0)</f>
        <v>0</v>
      </c>
      <c r="BY72" s="5">
        <f>IF($E72&gt;=BY$2,VLOOKUP($E72-BY$2,'data input'!$D$3:$E$130,2,FALSE),0)</f>
        <v>0</v>
      </c>
      <c r="BZ72" s="5">
        <f>IF($E72&gt;=BZ$2,VLOOKUP($E72-BZ$2,'data input'!$D$3:$E$130,2,FALSE),0)</f>
        <v>0</v>
      </c>
      <c r="CA72" s="5">
        <f>IF($E72&gt;=CA$2,VLOOKUP($E72-CA$2,'data input'!$D$3:$E$130,2,FALSE),0)</f>
        <v>0</v>
      </c>
      <c r="CB72" s="5">
        <f>IF($E72&gt;=CB$2,VLOOKUP($E72-CB$2,'data input'!$D$3:$E$130,2,FALSE),0)</f>
        <v>0</v>
      </c>
      <c r="CC72" s="5">
        <f>IF($E72&gt;=CC$2,VLOOKUP($E72-CC$2,'data input'!$D$3:$E$130,2,FALSE),0)</f>
        <v>0</v>
      </c>
      <c r="CD72" s="5">
        <f>IF($E72&gt;=CD$2,VLOOKUP($E72-CD$2,'data input'!$D$3:$E$130,2,FALSE),0)</f>
        <v>0</v>
      </c>
      <c r="CE72" s="5">
        <f>IF($E72&gt;=CE$2,VLOOKUP($E72-CE$2,'data input'!$D$3:$E$130,2,FALSE),0)</f>
        <v>0</v>
      </c>
      <c r="CF72" s="5">
        <f>IF($E72&gt;=CF$2,VLOOKUP($E72-CF$2,'data input'!$D$3:$E$130,2,FALSE),0)</f>
        <v>0</v>
      </c>
      <c r="CG72" s="5">
        <f>IF($E72&gt;=CG$2,VLOOKUP($E72-CG$2,'data input'!$D$3:$E$130,2,FALSE),0)</f>
        <v>0</v>
      </c>
      <c r="CH72" s="5">
        <f>IF($E72&gt;=CH$2,VLOOKUP($E72-CH$2,'data input'!$D$3:$E$130,2,FALSE),0)</f>
        <v>0</v>
      </c>
      <c r="CI72" s="5">
        <f>IF($E72&gt;=CI$2,VLOOKUP($E72-CI$2,'data input'!$D$3:$E$130,2,FALSE),0)</f>
        <v>0</v>
      </c>
      <c r="CJ72" s="5">
        <f>IF($E72&gt;=CJ$2,VLOOKUP($E72-CJ$2,'data input'!$D$3:$E$130,2,FALSE),0)</f>
        <v>0</v>
      </c>
      <c r="CK72" s="5">
        <f>IF($E72&gt;=CK$2,VLOOKUP($E72-CK$2,'data input'!$D$3:$E$130,2,FALSE),0)</f>
        <v>0</v>
      </c>
      <c r="CL72" s="5">
        <f>IF($E72&gt;=CL$2,VLOOKUP($E72-CL$2,'data input'!$D$3:$E$130,2,FALSE),0)</f>
        <v>0</v>
      </c>
      <c r="CM72" s="5">
        <f>IF($E72&gt;=CM$2,VLOOKUP($E72-CM$2,'data input'!$D$3:$E$130,2,FALSE),0)</f>
        <v>0</v>
      </c>
      <c r="CN72" s="5">
        <f>IF($E72&gt;=CN$2,VLOOKUP($E72-CN$2,'data input'!$D$3:$E$130,2,FALSE),0)</f>
        <v>0</v>
      </c>
      <c r="CO72" s="5">
        <f>IF($E72&gt;=CO$2,VLOOKUP($E72-CO$2,'data input'!$D$3:$E$130,2,FALSE),0)</f>
        <v>0</v>
      </c>
      <c r="CP72" s="5">
        <f>IF($E72&gt;=CP$2,VLOOKUP($E72-CP$2,'data input'!$D$3:$E$130,2,FALSE),0)</f>
        <v>0</v>
      </c>
      <c r="CQ72" s="5">
        <f>IF($E72&gt;=CQ$2,VLOOKUP($E72-CQ$2,'data input'!$D$3:$E$130,2,FALSE),0)</f>
        <v>0</v>
      </c>
      <c r="CR72" s="5">
        <f>IF($E72&gt;=CR$2,VLOOKUP($E72-CR$2,'data input'!$D$3:$E$130,2,FALSE),0)</f>
        <v>0</v>
      </c>
      <c r="CS72" s="5">
        <f>IF($E72&gt;=CS$2,VLOOKUP($E72-CS$2,'data input'!$D$3:$E$130,2,FALSE),0)</f>
        <v>0</v>
      </c>
      <c r="CT72" s="5">
        <f>IF($E72&gt;=CT$2,VLOOKUP($E72-CT$2,'data input'!$D$3:$E$130,2,FALSE),0)</f>
        <v>0</v>
      </c>
      <c r="CU72" s="5">
        <f>IF($E72&gt;=CU$2,VLOOKUP($E72-CU$2,'data input'!$D$3:$E$130,2,FALSE),0)</f>
        <v>0</v>
      </c>
      <c r="CV72" s="5">
        <f>IF($E72&gt;=CV$2,VLOOKUP($E72-CV$2,'data input'!$D$3:$E$130,2,FALSE),0)</f>
        <v>0</v>
      </c>
      <c r="CW72" s="5">
        <f>IF($E72&gt;=CW$2,VLOOKUP($E72-CW$2,'data input'!$D$3:$E$130,2,FALSE),0)</f>
        <v>0</v>
      </c>
      <c r="CX72" s="5">
        <f>IF($E72&gt;=CX$2,VLOOKUP($E72-CX$2,'data input'!$D$3:$E$130,2,FALSE),0)</f>
        <v>0</v>
      </c>
      <c r="CY72" s="5">
        <f>IF($E72&gt;=CY$2,VLOOKUP($E72-CY$2,'data input'!$D$3:$E$130,2,FALSE),0)</f>
        <v>0</v>
      </c>
      <c r="CZ72" s="5">
        <f>IF($E72&gt;=CZ$2,VLOOKUP($E72-CZ$2,'data input'!$D$3:$E$130,2,FALSE),0)</f>
        <v>0</v>
      </c>
      <c r="DA72" s="5">
        <f>IF($E72&gt;=DA$2,VLOOKUP($E72-DA$2,'data input'!$D$3:$E$130,2,FALSE),0)</f>
        <v>0</v>
      </c>
      <c r="DB72" s="5">
        <f>IF($E72&gt;=DB$2,VLOOKUP($E72-DB$2,'data input'!$D$3:$E$130,2,FALSE),0)</f>
        <v>0</v>
      </c>
      <c r="DC72" s="5">
        <f>IF($E72&gt;=DC$2,VLOOKUP($E72-DC$2,'data input'!$D$3:$E$130,2,FALSE),0)</f>
        <v>0</v>
      </c>
      <c r="DD72" s="5">
        <f>IF($E72&gt;=DD$2,VLOOKUP($E72-DD$2,'data input'!$D$3:$E$130,2,FALSE),0)</f>
        <v>0</v>
      </c>
      <c r="DE72" s="5">
        <f>IF($E72&gt;=DE$2,VLOOKUP($E72-DE$2,'data input'!$D$3:$E$130,2,FALSE),0)</f>
        <v>0</v>
      </c>
      <c r="DF72" s="5">
        <f>IF($E72&gt;=DF$2,VLOOKUP($E72-DF$2,'data input'!$D$3:$E$130,2,FALSE),0)</f>
        <v>0</v>
      </c>
      <c r="DG72" s="5">
        <f>IF($E72&gt;=DG$2,VLOOKUP($E72-DG$2,'data input'!$D$3:$E$130,2,FALSE),0)</f>
        <v>0</v>
      </c>
      <c r="DH72" s="5">
        <f>IF($E72&gt;=DH$2,VLOOKUP($E72-DH$2,'data input'!$D$3:$E$130,2,FALSE),0)</f>
        <v>0</v>
      </c>
      <c r="DI72" s="5">
        <f>IF($E72&gt;=DI$2,VLOOKUP($E72-DI$2,'data input'!$D$3:$E$130,2,FALSE),0)</f>
        <v>0</v>
      </c>
      <c r="DJ72" s="5">
        <f>IF($E72&gt;=DJ$2,VLOOKUP($E72-DJ$2,'data input'!$D$3:$E$130,2,FALSE),0)</f>
        <v>0</v>
      </c>
      <c r="DK72" s="5">
        <f>IF($E72&gt;=DK$2,VLOOKUP($E72-DK$2,'data input'!$D$3:$E$130,2,FALSE),0)</f>
        <v>0</v>
      </c>
      <c r="DL72" s="5">
        <f>IF($E72&gt;=DL$2,VLOOKUP($E72-DL$2,'data input'!$D$3:$E$130,2,FALSE),0)</f>
        <v>0</v>
      </c>
      <c r="DM72" s="5">
        <f>IF($E72&gt;=DM$2,VLOOKUP($E72-DM$2,'data input'!$D$3:$E$130,2,FALSE),0)</f>
        <v>0</v>
      </c>
      <c r="DN72" s="5">
        <f>IF($E72&gt;=DN$2,VLOOKUP($E72-DN$2,'data input'!$D$3:$E$130,2,FALSE),0)</f>
        <v>0</v>
      </c>
      <c r="DO72" s="5">
        <f>IF($E72&gt;=DO$2,VLOOKUP($E72-DO$2,'data input'!$D$3:$E$130,2,FALSE),0)</f>
        <v>0</v>
      </c>
      <c r="DP72" s="5">
        <f>IF($E72&gt;=DP$2,VLOOKUP($E72-DP$2,'data input'!$D$3:$E$130,2,FALSE),0)</f>
        <v>0</v>
      </c>
      <c r="DQ72" s="5">
        <f>IF($E72&gt;=DQ$2,VLOOKUP($E72-DQ$2,'data input'!$D$3:$E$130,2,FALSE),0)</f>
        <v>0</v>
      </c>
      <c r="DR72" s="5">
        <f>IF($E72&gt;=DR$2,VLOOKUP($E72-DR$2,'data input'!$D$3:$E$130,2,FALSE),0)</f>
        <v>0</v>
      </c>
      <c r="DS72" s="5">
        <f>IF($E72&gt;=DS$2,VLOOKUP($E72-DS$2,'data input'!$D$3:$E$130,2,FALSE),0)</f>
        <v>0</v>
      </c>
      <c r="DT72" s="5">
        <f>IF($E72&gt;=DT$2,VLOOKUP($E72-DT$2,'data input'!$D$3:$E$130,2,FALSE),0)</f>
        <v>0</v>
      </c>
      <c r="DU72" s="5">
        <f>IF($E72&gt;=DU$2,VLOOKUP($E72-DU$2,'data input'!$D$3:$E$130,2,FALSE),0)</f>
        <v>0</v>
      </c>
      <c r="DV72" s="5">
        <f>IF($E72&gt;=DV$2,VLOOKUP($E72-DV$2,'data input'!$D$3:$E$130,2,FALSE),0)</f>
        <v>0</v>
      </c>
      <c r="DW72" s="5">
        <f>IF($E72&gt;=DW$2,VLOOKUP($E72-DW$2,'data input'!$D$3:$E$130,2,FALSE),0)</f>
        <v>0</v>
      </c>
      <c r="DX72" s="5">
        <f>IF($E72&gt;=DX$2,VLOOKUP($E72-DX$2,'data input'!$D$3:$E$130,2,FALSE),0)</f>
        <v>0</v>
      </c>
      <c r="DY72" s="5">
        <f>IF($E72&gt;=DY$2,VLOOKUP($E72-DY$2,'data input'!$D$3:$E$130,2,FALSE),0)</f>
        <v>0</v>
      </c>
      <c r="DZ72" s="5">
        <f>IF($E72&gt;=DZ$2,VLOOKUP($E72-DZ$2,'data input'!$D$3:$E$130,2,FALSE),0)</f>
        <v>0</v>
      </c>
      <c r="EA72" s="5">
        <f>IF($E72&gt;=EA$2,VLOOKUP($E72-EA$2,'data input'!$D$3:$E$130,2,FALSE),0)</f>
        <v>0</v>
      </c>
      <c r="EB72" s="5">
        <f>IF($E72&gt;=EB$2,VLOOKUP($E72-EB$2,'data input'!$D$3:$E$130,2,FALSE),0)</f>
        <v>0</v>
      </c>
      <c r="EC72" s="5">
        <f>IF($E72&gt;=EC$2,VLOOKUP($E72-EC$2,'data input'!$D$3:$E$130,2,FALSE),0)</f>
        <v>0</v>
      </c>
    </row>
    <row r="73" spans="5:133">
      <c r="E73" s="7">
        <f>'data input'!B73</f>
        <v>1948</v>
      </c>
      <c r="F73" s="5">
        <f>IF($E73&gt;=F$2,VLOOKUP($E73-F$2,'data input'!$D$3:$E$130,2,FALSE),0)</f>
        <v>1.2224472655044671E-2</v>
      </c>
      <c r="G73" s="5">
        <f>IF($E73&gt;=G$2,VLOOKUP($E73-G$2,'data input'!$D$3:$E$130,2,FALSE),0)</f>
        <v>1.4815058192609865E-2</v>
      </c>
      <c r="H73" s="5">
        <f>IF($E73&gt;=H$2,VLOOKUP($E73-H$2,'data input'!$D$3:$E$130,2,FALSE),0)</f>
        <v>1.7864420562816563E-2</v>
      </c>
      <c r="I73" s="5">
        <f>IF($E73&gt;=I$2,VLOOKUP($E73-I$2,'data input'!$D$3:$E$130,2,FALSE),0)</f>
        <v>2.1433682114152974E-2</v>
      </c>
      <c r="J73" s="5">
        <f>IF($E73&gt;=J$2,VLOOKUP($E73-J$2,'data input'!$D$3:$E$130,2,FALSE),0)</f>
        <v>2.5588059521638562E-2</v>
      </c>
      <c r="K73" s="5">
        <f>IF($E73&gt;=K$2,VLOOKUP($E73-K$2,'data input'!$D$3:$E$130,2,FALSE),0)</f>
        <v>3.0396361765261393E-2</v>
      </c>
      <c r="L73" s="5">
        <f>IF($E73&gt;=L$2,VLOOKUP($E73-L$2,'data input'!$D$3:$E$130,2,FALSE),0)</f>
        <v>3.5930319112925768E-2</v>
      </c>
      <c r="M73" s="5">
        <f>IF($E73&gt;=M$2,VLOOKUP($E73-M$2,'data input'!$D$3:$E$130,2,FALSE),0)</f>
        <v>4.2263736257952433E-2</v>
      </c>
      <c r="N73" s="5">
        <f>IF($E73&gt;=N$2,VLOOKUP($E73-N$2,'data input'!$D$3:$E$130,2,FALSE),0)</f>
        <v>4.9471468033648103E-2</v>
      </c>
      <c r="O73" s="5">
        <f>IF($E73&gt;=O$2,VLOOKUP($E73-O$2,'data input'!$D$3:$E$130,2,FALSE),0)</f>
        <v>5.7628222276153163E-2</v>
      </c>
      <c r="P73" s="5">
        <f>IF($E73&gt;=P$2,VLOOKUP($E73-P$2,'data input'!$D$3:$E$130,2,FALSE),0)</f>
        <v>6.6807201268858085E-2</v>
      </c>
      <c r="Q73" s="5">
        <f>IF($E73&gt;=Q$2,VLOOKUP($E73-Q$2,'data input'!$D$3:$E$130,2,FALSE),0)</f>
        <v>7.707860055207183E-2</v>
      </c>
      <c r="R73" s="5">
        <f>IF($E73&gt;=R$2,VLOOKUP($E73-R$2,'data input'!$D$3:$E$130,2,FALSE),0)</f>
        <v>8.8507991437402067E-2</v>
      </c>
      <c r="S73" s="5">
        <f>IF($E73&gt;=S$2,VLOOKUP($E73-S$2,'data input'!$D$3:$E$130,2,FALSE),0)</f>
        <v>0.10115462099558592</v>
      </c>
      <c r="T73" s="5">
        <f>IF($E73&gt;=T$2,VLOOKUP($E73-T$2,'data input'!$D$3:$E$130,2,FALSE),0)</f>
        <v>0.11506967022170822</v>
      </c>
      <c r="U73" s="5">
        <f>IF($E73&gt;=U$2,VLOOKUP($E73-U$2,'data input'!$D$3:$E$130,2,FALSE),0)</f>
        <v>0.13029451713680884</v>
      </c>
      <c r="V73" s="5">
        <f>IF($E73&gt;=V$2,VLOOKUP($E73-V$2,'data input'!$D$3:$E$130,2,FALSE),0)</f>
        <v>0.14685905637589591</v>
      </c>
      <c r="W73" s="5">
        <f>IF($E73&gt;=W$2,VLOOKUP($E73-W$2,'data input'!$D$3:$E$130,2,FALSE),0)</f>
        <v>0.16478012998031033</v>
      </c>
      <c r="X73" s="5">
        <f>IF($E73&gt;=X$2,VLOOKUP($E73-X$2,'data input'!$D$3:$E$130,2,FALSE),0)</f>
        <v>0.18406012534675953</v>
      </c>
      <c r="Y73" s="5">
        <f>IF($E73&gt;=Y$2,VLOOKUP($E73-Y$2,'data input'!$D$3:$E$130,2,FALSE),0)</f>
        <v>0.20468579534725262</v>
      </c>
      <c r="Z73" s="5">
        <f>IF($E73&gt;=Z$2,VLOOKUP($E73-Z$2,'data input'!$D$3:$E$130,2,FALSE),0)</f>
        <v>0.22662735237686826</v>
      </c>
      <c r="AA73" s="5">
        <f>IF($E73&gt;=AA$2,VLOOKUP($E73-AA$2,'data input'!$D$3:$E$130,2,FALSE),0)</f>
        <v>0.24983788247177696</v>
      </c>
      <c r="AB73" s="5">
        <f>IF($E73&gt;=AB$2,VLOOKUP($E73-AB$2,'data input'!$D$3:$E$130,2,FALSE),0)</f>
        <v>0.27425311775007355</v>
      </c>
      <c r="AC73" s="5">
        <f>IF($E73&gt;=AC$2,VLOOKUP($E73-AC$2,'data input'!$D$3:$E$130,2,FALSE),0)</f>
        <v>0.29979159546869583</v>
      </c>
      <c r="AD73" s="5">
        <f>IF($E73&gt;=AD$2,VLOOKUP($E73-AD$2,'data input'!$D$3:$E$130,2,FALSE),0)</f>
        <v>0.32635522028792008</v>
      </c>
      <c r="AE73" s="5">
        <f>IF($E73&gt;=AE$2,VLOOKUP($E73-AE$2,'data input'!$D$3:$E$130,2,FALSE),0)</f>
        <v>0.35383023332727614</v>
      </c>
      <c r="AF73" s="5">
        <f>IF($E73&gt;=AF$2,VLOOKUP($E73-AF$2,'data input'!$D$3:$E$130,2,FALSE),0)</f>
        <v>0.38208857781104733</v>
      </c>
      <c r="AG73" s="5">
        <f>IF($E73&gt;=AG$2,VLOOKUP($E73-AG$2,'data input'!$D$3:$E$130,2,FALSE),0)</f>
        <v>0.41098963713127035</v>
      </c>
      <c r="AH73" s="5">
        <f>IF($E73&gt;=AH$2,VLOOKUP($E73-AH$2,'data input'!$D$3:$E$130,2,FALSE),0)</f>
        <v>0.4403823076297575</v>
      </c>
      <c r="AI73" s="5">
        <f>IF($E73&gt;=AI$2,VLOOKUP($E73-AI$2,'data input'!$D$3:$E$130,2,FALSE),0)</f>
        <v>0.47010735594710518</v>
      </c>
      <c r="AJ73" s="5">
        <f>IF($E73&gt;=AJ$2,VLOOKUP($E73-AJ$2,'data input'!$D$3:$E$130,2,FALSE),0)</f>
        <v>0.5</v>
      </c>
      <c r="AK73" s="5">
        <f>IF($E73&gt;=AK$2,VLOOKUP($E73-AK$2,'data input'!$D$3:$E$130,2,FALSE),0)</f>
        <v>0.52989264405289482</v>
      </c>
      <c r="AL73" s="5">
        <f>IF($E73&gt;=AL$2,VLOOKUP($E73-AL$2,'data input'!$D$3:$E$130,2,FALSE),0)</f>
        <v>0.5596176923702425</v>
      </c>
      <c r="AM73" s="5">
        <f>IF($E73&gt;=AM$2,VLOOKUP($E73-AM$2,'data input'!$D$3:$E$130,2,FALSE),0)</f>
        <v>0.58901036286872965</v>
      </c>
      <c r="AN73" s="5">
        <f>IF($E73&gt;=AN$2,VLOOKUP($E73-AN$2,'data input'!$D$3:$E$130,2,FALSE),0)</f>
        <v>0.61791142218895267</v>
      </c>
      <c r="AO73" s="5">
        <f>IF($E73&gt;=AO$2,VLOOKUP($E73-AO$2,'data input'!$D$3:$E$130,2,FALSE),0)</f>
        <v>0.64616976667272386</v>
      </c>
      <c r="AP73" s="5">
        <f>IF($E73&gt;=AP$2,VLOOKUP($E73-AP$2,'data input'!$D$3:$E$130,2,FALSE),0)</f>
        <v>0.67364477971207992</v>
      </c>
      <c r="AQ73" s="5">
        <f>IF($E73&gt;=AQ$2,VLOOKUP($E73-AQ$2,'data input'!$D$3:$E$130,2,FALSE),0)</f>
        <v>0.70020840453130417</v>
      </c>
      <c r="AR73" s="5">
        <f>IF($E73&gt;=AR$2,VLOOKUP($E73-AR$2,'data input'!$D$3:$E$130,2,FALSE),0)</f>
        <v>0.72574688224992645</v>
      </c>
      <c r="AS73" s="5">
        <f>IF($E73&gt;=AS$2,VLOOKUP($E73-AS$2,'data input'!$D$3:$E$130,2,FALSE),0)</f>
        <v>0.75016211752822304</v>
      </c>
      <c r="AT73" s="5">
        <f>IF($E73&gt;=AT$2,VLOOKUP($E73-AT$2,'data input'!$D$3:$E$130,2,FALSE),0)</f>
        <v>0.77337264762313174</v>
      </c>
      <c r="AU73" s="5">
        <f>IF($E73&gt;=AU$2,VLOOKUP($E73-AU$2,'data input'!$D$3:$E$130,2,FALSE),0)</f>
        <v>0.79531420465274738</v>
      </c>
      <c r="AV73" s="5">
        <f>IF($E73&gt;=AV$2,VLOOKUP($E73-AV$2,'data input'!$D$3:$E$130,2,FALSE),0)</f>
        <v>0.81593987465324047</v>
      </c>
      <c r="AW73" s="5">
        <f>IF($E73&gt;=AW$2,VLOOKUP($E73-AW$2,'data input'!$D$3:$E$130,2,FALSE),0)</f>
        <v>0.83521987001968967</v>
      </c>
      <c r="AX73" s="5">
        <f>IF($E73&gt;=AX$2,VLOOKUP($E73-AX$2,'data input'!$D$3:$E$130,2,FALSE),0)</f>
        <v>0.85314094362410409</v>
      </c>
      <c r="AY73" s="5">
        <f>IF($E73&gt;=AY$2,VLOOKUP($E73-AY$2,'data input'!$D$3:$E$130,2,FALSE),0)</f>
        <v>0.86970548286319116</v>
      </c>
      <c r="AZ73" s="5">
        <f>IF($E73&gt;=AZ$2,VLOOKUP($E73-AZ$2,'data input'!$D$3:$E$130,2,FALSE),0)</f>
        <v>0.88493032977829178</v>
      </c>
      <c r="BA73" s="5">
        <f>IF($E73&gt;=BA$2,VLOOKUP($E73-BA$2,'data input'!$D$3:$E$130,2,FALSE),0)</f>
        <v>0.89884537900441408</v>
      </c>
      <c r="BB73" s="5">
        <f>IF($E73&gt;=BB$2,VLOOKUP($E73-BB$2,'data input'!$D$3:$E$130,2,FALSE),0)</f>
        <v>0.91149200856259793</v>
      </c>
      <c r="BC73" s="5">
        <f>IF($E73&gt;=BC$2,VLOOKUP($E73-BC$2,'data input'!$D$3:$E$130,2,FALSE),0)</f>
        <v>0.92292139944792817</v>
      </c>
      <c r="BD73" s="5">
        <f>IF($E73&gt;=BD$2,VLOOKUP($E73-BD$2,'data input'!$D$3:$E$130,2,FALSE),0)</f>
        <v>0.93319279873114191</v>
      </c>
      <c r="BE73" s="5">
        <f>IF($E73&gt;=BE$2,VLOOKUP($E73-BE$2,'data input'!$D$3:$E$130,2,FALSE),0)</f>
        <v>0.94237177772384684</v>
      </c>
      <c r="BF73" s="5">
        <f>IF($E73&gt;=BF$2,VLOOKUP($E73-BF$2,'data input'!$D$3:$E$130,2,FALSE),0)</f>
        <v>0.9505285319663519</v>
      </c>
      <c r="BG73" s="5">
        <f>IF($E73&gt;=BG$2,VLOOKUP($E73-BG$2,'data input'!$D$3:$E$130,2,FALSE),0)</f>
        <v>0.95773626374204757</v>
      </c>
      <c r="BH73" s="5">
        <f>IF($E73&gt;=BH$2,VLOOKUP($E73-BH$2,'data input'!$D$3:$E$130,2,FALSE),0)</f>
        <v>0.96406968088707423</v>
      </c>
      <c r="BI73" s="5">
        <f>IF($E73&gt;=BI$2,VLOOKUP($E73-BI$2,'data input'!$D$3:$E$130,2,FALSE),0)</f>
        <v>0.96960363823473861</v>
      </c>
      <c r="BJ73" s="5">
        <f>IF($E73&gt;=BJ$2,VLOOKUP($E73-BJ$2,'data input'!$D$3:$E$130,2,FALSE),0)</f>
        <v>0.97441194047836144</v>
      </c>
      <c r="BK73" s="5">
        <f>IF($E73&gt;=BK$2,VLOOKUP($E73-BK$2,'data input'!$D$3:$E$130,2,FALSE),0)</f>
        <v>0.97856631788584703</v>
      </c>
      <c r="BL73" s="5">
        <f>IF($E73&gt;=BL$2,VLOOKUP($E73-BL$2,'data input'!$D$3:$E$130,2,FALSE),0)</f>
        <v>0.98213557943718344</v>
      </c>
      <c r="BM73" s="5">
        <f>IF($E73&gt;=BM$2,VLOOKUP($E73-BM$2,'data input'!$D$3:$E$130,2,FALSE),0)</f>
        <v>0.98518494180739014</v>
      </c>
      <c r="BN73" s="5">
        <f>IF($E73&gt;=BN$2,VLOOKUP($E73-BN$2,'data input'!$D$3:$E$130,2,FALSE),0)</f>
        <v>0.98777552734495533</v>
      </c>
      <c r="BO73" s="5">
        <f>IF($E73&gt;=BO$2,VLOOKUP($E73-BO$2,'data input'!$D$3:$E$130,2,FALSE),0)</f>
        <v>0.98996401989972593</v>
      </c>
      <c r="BP73" s="5">
        <f>IF($E73&gt;=BP$2,VLOOKUP($E73-BP$2,'data input'!$D$3:$E$130,2,FALSE),0)</f>
        <v>0.99180246407540384</v>
      </c>
      <c r="BQ73" s="5">
        <f>IF($E73&gt;=BQ$2,VLOOKUP($E73-BQ$2,'data input'!$D$3:$E$130,2,FALSE),0)</f>
        <v>0.99333819120801725</v>
      </c>
      <c r="BR73" s="5">
        <f>IF($E73&gt;=BR$2,VLOOKUP($E73-BR$2,'data input'!$D$3:$E$130,2,FALSE),0)</f>
        <v>0.99461385404593328</v>
      </c>
      <c r="BS73" s="5">
        <f>IF($E73&gt;=BS$2,VLOOKUP($E73-BS$2,'data input'!$D$3:$E$130,2,FALSE),0)</f>
        <v>0.99566755163698739</v>
      </c>
      <c r="BT73" s="5">
        <f>IF($E73&gt;=BT$2,VLOOKUP($E73-BT$2,'data input'!$D$3:$E$130,2,FALSE),0)</f>
        <v>0.99653302619695938</v>
      </c>
      <c r="BU73" s="5">
        <f>IF($E73&gt;=BU$2,VLOOKUP($E73-BU$2,'data input'!$D$3:$E$130,2,FALSE),0)</f>
        <v>0.99723991460873751</v>
      </c>
      <c r="BV73" s="5">
        <f>IF($E73&gt;=BV$2,VLOOKUP($E73-BV$2,'data input'!$D$3:$E$130,2,FALSE),0)</f>
        <v>0.99781403854508677</v>
      </c>
      <c r="BW73" s="5">
        <f>IF($E73&gt;=BW$2,VLOOKUP($E73-BW$2,'data input'!$D$3:$E$130,2,FALSE),0)</f>
        <v>0.99827771888413241</v>
      </c>
      <c r="BX73" s="5">
        <f>IF($E73&gt;=BX$2,VLOOKUP($E73-BX$2,'data input'!$D$3:$E$130,2,FALSE),0)</f>
        <v>0.9986501019683699</v>
      </c>
      <c r="BY73" s="5">
        <f>IF($E73&gt;=BY$2,VLOOKUP($E73-BY$2,'data input'!$D$3:$E$130,2,FALSE),0)</f>
        <v>0</v>
      </c>
      <c r="BZ73" s="5">
        <f>IF($E73&gt;=BZ$2,VLOOKUP($E73-BZ$2,'data input'!$D$3:$E$130,2,FALSE),0)</f>
        <v>0</v>
      </c>
      <c r="CA73" s="5">
        <f>IF($E73&gt;=CA$2,VLOOKUP($E73-CA$2,'data input'!$D$3:$E$130,2,FALSE),0)</f>
        <v>0</v>
      </c>
      <c r="CB73" s="5">
        <f>IF($E73&gt;=CB$2,VLOOKUP($E73-CB$2,'data input'!$D$3:$E$130,2,FALSE),0)</f>
        <v>0</v>
      </c>
      <c r="CC73" s="5">
        <f>IF($E73&gt;=CC$2,VLOOKUP($E73-CC$2,'data input'!$D$3:$E$130,2,FALSE),0)</f>
        <v>0</v>
      </c>
      <c r="CD73" s="5">
        <f>IF($E73&gt;=CD$2,VLOOKUP($E73-CD$2,'data input'!$D$3:$E$130,2,FALSE),0)</f>
        <v>0</v>
      </c>
      <c r="CE73" s="5">
        <f>IF($E73&gt;=CE$2,VLOOKUP($E73-CE$2,'data input'!$D$3:$E$130,2,FALSE),0)</f>
        <v>0</v>
      </c>
      <c r="CF73" s="5">
        <f>IF($E73&gt;=CF$2,VLOOKUP($E73-CF$2,'data input'!$D$3:$E$130,2,FALSE),0)</f>
        <v>0</v>
      </c>
      <c r="CG73" s="5">
        <f>IF($E73&gt;=CG$2,VLOOKUP($E73-CG$2,'data input'!$D$3:$E$130,2,FALSE),0)</f>
        <v>0</v>
      </c>
      <c r="CH73" s="5">
        <f>IF($E73&gt;=CH$2,VLOOKUP($E73-CH$2,'data input'!$D$3:$E$130,2,FALSE),0)</f>
        <v>0</v>
      </c>
      <c r="CI73" s="5">
        <f>IF($E73&gt;=CI$2,VLOOKUP($E73-CI$2,'data input'!$D$3:$E$130,2,FALSE),0)</f>
        <v>0</v>
      </c>
      <c r="CJ73" s="5">
        <f>IF($E73&gt;=CJ$2,VLOOKUP($E73-CJ$2,'data input'!$D$3:$E$130,2,FALSE),0)</f>
        <v>0</v>
      </c>
      <c r="CK73" s="5">
        <f>IF($E73&gt;=CK$2,VLOOKUP($E73-CK$2,'data input'!$D$3:$E$130,2,FALSE),0)</f>
        <v>0</v>
      </c>
      <c r="CL73" s="5">
        <f>IF($E73&gt;=CL$2,VLOOKUP($E73-CL$2,'data input'!$D$3:$E$130,2,FALSE),0)</f>
        <v>0</v>
      </c>
      <c r="CM73" s="5">
        <f>IF($E73&gt;=CM$2,VLOOKUP($E73-CM$2,'data input'!$D$3:$E$130,2,FALSE),0)</f>
        <v>0</v>
      </c>
      <c r="CN73" s="5">
        <f>IF($E73&gt;=CN$2,VLOOKUP($E73-CN$2,'data input'!$D$3:$E$130,2,FALSE),0)</f>
        <v>0</v>
      </c>
      <c r="CO73" s="5">
        <f>IF($E73&gt;=CO$2,VLOOKUP($E73-CO$2,'data input'!$D$3:$E$130,2,FALSE),0)</f>
        <v>0</v>
      </c>
      <c r="CP73" s="5">
        <f>IF($E73&gt;=CP$2,VLOOKUP($E73-CP$2,'data input'!$D$3:$E$130,2,FALSE),0)</f>
        <v>0</v>
      </c>
      <c r="CQ73" s="5">
        <f>IF($E73&gt;=CQ$2,VLOOKUP($E73-CQ$2,'data input'!$D$3:$E$130,2,FALSE),0)</f>
        <v>0</v>
      </c>
      <c r="CR73" s="5">
        <f>IF($E73&gt;=CR$2,VLOOKUP($E73-CR$2,'data input'!$D$3:$E$130,2,FALSE),0)</f>
        <v>0</v>
      </c>
      <c r="CS73" s="5">
        <f>IF($E73&gt;=CS$2,VLOOKUP($E73-CS$2,'data input'!$D$3:$E$130,2,FALSE),0)</f>
        <v>0</v>
      </c>
      <c r="CT73" s="5">
        <f>IF($E73&gt;=CT$2,VLOOKUP($E73-CT$2,'data input'!$D$3:$E$130,2,FALSE),0)</f>
        <v>0</v>
      </c>
      <c r="CU73" s="5">
        <f>IF($E73&gt;=CU$2,VLOOKUP($E73-CU$2,'data input'!$D$3:$E$130,2,FALSE),0)</f>
        <v>0</v>
      </c>
      <c r="CV73" s="5">
        <f>IF($E73&gt;=CV$2,VLOOKUP($E73-CV$2,'data input'!$D$3:$E$130,2,FALSE),0)</f>
        <v>0</v>
      </c>
      <c r="CW73" s="5">
        <f>IF($E73&gt;=CW$2,VLOOKUP($E73-CW$2,'data input'!$D$3:$E$130,2,FALSE),0)</f>
        <v>0</v>
      </c>
      <c r="CX73" s="5">
        <f>IF($E73&gt;=CX$2,VLOOKUP($E73-CX$2,'data input'!$D$3:$E$130,2,FALSE),0)</f>
        <v>0</v>
      </c>
      <c r="CY73" s="5">
        <f>IF($E73&gt;=CY$2,VLOOKUP($E73-CY$2,'data input'!$D$3:$E$130,2,FALSE),0)</f>
        <v>0</v>
      </c>
      <c r="CZ73" s="5">
        <f>IF($E73&gt;=CZ$2,VLOOKUP($E73-CZ$2,'data input'!$D$3:$E$130,2,FALSE),0)</f>
        <v>0</v>
      </c>
      <c r="DA73" s="5">
        <f>IF($E73&gt;=DA$2,VLOOKUP($E73-DA$2,'data input'!$D$3:$E$130,2,FALSE),0)</f>
        <v>0</v>
      </c>
      <c r="DB73" s="5">
        <f>IF($E73&gt;=DB$2,VLOOKUP($E73-DB$2,'data input'!$D$3:$E$130,2,FALSE),0)</f>
        <v>0</v>
      </c>
      <c r="DC73" s="5">
        <f>IF($E73&gt;=DC$2,VLOOKUP($E73-DC$2,'data input'!$D$3:$E$130,2,FALSE),0)</f>
        <v>0</v>
      </c>
      <c r="DD73" s="5">
        <f>IF($E73&gt;=DD$2,VLOOKUP($E73-DD$2,'data input'!$D$3:$E$130,2,FALSE),0)</f>
        <v>0</v>
      </c>
      <c r="DE73" s="5">
        <f>IF($E73&gt;=DE$2,VLOOKUP($E73-DE$2,'data input'!$D$3:$E$130,2,FALSE),0)</f>
        <v>0</v>
      </c>
      <c r="DF73" s="5">
        <f>IF($E73&gt;=DF$2,VLOOKUP($E73-DF$2,'data input'!$D$3:$E$130,2,FALSE),0)</f>
        <v>0</v>
      </c>
      <c r="DG73" s="5">
        <f>IF($E73&gt;=DG$2,VLOOKUP($E73-DG$2,'data input'!$D$3:$E$130,2,FALSE),0)</f>
        <v>0</v>
      </c>
      <c r="DH73" s="5">
        <f>IF($E73&gt;=DH$2,VLOOKUP($E73-DH$2,'data input'!$D$3:$E$130,2,FALSE),0)</f>
        <v>0</v>
      </c>
      <c r="DI73" s="5">
        <f>IF($E73&gt;=DI$2,VLOOKUP($E73-DI$2,'data input'!$D$3:$E$130,2,FALSE),0)</f>
        <v>0</v>
      </c>
      <c r="DJ73" s="5">
        <f>IF($E73&gt;=DJ$2,VLOOKUP($E73-DJ$2,'data input'!$D$3:$E$130,2,FALSE),0)</f>
        <v>0</v>
      </c>
      <c r="DK73" s="5">
        <f>IF($E73&gt;=DK$2,VLOOKUP($E73-DK$2,'data input'!$D$3:$E$130,2,FALSE),0)</f>
        <v>0</v>
      </c>
      <c r="DL73" s="5">
        <f>IF($E73&gt;=DL$2,VLOOKUP($E73-DL$2,'data input'!$D$3:$E$130,2,FALSE),0)</f>
        <v>0</v>
      </c>
      <c r="DM73" s="5">
        <f>IF($E73&gt;=DM$2,VLOOKUP($E73-DM$2,'data input'!$D$3:$E$130,2,FALSE),0)</f>
        <v>0</v>
      </c>
      <c r="DN73" s="5">
        <f>IF($E73&gt;=DN$2,VLOOKUP($E73-DN$2,'data input'!$D$3:$E$130,2,FALSE),0)</f>
        <v>0</v>
      </c>
      <c r="DO73" s="5">
        <f>IF($E73&gt;=DO$2,VLOOKUP($E73-DO$2,'data input'!$D$3:$E$130,2,FALSE),0)</f>
        <v>0</v>
      </c>
      <c r="DP73" s="5">
        <f>IF($E73&gt;=DP$2,VLOOKUP($E73-DP$2,'data input'!$D$3:$E$130,2,FALSE),0)</f>
        <v>0</v>
      </c>
      <c r="DQ73" s="5">
        <f>IF($E73&gt;=DQ$2,VLOOKUP($E73-DQ$2,'data input'!$D$3:$E$130,2,FALSE),0)</f>
        <v>0</v>
      </c>
      <c r="DR73" s="5">
        <f>IF($E73&gt;=DR$2,VLOOKUP($E73-DR$2,'data input'!$D$3:$E$130,2,FALSE),0)</f>
        <v>0</v>
      </c>
      <c r="DS73" s="5">
        <f>IF($E73&gt;=DS$2,VLOOKUP($E73-DS$2,'data input'!$D$3:$E$130,2,FALSE),0)</f>
        <v>0</v>
      </c>
      <c r="DT73" s="5">
        <f>IF($E73&gt;=DT$2,VLOOKUP($E73-DT$2,'data input'!$D$3:$E$130,2,FALSE),0)</f>
        <v>0</v>
      </c>
      <c r="DU73" s="5">
        <f>IF($E73&gt;=DU$2,VLOOKUP($E73-DU$2,'data input'!$D$3:$E$130,2,FALSE),0)</f>
        <v>0</v>
      </c>
      <c r="DV73" s="5">
        <f>IF($E73&gt;=DV$2,VLOOKUP($E73-DV$2,'data input'!$D$3:$E$130,2,FALSE),0)</f>
        <v>0</v>
      </c>
      <c r="DW73" s="5">
        <f>IF($E73&gt;=DW$2,VLOOKUP($E73-DW$2,'data input'!$D$3:$E$130,2,FALSE),0)</f>
        <v>0</v>
      </c>
      <c r="DX73" s="5">
        <f>IF($E73&gt;=DX$2,VLOOKUP($E73-DX$2,'data input'!$D$3:$E$130,2,FALSE),0)</f>
        <v>0</v>
      </c>
      <c r="DY73" s="5">
        <f>IF($E73&gt;=DY$2,VLOOKUP($E73-DY$2,'data input'!$D$3:$E$130,2,FALSE),0)</f>
        <v>0</v>
      </c>
      <c r="DZ73" s="5">
        <f>IF($E73&gt;=DZ$2,VLOOKUP($E73-DZ$2,'data input'!$D$3:$E$130,2,FALSE),0)</f>
        <v>0</v>
      </c>
      <c r="EA73" s="5">
        <f>IF($E73&gt;=EA$2,VLOOKUP($E73-EA$2,'data input'!$D$3:$E$130,2,FALSE),0)</f>
        <v>0</v>
      </c>
      <c r="EB73" s="5">
        <f>IF($E73&gt;=EB$2,VLOOKUP($E73-EB$2,'data input'!$D$3:$E$130,2,FALSE),0)</f>
        <v>0</v>
      </c>
      <c r="EC73" s="5">
        <f>IF($E73&gt;=EC$2,VLOOKUP($E73-EC$2,'data input'!$D$3:$E$130,2,FALSE),0)</f>
        <v>0</v>
      </c>
    </row>
    <row r="74" spans="5:133">
      <c r="E74" s="7">
        <f>'data input'!B74</f>
        <v>1949</v>
      </c>
      <c r="F74" s="5">
        <f>IF($E74&gt;=F$2,VLOOKUP($E74-F$2,'data input'!$D$3:$E$130,2,FALSE),0)</f>
        <v>1.0035980100274067E-2</v>
      </c>
      <c r="G74" s="5">
        <f>IF($E74&gt;=G$2,VLOOKUP($E74-G$2,'data input'!$D$3:$E$130,2,FALSE),0)</f>
        <v>1.2224472655044671E-2</v>
      </c>
      <c r="H74" s="5">
        <f>IF($E74&gt;=H$2,VLOOKUP($E74-H$2,'data input'!$D$3:$E$130,2,FALSE),0)</f>
        <v>1.4815058192609865E-2</v>
      </c>
      <c r="I74" s="5">
        <f>IF($E74&gt;=I$2,VLOOKUP($E74-I$2,'data input'!$D$3:$E$130,2,FALSE),0)</f>
        <v>1.7864420562816563E-2</v>
      </c>
      <c r="J74" s="5">
        <f>IF($E74&gt;=J$2,VLOOKUP($E74-J$2,'data input'!$D$3:$E$130,2,FALSE),0)</f>
        <v>2.1433682114152974E-2</v>
      </c>
      <c r="K74" s="5">
        <f>IF($E74&gt;=K$2,VLOOKUP($E74-K$2,'data input'!$D$3:$E$130,2,FALSE),0)</f>
        <v>2.5588059521638562E-2</v>
      </c>
      <c r="L74" s="5">
        <f>IF($E74&gt;=L$2,VLOOKUP($E74-L$2,'data input'!$D$3:$E$130,2,FALSE),0)</f>
        <v>3.0396361765261393E-2</v>
      </c>
      <c r="M74" s="5">
        <f>IF($E74&gt;=M$2,VLOOKUP($E74-M$2,'data input'!$D$3:$E$130,2,FALSE),0)</f>
        <v>3.5930319112925768E-2</v>
      </c>
      <c r="N74" s="5">
        <f>IF($E74&gt;=N$2,VLOOKUP($E74-N$2,'data input'!$D$3:$E$130,2,FALSE),0)</f>
        <v>4.2263736257952433E-2</v>
      </c>
      <c r="O74" s="5">
        <f>IF($E74&gt;=O$2,VLOOKUP($E74-O$2,'data input'!$D$3:$E$130,2,FALSE),0)</f>
        <v>4.9471468033648103E-2</v>
      </c>
      <c r="P74" s="5">
        <f>IF($E74&gt;=P$2,VLOOKUP($E74-P$2,'data input'!$D$3:$E$130,2,FALSE),0)</f>
        <v>5.7628222276153163E-2</v>
      </c>
      <c r="Q74" s="5">
        <f>IF($E74&gt;=Q$2,VLOOKUP($E74-Q$2,'data input'!$D$3:$E$130,2,FALSE),0)</f>
        <v>6.6807201268858085E-2</v>
      </c>
      <c r="R74" s="5">
        <f>IF($E74&gt;=R$2,VLOOKUP($E74-R$2,'data input'!$D$3:$E$130,2,FALSE),0)</f>
        <v>7.707860055207183E-2</v>
      </c>
      <c r="S74" s="5">
        <f>IF($E74&gt;=S$2,VLOOKUP($E74-S$2,'data input'!$D$3:$E$130,2,FALSE),0)</f>
        <v>8.8507991437402067E-2</v>
      </c>
      <c r="T74" s="5">
        <f>IF($E74&gt;=T$2,VLOOKUP($E74-T$2,'data input'!$D$3:$E$130,2,FALSE),0)</f>
        <v>0.10115462099558592</v>
      </c>
      <c r="U74" s="5">
        <f>IF($E74&gt;=U$2,VLOOKUP($E74-U$2,'data input'!$D$3:$E$130,2,FALSE),0)</f>
        <v>0.11506967022170822</v>
      </c>
      <c r="V74" s="5">
        <f>IF($E74&gt;=V$2,VLOOKUP($E74-V$2,'data input'!$D$3:$E$130,2,FALSE),0)</f>
        <v>0.13029451713680884</v>
      </c>
      <c r="W74" s="5">
        <f>IF($E74&gt;=W$2,VLOOKUP($E74-W$2,'data input'!$D$3:$E$130,2,FALSE),0)</f>
        <v>0.14685905637589591</v>
      </c>
      <c r="X74" s="5">
        <f>IF($E74&gt;=X$2,VLOOKUP($E74-X$2,'data input'!$D$3:$E$130,2,FALSE),0)</f>
        <v>0.16478012998031033</v>
      </c>
      <c r="Y74" s="5">
        <f>IF($E74&gt;=Y$2,VLOOKUP($E74-Y$2,'data input'!$D$3:$E$130,2,FALSE),0)</f>
        <v>0.18406012534675953</v>
      </c>
      <c r="Z74" s="5">
        <f>IF($E74&gt;=Z$2,VLOOKUP($E74-Z$2,'data input'!$D$3:$E$130,2,FALSE),0)</f>
        <v>0.20468579534725262</v>
      </c>
      <c r="AA74" s="5">
        <f>IF($E74&gt;=AA$2,VLOOKUP($E74-AA$2,'data input'!$D$3:$E$130,2,FALSE),0)</f>
        <v>0.22662735237686826</v>
      </c>
      <c r="AB74" s="5">
        <f>IF($E74&gt;=AB$2,VLOOKUP($E74-AB$2,'data input'!$D$3:$E$130,2,FALSE),0)</f>
        <v>0.24983788247177696</v>
      </c>
      <c r="AC74" s="5">
        <f>IF($E74&gt;=AC$2,VLOOKUP($E74-AC$2,'data input'!$D$3:$E$130,2,FALSE),0)</f>
        <v>0.27425311775007355</v>
      </c>
      <c r="AD74" s="5">
        <f>IF($E74&gt;=AD$2,VLOOKUP($E74-AD$2,'data input'!$D$3:$E$130,2,FALSE),0)</f>
        <v>0.29979159546869583</v>
      </c>
      <c r="AE74" s="5">
        <f>IF($E74&gt;=AE$2,VLOOKUP($E74-AE$2,'data input'!$D$3:$E$130,2,FALSE),0)</f>
        <v>0.32635522028792008</v>
      </c>
      <c r="AF74" s="5">
        <f>IF($E74&gt;=AF$2,VLOOKUP($E74-AF$2,'data input'!$D$3:$E$130,2,FALSE),0)</f>
        <v>0.35383023332727614</v>
      </c>
      <c r="AG74" s="5">
        <f>IF($E74&gt;=AG$2,VLOOKUP($E74-AG$2,'data input'!$D$3:$E$130,2,FALSE),0)</f>
        <v>0.38208857781104733</v>
      </c>
      <c r="AH74" s="5">
        <f>IF($E74&gt;=AH$2,VLOOKUP($E74-AH$2,'data input'!$D$3:$E$130,2,FALSE),0)</f>
        <v>0.41098963713127035</v>
      </c>
      <c r="AI74" s="5">
        <f>IF($E74&gt;=AI$2,VLOOKUP($E74-AI$2,'data input'!$D$3:$E$130,2,FALSE),0)</f>
        <v>0.4403823076297575</v>
      </c>
      <c r="AJ74" s="5">
        <f>IF($E74&gt;=AJ$2,VLOOKUP($E74-AJ$2,'data input'!$D$3:$E$130,2,FALSE),0)</f>
        <v>0.47010735594710518</v>
      </c>
      <c r="AK74" s="5">
        <f>IF($E74&gt;=AK$2,VLOOKUP($E74-AK$2,'data input'!$D$3:$E$130,2,FALSE),0)</f>
        <v>0.5</v>
      </c>
      <c r="AL74" s="5">
        <f>IF($E74&gt;=AL$2,VLOOKUP($E74-AL$2,'data input'!$D$3:$E$130,2,FALSE),0)</f>
        <v>0.52989264405289482</v>
      </c>
      <c r="AM74" s="5">
        <f>IF($E74&gt;=AM$2,VLOOKUP($E74-AM$2,'data input'!$D$3:$E$130,2,FALSE),0)</f>
        <v>0.5596176923702425</v>
      </c>
      <c r="AN74" s="5">
        <f>IF($E74&gt;=AN$2,VLOOKUP($E74-AN$2,'data input'!$D$3:$E$130,2,FALSE),0)</f>
        <v>0.58901036286872965</v>
      </c>
      <c r="AO74" s="5">
        <f>IF($E74&gt;=AO$2,VLOOKUP($E74-AO$2,'data input'!$D$3:$E$130,2,FALSE),0)</f>
        <v>0.61791142218895267</v>
      </c>
      <c r="AP74" s="5">
        <f>IF($E74&gt;=AP$2,VLOOKUP($E74-AP$2,'data input'!$D$3:$E$130,2,FALSE),0)</f>
        <v>0.64616976667272386</v>
      </c>
      <c r="AQ74" s="5">
        <f>IF($E74&gt;=AQ$2,VLOOKUP($E74-AQ$2,'data input'!$D$3:$E$130,2,FALSE),0)</f>
        <v>0.67364477971207992</v>
      </c>
      <c r="AR74" s="5">
        <f>IF($E74&gt;=AR$2,VLOOKUP($E74-AR$2,'data input'!$D$3:$E$130,2,FALSE),0)</f>
        <v>0.70020840453130417</v>
      </c>
      <c r="AS74" s="5">
        <f>IF($E74&gt;=AS$2,VLOOKUP($E74-AS$2,'data input'!$D$3:$E$130,2,FALSE),0)</f>
        <v>0.72574688224992645</v>
      </c>
      <c r="AT74" s="5">
        <f>IF($E74&gt;=AT$2,VLOOKUP($E74-AT$2,'data input'!$D$3:$E$130,2,FALSE),0)</f>
        <v>0.75016211752822304</v>
      </c>
      <c r="AU74" s="5">
        <f>IF($E74&gt;=AU$2,VLOOKUP($E74-AU$2,'data input'!$D$3:$E$130,2,FALSE),0)</f>
        <v>0.77337264762313174</v>
      </c>
      <c r="AV74" s="5">
        <f>IF($E74&gt;=AV$2,VLOOKUP($E74-AV$2,'data input'!$D$3:$E$130,2,FALSE),0)</f>
        <v>0.79531420465274738</v>
      </c>
      <c r="AW74" s="5">
        <f>IF($E74&gt;=AW$2,VLOOKUP($E74-AW$2,'data input'!$D$3:$E$130,2,FALSE),0)</f>
        <v>0.81593987465324047</v>
      </c>
      <c r="AX74" s="5">
        <f>IF($E74&gt;=AX$2,VLOOKUP($E74-AX$2,'data input'!$D$3:$E$130,2,FALSE),0)</f>
        <v>0.83521987001968967</v>
      </c>
      <c r="AY74" s="5">
        <f>IF($E74&gt;=AY$2,VLOOKUP($E74-AY$2,'data input'!$D$3:$E$130,2,FALSE),0)</f>
        <v>0.85314094362410409</v>
      </c>
      <c r="AZ74" s="5">
        <f>IF($E74&gt;=AZ$2,VLOOKUP($E74-AZ$2,'data input'!$D$3:$E$130,2,FALSE),0)</f>
        <v>0.86970548286319116</v>
      </c>
      <c r="BA74" s="5">
        <f>IF($E74&gt;=BA$2,VLOOKUP($E74-BA$2,'data input'!$D$3:$E$130,2,FALSE),0)</f>
        <v>0.88493032977829178</v>
      </c>
      <c r="BB74" s="5">
        <f>IF($E74&gt;=BB$2,VLOOKUP($E74-BB$2,'data input'!$D$3:$E$130,2,FALSE),0)</f>
        <v>0.89884537900441408</v>
      </c>
      <c r="BC74" s="5">
        <f>IF($E74&gt;=BC$2,VLOOKUP($E74-BC$2,'data input'!$D$3:$E$130,2,FALSE),0)</f>
        <v>0.91149200856259793</v>
      </c>
      <c r="BD74" s="5">
        <f>IF($E74&gt;=BD$2,VLOOKUP($E74-BD$2,'data input'!$D$3:$E$130,2,FALSE),0)</f>
        <v>0.92292139944792817</v>
      </c>
      <c r="BE74" s="5">
        <f>IF($E74&gt;=BE$2,VLOOKUP($E74-BE$2,'data input'!$D$3:$E$130,2,FALSE),0)</f>
        <v>0.93319279873114191</v>
      </c>
      <c r="BF74" s="5">
        <f>IF($E74&gt;=BF$2,VLOOKUP($E74-BF$2,'data input'!$D$3:$E$130,2,FALSE),0)</f>
        <v>0.94237177772384684</v>
      </c>
      <c r="BG74" s="5">
        <f>IF($E74&gt;=BG$2,VLOOKUP($E74-BG$2,'data input'!$D$3:$E$130,2,FALSE),0)</f>
        <v>0.9505285319663519</v>
      </c>
      <c r="BH74" s="5">
        <f>IF($E74&gt;=BH$2,VLOOKUP($E74-BH$2,'data input'!$D$3:$E$130,2,FALSE),0)</f>
        <v>0.95773626374204757</v>
      </c>
      <c r="BI74" s="5">
        <f>IF($E74&gt;=BI$2,VLOOKUP($E74-BI$2,'data input'!$D$3:$E$130,2,FALSE),0)</f>
        <v>0.96406968088707423</v>
      </c>
      <c r="BJ74" s="5">
        <f>IF($E74&gt;=BJ$2,VLOOKUP($E74-BJ$2,'data input'!$D$3:$E$130,2,FALSE),0)</f>
        <v>0.96960363823473861</v>
      </c>
      <c r="BK74" s="5">
        <f>IF($E74&gt;=BK$2,VLOOKUP($E74-BK$2,'data input'!$D$3:$E$130,2,FALSE),0)</f>
        <v>0.97441194047836144</v>
      </c>
      <c r="BL74" s="5">
        <f>IF($E74&gt;=BL$2,VLOOKUP($E74-BL$2,'data input'!$D$3:$E$130,2,FALSE),0)</f>
        <v>0.97856631788584703</v>
      </c>
      <c r="BM74" s="5">
        <f>IF($E74&gt;=BM$2,VLOOKUP($E74-BM$2,'data input'!$D$3:$E$130,2,FALSE),0)</f>
        <v>0.98213557943718344</v>
      </c>
      <c r="BN74" s="5">
        <f>IF($E74&gt;=BN$2,VLOOKUP($E74-BN$2,'data input'!$D$3:$E$130,2,FALSE),0)</f>
        <v>0.98518494180739014</v>
      </c>
      <c r="BO74" s="5">
        <f>IF($E74&gt;=BO$2,VLOOKUP($E74-BO$2,'data input'!$D$3:$E$130,2,FALSE),0)</f>
        <v>0.98777552734495533</v>
      </c>
      <c r="BP74" s="5">
        <f>IF($E74&gt;=BP$2,VLOOKUP($E74-BP$2,'data input'!$D$3:$E$130,2,FALSE),0)</f>
        <v>0.98996401989972593</v>
      </c>
      <c r="BQ74" s="5">
        <f>IF($E74&gt;=BQ$2,VLOOKUP($E74-BQ$2,'data input'!$D$3:$E$130,2,FALSE),0)</f>
        <v>0.99180246407540384</v>
      </c>
      <c r="BR74" s="5">
        <f>IF($E74&gt;=BR$2,VLOOKUP($E74-BR$2,'data input'!$D$3:$E$130,2,FALSE),0)</f>
        <v>0.99333819120801725</v>
      </c>
      <c r="BS74" s="5">
        <f>IF($E74&gt;=BS$2,VLOOKUP($E74-BS$2,'data input'!$D$3:$E$130,2,FALSE),0)</f>
        <v>0.99461385404593328</v>
      </c>
      <c r="BT74" s="5">
        <f>IF($E74&gt;=BT$2,VLOOKUP($E74-BT$2,'data input'!$D$3:$E$130,2,FALSE),0)</f>
        <v>0.99566755163698739</v>
      </c>
      <c r="BU74" s="5">
        <f>IF($E74&gt;=BU$2,VLOOKUP($E74-BU$2,'data input'!$D$3:$E$130,2,FALSE),0)</f>
        <v>0.99653302619695938</v>
      </c>
      <c r="BV74" s="5">
        <f>IF($E74&gt;=BV$2,VLOOKUP($E74-BV$2,'data input'!$D$3:$E$130,2,FALSE),0)</f>
        <v>0.99723991460873751</v>
      </c>
      <c r="BW74" s="5">
        <f>IF($E74&gt;=BW$2,VLOOKUP($E74-BW$2,'data input'!$D$3:$E$130,2,FALSE),0)</f>
        <v>0.99781403854508677</v>
      </c>
      <c r="BX74" s="5">
        <f>IF($E74&gt;=BX$2,VLOOKUP($E74-BX$2,'data input'!$D$3:$E$130,2,FALSE),0)</f>
        <v>0.99827771888413241</v>
      </c>
      <c r="BY74" s="5">
        <f>IF($E74&gt;=BY$2,VLOOKUP($E74-BY$2,'data input'!$D$3:$E$130,2,FALSE),0)</f>
        <v>0.9986501019683699</v>
      </c>
      <c r="BZ74" s="5">
        <f>IF($E74&gt;=BZ$2,VLOOKUP($E74-BZ$2,'data input'!$D$3:$E$130,2,FALSE),0)</f>
        <v>0</v>
      </c>
      <c r="CA74" s="5">
        <f>IF($E74&gt;=CA$2,VLOOKUP($E74-CA$2,'data input'!$D$3:$E$130,2,FALSE),0)</f>
        <v>0</v>
      </c>
      <c r="CB74" s="5">
        <f>IF($E74&gt;=CB$2,VLOOKUP($E74-CB$2,'data input'!$D$3:$E$130,2,FALSE),0)</f>
        <v>0</v>
      </c>
      <c r="CC74" s="5">
        <f>IF($E74&gt;=CC$2,VLOOKUP($E74-CC$2,'data input'!$D$3:$E$130,2,FALSE),0)</f>
        <v>0</v>
      </c>
      <c r="CD74" s="5">
        <f>IF($E74&gt;=CD$2,VLOOKUP($E74-CD$2,'data input'!$D$3:$E$130,2,FALSE),0)</f>
        <v>0</v>
      </c>
      <c r="CE74" s="5">
        <f>IF($E74&gt;=CE$2,VLOOKUP($E74-CE$2,'data input'!$D$3:$E$130,2,FALSE),0)</f>
        <v>0</v>
      </c>
      <c r="CF74" s="5">
        <f>IF($E74&gt;=CF$2,VLOOKUP($E74-CF$2,'data input'!$D$3:$E$130,2,FALSE),0)</f>
        <v>0</v>
      </c>
      <c r="CG74" s="5">
        <f>IF($E74&gt;=CG$2,VLOOKUP($E74-CG$2,'data input'!$D$3:$E$130,2,FALSE),0)</f>
        <v>0</v>
      </c>
      <c r="CH74" s="5">
        <f>IF($E74&gt;=CH$2,VLOOKUP($E74-CH$2,'data input'!$D$3:$E$130,2,FALSE),0)</f>
        <v>0</v>
      </c>
      <c r="CI74" s="5">
        <f>IF($E74&gt;=CI$2,VLOOKUP($E74-CI$2,'data input'!$D$3:$E$130,2,FALSE),0)</f>
        <v>0</v>
      </c>
      <c r="CJ74" s="5">
        <f>IF($E74&gt;=CJ$2,VLOOKUP($E74-CJ$2,'data input'!$D$3:$E$130,2,FALSE),0)</f>
        <v>0</v>
      </c>
      <c r="CK74" s="5">
        <f>IF($E74&gt;=CK$2,VLOOKUP($E74-CK$2,'data input'!$D$3:$E$130,2,FALSE),0)</f>
        <v>0</v>
      </c>
      <c r="CL74" s="5">
        <f>IF($E74&gt;=CL$2,VLOOKUP($E74-CL$2,'data input'!$D$3:$E$130,2,FALSE),0)</f>
        <v>0</v>
      </c>
      <c r="CM74" s="5">
        <f>IF($E74&gt;=CM$2,VLOOKUP($E74-CM$2,'data input'!$D$3:$E$130,2,FALSE),0)</f>
        <v>0</v>
      </c>
      <c r="CN74" s="5">
        <f>IF($E74&gt;=CN$2,VLOOKUP($E74-CN$2,'data input'!$D$3:$E$130,2,FALSE),0)</f>
        <v>0</v>
      </c>
      <c r="CO74" s="5">
        <f>IF($E74&gt;=CO$2,VLOOKUP($E74-CO$2,'data input'!$D$3:$E$130,2,FALSE),0)</f>
        <v>0</v>
      </c>
      <c r="CP74" s="5">
        <f>IF($E74&gt;=CP$2,VLOOKUP($E74-CP$2,'data input'!$D$3:$E$130,2,FALSE),0)</f>
        <v>0</v>
      </c>
      <c r="CQ74" s="5">
        <f>IF($E74&gt;=CQ$2,VLOOKUP($E74-CQ$2,'data input'!$D$3:$E$130,2,FALSE),0)</f>
        <v>0</v>
      </c>
      <c r="CR74" s="5">
        <f>IF($E74&gt;=CR$2,VLOOKUP($E74-CR$2,'data input'!$D$3:$E$130,2,FALSE),0)</f>
        <v>0</v>
      </c>
      <c r="CS74" s="5">
        <f>IF($E74&gt;=CS$2,VLOOKUP($E74-CS$2,'data input'!$D$3:$E$130,2,FALSE),0)</f>
        <v>0</v>
      </c>
      <c r="CT74" s="5">
        <f>IF($E74&gt;=CT$2,VLOOKUP($E74-CT$2,'data input'!$D$3:$E$130,2,FALSE),0)</f>
        <v>0</v>
      </c>
      <c r="CU74" s="5">
        <f>IF($E74&gt;=CU$2,VLOOKUP($E74-CU$2,'data input'!$D$3:$E$130,2,FALSE),0)</f>
        <v>0</v>
      </c>
      <c r="CV74" s="5">
        <f>IF($E74&gt;=CV$2,VLOOKUP($E74-CV$2,'data input'!$D$3:$E$130,2,FALSE),0)</f>
        <v>0</v>
      </c>
      <c r="CW74" s="5">
        <f>IF($E74&gt;=CW$2,VLOOKUP($E74-CW$2,'data input'!$D$3:$E$130,2,FALSE),0)</f>
        <v>0</v>
      </c>
      <c r="CX74" s="5">
        <f>IF($E74&gt;=CX$2,VLOOKUP($E74-CX$2,'data input'!$D$3:$E$130,2,FALSE),0)</f>
        <v>0</v>
      </c>
      <c r="CY74" s="5">
        <f>IF($E74&gt;=CY$2,VLOOKUP($E74-CY$2,'data input'!$D$3:$E$130,2,FALSE),0)</f>
        <v>0</v>
      </c>
      <c r="CZ74" s="5">
        <f>IF($E74&gt;=CZ$2,VLOOKUP($E74-CZ$2,'data input'!$D$3:$E$130,2,FALSE),0)</f>
        <v>0</v>
      </c>
      <c r="DA74" s="5">
        <f>IF($E74&gt;=DA$2,VLOOKUP($E74-DA$2,'data input'!$D$3:$E$130,2,FALSE),0)</f>
        <v>0</v>
      </c>
      <c r="DB74" s="5">
        <f>IF($E74&gt;=DB$2,VLOOKUP($E74-DB$2,'data input'!$D$3:$E$130,2,FALSE),0)</f>
        <v>0</v>
      </c>
      <c r="DC74" s="5">
        <f>IF($E74&gt;=DC$2,VLOOKUP($E74-DC$2,'data input'!$D$3:$E$130,2,FALSE),0)</f>
        <v>0</v>
      </c>
      <c r="DD74" s="5">
        <f>IF($E74&gt;=DD$2,VLOOKUP($E74-DD$2,'data input'!$D$3:$E$130,2,FALSE),0)</f>
        <v>0</v>
      </c>
      <c r="DE74" s="5">
        <f>IF($E74&gt;=DE$2,VLOOKUP($E74-DE$2,'data input'!$D$3:$E$130,2,FALSE),0)</f>
        <v>0</v>
      </c>
      <c r="DF74" s="5">
        <f>IF($E74&gt;=DF$2,VLOOKUP($E74-DF$2,'data input'!$D$3:$E$130,2,FALSE),0)</f>
        <v>0</v>
      </c>
      <c r="DG74" s="5">
        <f>IF($E74&gt;=DG$2,VLOOKUP($E74-DG$2,'data input'!$D$3:$E$130,2,FALSE),0)</f>
        <v>0</v>
      </c>
      <c r="DH74" s="5">
        <f>IF($E74&gt;=DH$2,VLOOKUP($E74-DH$2,'data input'!$D$3:$E$130,2,FALSE),0)</f>
        <v>0</v>
      </c>
      <c r="DI74" s="5">
        <f>IF($E74&gt;=DI$2,VLOOKUP($E74-DI$2,'data input'!$D$3:$E$130,2,FALSE),0)</f>
        <v>0</v>
      </c>
      <c r="DJ74" s="5">
        <f>IF($E74&gt;=DJ$2,VLOOKUP($E74-DJ$2,'data input'!$D$3:$E$130,2,FALSE),0)</f>
        <v>0</v>
      </c>
      <c r="DK74" s="5">
        <f>IF($E74&gt;=DK$2,VLOOKUP($E74-DK$2,'data input'!$D$3:$E$130,2,FALSE),0)</f>
        <v>0</v>
      </c>
      <c r="DL74" s="5">
        <f>IF($E74&gt;=DL$2,VLOOKUP($E74-DL$2,'data input'!$D$3:$E$130,2,FALSE),0)</f>
        <v>0</v>
      </c>
      <c r="DM74" s="5">
        <f>IF($E74&gt;=DM$2,VLOOKUP($E74-DM$2,'data input'!$D$3:$E$130,2,FALSE),0)</f>
        <v>0</v>
      </c>
      <c r="DN74" s="5">
        <f>IF($E74&gt;=DN$2,VLOOKUP($E74-DN$2,'data input'!$D$3:$E$130,2,FALSE),0)</f>
        <v>0</v>
      </c>
      <c r="DO74" s="5">
        <f>IF($E74&gt;=DO$2,VLOOKUP($E74-DO$2,'data input'!$D$3:$E$130,2,FALSE),0)</f>
        <v>0</v>
      </c>
      <c r="DP74" s="5">
        <f>IF($E74&gt;=DP$2,VLOOKUP($E74-DP$2,'data input'!$D$3:$E$130,2,FALSE),0)</f>
        <v>0</v>
      </c>
      <c r="DQ74" s="5">
        <f>IF($E74&gt;=DQ$2,VLOOKUP($E74-DQ$2,'data input'!$D$3:$E$130,2,FALSE),0)</f>
        <v>0</v>
      </c>
      <c r="DR74" s="5">
        <f>IF($E74&gt;=DR$2,VLOOKUP($E74-DR$2,'data input'!$D$3:$E$130,2,FALSE),0)</f>
        <v>0</v>
      </c>
      <c r="DS74" s="5">
        <f>IF($E74&gt;=DS$2,VLOOKUP($E74-DS$2,'data input'!$D$3:$E$130,2,FALSE),0)</f>
        <v>0</v>
      </c>
      <c r="DT74" s="5">
        <f>IF($E74&gt;=DT$2,VLOOKUP($E74-DT$2,'data input'!$D$3:$E$130,2,FALSE),0)</f>
        <v>0</v>
      </c>
      <c r="DU74" s="5">
        <f>IF($E74&gt;=DU$2,VLOOKUP($E74-DU$2,'data input'!$D$3:$E$130,2,FALSE),0)</f>
        <v>0</v>
      </c>
      <c r="DV74" s="5">
        <f>IF($E74&gt;=DV$2,VLOOKUP($E74-DV$2,'data input'!$D$3:$E$130,2,FALSE),0)</f>
        <v>0</v>
      </c>
      <c r="DW74" s="5">
        <f>IF($E74&gt;=DW$2,VLOOKUP($E74-DW$2,'data input'!$D$3:$E$130,2,FALSE),0)</f>
        <v>0</v>
      </c>
      <c r="DX74" s="5">
        <f>IF($E74&gt;=DX$2,VLOOKUP($E74-DX$2,'data input'!$D$3:$E$130,2,FALSE),0)</f>
        <v>0</v>
      </c>
      <c r="DY74" s="5">
        <f>IF($E74&gt;=DY$2,VLOOKUP($E74-DY$2,'data input'!$D$3:$E$130,2,FALSE),0)</f>
        <v>0</v>
      </c>
      <c r="DZ74" s="5">
        <f>IF($E74&gt;=DZ$2,VLOOKUP($E74-DZ$2,'data input'!$D$3:$E$130,2,FALSE),0)</f>
        <v>0</v>
      </c>
      <c r="EA74" s="5">
        <f>IF($E74&gt;=EA$2,VLOOKUP($E74-EA$2,'data input'!$D$3:$E$130,2,FALSE),0)</f>
        <v>0</v>
      </c>
      <c r="EB74" s="5">
        <f>IF($E74&gt;=EB$2,VLOOKUP($E74-EB$2,'data input'!$D$3:$E$130,2,FALSE),0)</f>
        <v>0</v>
      </c>
      <c r="EC74" s="5">
        <f>IF($E74&gt;=EC$2,VLOOKUP($E74-EC$2,'data input'!$D$3:$E$130,2,FALSE),0)</f>
        <v>0</v>
      </c>
    </row>
    <row r="75" spans="5:133">
      <c r="E75" s="7">
        <f>'data input'!B75</f>
        <v>1950</v>
      </c>
      <c r="F75" s="5">
        <f>IF($E75&gt;=F$2,VLOOKUP($E75-F$2,'data input'!$D$3:$E$130,2,FALSE),0)</f>
        <v>8.1975359245961554E-3</v>
      </c>
      <c r="G75" s="5">
        <f>IF($E75&gt;=G$2,VLOOKUP($E75-G$2,'data input'!$D$3:$E$130,2,FALSE),0)</f>
        <v>1.0035980100274067E-2</v>
      </c>
      <c r="H75" s="5">
        <f>IF($E75&gt;=H$2,VLOOKUP($E75-H$2,'data input'!$D$3:$E$130,2,FALSE),0)</f>
        <v>1.2224472655044671E-2</v>
      </c>
      <c r="I75" s="5">
        <f>IF($E75&gt;=I$2,VLOOKUP($E75-I$2,'data input'!$D$3:$E$130,2,FALSE),0)</f>
        <v>1.4815058192609865E-2</v>
      </c>
      <c r="J75" s="5">
        <f>IF($E75&gt;=J$2,VLOOKUP($E75-J$2,'data input'!$D$3:$E$130,2,FALSE),0)</f>
        <v>1.7864420562816563E-2</v>
      </c>
      <c r="K75" s="5">
        <f>IF($E75&gt;=K$2,VLOOKUP($E75-K$2,'data input'!$D$3:$E$130,2,FALSE),0)</f>
        <v>2.1433682114152974E-2</v>
      </c>
      <c r="L75" s="5">
        <f>IF($E75&gt;=L$2,VLOOKUP($E75-L$2,'data input'!$D$3:$E$130,2,FALSE),0)</f>
        <v>2.5588059521638562E-2</v>
      </c>
      <c r="M75" s="5">
        <f>IF($E75&gt;=M$2,VLOOKUP($E75-M$2,'data input'!$D$3:$E$130,2,FALSE),0)</f>
        <v>3.0396361765261393E-2</v>
      </c>
      <c r="N75" s="5">
        <f>IF($E75&gt;=N$2,VLOOKUP($E75-N$2,'data input'!$D$3:$E$130,2,FALSE),0)</f>
        <v>3.5930319112925768E-2</v>
      </c>
      <c r="O75" s="5">
        <f>IF($E75&gt;=O$2,VLOOKUP($E75-O$2,'data input'!$D$3:$E$130,2,FALSE),0)</f>
        <v>4.2263736257952433E-2</v>
      </c>
      <c r="P75" s="5">
        <f>IF($E75&gt;=P$2,VLOOKUP($E75-P$2,'data input'!$D$3:$E$130,2,FALSE),0)</f>
        <v>4.9471468033648103E-2</v>
      </c>
      <c r="Q75" s="5">
        <f>IF($E75&gt;=Q$2,VLOOKUP($E75-Q$2,'data input'!$D$3:$E$130,2,FALSE),0)</f>
        <v>5.7628222276153163E-2</v>
      </c>
      <c r="R75" s="5">
        <f>IF($E75&gt;=R$2,VLOOKUP($E75-R$2,'data input'!$D$3:$E$130,2,FALSE),0)</f>
        <v>6.6807201268858085E-2</v>
      </c>
      <c r="S75" s="5">
        <f>IF($E75&gt;=S$2,VLOOKUP($E75-S$2,'data input'!$D$3:$E$130,2,FALSE),0)</f>
        <v>7.707860055207183E-2</v>
      </c>
      <c r="T75" s="5">
        <f>IF($E75&gt;=T$2,VLOOKUP($E75-T$2,'data input'!$D$3:$E$130,2,FALSE),0)</f>
        <v>8.8507991437402067E-2</v>
      </c>
      <c r="U75" s="5">
        <f>IF($E75&gt;=U$2,VLOOKUP($E75-U$2,'data input'!$D$3:$E$130,2,FALSE),0)</f>
        <v>0.10115462099558592</v>
      </c>
      <c r="V75" s="5">
        <f>IF($E75&gt;=V$2,VLOOKUP($E75-V$2,'data input'!$D$3:$E$130,2,FALSE),0)</f>
        <v>0.11506967022170822</v>
      </c>
      <c r="W75" s="5">
        <f>IF($E75&gt;=W$2,VLOOKUP($E75-W$2,'data input'!$D$3:$E$130,2,FALSE),0)</f>
        <v>0.13029451713680884</v>
      </c>
      <c r="X75" s="5">
        <f>IF($E75&gt;=X$2,VLOOKUP($E75-X$2,'data input'!$D$3:$E$130,2,FALSE),0)</f>
        <v>0.14685905637589591</v>
      </c>
      <c r="Y75" s="5">
        <f>IF($E75&gt;=Y$2,VLOOKUP($E75-Y$2,'data input'!$D$3:$E$130,2,FALSE),0)</f>
        <v>0.16478012998031033</v>
      </c>
      <c r="Z75" s="5">
        <f>IF($E75&gt;=Z$2,VLOOKUP($E75-Z$2,'data input'!$D$3:$E$130,2,FALSE),0)</f>
        <v>0.18406012534675953</v>
      </c>
      <c r="AA75" s="5">
        <f>IF($E75&gt;=AA$2,VLOOKUP($E75-AA$2,'data input'!$D$3:$E$130,2,FALSE),0)</f>
        <v>0.20468579534725262</v>
      </c>
      <c r="AB75" s="5">
        <f>IF($E75&gt;=AB$2,VLOOKUP($E75-AB$2,'data input'!$D$3:$E$130,2,FALSE),0)</f>
        <v>0.22662735237686826</v>
      </c>
      <c r="AC75" s="5">
        <f>IF($E75&gt;=AC$2,VLOOKUP($E75-AC$2,'data input'!$D$3:$E$130,2,FALSE),0)</f>
        <v>0.24983788247177696</v>
      </c>
      <c r="AD75" s="5">
        <f>IF($E75&gt;=AD$2,VLOOKUP($E75-AD$2,'data input'!$D$3:$E$130,2,FALSE),0)</f>
        <v>0.27425311775007355</v>
      </c>
      <c r="AE75" s="5">
        <f>IF($E75&gt;=AE$2,VLOOKUP($E75-AE$2,'data input'!$D$3:$E$130,2,FALSE),0)</f>
        <v>0.29979159546869583</v>
      </c>
      <c r="AF75" s="5">
        <f>IF($E75&gt;=AF$2,VLOOKUP($E75-AF$2,'data input'!$D$3:$E$130,2,FALSE),0)</f>
        <v>0.32635522028792008</v>
      </c>
      <c r="AG75" s="5">
        <f>IF($E75&gt;=AG$2,VLOOKUP($E75-AG$2,'data input'!$D$3:$E$130,2,FALSE),0)</f>
        <v>0.35383023332727614</v>
      </c>
      <c r="AH75" s="5">
        <f>IF($E75&gt;=AH$2,VLOOKUP($E75-AH$2,'data input'!$D$3:$E$130,2,FALSE),0)</f>
        <v>0.38208857781104733</v>
      </c>
      <c r="AI75" s="5">
        <f>IF($E75&gt;=AI$2,VLOOKUP($E75-AI$2,'data input'!$D$3:$E$130,2,FALSE),0)</f>
        <v>0.41098963713127035</v>
      </c>
      <c r="AJ75" s="5">
        <f>IF($E75&gt;=AJ$2,VLOOKUP($E75-AJ$2,'data input'!$D$3:$E$130,2,FALSE),0)</f>
        <v>0.4403823076297575</v>
      </c>
      <c r="AK75" s="5">
        <f>IF($E75&gt;=AK$2,VLOOKUP($E75-AK$2,'data input'!$D$3:$E$130,2,FALSE),0)</f>
        <v>0.47010735594710518</v>
      </c>
      <c r="AL75" s="5">
        <f>IF($E75&gt;=AL$2,VLOOKUP($E75-AL$2,'data input'!$D$3:$E$130,2,FALSE),0)</f>
        <v>0.5</v>
      </c>
      <c r="AM75" s="5">
        <f>IF($E75&gt;=AM$2,VLOOKUP($E75-AM$2,'data input'!$D$3:$E$130,2,FALSE),0)</f>
        <v>0.52989264405289482</v>
      </c>
      <c r="AN75" s="5">
        <f>IF($E75&gt;=AN$2,VLOOKUP($E75-AN$2,'data input'!$D$3:$E$130,2,FALSE),0)</f>
        <v>0.5596176923702425</v>
      </c>
      <c r="AO75" s="5">
        <f>IF($E75&gt;=AO$2,VLOOKUP($E75-AO$2,'data input'!$D$3:$E$130,2,FALSE),0)</f>
        <v>0.58901036286872965</v>
      </c>
      <c r="AP75" s="5">
        <f>IF($E75&gt;=AP$2,VLOOKUP($E75-AP$2,'data input'!$D$3:$E$130,2,FALSE),0)</f>
        <v>0.61791142218895267</v>
      </c>
      <c r="AQ75" s="5">
        <f>IF($E75&gt;=AQ$2,VLOOKUP($E75-AQ$2,'data input'!$D$3:$E$130,2,FALSE),0)</f>
        <v>0.64616976667272386</v>
      </c>
      <c r="AR75" s="5">
        <f>IF($E75&gt;=AR$2,VLOOKUP($E75-AR$2,'data input'!$D$3:$E$130,2,FALSE),0)</f>
        <v>0.67364477971207992</v>
      </c>
      <c r="AS75" s="5">
        <f>IF($E75&gt;=AS$2,VLOOKUP($E75-AS$2,'data input'!$D$3:$E$130,2,FALSE),0)</f>
        <v>0.70020840453130417</v>
      </c>
      <c r="AT75" s="5">
        <f>IF($E75&gt;=AT$2,VLOOKUP($E75-AT$2,'data input'!$D$3:$E$130,2,FALSE),0)</f>
        <v>0.72574688224992645</v>
      </c>
      <c r="AU75" s="5">
        <f>IF($E75&gt;=AU$2,VLOOKUP($E75-AU$2,'data input'!$D$3:$E$130,2,FALSE),0)</f>
        <v>0.75016211752822304</v>
      </c>
      <c r="AV75" s="5">
        <f>IF($E75&gt;=AV$2,VLOOKUP($E75-AV$2,'data input'!$D$3:$E$130,2,FALSE),0)</f>
        <v>0.77337264762313174</v>
      </c>
      <c r="AW75" s="5">
        <f>IF($E75&gt;=AW$2,VLOOKUP($E75-AW$2,'data input'!$D$3:$E$130,2,FALSE),0)</f>
        <v>0.79531420465274738</v>
      </c>
      <c r="AX75" s="5">
        <f>IF($E75&gt;=AX$2,VLOOKUP($E75-AX$2,'data input'!$D$3:$E$130,2,FALSE),0)</f>
        <v>0.81593987465324047</v>
      </c>
      <c r="AY75" s="5">
        <f>IF($E75&gt;=AY$2,VLOOKUP($E75-AY$2,'data input'!$D$3:$E$130,2,FALSE),0)</f>
        <v>0.83521987001968967</v>
      </c>
      <c r="AZ75" s="5">
        <f>IF($E75&gt;=AZ$2,VLOOKUP($E75-AZ$2,'data input'!$D$3:$E$130,2,FALSE),0)</f>
        <v>0.85314094362410409</v>
      </c>
      <c r="BA75" s="5">
        <f>IF($E75&gt;=BA$2,VLOOKUP($E75-BA$2,'data input'!$D$3:$E$130,2,FALSE),0)</f>
        <v>0.86970548286319116</v>
      </c>
      <c r="BB75" s="5">
        <f>IF($E75&gt;=BB$2,VLOOKUP($E75-BB$2,'data input'!$D$3:$E$130,2,FALSE),0)</f>
        <v>0.88493032977829178</v>
      </c>
      <c r="BC75" s="5">
        <f>IF($E75&gt;=BC$2,VLOOKUP($E75-BC$2,'data input'!$D$3:$E$130,2,FALSE),0)</f>
        <v>0.89884537900441408</v>
      </c>
      <c r="BD75" s="5">
        <f>IF($E75&gt;=BD$2,VLOOKUP($E75-BD$2,'data input'!$D$3:$E$130,2,FALSE),0)</f>
        <v>0.91149200856259793</v>
      </c>
      <c r="BE75" s="5">
        <f>IF($E75&gt;=BE$2,VLOOKUP($E75-BE$2,'data input'!$D$3:$E$130,2,FALSE),0)</f>
        <v>0.92292139944792817</v>
      </c>
      <c r="BF75" s="5">
        <f>IF($E75&gt;=BF$2,VLOOKUP($E75-BF$2,'data input'!$D$3:$E$130,2,FALSE),0)</f>
        <v>0.93319279873114191</v>
      </c>
      <c r="BG75" s="5">
        <f>IF($E75&gt;=BG$2,VLOOKUP($E75-BG$2,'data input'!$D$3:$E$130,2,FALSE),0)</f>
        <v>0.94237177772384684</v>
      </c>
      <c r="BH75" s="5">
        <f>IF($E75&gt;=BH$2,VLOOKUP($E75-BH$2,'data input'!$D$3:$E$130,2,FALSE),0)</f>
        <v>0.9505285319663519</v>
      </c>
      <c r="BI75" s="5">
        <f>IF($E75&gt;=BI$2,VLOOKUP($E75-BI$2,'data input'!$D$3:$E$130,2,FALSE),0)</f>
        <v>0.95773626374204757</v>
      </c>
      <c r="BJ75" s="5">
        <f>IF($E75&gt;=BJ$2,VLOOKUP($E75-BJ$2,'data input'!$D$3:$E$130,2,FALSE),0)</f>
        <v>0.96406968088707423</v>
      </c>
      <c r="BK75" s="5">
        <f>IF($E75&gt;=BK$2,VLOOKUP($E75-BK$2,'data input'!$D$3:$E$130,2,FALSE),0)</f>
        <v>0.96960363823473861</v>
      </c>
      <c r="BL75" s="5">
        <f>IF($E75&gt;=BL$2,VLOOKUP($E75-BL$2,'data input'!$D$3:$E$130,2,FALSE),0)</f>
        <v>0.97441194047836144</v>
      </c>
      <c r="BM75" s="5">
        <f>IF($E75&gt;=BM$2,VLOOKUP($E75-BM$2,'data input'!$D$3:$E$130,2,FALSE),0)</f>
        <v>0.97856631788584703</v>
      </c>
      <c r="BN75" s="5">
        <f>IF($E75&gt;=BN$2,VLOOKUP($E75-BN$2,'data input'!$D$3:$E$130,2,FALSE),0)</f>
        <v>0.98213557943718344</v>
      </c>
      <c r="BO75" s="5">
        <f>IF($E75&gt;=BO$2,VLOOKUP($E75-BO$2,'data input'!$D$3:$E$130,2,FALSE),0)</f>
        <v>0.98518494180739014</v>
      </c>
      <c r="BP75" s="5">
        <f>IF($E75&gt;=BP$2,VLOOKUP($E75-BP$2,'data input'!$D$3:$E$130,2,FALSE),0)</f>
        <v>0.98777552734495533</v>
      </c>
      <c r="BQ75" s="5">
        <f>IF($E75&gt;=BQ$2,VLOOKUP($E75-BQ$2,'data input'!$D$3:$E$130,2,FALSE),0)</f>
        <v>0.98996401989972593</v>
      </c>
      <c r="BR75" s="5">
        <f>IF($E75&gt;=BR$2,VLOOKUP($E75-BR$2,'data input'!$D$3:$E$130,2,FALSE),0)</f>
        <v>0.99180246407540384</v>
      </c>
      <c r="BS75" s="5">
        <f>IF($E75&gt;=BS$2,VLOOKUP($E75-BS$2,'data input'!$D$3:$E$130,2,FALSE),0)</f>
        <v>0.99333819120801725</v>
      </c>
      <c r="BT75" s="5">
        <f>IF($E75&gt;=BT$2,VLOOKUP($E75-BT$2,'data input'!$D$3:$E$130,2,FALSE),0)</f>
        <v>0.99461385404593328</v>
      </c>
      <c r="BU75" s="5">
        <f>IF($E75&gt;=BU$2,VLOOKUP($E75-BU$2,'data input'!$D$3:$E$130,2,FALSE),0)</f>
        <v>0.99566755163698739</v>
      </c>
      <c r="BV75" s="5">
        <f>IF($E75&gt;=BV$2,VLOOKUP($E75-BV$2,'data input'!$D$3:$E$130,2,FALSE),0)</f>
        <v>0.99653302619695938</v>
      </c>
      <c r="BW75" s="5">
        <f>IF($E75&gt;=BW$2,VLOOKUP($E75-BW$2,'data input'!$D$3:$E$130,2,FALSE),0)</f>
        <v>0.99723991460873751</v>
      </c>
      <c r="BX75" s="5">
        <f>IF($E75&gt;=BX$2,VLOOKUP($E75-BX$2,'data input'!$D$3:$E$130,2,FALSE),0)</f>
        <v>0.99781403854508677</v>
      </c>
      <c r="BY75" s="5">
        <f>IF($E75&gt;=BY$2,VLOOKUP($E75-BY$2,'data input'!$D$3:$E$130,2,FALSE),0)</f>
        <v>0.99827771888413241</v>
      </c>
      <c r="BZ75" s="5">
        <f>IF($E75&gt;=BZ$2,VLOOKUP($E75-BZ$2,'data input'!$D$3:$E$130,2,FALSE),0)</f>
        <v>0.9986501019683699</v>
      </c>
      <c r="CA75" s="5">
        <f>IF($E75&gt;=CA$2,VLOOKUP($E75-CA$2,'data input'!$D$3:$E$130,2,FALSE),0)</f>
        <v>0</v>
      </c>
      <c r="CB75" s="5">
        <f>IF($E75&gt;=CB$2,VLOOKUP($E75-CB$2,'data input'!$D$3:$E$130,2,FALSE),0)</f>
        <v>0</v>
      </c>
      <c r="CC75" s="5">
        <f>IF($E75&gt;=CC$2,VLOOKUP($E75-CC$2,'data input'!$D$3:$E$130,2,FALSE),0)</f>
        <v>0</v>
      </c>
      <c r="CD75" s="5">
        <f>IF($E75&gt;=CD$2,VLOOKUP($E75-CD$2,'data input'!$D$3:$E$130,2,FALSE),0)</f>
        <v>0</v>
      </c>
      <c r="CE75" s="5">
        <f>IF($E75&gt;=CE$2,VLOOKUP($E75-CE$2,'data input'!$D$3:$E$130,2,FALSE),0)</f>
        <v>0</v>
      </c>
      <c r="CF75" s="5">
        <f>IF($E75&gt;=CF$2,VLOOKUP($E75-CF$2,'data input'!$D$3:$E$130,2,FALSE),0)</f>
        <v>0</v>
      </c>
      <c r="CG75" s="5">
        <f>IF($E75&gt;=CG$2,VLOOKUP($E75-CG$2,'data input'!$D$3:$E$130,2,FALSE),0)</f>
        <v>0</v>
      </c>
      <c r="CH75" s="5">
        <f>IF($E75&gt;=CH$2,VLOOKUP($E75-CH$2,'data input'!$D$3:$E$130,2,FALSE),0)</f>
        <v>0</v>
      </c>
      <c r="CI75" s="5">
        <f>IF($E75&gt;=CI$2,VLOOKUP($E75-CI$2,'data input'!$D$3:$E$130,2,FALSE),0)</f>
        <v>0</v>
      </c>
      <c r="CJ75" s="5">
        <f>IF($E75&gt;=CJ$2,VLOOKUP($E75-CJ$2,'data input'!$D$3:$E$130,2,FALSE),0)</f>
        <v>0</v>
      </c>
      <c r="CK75" s="5">
        <f>IF($E75&gt;=CK$2,VLOOKUP($E75-CK$2,'data input'!$D$3:$E$130,2,FALSE),0)</f>
        <v>0</v>
      </c>
      <c r="CL75" s="5">
        <f>IF($E75&gt;=CL$2,VLOOKUP($E75-CL$2,'data input'!$D$3:$E$130,2,FALSE),0)</f>
        <v>0</v>
      </c>
      <c r="CM75" s="5">
        <f>IF($E75&gt;=CM$2,VLOOKUP($E75-CM$2,'data input'!$D$3:$E$130,2,FALSE),0)</f>
        <v>0</v>
      </c>
      <c r="CN75" s="5">
        <f>IF($E75&gt;=CN$2,VLOOKUP($E75-CN$2,'data input'!$D$3:$E$130,2,FALSE),0)</f>
        <v>0</v>
      </c>
      <c r="CO75" s="5">
        <f>IF($E75&gt;=CO$2,VLOOKUP($E75-CO$2,'data input'!$D$3:$E$130,2,FALSE),0)</f>
        <v>0</v>
      </c>
      <c r="CP75" s="5">
        <f>IF($E75&gt;=CP$2,VLOOKUP($E75-CP$2,'data input'!$D$3:$E$130,2,FALSE),0)</f>
        <v>0</v>
      </c>
      <c r="CQ75" s="5">
        <f>IF($E75&gt;=CQ$2,VLOOKUP($E75-CQ$2,'data input'!$D$3:$E$130,2,FALSE),0)</f>
        <v>0</v>
      </c>
      <c r="CR75" s="5">
        <f>IF($E75&gt;=CR$2,VLOOKUP($E75-CR$2,'data input'!$D$3:$E$130,2,FALSE),0)</f>
        <v>0</v>
      </c>
      <c r="CS75" s="5">
        <f>IF($E75&gt;=CS$2,VLOOKUP($E75-CS$2,'data input'!$D$3:$E$130,2,FALSE),0)</f>
        <v>0</v>
      </c>
      <c r="CT75" s="5">
        <f>IF($E75&gt;=CT$2,VLOOKUP($E75-CT$2,'data input'!$D$3:$E$130,2,FALSE),0)</f>
        <v>0</v>
      </c>
      <c r="CU75" s="5">
        <f>IF($E75&gt;=CU$2,VLOOKUP($E75-CU$2,'data input'!$D$3:$E$130,2,FALSE),0)</f>
        <v>0</v>
      </c>
      <c r="CV75" s="5">
        <f>IF($E75&gt;=CV$2,VLOOKUP($E75-CV$2,'data input'!$D$3:$E$130,2,FALSE),0)</f>
        <v>0</v>
      </c>
      <c r="CW75" s="5">
        <f>IF($E75&gt;=CW$2,VLOOKUP($E75-CW$2,'data input'!$D$3:$E$130,2,FALSE),0)</f>
        <v>0</v>
      </c>
      <c r="CX75" s="5">
        <f>IF($E75&gt;=CX$2,VLOOKUP($E75-CX$2,'data input'!$D$3:$E$130,2,FALSE),0)</f>
        <v>0</v>
      </c>
      <c r="CY75" s="5">
        <f>IF($E75&gt;=CY$2,VLOOKUP($E75-CY$2,'data input'!$D$3:$E$130,2,FALSE),0)</f>
        <v>0</v>
      </c>
      <c r="CZ75" s="5">
        <f>IF($E75&gt;=CZ$2,VLOOKUP($E75-CZ$2,'data input'!$D$3:$E$130,2,FALSE),0)</f>
        <v>0</v>
      </c>
      <c r="DA75" s="5">
        <f>IF($E75&gt;=DA$2,VLOOKUP($E75-DA$2,'data input'!$D$3:$E$130,2,FALSE),0)</f>
        <v>0</v>
      </c>
      <c r="DB75" s="5">
        <f>IF($E75&gt;=DB$2,VLOOKUP($E75-DB$2,'data input'!$D$3:$E$130,2,FALSE),0)</f>
        <v>0</v>
      </c>
      <c r="DC75" s="5">
        <f>IF($E75&gt;=DC$2,VLOOKUP($E75-DC$2,'data input'!$D$3:$E$130,2,FALSE),0)</f>
        <v>0</v>
      </c>
      <c r="DD75" s="5">
        <f>IF($E75&gt;=DD$2,VLOOKUP($E75-DD$2,'data input'!$D$3:$E$130,2,FALSE),0)</f>
        <v>0</v>
      </c>
      <c r="DE75" s="5">
        <f>IF($E75&gt;=DE$2,VLOOKUP($E75-DE$2,'data input'!$D$3:$E$130,2,FALSE),0)</f>
        <v>0</v>
      </c>
      <c r="DF75" s="5">
        <f>IF($E75&gt;=DF$2,VLOOKUP($E75-DF$2,'data input'!$D$3:$E$130,2,FALSE),0)</f>
        <v>0</v>
      </c>
      <c r="DG75" s="5">
        <f>IF($E75&gt;=DG$2,VLOOKUP($E75-DG$2,'data input'!$D$3:$E$130,2,FALSE),0)</f>
        <v>0</v>
      </c>
      <c r="DH75" s="5">
        <f>IF($E75&gt;=DH$2,VLOOKUP($E75-DH$2,'data input'!$D$3:$E$130,2,FALSE),0)</f>
        <v>0</v>
      </c>
      <c r="DI75" s="5">
        <f>IF($E75&gt;=DI$2,VLOOKUP($E75-DI$2,'data input'!$D$3:$E$130,2,FALSE),0)</f>
        <v>0</v>
      </c>
      <c r="DJ75" s="5">
        <f>IF($E75&gt;=DJ$2,VLOOKUP($E75-DJ$2,'data input'!$D$3:$E$130,2,FALSE),0)</f>
        <v>0</v>
      </c>
      <c r="DK75" s="5">
        <f>IF($E75&gt;=DK$2,VLOOKUP($E75-DK$2,'data input'!$D$3:$E$130,2,FALSE),0)</f>
        <v>0</v>
      </c>
      <c r="DL75" s="5">
        <f>IF($E75&gt;=DL$2,VLOOKUP($E75-DL$2,'data input'!$D$3:$E$130,2,FALSE),0)</f>
        <v>0</v>
      </c>
      <c r="DM75" s="5">
        <f>IF($E75&gt;=DM$2,VLOOKUP($E75-DM$2,'data input'!$D$3:$E$130,2,FALSE),0)</f>
        <v>0</v>
      </c>
      <c r="DN75" s="5">
        <f>IF($E75&gt;=DN$2,VLOOKUP($E75-DN$2,'data input'!$D$3:$E$130,2,FALSE),0)</f>
        <v>0</v>
      </c>
      <c r="DO75" s="5">
        <f>IF($E75&gt;=DO$2,VLOOKUP($E75-DO$2,'data input'!$D$3:$E$130,2,FALSE),0)</f>
        <v>0</v>
      </c>
      <c r="DP75" s="5">
        <f>IF($E75&gt;=DP$2,VLOOKUP($E75-DP$2,'data input'!$D$3:$E$130,2,FALSE),0)</f>
        <v>0</v>
      </c>
      <c r="DQ75" s="5">
        <f>IF($E75&gt;=DQ$2,VLOOKUP($E75-DQ$2,'data input'!$D$3:$E$130,2,FALSE),0)</f>
        <v>0</v>
      </c>
      <c r="DR75" s="5">
        <f>IF($E75&gt;=DR$2,VLOOKUP($E75-DR$2,'data input'!$D$3:$E$130,2,FALSE),0)</f>
        <v>0</v>
      </c>
      <c r="DS75" s="5">
        <f>IF($E75&gt;=DS$2,VLOOKUP($E75-DS$2,'data input'!$D$3:$E$130,2,FALSE),0)</f>
        <v>0</v>
      </c>
      <c r="DT75" s="5">
        <f>IF($E75&gt;=DT$2,VLOOKUP($E75-DT$2,'data input'!$D$3:$E$130,2,FALSE),0)</f>
        <v>0</v>
      </c>
      <c r="DU75" s="5">
        <f>IF($E75&gt;=DU$2,VLOOKUP($E75-DU$2,'data input'!$D$3:$E$130,2,FALSE),0)</f>
        <v>0</v>
      </c>
      <c r="DV75" s="5">
        <f>IF($E75&gt;=DV$2,VLOOKUP($E75-DV$2,'data input'!$D$3:$E$130,2,FALSE),0)</f>
        <v>0</v>
      </c>
      <c r="DW75" s="5">
        <f>IF($E75&gt;=DW$2,VLOOKUP($E75-DW$2,'data input'!$D$3:$E$130,2,FALSE),0)</f>
        <v>0</v>
      </c>
      <c r="DX75" s="5">
        <f>IF($E75&gt;=DX$2,VLOOKUP($E75-DX$2,'data input'!$D$3:$E$130,2,FALSE),0)</f>
        <v>0</v>
      </c>
      <c r="DY75" s="5">
        <f>IF($E75&gt;=DY$2,VLOOKUP($E75-DY$2,'data input'!$D$3:$E$130,2,FALSE),0)</f>
        <v>0</v>
      </c>
      <c r="DZ75" s="5">
        <f>IF($E75&gt;=DZ$2,VLOOKUP($E75-DZ$2,'data input'!$D$3:$E$130,2,FALSE),0)</f>
        <v>0</v>
      </c>
      <c r="EA75" s="5">
        <f>IF($E75&gt;=EA$2,VLOOKUP($E75-EA$2,'data input'!$D$3:$E$130,2,FALSE),0)</f>
        <v>0</v>
      </c>
      <c r="EB75" s="5">
        <f>IF($E75&gt;=EB$2,VLOOKUP($E75-EB$2,'data input'!$D$3:$E$130,2,FALSE),0)</f>
        <v>0</v>
      </c>
      <c r="EC75" s="5">
        <f>IF($E75&gt;=EC$2,VLOOKUP($E75-EC$2,'data input'!$D$3:$E$130,2,FALSE),0)</f>
        <v>0</v>
      </c>
    </row>
    <row r="76" spans="5:133">
      <c r="E76" s="7">
        <f>'data input'!B76</f>
        <v>1951</v>
      </c>
      <c r="F76" s="5">
        <f>IF($E76&gt;=F$2,VLOOKUP($E76-F$2,'data input'!$D$3:$E$130,2,FALSE),0)</f>
        <v>6.6618087919827484E-3</v>
      </c>
      <c r="G76" s="5">
        <f>IF($E76&gt;=G$2,VLOOKUP($E76-G$2,'data input'!$D$3:$E$130,2,FALSE),0)</f>
        <v>8.1975359245961554E-3</v>
      </c>
      <c r="H76" s="5">
        <f>IF($E76&gt;=H$2,VLOOKUP($E76-H$2,'data input'!$D$3:$E$130,2,FALSE),0)</f>
        <v>1.0035980100274067E-2</v>
      </c>
      <c r="I76" s="5">
        <f>IF($E76&gt;=I$2,VLOOKUP($E76-I$2,'data input'!$D$3:$E$130,2,FALSE),0)</f>
        <v>1.2224472655044671E-2</v>
      </c>
      <c r="J76" s="5">
        <f>IF($E76&gt;=J$2,VLOOKUP($E76-J$2,'data input'!$D$3:$E$130,2,FALSE),0)</f>
        <v>1.4815058192609865E-2</v>
      </c>
      <c r="K76" s="5">
        <f>IF($E76&gt;=K$2,VLOOKUP($E76-K$2,'data input'!$D$3:$E$130,2,FALSE),0)</f>
        <v>1.7864420562816563E-2</v>
      </c>
      <c r="L76" s="5">
        <f>IF($E76&gt;=L$2,VLOOKUP($E76-L$2,'data input'!$D$3:$E$130,2,FALSE),0)</f>
        <v>2.1433682114152974E-2</v>
      </c>
      <c r="M76" s="5">
        <f>IF($E76&gt;=M$2,VLOOKUP($E76-M$2,'data input'!$D$3:$E$130,2,FALSE),0)</f>
        <v>2.5588059521638562E-2</v>
      </c>
      <c r="N76" s="5">
        <f>IF($E76&gt;=N$2,VLOOKUP($E76-N$2,'data input'!$D$3:$E$130,2,FALSE),0)</f>
        <v>3.0396361765261393E-2</v>
      </c>
      <c r="O76" s="5">
        <f>IF($E76&gt;=O$2,VLOOKUP($E76-O$2,'data input'!$D$3:$E$130,2,FALSE),0)</f>
        <v>3.5930319112925768E-2</v>
      </c>
      <c r="P76" s="5">
        <f>IF($E76&gt;=P$2,VLOOKUP($E76-P$2,'data input'!$D$3:$E$130,2,FALSE),0)</f>
        <v>4.2263736257952433E-2</v>
      </c>
      <c r="Q76" s="5">
        <f>IF($E76&gt;=Q$2,VLOOKUP($E76-Q$2,'data input'!$D$3:$E$130,2,FALSE),0)</f>
        <v>4.9471468033648103E-2</v>
      </c>
      <c r="R76" s="5">
        <f>IF($E76&gt;=R$2,VLOOKUP($E76-R$2,'data input'!$D$3:$E$130,2,FALSE),0)</f>
        <v>5.7628222276153163E-2</v>
      </c>
      <c r="S76" s="5">
        <f>IF($E76&gt;=S$2,VLOOKUP($E76-S$2,'data input'!$D$3:$E$130,2,FALSE),0)</f>
        <v>6.6807201268858085E-2</v>
      </c>
      <c r="T76" s="5">
        <f>IF($E76&gt;=T$2,VLOOKUP($E76-T$2,'data input'!$D$3:$E$130,2,FALSE),0)</f>
        <v>7.707860055207183E-2</v>
      </c>
      <c r="U76" s="5">
        <f>IF($E76&gt;=U$2,VLOOKUP($E76-U$2,'data input'!$D$3:$E$130,2,FALSE),0)</f>
        <v>8.8507991437402067E-2</v>
      </c>
      <c r="V76" s="5">
        <f>IF($E76&gt;=V$2,VLOOKUP($E76-V$2,'data input'!$D$3:$E$130,2,FALSE),0)</f>
        <v>0.10115462099558592</v>
      </c>
      <c r="W76" s="5">
        <f>IF($E76&gt;=W$2,VLOOKUP($E76-W$2,'data input'!$D$3:$E$130,2,FALSE),0)</f>
        <v>0.11506967022170822</v>
      </c>
      <c r="X76" s="5">
        <f>IF($E76&gt;=X$2,VLOOKUP($E76-X$2,'data input'!$D$3:$E$130,2,FALSE),0)</f>
        <v>0.13029451713680884</v>
      </c>
      <c r="Y76" s="5">
        <f>IF($E76&gt;=Y$2,VLOOKUP($E76-Y$2,'data input'!$D$3:$E$130,2,FALSE),0)</f>
        <v>0.14685905637589591</v>
      </c>
      <c r="Z76" s="5">
        <f>IF($E76&gt;=Z$2,VLOOKUP($E76-Z$2,'data input'!$D$3:$E$130,2,FALSE),0)</f>
        <v>0.16478012998031033</v>
      </c>
      <c r="AA76" s="5">
        <f>IF($E76&gt;=AA$2,VLOOKUP($E76-AA$2,'data input'!$D$3:$E$130,2,FALSE),0)</f>
        <v>0.18406012534675953</v>
      </c>
      <c r="AB76" s="5">
        <f>IF($E76&gt;=AB$2,VLOOKUP($E76-AB$2,'data input'!$D$3:$E$130,2,FALSE),0)</f>
        <v>0.20468579534725262</v>
      </c>
      <c r="AC76" s="5">
        <f>IF($E76&gt;=AC$2,VLOOKUP($E76-AC$2,'data input'!$D$3:$E$130,2,FALSE),0)</f>
        <v>0.22662735237686826</v>
      </c>
      <c r="AD76" s="5">
        <f>IF($E76&gt;=AD$2,VLOOKUP($E76-AD$2,'data input'!$D$3:$E$130,2,FALSE),0)</f>
        <v>0.24983788247177696</v>
      </c>
      <c r="AE76" s="5">
        <f>IF($E76&gt;=AE$2,VLOOKUP($E76-AE$2,'data input'!$D$3:$E$130,2,FALSE),0)</f>
        <v>0.27425311775007355</v>
      </c>
      <c r="AF76" s="5">
        <f>IF($E76&gt;=AF$2,VLOOKUP($E76-AF$2,'data input'!$D$3:$E$130,2,FALSE),0)</f>
        <v>0.29979159546869583</v>
      </c>
      <c r="AG76" s="5">
        <f>IF($E76&gt;=AG$2,VLOOKUP($E76-AG$2,'data input'!$D$3:$E$130,2,FALSE),0)</f>
        <v>0.32635522028792008</v>
      </c>
      <c r="AH76" s="5">
        <f>IF($E76&gt;=AH$2,VLOOKUP($E76-AH$2,'data input'!$D$3:$E$130,2,FALSE),0)</f>
        <v>0.35383023332727614</v>
      </c>
      <c r="AI76" s="5">
        <f>IF($E76&gt;=AI$2,VLOOKUP($E76-AI$2,'data input'!$D$3:$E$130,2,FALSE),0)</f>
        <v>0.38208857781104733</v>
      </c>
      <c r="AJ76" s="5">
        <f>IF($E76&gt;=AJ$2,VLOOKUP($E76-AJ$2,'data input'!$D$3:$E$130,2,FALSE),0)</f>
        <v>0.41098963713127035</v>
      </c>
      <c r="AK76" s="5">
        <f>IF($E76&gt;=AK$2,VLOOKUP($E76-AK$2,'data input'!$D$3:$E$130,2,FALSE),0)</f>
        <v>0.4403823076297575</v>
      </c>
      <c r="AL76" s="5">
        <f>IF($E76&gt;=AL$2,VLOOKUP($E76-AL$2,'data input'!$D$3:$E$130,2,FALSE),0)</f>
        <v>0.47010735594710518</v>
      </c>
      <c r="AM76" s="5">
        <f>IF($E76&gt;=AM$2,VLOOKUP($E76-AM$2,'data input'!$D$3:$E$130,2,FALSE),0)</f>
        <v>0.5</v>
      </c>
      <c r="AN76" s="5">
        <f>IF($E76&gt;=AN$2,VLOOKUP($E76-AN$2,'data input'!$D$3:$E$130,2,FALSE),0)</f>
        <v>0.52989264405289482</v>
      </c>
      <c r="AO76" s="5">
        <f>IF($E76&gt;=AO$2,VLOOKUP($E76-AO$2,'data input'!$D$3:$E$130,2,FALSE),0)</f>
        <v>0.5596176923702425</v>
      </c>
      <c r="AP76" s="5">
        <f>IF($E76&gt;=AP$2,VLOOKUP($E76-AP$2,'data input'!$D$3:$E$130,2,FALSE),0)</f>
        <v>0.58901036286872965</v>
      </c>
      <c r="AQ76" s="5">
        <f>IF($E76&gt;=AQ$2,VLOOKUP($E76-AQ$2,'data input'!$D$3:$E$130,2,FALSE),0)</f>
        <v>0.61791142218895267</v>
      </c>
      <c r="AR76" s="5">
        <f>IF($E76&gt;=AR$2,VLOOKUP($E76-AR$2,'data input'!$D$3:$E$130,2,FALSE),0)</f>
        <v>0.64616976667272386</v>
      </c>
      <c r="AS76" s="5">
        <f>IF($E76&gt;=AS$2,VLOOKUP($E76-AS$2,'data input'!$D$3:$E$130,2,FALSE),0)</f>
        <v>0.67364477971207992</v>
      </c>
      <c r="AT76" s="5">
        <f>IF($E76&gt;=AT$2,VLOOKUP($E76-AT$2,'data input'!$D$3:$E$130,2,FALSE),0)</f>
        <v>0.70020840453130417</v>
      </c>
      <c r="AU76" s="5">
        <f>IF($E76&gt;=AU$2,VLOOKUP($E76-AU$2,'data input'!$D$3:$E$130,2,FALSE),0)</f>
        <v>0.72574688224992645</v>
      </c>
      <c r="AV76" s="5">
        <f>IF($E76&gt;=AV$2,VLOOKUP($E76-AV$2,'data input'!$D$3:$E$130,2,FALSE),0)</f>
        <v>0.75016211752822304</v>
      </c>
      <c r="AW76" s="5">
        <f>IF($E76&gt;=AW$2,VLOOKUP($E76-AW$2,'data input'!$D$3:$E$130,2,FALSE),0)</f>
        <v>0.77337264762313174</v>
      </c>
      <c r="AX76" s="5">
        <f>IF($E76&gt;=AX$2,VLOOKUP($E76-AX$2,'data input'!$D$3:$E$130,2,FALSE),0)</f>
        <v>0.79531420465274738</v>
      </c>
      <c r="AY76" s="5">
        <f>IF($E76&gt;=AY$2,VLOOKUP($E76-AY$2,'data input'!$D$3:$E$130,2,FALSE),0)</f>
        <v>0.81593987465324047</v>
      </c>
      <c r="AZ76" s="5">
        <f>IF($E76&gt;=AZ$2,VLOOKUP($E76-AZ$2,'data input'!$D$3:$E$130,2,FALSE),0)</f>
        <v>0.83521987001968967</v>
      </c>
      <c r="BA76" s="5">
        <f>IF($E76&gt;=BA$2,VLOOKUP($E76-BA$2,'data input'!$D$3:$E$130,2,FALSE),0)</f>
        <v>0.85314094362410409</v>
      </c>
      <c r="BB76" s="5">
        <f>IF($E76&gt;=BB$2,VLOOKUP($E76-BB$2,'data input'!$D$3:$E$130,2,FALSE),0)</f>
        <v>0.86970548286319116</v>
      </c>
      <c r="BC76" s="5">
        <f>IF($E76&gt;=BC$2,VLOOKUP($E76-BC$2,'data input'!$D$3:$E$130,2,FALSE),0)</f>
        <v>0.88493032977829178</v>
      </c>
      <c r="BD76" s="5">
        <f>IF($E76&gt;=BD$2,VLOOKUP($E76-BD$2,'data input'!$D$3:$E$130,2,FALSE),0)</f>
        <v>0.89884537900441408</v>
      </c>
      <c r="BE76" s="5">
        <f>IF($E76&gt;=BE$2,VLOOKUP($E76-BE$2,'data input'!$D$3:$E$130,2,FALSE),0)</f>
        <v>0.91149200856259793</v>
      </c>
      <c r="BF76" s="5">
        <f>IF($E76&gt;=BF$2,VLOOKUP($E76-BF$2,'data input'!$D$3:$E$130,2,FALSE),0)</f>
        <v>0.92292139944792817</v>
      </c>
      <c r="BG76" s="5">
        <f>IF($E76&gt;=BG$2,VLOOKUP($E76-BG$2,'data input'!$D$3:$E$130,2,FALSE),0)</f>
        <v>0.93319279873114191</v>
      </c>
      <c r="BH76" s="5">
        <f>IF($E76&gt;=BH$2,VLOOKUP($E76-BH$2,'data input'!$D$3:$E$130,2,FALSE),0)</f>
        <v>0.94237177772384684</v>
      </c>
      <c r="BI76" s="5">
        <f>IF($E76&gt;=BI$2,VLOOKUP($E76-BI$2,'data input'!$D$3:$E$130,2,FALSE),0)</f>
        <v>0.9505285319663519</v>
      </c>
      <c r="BJ76" s="5">
        <f>IF($E76&gt;=BJ$2,VLOOKUP($E76-BJ$2,'data input'!$D$3:$E$130,2,FALSE),0)</f>
        <v>0.95773626374204757</v>
      </c>
      <c r="BK76" s="5">
        <f>IF($E76&gt;=BK$2,VLOOKUP($E76-BK$2,'data input'!$D$3:$E$130,2,FALSE),0)</f>
        <v>0.96406968088707423</v>
      </c>
      <c r="BL76" s="5">
        <f>IF($E76&gt;=BL$2,VLOOKUP($E76-BL$2,'data input'!$D$3:$E$130,2,FALSE),0)</f>
        <v>0.96960363823473861</v>
      </c>
      <c r="BM76" s="5">
        <f>IF($E76&gt;=BM$2,VLOOKUP($E76-BM$2,'data input'!$D$3:$E$130,2,FALSE),0)</f>
        <v>0.97441194047836144</v>
      </c>
      <c r="BN76" s="5">
        <f>IF($E76&gt;=BN$2,VLOOKUP($E76-BN$2,'data input'!$D$3:$E$130,2,FALSE),0)</f>
        <v>0.97856631788584703</v>
      </c>
      <c r="BO76" s="5">
        <f>IF($E76&gt;=BO$2,VLOOKUP($E76-BO$2,'data input'!$D$3:$E$130,2,FALSE),0)</f>
        <v>0.98213557943718344</v>
      </c>
      <c r="BP76" s="5">
        <f>IF($E76&gt;=BP$2,VLOOKUP($E76-BP$2,'data input'!$D$3:$E$130,2,FALSE),0)</f>
        <v>0.98518494180739014</v>
      </c>
      <c r="BQ76" s="5">
        <f>IF($E76&gt;=BQ$2,VLOOKUP($E76-BQ$2,'data input'!$D$3:$E$130,2,FALSE),0)</f>
        <v>0.98777552734495533</v>
      </c>
      <c r="BR76" s="5">
        <f>IF($E76&gt;=BR$2,VLOOKUP($E76-BR$2,'data input'!$D$3:$E$130,2,FALSE),0)</f>
        <v>0.98996401989972593</v>
      </c>
      <c r="BS76" s="5">
        <f>IF($E76&gt;=BS$2,VLOOKUP($E76-BS$2,'data input'!$D$3:$E$130,2,FALSE),0)</f>
        <v>0.99180246407540384</v>
      </c>
      <c r="BT76" s="5">
        <f>IF($E76&gt;=BT$2,VLOOKUP($E76-BT$2,'data input'!$D$3:$E$130,2,FALSE),0)</f>
        <v>0.99333819120801725</v>
      </c>
      <c r="BU76" s="5">
        <f>IF($E76&gt;=BU$2,VLOOKUP($E76-BU$2,'data input'!$D$3:$E$130,2,FALSE),0)</f>
        <v>0.99461385404593328</v>
      </c>
      <c r="BV76" s="5">
        <f>IF($E76&gt;=BV$2,VLOOKUP($E76-BV$2,'data input'!$D$3:$E$130,2,FALSE),0)</f>
        <v>0.99566755163698739</v>
      </c>
      <c r="BW76" s="5">
        <f>IF($E76&gt;=BW$2,VLOOKUP($E76-BW$2,'data input'!$D$3:$E$130,2,FALSE),0)</f>
        <v>0.99653302619695938</v>
      </c>
      <c r="BX76" s="5">
        <f>IF($E76&gt;=BX$2,VLOOKUP($E76-BX$2,'data input'!$D$3:$E$130,2,FALSE),0)</f>
        <v>0.99723991460873751</v>
      </c>
      <c r="BY76" s="5">
        <f>IF($E76&gt;=BY$2,VLOOKUP($E76-BY$2,'data input'!$D$3:$E$130,2,FALSE),0)</f>
        <v>0.99781403854508677</v>
      </c>
      <c r="BZ76" s="5">
        <f>IF($E76&gt;=BZ$2,VLOOKUP($E76-BZ$2,'data input'!$D$3:$E$130,2,FALSE),0)</f>
        <v>0.99827771888413241</v>
      </c>
      <c r="CA76" s="5">
        <f>IF($E76&gt;=CA$2,VLOOKUP($E76-CA$2,'data input'!$D$3:$E$130,2,FALSE),0)</f>
        <v>0.9986501019683699</v>
      </c>
      <c r="CB76" s="5">
        <f>IF($E76&gt;=CB$2,VLOOKUP($E76-CB$2,'data input'!$D$3:$E$130,2,FALSE),0)</f>
        <v>0</v>
      </c>
      <c r="CC76" s="5">
        <f>IF($E76&gt;=CC$2,VLOOKUP($E76-CC$2,'data input'!$D$3:$E$130,2,FALSE),0)</f>
        <v>0</v>
      </c>
      <c r="CD76" s="5">
        <f>IF($E76&gt;=CD$2,VLOOKUP($E76-CD$2,'data input'!$D$3:$E$130,2,FALSE),0)</f>
        <v>0</v>
      </c>
      <c r="CE76" s="5">
        <f>IF($E76&gt;=CE$2,VLOOKUP($E76-CE$2,'data input'!$D$3:$E$130,2,FALSE),0)</f>
        <v>0</v>
      </c>
      <c r="CF76" s="5">
        <f>IF($E76&gt;=CF$2,VLOOKUP($E76-CF$2,'data input'!$D$3:$E$130,2,FALSE),0)</f>
        <v>0</v>
      </c>
      <c r="CG76" s="5">
        <f>IF($E76&gt;=CG$2,VLOOKUP($E76-CG$2,'data input'!$D$3:$E$130,2,FALSE),0)</f>
        <v>0</v>
      </c>
      <c r="CH76" s="5">
        <f>IF($E76&gt;=CH$2,VLOOKUP($E76-CH$2,'data input'!$D$3:$E$130,2,FALSE),0)</f>
        <v>0</v>
      </c>
      <c r="CI76" s="5">
        <f>IF($E76&gt;=CI$2,VLOOKUP($E76-CI$2,'data input'!$D$3:$E$130,2,FALSE),0)</f>
        <v>0</v>
      </c>
      <c r="CJ76" s="5">
        <f>IF($E76&gt;=CJ$2,VLOOKUP($E76-CJ$2,'data input'!$D$3:$E$130,2,FALSE),0)</f>
        <v>0</v>
      </c>
      <c r="CK76" s="5">
        <f>IF($E76&gt;=CK$2,VLOOKUP($E76-CK$2,'data input'!$D$3:$E$130,2,FALSE),0)</f>
        <v>0</v>
      </c>
      <c r="CL76" s="5">
        <f>IF($E76&gt;=CL$2,VLOOKUP($E76-CL$2,'data input'!$D$3:$E$130,2,FALSE),0)</f>
        <v>0</v>
      </c>
      <c r="CM76" s="5">
        <f>IF($E76&gt;=CM$2,VLOOKUP($E76-CM$2,'data input'!$D$3:$E$130,2,FALSE),0)</f>
        <v>0</v>
      </c>
      <c r="CN76" s="5">
        <f>IF($E76&gt;=CN$2,VLOOKUP($E76-CN$2,'data input'!$D$3:$E$130,2,FALSE),0)</f>
        <v>0</v>
      </c>
      <c r="CO76" s="5">
        <f>IF($E76&gt;=CO$2,VLOOKUP($E76-CO$2,'data input'!$D$3:$E$130,2,FALSE),0)</f>
        <v>0</v>
      </c>
      <c r="CP76" s="5">
        <f>IF($E76&gt;=CP$2,VLOOKUP($E76-CP$2,'data input'!$D$3:$E$130,2,FALSE),0)</f>
        <v>0</v>
      </c>
      <c r="CQ76" s="5">
        <f>IF($E76&gt;=CQ$2,VLOOKUP($E76-CQ$2,'data input'!$D$3:$E$130,2,FALSE),0)</f>
        <v>0</v>
      </c>
      <c r="CR76" s="5">
        <f>IF($E76&gt;=CR$2,VLOOKUP($E76-CR$2,'data input'!$D$3:$E$130,2,FALSE),0)</f>
        <v>0</v>
      </c>
      <c r="CS76" s="5">
        <f>IF($E76&gt;=CS$2,VLOOKUP($E76-CS$2,'data input'!$D$3:$E$130,2,FALSE),0)</f>
        <v>0</v>
      </c>
      <c r="CT76" s="5">
        <f>IF($E76&gt;=CT$2,VLOOKUP($E76-CT$2,'data input'!$D$3:$E$130,2,FALSE),0)</f>
        <v>0</v>
      </c>
      <c r="CU76" s="5">
        <f>IF($E76&gt;=CU$2,VLOOKUP($E76-CU$2,'data input'!$D$3:$E$130,2,FALSE),0)</f>
        <v>0</v>
      </c>
      <c r="CV76" s="5">
        <f>IF($E76&gt;=CV$2,VLOOKUP($E76-CV$2,'data input'!$D$3:$E$130,2,FALSE),0)</f>
        <v>0</v>
      </c>
      <c r="CW76" s="5">
        <f>IF($E76&gt;=CW$2,VLOOKUP($E76-CW$2,'data input'!$D$3:$E$130,2,FALSE),0)</f>
        <v>0</v>
      </c>
      <c r="CX76" s="5">
        <f>IF($E76&gt;=CX$2,VLOOKUP($E76-CX$2,'data input'!$D$3:$E$130,2,FALSE),0)</f>
        <v>0</v>
      </c>
      <c r="CY76" s="5">
        <f>IF($E76&gt;=CY$2,VLOOKUP($E76-CY$2,'data input'!$D$3:$E$130,2,FALSE),0)</f>
        <v>0</v>
      </c>
      <c r="CZ76" s="5">
        <f>IF($E76&gt;=CZ$2,VLOOKUP($E76-CZ$2,'data input'!$D$3:$E$130,2,FALSE),0)</f>
        <v>0</v>
      </c>
      <c r="DA76" s="5">
        <f>IF($E76&gt;=DA$2,VLOOKUP($E76-DA$2,'data input'!$D$3:$E$130,2,FALSE),0)</f>
        <v>0</v>
      </c>
      <c r="DB76" s="5">
        <f>IF($E76&gt;=DB$2,VLOOKUP($E76-DB$2,'data input'!$D$3:$E$130,2,FALSE),0)</f>
        <v>0</v>
      </c>
      <c r="DC76" s="5">
        <f>IF($E76&gt;=DC$2,VLOOKUP($E76-DC$2,'data input'!$D$3:$E$130,2,FALSE),0)</f>
        <v>0</v>
      </c>
      <c r="DD76" s="5">
        <f>IF($E76&gt;=DD$2,VLOOKUP($E76-DD$2,'data input'!$D$3:$E$130,2,FALSE),0)</f>
        <v>0</v>
      </c>
      <c r="DE76" s="5">
        <f>IF($E76&gt;=DE$2,VLOOKUP($E76-DE$2,'data input'!$D$3:$E$130,2,FALSE),0)</f>
        <v>0</v>
      </c>
      <c r="DF76" s="5">
        <f>IF($E76&gt;=DF$2,VLOOKUP($E76-DF$2,'data input'!$D$3:$E$130,2,FALSE),0)</f>
        <v>0</v>
      </c>
      <c r="DG76" s="5">
        <f>IF($E76&gt;=DG$2,VLOOKUP($E76-DG$2,'data input'!$D$3:$E$130,2,FALSE),0)</f>
        <v>0</v>
      </c>
      <c r="DH76" s="5">
        <f>IF($E76&gt;=DH$2,VLOOKUP($E76-DH$2,'data input'!$D$3:$E$130,2,FALSE),0)</f>
        <v>0</v>
      </c>
      <c r="DI76" s="5">
        <f>IF($E76&gt;=DI$2,VLOOKUP($E76-DI$2,'data input'!$D$3:$E$130,2,FALSE),0)</f>
        <v>0</v>
      </c>
      <c r="DJ76" s="5">
        <f>IF($E76&gt;=DJ$2,VLOOKUP($E76-DJ$2,'data input'!$D$3:$E$130,2,FALSE),0)</f>
        <v>0</v>
      </c>
      <c r="DK76" s="5">
        <f>IF($E76&gt;=DK$2,VLOOKUP($E76-DK$2,'data input'!$D$3:$E$130,2,FALSE),0)</f>
        <v>0</v>
      </c>
      <c r="DL76" s="5">
        <f>IF($E76&gt;=DL$2,VLOOKUP($E76-DL$2,'data input'!$D$3:$E$130,2,FALSE),0)</f>
        <v>0</v>
      </c>
      <c r="DM76" s="5">
        <f>IF($E76&gt;=DM$2,VLOOKUP($E76-DM$2,'data input'!$D$3:$E$130,2,FALSE),0)</f>
        <v>0</v>
      </c>
      <c r="DN76" s="5">
        <f>IF($E76&gt;=DN$2,VLOOKUP($E76-DN$2,'data input'!$D$3:$E$130,2,FALSE),0)</f>
        <v>0</v>
      </c>
      <c r="DO76" s="5">
        <f>IF($E76&gt;=DO$2,VLOOKUP($E76-DO$2,'data input'!$D$3:$E$130,2,FALSE),0)</f>
        <v>0</v>
      </c>
      <c r="DP76" s="5">
        <f>IF($E76&gt;=DP$2,VLOOKUP($E76-DP$2,'data input'!$D$3:$E$130,2,FALSE),0)</f>
        <v>0</v>
      </c>
      <c r="DQ76" s="5">
        <f>IF($E76&gt;=DQ$2,VLOOKUP($E76-DQ$2,'data input'!$D$3:$E$130,2,FALSE),0)</f>
        <v>0</v>
      </c>
      <c r="DR76" s="5">
        <f>IF($E76&gt;=DR$2,VLOOKUP($E76-DR$2,'data input'!$D$3:$E$130,2,FALSE),0)</f>
        <v>0</v>
      </c>
      <c r="DS76" s="5">
        <f>IF($E76&gt;=DS$2,VLOOKUP($E76-DS$2,'data input'!$D$3:$E$130,2,FALSE),0)</f>
        <v>0</v>
      </c>
      <c r="DT76" s="5">
        <f>IF($E76&gt;=DT$2,VLOOKUP($E76-DT$2,'data input'!$D$3:$E$130,2,FALSE),0)</f>
        <v>0</v>
      </c>
      <c r="DU76" s="5">
        <f>IF($E76&gt;=DU$2,VLOOKUP($E76-DU$2,'data input'!$D$3:$E$130,2,FALSE),0)</f>
        <v>0</v>
      </c>
      <c r="DV76" s="5">
        <f>IF($E76&gt;=DV$2,VLOOKUP($E76-DV$2,'data input'!$D$3:$E$130,2,FALSE),0)</f>
        <v>0</v>
      </c>
      <c r="DW76" s="5">
        <f>IF($E76&gt;=DW$2,VLOOKUP($E76-DW$2,'data input'!$D$3:$E$130,2,FALSE),0)</f>
        <v>0</v>
      </c>
      <c r="DX76" s="5">
        <f>IF($E76&gt;=DX$2,VLOOKUP($E76-DX$2,'data input'!$D$3:$E$130,2,FALSE),0)</f>
        <v>0</v>
      </c>
      <c r="DY76" s="5">
        <f>IF($E76&gt;=DY$2,VLOOKUP($E76-DY$2,'data input'!$D$3:$E$130,2,FALSE),0)</f>
        <v>0</v>
      </c>
      <c r="DZ76" s="5">
        <f>IF($E76&gt;=DZ$2,VLOOKUP($E76-DZ$2,'data input'!$D$3:$E$130,2,FALSE),0)</f>
        <v>0</v>
      </c>
      <c r="EA76" s="5">
        <f>IF($E76&gt;=EA$2,VLOOKUP($E76-EA$2,'data input'!$D$3:$E$130,2,FALSE),0)</f>
        <v>0</v>
      </c>
      <c r="EB76" s="5">
        <f>IF($E76&gt;=EB$2,VLOOKUP($E76-EB$2,'data input'!$D$3:$E$130,2,FALSE),0)</f>
        <v>0</v>
      </c>
      <c r="EC76" s="5">
        <f>IF($E76&gt;=EC$2,VLOOKUP($E76-EC$2,'data input'!$D$3:$E$130,2,FALSE),0)</f>
        <v>0</v>
      </c>
    </row>
    <row r="77" spans="5:133">
      <c r="E77" s="7">
        <f>'data input'!B77</f>
        <v>1952</v>
      </c>
      <c r="F77" s="5">
        <f>IF($E77&gt;=F$2,VLOOKUP($E77-F$2,'data input'!$D$3:$E$130,2,FALSE),0)</f>
        <v>5.3861459540667234E-3</v>
      </c>
      <c r="G77" s="5">
        <f>IF($E77&gt;=G$2,VLOOKUP($E77-G$2,'data input'!$D$3:$E$130,2,FALSE),0)</f>
        <v>6.6618087919827484E-3</v>
      </c>
      <c r="H77" s="5">
        <f>IF($E77&gt;=H$2,VLOOKUP($E77-H$2,'data input'!$D$3:$E$130,2,FALSE),0)</f>
        <v>8.1975359245961554E-3</v>
      </c>
      <c r="I77" s="5">
        <f>IF($E77&gt;=I$2,VLOOKUP($E77-I$2,'data input'!$D$3:$E$130,2,FALSE),0)</f>
        <v>1.0035980100274067E-2</v>
      </c>
      <c r="J77" s="5">
        <f>IF($E77&gt;=J$2,VLOOKUP($E77-J$2,'data input'!$D$3:$E$130,2,FALSE),0)</f>
        <v>1.2224472655044671E-2</v>
      </c>
      <c r="K77" s="5">
        <f>IF($E77&gt;=K$2,VLOOKUP($E77-K$2,'data input'!$D$3:$E$130,2,FALSE),0)</f>
        <v>1.4815058192609865E-2</v>
      </c>
      <c r="L77" s="5">
        <f>IF($E77&gt;=L$2,VLOOKUP($E77-L$2,'data input'!$D$3:$E$130,2,FALSE),0)</f>
        <v>1.7864420562816563E-2</v>
      </c>
      <c r="M77" s="5">
        <f>IF($E77&gt;=M$2,VLOOKUP($E77-M$2,'data input'!$D$3:$E$130,2,FALSE),0)</f>
        <v>2.1433682114152974E-2</v>
      </c>
      <c r="N77" s="5">
        <f>IF($E77&gt;=N$2,VLOOKUP($E77-N$2,'data input'!$D$3:$E$130,2,FALSE),0)</f>
        <v>2.5588059521638562E-2</v>
      </c>
      <c r="O77" s="5">
        <f>IF($E77&gt;=O$2,VLOOKUP($E77-O$2,'data input'!$D$3:$E$130,2,FALSE),0)</f>
        <v>3.0396361765261393E-2</v>
      </c>
      <c r="P77" s="5">
        <f>IF($E77&gt;=P$2,VLOOKUP($E77-P$2,'data input'!$D$3:$E$130,2,FALSE),0)</f>
        <v>3.5930319112925768E-2</v>
      </c>
      <c r="Q77" s="5">
        <f>IF($E77&gt;=Q$2,VLOOKUP($E77-Q$2,'data input'!$D$3:$E$130,2,FALSE),0)</f>
        <v>4.2263736257952433E-2</v>
      </c>
      <c r="R77" s="5">
        <f>IF($E77&gt;=R$2,VLOOKUP($E77-R$2,'data input'!$D$3:$E$130,2,FALSE),0)</f>
        <v>4.9471468033648103E-2</v>
      </c>
      <c r="S77" s="5">
        <f>IF($E77&gt;=S$2,VLOOKUP($E77-S$2,'data input'!$D$3:$E$130,2,FALSE),0)</f>
        <v>5.7628222276153163E-2</v>
      </c>
      <c r="T77" s="5">
        <f>IF($E77&gt;=T$2,VLOOKUP($E77-T$2,'data input'!$D$3:$E$130,2,FALSE),0)</f>
        <v>6.6807201268858085E-2</v>
      </c>
      <c r="U77" s="5">
        <f>IF($E77&gt;=U$2,VLOOKUP($E77-U$2,'data input'!$D$3:$E$130,2,FALSE),0)</f>
        <v>7.707860055207183E-2</v>
      </c>
      <c r="V77" s="5">
        <f>IF($E77&gt;=V$2,VLOOKUP($E77-V$2,'data input'!$D$3:$E$130,2,FALSE),0)</f>
        <v>8.8507991437402067E-2</v>
      </c>
      <c r="W77" s="5">
        <f>IF($E77&gt;=W$2,VLOOKUP($E77-W$2,'data input'!$D$3:$E$130,2,FALSE),0)</f>
        <v>0.10115462099558592</v>
      </c>
      <c r="X77" s="5">
        <f>IF($E77&gt;=X$2,VLOOKUP($E77-X$2,'data input'!$D$3:$E$130,2,FALSE),0)</f>
        <v>0.11506967022170822</v>
      </c>
      <c r="Y77" s="5">
        <f>IF($E77&gt;=Y$2,VLOOKUP($E77-Y$2,'data input'!$D$3:$E$130,2,FALSE),0)</f>
        <v>0.13029451713680884</v>
      </c>
      <c r="Z77" s="5">
        <f>IF($E77&gt;=Z$2,VLOOKUP($E77-Z$2,'data input'!$D$3:$E$130,2,FALSE),0)</f>
        <v>0.14685905637589591</v>
      </c>
      <c r="AA77" s="5">
        <f>IF($E77&gt;=AA$2,VLOOKUP($E77-AA$2,'data input'!$D$3:$E$130,2,FALSE),0)</f>
        <v>0.16478012998031033</v>
      </c>
      <c r="AB77" s="5">
        <f>IF($E77&gt;=AB$2,VLOOKUP($E77-AB$2,'data input'!$D$3:$E$130,2,FALSE),0)</f>
        <v>0.18406012534675953</v>
      </c>
      <c r="AC77" s="5">
        <f>IF($E77&gt;=AC$2,VLOOKUP($E77-AC$2,'data input'!$D$3:$E$130,2,FALSE),0)</f>
        <v>0.20468579534725262</v>
      </c>
      <c r="AD77" s="5">
        <f>IF($E77&gt;=AD$2,VLOOKUP($E77-AD$2,'data input'!$D$3:$E$130,2,FALSE),0)</f>
        <v>0.22662735237686826</v>
      </c>
      <c r="AE77" s="5">
        <f>IF($E77&gt;=AE$2,VLOOKUP($E77-AE$2,'data input'!$D$3:$E$130,2,FALSE),0)</f>
        <v>0.24983788247177696</v>
      </c>
      <c r="AF77" s="5">
        <f>IF($E77&gt;=AF$2,VLOOKUP($E77-AF$2,'data input'!$D$3:$E$130,2,FALSE),0)</f>
        <v>0.27425311775007355</v>
      </c>
      <c r="AG77" s="5">
        <f>IF($E77&gt;=AG$2,VLOOKUP($E77-AG$2,'data input'!$D$3:$E$130,2,FALSE),0)</f>
        <v>0.29979159546869583</v>
      </c>
      <c r="AH77" s="5">
        <f>IF($E77&gt;=AH$2,VLOOKUP($E77-AH$2,'data input'!$D$3:$E$130,2,FALSE),0)</f>
        <v>0.32635522028792008</v>
      </c>
      <c r="AI77" s="5">
        <f>IF($E77&gt;=AI$2,VLOOKUP($E77-AI$2,'data input'!$D$3:$E$130,2,FALSE),0)</f>
        <v>0.35383023332727614</v>
      </c>
      <c r="AJ77" s="5">
        <f>IF($E77&gt;=AJ$2,VLOOKUP($E77-AJ$2,'data input'!$D$3:$E$130,2,FALSE),0)</f>
        <v>0.38208857781104733</v>
      </c>
      <c r="AK77" s="5">
        <f>IF($E77&gt;=AK$2,VLOOKUP($E77-AK$2,'data input'!$D$3:$E$130,2,FALSE),0)</f>
        <v>0.41098963713127035</v>
      </c>
      <c r="AL77" s="5">
        <f>IF($E77&gt;=AL$2,VLOOKUP($E77-AL$2,'data input'!$D$3:$E$130,2,FALSE),0)</f>
        <v>0.4403823076297575</v>
      </c>
      <c r="AM77" s="5">
        <f>IF($E77&gt;=AM$2,VLOOKUP($E77-AM$2,'data input'!$D$3:$E$130,2,FALSE),0)</f>
        <v>0.47010735594710518</v>
      </c>
      <c r="AN77" s="5">
        <f>IF($E77&gt;=AN$2,VLOOKUP($E77-AN$2,'data input'!$D$3:$E$130,2,FALSE),0)</f>
        <v>0.5</v>
      </c>
      <c r="AO77" s="5">
        <f>IF($E77&gt;=AO$2,VLOOKUP($E77-AO$2,'data input'!$D$3:$E$130,2,FALSE),0)</f>
        <v>0.52989264405289482</v>
      </c>
      <c r="AP77" s="5">
        <f>IF($E77&gt;=AP$2,VLOOKUP($E77-AP$2,'data input'!$D$3:$E$130,2,FALSE),0)</f>
        <v>0.5596176923702425</v>
      </c>
      <c r="AQ77" s="5">
        <f>IF($E77&gt;=AQ$2,VLOOKUP($E77-AQ$2,'data input'!$D$3:$E$130,2,FALSE),0)</f>
        <v>0.58901036286872965</v>
      </c>
      <c r="AR77" s="5">
        <f>IF($E77&gt;=AR$2,VLOOKUP($E77-AR$2,'data input'!$D$3:$E$130,2,FALSE),0)</f>
        <v>0.61791142218895267</v>
      </c>
      <c r="AS77" s="5">
        <f>IF($E77&gt;=AS$2,VLOOKUP($E77-AS$2,'data input'!$D$3:$E$130,2,FALSE),0)</f>
        <v>0.64616976667272386</v>
      </c>
      <c r="AT77" s="5">
        <f>IF($E77&gt;=AT$2,VLOOKUP($E77-AT$2,'data input'!$D$3:$E$130,2,FALSE),0)</f>
        <v>0.67364477971207992</v>
      </c>
      <c r="AU77" s="5">
        <f>IF($E77&gt;=AU$2,VLOOKUP($E77-AU$2,'data input'!$D$3:$E$130,2,FALSE),0)</f>
        <v>0.70020840453130417</v>
      </c>
      <c r="AV77" s="5">
        <f>IF($E77&gt;=AV$2,VLOOKUP($E77-AV$2,'data input'!$D$3:$E$130,2,FALSE),0)</f>
        <v>0.72574688224992645</v>
      </c>
      <c r="AW77" s="5">
        <f>IF($E77&gt;=AW$2,VLOOKUP($E77-AW$2,'data input'!$D$3:$E$130,2,FALSE),0)</f>
        <v>0.75016211752822304</v>
      </c>
      <c r="AX77" s="5">
        <f>IF($E77&gt;=AX$2,VLOOKUP($E77-AX$2,'data input'!$D$3:$E$130,2,FALSE),0)</f>
        <v>0.77337264762313174</v>
      </c>
      <c r="AY77" s="5">
        <f>IF($E77&gt;=AY$2,VLOOKUP($E77-AY$2,'data input'!$D$3:$E$130,2,FALSE),0)</f>
        <v>0.79531420465274738</v>
      </c>
      <c r="AZ77" s="5">
        <f>IF($E77&gt;=AZ$2,VLOOKUP($E77-AZ$2,'data input'!$D$3:$E$130,2,FALSE),0)</f>
        <v>0.81593987465324047</v>
      </c>
      <c r="BA77" s="5">
        <f>IF($E77&gt;=BA$2,VLOOKUP($E77-BA$2,'data input'!$D$3:$E$130,2,FALSE),0)</f>
        <v>0.83521987001968967</v>
      </c>
      <c r="BB77" s="5">
        <f>IF($E77&gt;=BB$2,VLOOKUP($E77-BB$2,'data input'!$D$3:$E$130,2,FALSE),0)</f>
        <v>0.85314094362410409</v>
      </c>
      <c r="BC77" s="5">
        <f>IF($E77&gt;=BC$2,VLOOKUP($E77-BC$2,'data input'!$D$3:$E$130,2,FALSE),0)</f>
        <v>0.86970548286319116</v>
      </c>
      <c r="BD77" s="5">
        <f>IF($E77&gt;=BD$2,VLOOKUP($E77-BD$2,'data input'!$D$3:$E$130,2,FALSE),0)</f>
        <v>0.88493032977829178</v>
      </c>
      <c r="BE77" s="5">
        <f>IF($E77&gt;=BE$2,VLOOKUP($E77-BE$2,'data input'!$D$3:$E$130,2,FALSE),0)</f>
        <v>0.89884537900441408</v>
      </c>
      <c r="BF77" s="5">
        <f>IF($E77&gt;=BF$2,VLOOKUP($E77-BF$2,'data input'!$D$3:$E$130,2,FALSE),0)</f>
        <v>0.91149200856259793</v>
      </c>
      <c r="BG77" s="5">
        <f>IF($E77&gt;=BG$2,VLOOKUP($E77-BG$2,'data input'!$D$3:$E$130,2,FALSE),0)</f>
        <v>0.92292139944792817</v>
      </c>
      <c r="BH77" s="5">
        <f>IF($E77&gt;=BH$2,VLOOKUP($E77-BH$2,'data input'!$D$3:$E$130,2,FALSE),0)</f>
        <v>0.93319279873114191</v>
      </c>
      <c r="BI77" s="5">
        <f>IF($E77&gt;=BI$2,VLOOKUP($E77-BI$2,'data input'!$D$3:$E$130,2,FALSE),0)</f>
        <v>0.94237177772384684</v>
      </c>
      <c r="BJ77" s="5">
        <f>IF($E77&gt;=BJ$2,VLOOKUP($E77-BJ$2,'data input'!$D$3:$E$130,2,FALSE),0)</f>
        <v>0.9505285319663519</v>
      </c>
      <c r="BK77" s="5">
        <f>IF($E77&gt;=BK$2,VLOOKUP($E77-BK$2,'data input'!$D$3:$E$130,2,FALSE),0)</f>
        <v>0.95773626374204757</v>
      </c>
      <c r="BL77" s="5">
        <f>IF($E77&gt;=BL$2,VLOOKUP($E77-BL$2,'data input'!$D$3:$E$130,2,FALSE),0)</f>
        <v>0.96406968088707423</v>
      </c>
      <c r="BM77" s="5">
        <f>IF($E77&gt;=BM$2,VLOOKUP($E77-BM$2,'data input'!$D$3:$E$130,2,FALSE),0)</f>
        <v>0.96960363823473861</v>
      </c>
      <c r="BN77" s="5">
        <f>IF($E77&gt;=BN$2,VLOOKUP($E77-BN$2,'data input'!$D$3:$E$130,2,FALSE),0)</f>
        <v>0.97441194047836144</v>
      </c>
      <c r="BO77" s="5">
        <f>IF($E77&gt;=BO$2,VLOOKUP($E77-BO$2,'data input'!$D$3:$E$130,2,FALSE),0)</f>
        <v>0.97856631788584703</v>
      </c>
      <c r="BP77" s="5">
        <f>IF($E77&gt;=BP$2,VLOOKUP($E77-BP$2,'data input'!$D$3:$E$130,2,FALSE),0)</f>
        <v>0.98213557943718344</v>
      </c>
      <c r="BQ77" s="5">
        <f>IF($E77&gt;=BQ$2,VLOOKUP($E77-BQ$2,'data input'!$D$3:$E$130,2,FALSE),0)</f>
        <v>0.98518494180739014</v>
      </c>
      <c r="BR77" s="5">
        <f>IF($E77&gt;=BR$2,VLOOKUP($E77-BR$2,'data input'!$D$3:$E$130,2,FALSE),0)</f>
        <v>0.98777552734495533</v>
      </c>
      <c r="BS77" s="5">
        <f>IF($E77&gt;=BS$2,VLOOKUP($E77-BS$2,'data input'!$D$3:$E$130,2,FALSE),0)</f>
        <v>0.98996401989972593</v>
      </c>
      <c r="BT77" s="5">
        <f>IF($E77&gt;=BT$2,VLOOKUP($E77-BT$2,'data input'!$D$3:$E$130,2,FALSE),0)</f>
        <v>0.99180246407540384</v>
      </c>
      <c r="BU77" s="5">
        <f>IF($E77&gt;=BU$2,VLOOKUP($E77-BU$2,'data input'!$D$3:$E$130,2,FALSE),0)</f>
        <v>0.99333819120801725</v>
      </c>
      <c r="BV77" s="5">
        <f>IF($E77&gt;=BV$2,VLOOKUP($E77-BV$2,'data input'!$D$3:$E$130,2,FALSE),0)</f>
        <v>0.99461385404593328</v>
      </c>
      <c r="BW77" s="5">
        <f>IF($E77&gt;=BW$2,VLOOKUP($E77-BW$2,'data input'!$D$3:$E$130,2,FALSE),0)</f>
        <v>0.99566755163698739</v>
      </c>
      <c r="BX77" s="5">
        <f>IF($E77&gt;=BX$2,VLOOKUP($E77-BX$2,'data input'!$D$3:$E$130,2,FALSE),0)</f>
        <v>0.99653302619695938</v>
      </c>
      <c r="BY77" s="5">
        <f>IF($E77&gt;=BY$2,VLOOKUP($E77-BY$2,'data input'!$D$3:$E$130,2,FALSE),0)</f>
        <v>0.99723991460873751</v>
      </c>
      <c r="BZ77" s="5">
        <f>IF($E77&gt;=BZ$2,VLOOKUP($E77-BZ$2,'data input'!$D$3:$E$130,2,FALSE),0)</f>
        <v>0.99781403854508677</v>
      </c>
      <c r="CA77" s="5">
        <f>IF($E77&gt;=CA$2,VLOOKUP($E77-CA$2,'data input'!$D$3:$E$130,2,FALSE),0)</f>
        <v>0.99827771888413241</v>
      </c>
      <c r="CB77" s="5">
        <f>IF($E77&gt;=CB$2,VLOOKUP($E77-CB$2,'data input'!$D$3:$E$130,2,FALSE),0)</f>
        <v>0.9986501019683699</v>
      </c>
      <c r="CC77" s="5">
        <f>IF($E77&gt;=CC$2,VLOOKUP($E77-CC$2,'data input'!$D$3:$E$130,2,FALSE),0)</f>
        <v>0</v>
      </c>
      <c r="CD77" s="5">
        <f>IF($E77&gt;=CD$2,VLOOKUP($E77-CD$2,'data input'!$D$3:$E$130,2,FALSE),0)</f>
        <v>0</v>
      </c>
      <c r="CE77" s="5">
        <f>IF($E77&gt;=CE$2,VLOOKUP($E77-CE$2,'data input'!$D$3:$E$130,2,FALSE),0)</f>
        <v>0</v>
      </c>
      <c r="CF77" s="5">
        <f>IF($E77&gt;=CF$2,VLOOKUP($E77-CF$2,'data input'!$D$3:$E$130,2,FALSE),0)</f>
        <v>0</v>
      </c>
      <c r="CG77" s="5">
        <f>IF($E77&gt;=CG$2,VLOOKUP($E77-CG$2,'data input'!$D$3:$E$130,2,FALSE),0)</f>
        <v>0</v>
      </c>
      <c r="CH77" s="5">
        <f>IF($E77&gt;=CH$2,VLOOKUP($E77-CH$2,'data input'!$D$3:$E$130,2,FALSE),0)</f>
        <v>0</v>
      </c>
      <c r="CI77" s="5">
        <f>IF($E77&gt;=CI$2,VLOOKUP($E77-CI$2,'data input'!$D$3:$E$130,2,FALSE),0)</f>
        <v>0</v>
      </c>
      <c r="CJ77" s="5">
        <f>IF($E77&gt;=CJ$2,VLOOKUP($E77-CJ$2,'data input'!$D$3:$E$130,2,FALSE),0)</f>
        <v>0</v>
      </c>
      <c r="CK77" s="5">
        <f>IF($E77&gt;=CK$2,VLOOKUP($E77-CK$2,'data input'!$D$3:$E$130,2,FALSE),0)</f>
        <v>0</v>
      </c>
      <c r="CL77" s="5">
        <f>IF($E77&gt;=CL$2,VLOOKUP($E77-CL$2,'data input'!$D$3:$E$130,2,FALSE),0)</f>
        <v>0</v>
      </c>
      <c r="CM77" s="5">
        <f>IF($E77&gt;=CM$2,VLOOKUP($E77-CM$2,'data input'!$D$3:$E$130,2,FALSE),0)</f>
        <v>0</v>
      </c>
      <c r="CN77" s="5">
        <f>IF($E77&gt;=CN$2,VLOOKUP($E77-CN$2,'data input'!$D$3:$E$130,2,FALSE),0)</f>
        <v>0</v>
      </c>
      <c r="CO77" s="5">
        <f>IF($E77&gt;=CO$2,VLOOKUP($E77-CO$2,'data input'!$D$3:$E$130,2,FALSE),0)</f>
        <v>0</v>
      </c>
      <c r="CP77" s="5">
        <f>IF($E77&gt;=CP$2,VLOOKUP($E77-CP$2,'data input'!$D$3:$E$130,2,FALSE),0)</f>
        <v>0</v>
      </c>
      <c r="CQ77" s="5">
        <f>IF($E77&gt;=CQ$2,VLOOKUP($E77-CQ$2,'data input'!$D$3:$E$130,2,FALSE),0)</f>
        <v>0</v>
      </c>
      <c r="CR77" s="5">
        <f>IF($E77&gt;=CR$2,VLOOKUP($E77-CR$2,'data input'!$D$3:$E$130,2,FALSE),0)</f>
        <v>0</v>
      </c>
      <c r="CS77" s="5">
        <f>IF($E77&gt;=CS$2,VLOOKUP($E77-CS$2,'data input'!$D$3:$E$130,2,FALSE),0)</f>
        <v>0</v>
      </c>
      <c r="CT77" s="5">
        <f>IF($E77&gt;=CT$2,VLOOKUP($E77-CT$2,'data input'!$D$3:$E$130,2,FALSE),0)</f>
        <v>0</v>
      </c>
      <c r="CU77" s="5">
        <f>IF($E77&gt;=CU$2,VLOOKUP($E77-CU$2,'data input'!$D$3:$E$130,2,FALSE),0)</f>
        <v>0</v>
      </c>
      <c r="CV77" s="5">
        <f>IF($E77&gt;=CV$2,VLOOKUP($E77-CV$2,'data input'!$D$3:$E$130,2,FALSE),0)</f>
        <v>0</v>
      </c>
      <c r="CW77" s="5">
        <f>IF($E77&gt;=CW$2,VLOOKUP($E77-CW$2,'data input'!$D$3:$E$130,2,FALSE),0)</f>
        <v>0</v>
      </c>
      <c r="CX77" s="5">
        <f>IF($E77&gt;=CX$2,VLOOKUP($E77-CX$2,'data input'!$D$3:$E$130,2,FALSE),0)</f>
        <v>0</v>
      </c>
      <c r="CY77" s="5">
        <f>IF($E77&gt;=CY$2,VLOOKUP($E77-CY$2,'data input'!$D$3:$E$130,2,FALSE),0)</f>
        <v>0</v>
      </c>
      <c r="CZ77" s="5">
        <f>IF($E77&gt;=CZ$2,VLOOKUP($E77-CZ$2,'data input'!$D$3:$E$130,2,FALSE),0)</f>
        <v>0</v>
      </c>
      <c r="DA77" s="5">
        <f>IF($E77&gt;=DA$2,VLOOKUP($E77-DA$2,'data input'!$D$3:$E$130,2,FALSE),0)</f>
        <v>0</v>
      </c>
      <c r="DB77" s="5">
        <f>IF($E77&gt;=DB$2,VLOOKUP($E77-DB$2,'data input'!$D$3:$E$130,2,FALSE),0)</f>
        <v>0</v>
      </c>
      <c r="DC77" s="5">
        <f>IF($E77&gt;=DC$2,VLOOKUP($E77-DC$2,'data input'!$D$3:$E$130,2,FALSE),0)</f>
        <v>0</v>
      </c>
      <c r="DD77" s="5">
        <f>IF($E77&gt;=DD$2,VLOOKUP($E77-DD$2,'data input'!$D$3:$E$130,2,FALSE),0)</f>
        <v>0</v>
      </c>
      <c r="DE77" s="5">
        <f>IF($E77&gt;=DE$2,VLOOKUP($E77-DE$2,'data input'!$D$3:$E$130,2,FALSE),0)</f>
        <v>0</v>
      </c>
      <c r="DF77" s="5">
        <f>IF($E77&gt;=DF$2,VLOOKUP($E77-DF$2,'data input'!$D$3:$E$130,2,FALSE),0)</f>
        <v>0</v>
      </c>
      <c r="DG77" s="5">
        <f>IF($E77&gt;=DG$2,VLOOKUP($E77-DG$2,'data input'!$D$3:$E$130,2,FALSE),0)</f>
        <v>0</v>
      </c>
      <c r="DH77" s="5">
        <f>IF($E77&gt;=DH$2,VLOOKUP($E77-DH$2,'data input'!$D$3:$E$130,2,FALSE),0)</f>
        <v>0</v>
      </c>
      <c r="DI77" s="5">
        <f>IF($E77&gt;=DI$2,VLOOKUP($E77-DI$2,'data input'!$D$3:$E$130,2,FALSE),0)</f>
        <v>0</v>
      </c>
      <c r="DJ77" s="5">
        <f>IF($E77&gt;=DJ$2,VLOOKUP($E77-DJ$2,'data input'!$D$3:$E$130,2,FALSE),0)</f>
        <v>0</v>
      </c>
      <c r="DK77" s="5">
        <f>IF($E77&gt;=DK$2,VLOOKUP($E77-DK$2,'data input'!$D$3:$E$130,2,FALSE),0)</f>
        <v>0</v>
      </c>
      <c r="DL77" s="5">
        <f>IF($E77&gt;=DL$2,VLOOKUP($E77-DL$2,'data input'!$D$3:$E$130,2,FALSE),0)</f>
        <v>0</v>
      </c>
      <c r="DM77" s="5">
        <f>IF($E77&gt;=DM$2,VLOOKUP($E77-DM$2,'data input'!$D$3:$E$130,2,FALSE),0)</f>
        <v>0</v>
      </c>
      <c r="DN77" s="5">
        <f>IF($E77&gt;=DN$2,VLOOKUP($E77-DN$2,'data input'!$D$3:$E$130,2,FALSE),0)</f>
        <v>0</v>
      </c>
      <c r="DO77" s="5">
        <f>IF($E77&gt;=DO$2,VLOOKUP($E77-DO$2,'data input'!$D$3:$E$130,2,FALSE),0)</f>
        <v>0</v>
      </c>
      <c r="DP77" s="5">
        <f>IF($E77&gt;=DP$2,VLOOKUP($E77-DP$2,'data input'!$D$3:$E$130,2,FALSE),0)</f>
        <v>0</v>
      </c>
      <c r="DQ77" s="5">
        <f>IF($E77&gt;=DQ$2,VLOOKUP($E77-DQ$2,'data input'!$D$3:$E$130,2,FALSE),0)</f>
        <v>0</v>
      </c>
      <c r="DR77" s="5">
        <f>IF($E77&gt;=DR$2,VLOOKUP($E77-DR$2,'data input'!$D$3:$E$130,2,FALSE),0)</f>
        <v>0</v>
      </c>
      <c r="DS77" s="5">
        <f>IF($E77&gt;=DS$2,VLOOKUP($E77-DS$2,'data input'!$D$3:$E$130,2,FALSE),0)</f>
        <v>0</v>
      </c>
      <c r="DT77" s="5">
        <f>IF($E77&gt;=DT$2,VLOOKUP($E77-DT$2,'data input'!$D$3:$E$130,2,FALSE),0)</f>
        <v>0</v>
      </c>
      <c r="DU77" s="5">
        <f>IF($E77&gt;=DU$2,VLOOKUP($E77-DU$2,'data input'!$D$3:$E$130,2,FALSE),0)</f>
        <v>0</v>
      </c>
      <c r="DV77" s="5">
        <f>IF($E77&gt;=DV$2,VLOOKUP($E77-DV$2,'data input'!$D$3:$E$130,2,FALSE),0)</f>
        <v>0</v>
      </c>
      <c r="DW77" s="5">
        <f>IF($E77&gt;=DW$2,VLOOKUP($E77-DW$2,'data input'!$D$3:$E$130,2,FALSE),0)</f>
        <v>0</v>
      </c>
      <c r="DX77" s="5">
        <f>IF($E77&gt;=DX$2,VLOOKUP($E77-DX$2,'data input'!$D$3:$E$130,2,FALSE),0)</f>
        <v>0</v>
      </c>
      <c r="DY77" s="5">
        <f>IF($E77&gt;=DY$2,VLOOKUP($E77-DY$2,'data input'!$D$3:$E$130,2,FALSE),0)</f>
        <v>0</v>
      </c>
      <c r="DZ77" s="5">
        <f>IF($E77&gt;=DZ$2,VLOOKUP($E77-DZ$2,'data input'!$D$3:$E$130,2,FALSE),0)</f>
        <v>0</v>
      </c>
      <c r="EA77" s="5">
        <f>IF($E77&gt;=EA$2,VLOOKUP($E77-EA$2,'data input'!$D$3:$E$130,2,FALSE),0)</f>
        <v>0</v>
      </c>
      <c r="EB77" s="5">
        <f>IF($E77&gt;=EB$2,VLOOKUP($E77-EB$2,'data input'!$D$3:$E$130,2,FALSE),0)</f>
        <v>0</v>
      </c>
      <c r="EC77" s="5">
        <f>IF($E77&gt;=EC$2,VLOOKUP($E77-EC$2,'data input'!$D$3:$E$130,2,FALSE),0)</f>
        <v>0</v>
      </c>
    </row>
    <row r="78" spans="5:133">
      <c r="E78" s="7">
        <f>'data input'!B78</f>
        <v>1953</v>
      </c>
      <c r="F78" s="5">
        <f>IF($E78&gt;=F$2,VLOOKUP($E78-F$2,'data input'!$D$3:$E$130,2,FALSE),0)</f>
        <v>4.3324483630126087E-3</v>
      </c>
      <c r="G78" s="5">
        <f>IF($E78&gt;=G$2,VLOOKUP($E78-G$2,'data input'!$D$3:$E$130,2,FALSE),0)</f>
        <v>5.3861459540667234E-3</v>
      </c>
      <c r="H78" s="5">
        <f>IF($E78&gt;=H$2,VLOOKUP($E78-H$2,'data input'!$D$3:$E$130,2,FALSE),0)</f>
        <v>6.6618087919827484E-3</v>
      </c>
      <c r="I78" s="5">
        <f>IF($E78&gt;=I$2,VLOOKUP($E78-I$2,'data input'!$D$3:$E$130,2,FALSE),0)</f>
        <v>8.1975359245961554E-3</v>
      </c>
      <c r="J78" s="5">
        <f>IF($E78&gt;=J$2,VLOOKUP($E78-J$2,'data input'!$D$3:$E$130,2,FALSE),0)</f>
        <v>1.0035980100274067E-2</v>
      </c>
      <c r="K78" s="5">
        <f>IF($E78&gt;=K$2,VLOOKUP($E78-K$2,'data input'!$D$3:$E$130,2,FALSE),0)</f>
        <v>1.2224472655044671E-2</v>
      </c>
      <c r="L78" s="5">
        <f>IF($E78&gt;=L$2,VLOOKUP($E78-L$2,'data input'!$D$3:$E$130,2,FALSE),0)</f>
        <v>1.4815058192609865E-2</v>
      </c>
      <c r="M78" s="5">
        <f>IF($E78&gt;=M$2,VLOOKUP($E78-M$2,'data input'!$D$3:$E$130,2,FALSE),0)</f>
        <v>1.7864420562816563E-2</v>
      </c>
      <c r="N78" s="5">
        <f>IF($E78&gt;=N$2,VLOOKUP($E78-N$2,'data input'!$D$3:$E$130,2,FALSE),0)</f>
        <v>2.1433682114152974E-2</v>
      </c>
      <c r="O78" s="5">
        <f>IF($E78&gt;=O$2,VLOOKUP($E78-O$2,'data input'!$D$3:$E$130,2,FALSE),0)</f>
        <v>2.5588059521638562E-2</v>
      </c>
      <c r="P78" s="5">
        <f>IF($E78&gt;=P$2,VLOOKUP($E78-P$2,'data input'!$D$3:$E$130,2,FALSE),0)</f>
        <v>3.0396361765261393E-2</v>
      </c>
      <c r="Q78" s="5">
        <f>IF($E78&gt;=Q$2,VLOOKUP($E78-Q$2,'data input'!$D$3:$E$130,2,FALSE),0)</f>
        <v>3.5930319112925768E-2</v>
      </c>
      <c r="R78" s="5">
        <f>IF($E78&gt;=R$2,VLOOKUP($E78-R$2,'data input'!$D$3:$E$130,2,FALSE),0)</f>
        <v>4.2263736257952433E-2</v>
      </c>
      <c r="S78" s="5">
        <f>IF($E78&gt;=S$2,VLOOKUP($E78-S$2,'data input'!$D$3:$E$130,2,FALSE),0)</f>
        <v>4.9471468033648103E-2</v>
      </c>
      <c r="T78" s="5">
        <f>IF($E78&gt;=T$2,VLOOKUP($E78-T$2,'data input'!$D$3:$E$130,2,FALSE),0)</f>
        <v>5.7628222276153163E-2</v>
      </c>
      <c r="U78" s="5">
        <f>IF($E78&gt;=U$2,VLOOKUP($E78-U$2,'data input'!$D$3:$E$130,2,FALSE),0)</f>
        <v>6.6807201268858085E-2</v>
      </c>
      <c r="V78" s="5">
        <f>IF($E78&gt;=V$2,VLOOKUP($E78-V$2,'data input'!$D$3:$E$130,2,FALSE),0)</f>
        <v>7.707860055207183E-2</v>
      </c>
      <c r="W78" s="5">
        <f>IF($E78&gt;=W$2,VLOOKUP($E78-W$2,'data input'!$D$3:$E$130,2,FALSE),0)</f>
        <v>8.8507991437402067E-2</v>
      </c>
      <c r="X78" s="5">
        <f>IF($E78&gt;=X$2,VLOOKUP($E78-X$2,'data input'!$D$3:$E$130,2,FALSE),0)</f>
        <v>0.10115462099558592</v>
      </c>
      <c r="Y78" s="5">
        <f>IF($E78&gt;=Y$2,VLOOKUP($E78-Y$2,'data input'!$D$3:$E$130,2,FALSE),0)</f>
        <v>0.11506967022170822</v>
      </c>
      <c r="Z78" s="5">
        <f>IF($E78&gt;=Z$2,VLOOKUP($E78-Z$2,'data input'!$D$3:$E$130,2,FALSE),0)</f>
        <v>0.13029451713680884</v>
      </c>
      <c r="AA78" s="5">
        <f>IF($E78&gt;=AA$2,VLOOKUP($E78-AA$2,'data input'!$D$3:$E$130,2,FALSE),0)</f>
        <v>0.14685905637589591</v>
      </c>
      <c r="AB78" s="5">
        <f>IF($E78&gt;=AB$2,VLOOKUP($E78-AB$2,'data input'!$D$3:$E$130,2,FALSE),0)</f>
        <v>0.16478012998031033</v>
      </c>
      <c r="AC78" s="5">
        <f>IF($E78&gt;=AC$2,VLOOKUP($E78-AC$2,'data input'!$D$3:$E$130,2,FALSE),0)</f>
        <v>0.18406012534675953</v>
      </c>
      <c r="AD78" s="5">
        <f>IF($E78&gt;=AD$2,VLOOKUP($E78-AD$2,'data input'!$D$3:$E$130,2,FALSE),0)</f>
        <v>0.20468579534725262</v>
      </c>
      <c r="AE78" s="5">
        <f>IF($E78&gt;=AE$2,VLOOKUP($E78-AE$2,'data input'!$D$3:$E$130,2,FALSE),0)</f>
        <v>0.22662735237686826</v>
      </c>
      <c r="AF78" s="5">
        <f>IF($E78&gt;=AF$2,VLOOKUP($E78-AF$2,'data input'!$D$3:$E$130,2,FALSE),0)</f>
        <v>0.24983788247177696</v>
      </c>
      <c r="AG78" s="5">
        <f>IF($E78&gt;=AG$2,VLOOKUP($E78-AG$2,'data input'!$D$3:$E$130,2,FALSE),0)</f>
        <v>0.27425311775007355</v>
      </c>
      <c r="AH78" s="5">
        <f>IF($E78&gt;=AH$2,VLOOKUP($E78-AH$2,'data input'!$D$3:$E$130,2,FALSE),0)</f>
        <v>0.29979159546869583</v>
      </c>
      <c r="AI78" s="5">
        <f>IF($E78&gt;=AI$2,VLOOKUP($E78-AI$2,'data input'!$D$3:$E$130,2,FALSE),0)</f>
        <v>0.32635522028792008</v>
      </c>
      <c r="AJ78" s="5">
        <f>IF($E78&gt;=AJ$2,VLOOKUP($E78-AJ$2,'data input'!$D$3:$E$130,2,FALSE),0)</f>
        <v>0.35383023332727614</v>
      </c>
      <c r="AK78" s="5">
        <f>IF($E78&gt;=AK$2,VLOOKUP($E78-AK$2,'data input'!$D$3:$E$130,2,FALSE),0)</f>
        <v>0.38208857781104733</v>
      </c>
      <c r="AL78" s="5">
        <f>IF($E78&gt;=AL$2,VLOOKUP($E78-AL$2,'data input'!$D$3:$E$130,2,FALSE),0)</f>
        <v>0.41098963713127035</v>
      </c>
      <c r="AM78" s="5">
        <f>IF($E78&gt;=AM$2,VLOOKUP($E78-AM$2,'data input'!$D$3:$E$130,2,FALSE),0)</f>
        <v>0.4403823076297575</v>
      </c>
      <c r="AN78" s="5">
        <f>IF($E78&gt;=AN$2,VLOOKUP($E78-AN$2,'data input'!$D$3:$E$130,2,FALSE),0)</f>
        <v>0.47010735594710518</v>
      </c>
      <c r="AO78" s="5">
        <f>IF($E78&gt;=AO$2,VLOOKUP($E78-AO$2,'data input'!$D$3:$E$130,2,FALSE),0)</f>
        <v>0.5</v>
      </c>
      <c r="AP78" s="5">
        <f>IF($E78&gt;=AP$2,VLOOKUP($E78-AP$2,'data input'!$D$3:$E$130,2,FALSE),0)</f>
        <v>0.52989264405289482</v>
      </c>
      <c r="AQ78" s="5">
        <f>IF($E78&gt;=AQ$2,VLOOKUP($E78-AQ$2,'data input'!$D$3:$E$130,2,FALSE),0)</f>
        <v>0.5596176923702425</v>
      </c>
      <c r="AR78" s="5">
        <f>IF($E78&gt;=AR$2,VLOOKUP($E78-AR$2,'data input'!$D$3:$E$130,2,FALSE),0)</f>
        <v>0.58901036286872965</v>
      </c>
      <c r="AS78" s="5">
        <f>IF($E78&gt;=AS$2,VLOOKUP($E78-AS$2,'data input'!$D$3:$E$130,2,FALSE),0)</f>
        <v>0.61791142218895267</v>
      </c>
      <c r="AT78" s="5">
        <f>IF($E78&gt;=AT$2,VLOOKUP($E78-AT$2,'data input'!$D$3:$E$130,2,FALSE),0)</f>
        <v>0.64616976667272386</v>
      </c>
      <c r="AU78" s="5">
        <f>IF($E78&gt;=AU$2,VLOOKUP($E78-AU$2,'data input'!$D$3:$E$130,2,FALSE),0)</f>
        <v>0.67364477971207992</v>
      </c>
      <c r="AV78" s="5">
        <f>IF($E78&gt;=AV$2,VLOOKUP($E78-AV$2,'data input'!$D$3:$E$130,2,FALSE),0)</f>
        <v>0.70020840453130417</v>
      </c>
      <c r="AW78" s="5">
        <f>IF($E78&gt;=AW$2,VLOOKUP($E78-AW$2,'data input'!$D$3:$E$130,2,FALSE),0)</f>
        <v>0.72574688224992645</v>
      </c>
      <c r="AX78" s="5">
        <f>IF($E78&gt;=AX$2,VLOOKUP($E78-AX$2,'data input'!$D$3:$E$130,2,FALSE),0)</f>
        <v>0.75016211752822304</v>
      </c>
      <c r="AY78" s="5">
        <f>IF($E78&gt;=AY$2,VLOOKUP($E78-AY$2,'data input'!$D$3:$E$130,2,FALSE),0)</f>
        <v>0.77337264762313174</v>
      </c>
      <c r="AZ78" s="5">
        <f>IF($E78&gt;=AZ$2,VLOOKUP($E78-AZ$2,'data input'!$D$3:$E$130,2,FALSE),0)</f>
        <v>0.79531420465274738</v>
      </c>
      <c r="BA78" s="5">
        <f>IF($E78&gt;=BA$2,VLOOKUP($E78-BA$2,'data input'!$D$3:$E$130,2,FALSE),0)</f>
        <v>0.81593987465324047</v>
      </c>
      <c r="BB78" s="5">
        <f>IF($E78&gt;=BB$2,VLOOKUP($E78-BB$2,'data input'!$D$3:$E$130,2,FALSE),0)</f>
        <v>0.83521987001968967</v>
      </c>
      <c r="BC78" s="5">
        <f>IF($E78&gt;=BC$2,VLOOKUP($E78-BC$2,'data input'!$D$3:$E$130,2,FALSE),0)</f>
        <v>0.85314094362410409</v>
      </c>
      <c r="BD78" s="5">
        <f>IF($E78&gt;=BD$2,VLOOKUP($E78-BD$2,'data input'!$D$3:$E$130,2,FALSE),0)</f>
        <v>0.86970548286319116</v>
      </c>
      <c r="BE78" s="5">
        <f>IF($E78&gt;=BE$2,VLOOKUP($E78-BE$2,'data input'!$D$3:$E$130,2,FALSE),0)</f>
        <v>0.88493032977829178</v>
      </c>
      <c r="BF78" s="5">
        <f>IF($E78&gt;=BF$2,VLOOKUP($E78-BF$2,'data input'!$D$3:$E$130,2,FALSE),0)</f>
        <v>0.89884537900441408</v>
      </c>
      <c r="BG78" s="5">
        <f>IF($E78&gt;=BG$2,VLOOKUP($E78-BG$2,'data input'!$D$3:$E$130,2,FALSE),0)</f>
        <v>0.91149200856259793</v>
      </c>
      <c r="BH78" s="5">
        <f>IF($E78&gt;=BH$2,VLOOKUP($E78-BH$2,'data input'!$D$3:$E$130,2,FALSE),0)</f>
        <v>0.92292139944792817</v>
      </c>
      <c r="BI78" s="5">
        <f>IF($E78&gt;=BI$2,VLOOKUP($E78-BI$2,'data input'!$D$3:$E$130,2,FALSE),0)</f>
        <v>0.93319279873114191</v>
      </c>
      <c r="BJ78" s="5">
        <f>IF($E78&gt;=BJ$2,VLOOKUP($E78-BJ$2,'data input'!$D$3:$E$130,2,FALSE),0)</f>
        <v>0.94237177772384684</v>
      </c>
      <c r="BK78" s="5">
        <f>IF($E78&gt;=BK$2,VLOOKUP($E78-BK$2,'data input'!$D$3:$E$130,2,FALSE),0)</f>
        <v>0.9505285319663519</v>
      </c>
      <c r="BL78" s="5">
        <f>IF($E78&gt;=BL$2,VLOOKUP($E78-BL$2,'data input'!$D$3:$E$130,2,FALSE),0)</f>
        <v>0.95773626374204757</v>
      </c>
      <c r="BM78" s="5">
        <f>IF($E78&gt;=BM$2,VLOOKUP($E78-BM$2,'data input'!$D$3:$E$130,2,FALSE),0)</f>
        <v>0.96406968088707423</v>
      </c>
      <c r="BN78" s="5">
        <f>IF($E78&gt;=BN$2,VLOOKUP($E78-BN$2,'data input'!$D$3:$E$130,2,FALSE),0)</f>
        <v>0.96960363823473861</v>
      </c>
      <c r="BO78" s="5">
        <f>IF($E78&gt;=BO$2,VLOOKUP($E78-BO$2,'data input'!$D$3:$E$130,2,FALSE),0)</f>
        <v>0.97441194047836144</v>
      </c>
      <c r="BP78" s="5">
        <f>IF($E78&gt;=BP$2,VLOOKUP($E78-BP$2,'data input'!$D$3:$E$130,2,FALSE),0)</f>
        <v>0.97856631788584703</v>
      </c>
      <c r="BQ78" s="5">
        <f>IF($E78&gt;=BQ$2,VLOOKUP($E78-BQ$2,'data input'!$D$3:$E$130,2,FALSE),0)</f>
        <v>0.98213557943718344</v>
      </c>
      <c r="BR78" s="5">
        <f>IF($E78&gt;=BR$2,VLOOKUP($E78-BR$2,'data input'!$D$3:$E$130,2,FALSE),0)</f>
        <v>0.98518494180739014</v>
      </c>
      <c r="BS78" s="5">
        <f>IF($E78&gt;=BS$2,VLOOKUP($E78-BS$2,'data input'!$D$3:$E$130,2,FALSE),0)</f>
        <v>0.98777552734495533</v>
      </c>
      <c r="BT78" s="5">
        <f>IF($E78&gt;=BT$2,VLOOKUP($E78-BT$2,'data input'!$D$3:$E$130,2,FALSE),0)</f>
        <v>0.98996401989972593</v>
      </c>
      <c r="BU78" s="5">
        <f>IF($E78&gt;=BU$2,VLOOKUP($E78-BU$2,'data input'!$D$3:$E$130,2,FALSE),0)</f>
        <v>0.99180246407540384</v>
      </c>
      <c r="BV78" s="5">
        <f>IF($E78&gt;=BV$2,VLOOKUP($E78-BV$2,'data input'!$D$3:$E$130,2,FALSE),0)</f>
        <v>0.99333819120801725</v>
      </c>
      <c r="BW78" s="5">
        <f>IF($E78&gt;=BW$2,VLOOKUP($E78-BW$2,'data input'!$D$3:$E$130,2,FALSE),0)</f>
        <v>0.99461385404593328</v>
      </c>
      <c r="BX78" s="5">
        <f>IF($E78&gt;=BX$2,VLOOKUP($E78-BX$2,'data input'!$D$3:$E$130,2,FALSE),0)</f>
        <v>0.99566755163698739</v>
      </c>
      <c r="BY78" s="5">
        <f>IF($E78&gt;=BY$2,VLOOKUP($E78-BY$2,'data input'!$D$3:$E$130,2,FALSE),0)</f>
        <v>0.99653302619695938</v>
      </c>
      <c r="BZ78" s="5">
        <f>IF($E78&gt;=BZ$2,VLOOKUP($E78-BZ$2,'data input'!$D$3:$E$130,2,FALSE),0)</f>
        <v>0.99723991460873751</v>
      </c>
      <c r="CA78" s="5">
        <f>IF($E78&gt;=CA$2,VLOOKUP($E78-CA$2,'data input'!$D$3:$E$130,2,FALSE),0)</f>
        <v>0.99781403854508677</v>
      </c>
      <c r="CB78" s="5">
        <f>IF($E78&gt;=CB$2,VLOOKUP($E78-CB$2,'data input'!$D$3:$E$130,2,FALSE),0)</f>
        <v>0.99827771888413241</v>
      </c>
      <c r="CC78" s="5">
        <f>IF($E78&gt;=CC$2,VLOOKUP($E78-CC$2,'data input'!$D$3:$E$130,2,FALSE),0)</f>
        <v>0.9986501019683699</v>
      </c>
      <c r="CD78" s="5">
        <f>IF($E78&gt;=CD$2,VLOOKUP($E78-CD$2,'data input'!$D$3:$E$130,2,FALSE),0)</f>
        <v>0</v>
      </c>
      <c r="CE78" s="5">
        <f>IF($E78&gt;=CE$2,VLOOKUP($E78-CE$2,'data input'!$D$3:$E$130,2,FALSE),0)</f>
        <v>0</v>
      </c>
      <c r="CF78" s="5">
        <f>IF($E78&gt;=CF$2,VLOOKUP($E78-CF$2,'data input'!$D$3:$E$130,2,FALSE),0)</f>
        <v>0</v>
      </c>
      <c r="CG78" s="5">
        <f>IF($E78&gt;=CG$2,VLOOKUP($E78-CG$2,'data input'!$D$3:$E$130,2,FALSE),0)</f>
        <v>0</v>
      </c>
      <c r="CH78" s="5">
        <f>IF($E78&gt;=CH$2,VLOOKUP($E78-CH$2,'data input'!$D$3:$E$130,2,FALSE),0)</f>
        <v>0</v>
      </c>
      <c r="CI78" s="5">
        <f>IF($E78&gt;=CI$2,VLOOKUP($E78-CI$2,'data input'!$D$3:$E$130,2,FALSE),0)</f>
        <v>0</v>
      </c>
      <c r="CJ78" s="5">
        <f>IF($E78&gt;=CJ$2,VLOOKUP($E78-CJ$2,'data input'!$D$3:$E$130,2,FALSE),0)</f>
        <v>0</v>
      </c>
      <c r="CK78" s="5">
        <f>IF($E78&gt;=CK$2,VLOOKUP($E78-CK$2,'data input'!$D$3:$E$130,2,FALSE),0)</f>
        <v>0</v>
      </c>
      <c r="CL78" s="5">
        <f>IF($E78&gt;=CL$2,VLOOKUP($E78-CL$2,'data input'!$D$3:$E$130,2,FALSE),0)</f>
        <v>0</v>
      </c>
      <c r="CM78" s="5">
        <f>IF($E78&gt;=CM$2,VLOOKUP($E78-CM$2,'data input'!$D$3:$E$130,2,FALSE),0)</f>
        <v>0</v>
      </c>
      <c r="CN78" s="5">
        <f>IF($E78&gt;=CN$2,VLOOKUP($E78-CN$2,'data input'!$D$3:$E$130,2,FALSE),0)</f>
        <v>0</v>
      </c>
      <c r="CO78" s="5">
        <f>IF($E78&gt;=CO$2,VLOOKUP($E78-CO$2,'data input'!$D$3:$E$130,2,FALSE),0)</f>
        <v>0</v>
      </c>
      <c r="CP78" s="5">
        <f>IF($E78&gt;=CP$2,VLOOKUP($E78-CP$2,'data input'!$D$3:$E$130,2,FALSE),0)</f>
        <v>0</v>
      </c>
      <c r="CQ78" s="5">
        <f>IF($E78&gt;=CQ$2,VLOOKUP($E78-CQ$2,'data input'!$D$3:$E$130,2,FALSE),0)</f>
        <v>0</v>
      </c>
      <c r="CR78" s="5">
        <f>IF($E78&gt;=CR$2,VLOOKUP($E78-CR$2,'data input'!$D$3:$E$130,2,FALSE),0)</f>
        <v>0</v>
      </c>
      <c r="CS78" s="5">
        <f>IF($E78&gt;=CS$2,VLOOKUP($E78-CS$2,'data input'!$D$3:$E$130,2,FALSE),0)</f>
        <v>0</v>
      </c>
      <c r="CT78" s="5">
        <f>IF($E78&gt;=CT$2,VLOOKUP($E78-CT$2,'data input'!$D$3:$E$130,2,FALSE),0)</f>
        <v>0</v>
      </c>
      <c r="CU78" s="5">
        <f>IF($E78&gt;=CU$2,VLOOKUP($E78-CU$2,'data input'!$D$3:$E$130,2,FALSE),0)</f>
        <v>0</v>
      </c>
      <c r="CV78" s="5">
        <f>IF($E78&gt;=CV$2,VLOOKUP($E78-CV$2,'data input'!$D$3:$E$130,2,FALSE),0)</f>
        <v>0</v>
      </c>
      <c r="CW78" s="5">
        <f>IF($E78&gt;=CW$2,VLOOKUP($E78-CW$2,'data input'!$D$3:$E$130,2,FALSE),0)</f>
        <v>0</v>
      </c>
      <c r="CX78" s="5">
        <f>IF($E78&gt;=CX$2,VLOOKUP($E78-CX$2,'data input'!$D$3:$E$130,2,FALSE),0)</f>
        <v>0</v>
      </c>
      <c r="CY78" s="5">
        <f>IF($E78&gt;=CY$2,VLOOKUP($E78-CY$2,'data input'!$D$3:$E$130,2,FALSE),0)</f>
        <v>0</v>
      </c>
      <c r="CZ78" s="5">
        <f>IF($E78&gt;=CZ$2,VLOOKUP($E78-CZ$2,'data input'!$D$3:$E$130,2,FALSE),0)</f>
        <v>0</v>
      </c>
      <c r="DA78" s="5">
        <f>IF($E78&gt;=DA$2,VLOOKUP($E78-DA$2,'data input'!$D$3:$E$130,2,FALSE),0)</f>
        <v>0</v>
      </c>
      <c r="DB78" s="5">
        <f>IF($E78&gt;=DB$2,VLOOKUP($E78-DB$2,'data input'!$D$3:$E$130,2,FALSE),0)</f>
        <v>0</v>
      </c>
      <c r="DC78" s="5">
        <f>IF($E78&gt;=DC$2,VLOOKUP($E78-DC$2,'data input'!$D$3:$E$130,2,FALSE),0)</f>
        <v>0</v>
      </c>
      <c r="DD78" s="5">
        <f>IF($E78&gt;=DD$2,VLOOKUP($E78-DD$2,'data input'!$D$3:$E$130,2,FALSE),0)</f>
        <v>0</v>
      </c>
      <c r="DE78" s="5">
        <f>IF($E78&gt;=DE$2,VLOOKUP($E78-DE$2,'data input'!$D$3:$E$130,2,FALSE),0)</f>
        <v>0</v>
      </c>
      <c r="DF78" s="5">
        <f>IF($E78&gt;=DF$2,VLOOKUP($E78-DF$2,'data input'!$D$3:$E$130,2,FALSE),0)</f>
        <v>0</v>
      </c>
      <c r="DG78" s="5">
        <f>IF($E78&gt;=DG$2,VLOOKUP($E78-DG$2,'data input'!$D$3:$E$130,2,FALSE),0)</f>
        <v>0</v>
      </c>
      <c r="DH78" s="5">
        <f>IF($E78&gt;=DH$2,VLOOKUP($E78-DH$2,'data input'!$D$3:$E$130,2,FALSE),0)</f>
        <v>0</v>
      </c>
      <c r="DI78" s="5">
        <f>IF($E78&gt;=DI$2,VLOOKUP($E78-DI$2,'data input'!$D$3:$E$130,2,FALSE),0)</f>
        <v>0</v>
      </c>
      <c r="DJ78" s="5">
        <f>IF($E78&gt;=DJ$2,VLOOKUP($E78-DJ$2,'data input'!$D$3:$E$130,2,FALSE),0)</f>
        <v>0</v>
      </c>
      <c r="DK78" s="5">
        <f>IF($E78&gt;=DK$2,VLOOKUP($E78-DK$2,'data input'!$D$3:$E$130,2,FALSE),0)</f>
        <v>0</v>
      </c>
      <c r="DL78" s="5">
        <f>IF($E78&gt;=DL$2,VLOOKUP($E78-DL$2,'data input'!$D$3:$E$130,2,FALSE),0)</f>
        <v>0</v>
      </c>
      <c r="DM78" s="5">
        <f>IF($E78&gt;=DM$2,VLOOKUP($E78-DM$2,'data input'!$D$3:$E$130,2,FALSE),0)</f>
        <v>0</v>
      </c>
      <c r="DN78" s="5">
        <f>IF($E78&gt;=DN$2,VLOOKUP($E78-DN$2,'data input'!$D$3:$E$130,2,FALSE),0)</f>
        <v>0</v>
      </c>
      <c r="DO78" s="5">
        <f>IF($E78&gt;=DO$2,VLOOKUP($E78-DO$2,'data input'!$D$3:$E$130,2,FALSE),0)</f>
        <v>0</v>
      </c>
      <c r="DP78" s="5">
        <f>IF($E78&gt;=DP$2,VLOOKUP($E78-DP$2,'data input'!$D$3:$E$130,2,FALSE),0)</f>
        <v>0</v>
      </c>
      <c r="DQ78" s="5">
        <f>IF($E78&gt;=DQ$2,VLOOKUP($E78-DQ$2,'data input'!$D$3:$E$130,2,FALSE),0)</f>
        <v>0</v>
      </c>
      <c r="DR78" s="5">
        <f>IF($E78&gt;=DR$2,VLOOKUP($E78-DR$2,'data input'!$D$3:$E$130,2,FALSE),0)</f>
        <v>0</v>
      </c>
      <c r="DS78" s="5">
        <f>IF($E78&gt;=DS$2,VLOOKUP($E78-DS$2,'data input'!$D$3:$E$130,2,FALSE),0)</f>
        <v>0</v>
      </c>
      <c r="DT78" s="5">
        <f>IF($E78&gt;=DT$2,VLOOKUP($E78-DT$2,'data input'!$D$3:$E$130,2,FALSE),0)</f>
        <v>0</v>
      </c>
      <c r="DU78" s="5">
        <f>IF($E78&gt;=DU$2,VLOOKUP($E78-DU$2,'data input'!$D$3:$E$130,2,FALSE),0)</f>
        <v>0</v>
      </c>
      <c r="DV78" s="5">
        <f>IF($E78&gt;=DV$2,VLOOKUP($E78-DV$2,'data input'!$D$3:$E$130,2,FALSE),0)</f>
        <v>0</v>
      </c>
      <c r="DW78" s="5">
        <f>IF($E78&gt;=DW$2,VLOOKUP($E78-DW$2,'data input'!$D$3:$E$130,2,FALSE),0)</f>
        <v>0</v>
      </c>
      <c r="DX78" s="5">
        <f>IF($E78&gt;=DX$2,VLOOKUP($E78-DX$2,'data input'!$D$3:$E$130,2,FALSE),0)</f>
        <v>0</v>
      </c>
      <c r="DY78" s="5">
        <f>IF($E78&gt;=DY$2,VLOOKUP($E78-DY$2,'data input'!$D$3:$E$130,2,FALSE),0)</f>
        <v>0</v>
      </c>
      <c r="DZ78" s="5">
        <f>IF($E78&gt;=DZ$2,VLOOKUP($E78-DZ$2,'data input'!$D$3:$E$130,2,FALSE),0)</f>
        <v>0</v>
      </c>
      <c r="EA78" s="5">
        <f>IF($E78&gt;=EA$2,VLOOKUP($E78-EA$2,'data input'!$D$3:$E$130,2,FALSE),0)</f>
        <v>0</v>
      </c>
      <c r="EB78" s="5">
        <f>IF($E78&gt;=EB$2,VLOOKUP($E78-EB$2,'data input'!$D$3:$E$130,2,FALSE),0)</f>
        <v>0</v>
      </c>
      <c r="EC78" s="5">
        <f>IF($E78&gt;=EC$2,VLOOKUP($E78-EC$2,'data input'!$D$3:$E$130,2,FALSE),0)</f>
        <v>0</v>
      </c>
    </row>
    <row r="79" spans="5:133">
      <c r="E79" s="7">
        <f>'data input'!B79</f>
        <v>1954</v>
      </c>
      <c r="F79" s="5">
        <f>IF($E79&gt;=F$2,VLOOKUP($E79-F$2,'data input'!$D$3:$E$130,2,FALSE),0)</f>
        <v>3.4669738030406183E-3</v>
      </c>
      <c r="G79" s="5">
        <f>IF($E79&gt;=G$2,VLOOKUP($E79-G$2,'data input'!$D$3:$E$130,2,FALSE),0)</f>
        <v>4.3324483630126087E-3</v>
      </c>
      <c r="H79" s="5">
        <f>IF($E79&gt;=H$2,VLOOKUP($E79-H$2,'data input'!$D$3:$E$130,2,FALSE),0)</f>
        <v>5.3861459540667234E-3</v>
      </c>
      <c r="I79" s="5">
        <f>IF($E79&gt;=I$2,VLOOKUP($E79-I$2,'data input'!$D$3:$E$130,2,FALSE),0)</f>
        <v>6.6618087919827484E-3</v>
      </c>
      <c r="J79" s="5">
        <f>IF($E79&gt;=J$2,VLOOKUP($E79-J$2,'data input'!$D$3:$E$130,2,FALSE),0)</f>
        <v>8.1975359245961554E-3</v>
      </c>
      <c r="K79" s="5">
        <f>IF($E79&gt;=K$2,VLOOKUP($E79-K$2,'data input'!$D$3:$E$130,2,FALSE),0)</f>
        <v>1.0035980100274067E-2</v>
      </c>
      <c r="L79" s="5">
        <f>IF($E79&gt;=L$2,VLOOKUP($E79-L$2,'data input'!$D$3:$E$130,2,FALSE),0)</f>
        <v>1.2224472655044671E-2</v>
      </c>
      <c r="M79" s="5">
        <f>IF($E79&gt;=M$2,VLOOKUP($E79-M$2,'data input'!$D$3:$E$130,2,FALSE),0)</f>
        <v>1.4815058192609865E-2</v>
      </c>
      <c r="N79" s="5">
        <f>IF($E79&gt;=N$2,VLOOKUP($E79-N$2,'data input'!$D$3:$E$130,2,FALSE),0)</f>
        <v>1.7864420562816563E-2</v>
      </c>
      <c r="O79" s="5">
        <f>IF($E79&gt;=O$2,VLOOKUP($E79-O$2,'data input'!$D$3:$E$130,2,FALSE),0)</f>
        <v>2.1433682114152974E-2</v>
      </c>
      <c r="P79" s="5">
        <f>IF($E79&gt;=P$2,VLOOKUP($E79-P$2,'data input'!$D$3:$E$130,2,FALSE),0)</f>
        <v>2.5588059521638562E-2</v>
      </c>
      <c r="Q79" s="5">
        <f>IF($E79&gt;=Q$2,VLOOKUP($E79-Q$2,'data input'!$D$3:$E$130,2,FALSE),0)</f>
        <v>3.0396361765261393E-2</v>
      </c>
      <c r="R79" s="5">
        <f>IF($E79&gt;=R$2,VLOOKUP($E79-R$2,'data input'!$D$3:$E$130,2,FALSE),0)</f>
        <v>3.5930319112925768E-2</v>
      </c>
      <c r="S79" s="5">
        <f>IF($E79&gt;=S$2,VLOOKUP($E79-S$2,'data input'!$D$3:$E$130,2,FALSE),0)</f>
        <v>4.2263736257952433E-2</v>
      </c>
      <c r="T79" s="5">
        <f>IF($E79&gt;=T$2,VLOOKUP($E79-T$2,'data input'!$D$3:$E$130,2,FALSE),0)</f>
        <v>4.9471468033648103E-2</v>
      </c>
      <c r="U79" s="5">
        <f>IF($E79&gt;=U$2,VLOOKUP($E79-U$2,'data input'!$D$3:$E$130,2,FALSE),0)</f>
        <v>5.7628222276153163E-2</v>
      </c>
      <c r="V79" s="5">
        <f>IF($E79&gt;=V$2,VLOOKUP($E79-V$2,'data input'!$D$3:$E$130,2,FALSE),0)</f>
        <v>6.6807201268858085E-2</v>
      </c>
      <c r="W79" s="5">
        <f>IF($E79&gt;=W$2,VLOOKUP($E79-W$2,'data input'!$D$3:$E$130,2,FALSE),0)</f>
        <v>7.707860055207183E-2</v>
      </c>
      <c r="X79" s="5">
        <f>IF($E79&gt;=X$2,VLOOKUP($E79-X$2,'data input'!$D$3:$E$130,2,FALSE),0)</f>
        <v>8.8507991437402067E-2</v>
      </c>
      <c r="Y79" s="5">
        <f>IF($E79&gt;=Y$2,VLOOKUP($E79-Y$2,'data input'!$D$3:$E$130,2,FALSE),0)</f>
        <v>0.10115462099558592</v>
      </c>
      <c r="Z79" s="5">
        <f>IF($E79&gt;=Z$2,VLOOKUP($E79-Z$2,'data input'!$D$3:$E$130,2,FALSE),0)</f>
        <v>0.11506967022170822</v>
      </c>
      <c r="AA79" s="5">
        <f>IF($E79&gt;=AA$2,VLOOKUP($E79-AA$2,'data input'!$D$3:$E$130,2,FALSE),0)</f>
        <v>0.13029451713680884</v>
      </c>
      <c r="AB79" s="5">
        <f>IF($E79&gt;=AB$2,VLOOKUP($E79-AB$2,'data input'!$D$3:$E$130,2,FALSE),0)</f>
        <v>0.14685905637589591</v>
      </c>
      <c r="AC79" s="5">
        <f>IF($E79&gt;=AC$2,VLOOKUP($E79-AC$2,'data input'!$D$3:$E$130,2,FALSE),0)</f>
        <v>0.16478012998031033</v>
      </c>
      <c r="AD79" s="5">
        <f>IF($E79&gt;=AD$2,VLOOKUP($E79-AD$2,'data input'!$D$3:$E$130,2,FALSE),0)</f>
        <v>0.18406012534675953</v>
      </c>
      <c r="AE79" s="5">
        <f>IF($E79&gt;=AE$2,VLOOKUP($E79-AE$2,'data input'!$D$3:$E$130,2,FALSE),0)</f>
        <v>0.20468579534725262</v>
      </c>
      <c r="AF79" s="5">
        <f>IF($E79&gt;=AF$2,VLOOKUP($E79-AF$2,'data input'!$D$3:$E$130,2,FALSE),0)</f>
        <v>0.22662735237686826</v>
      </c>
      <c r="AG79" s="5">
        <f>IF($E79&gt;=AG$2,VLOOKUP($E79-AG$2,'data input'!$D$3:$E$130,2,FALSE),0)</f>
        <v>0.24983788247177696</v>
      </c>
      <c r="AH79" s="5">
        <f>IF($E79&gt;=AH$2,VLOOKUP($E79-AH$2,'data input'!$D$3:$E$130,2,FALSE),0)</f>
        <v>0.27425311775007355</v>
      </c>
      <c r="AI79" s="5">
        <f>IF($E79&gt;=AI$2,VLOOKUP($E79-AI$2,'data input'!$D$3:$E$130,2,FALSE),0)</f>
        <v>0.29979159546869583</v>
      </c>
      <c r="AJ79" s="5">
        <f>IF($E79&gt;=AJ$2,VLOOKUP($E79-AJ$2,'data input'!$D$3:$E$130,2,FALSE),0)</f>
        <v>0.32635522028792008</v>
      </c>
      <c r="AK79" s="5">
        <f>IF($E79&gt;=AK$2,VLOOKUP($E79-AK$2,'data input'!$D$3:$E$130,2,FALSE),0)</f>
        <v>0.35383023332727614</v>
      </c>
      <c r="AL79" s="5">
        <f>IF($E79&gt;=AL$2,VLOOKUP($E79-AL$2,'data input'!$D$3:$E$130,2,FALSE),0)</f>
        <v>0.38208857781104733</v>
      </c>
      <c r="AM79" s="5">
        <f>IF($E79&gt;=AM$2,VLOOKUP($E79-AM$2,'data input'!$D$3:$E$130,2,FALSE),0)</f>
        <v>0.41098963713127035</v>
      </c>
      <c r="AN79" s="5">
        <f>IF($E79&gt;=AN$2,VLOOKUP($E79-AN$2,'data input'!$D$3:$E$130,2,FALSE),0)</f>
        <v>0.4403823076297575</v>
      </c>
      <c r="AO79" s="5">
        <f>IF($E79&gt;=AO$2,VLOOKUP($E79-AO$2,'data input'!$D$3:$E$130,2,FALSE),0)</f>
        <v>0.47010735594710518</v>
      </c>
      <c r="AP79" s="5">
        <f>IF($E79&gt;=AP$2,VLOOKUP($E79-AP$2,'data input'!$D$3:$E$130,2,FALSE),0)</f>
        <v>0.5</v>
      </c>
      <c r="AQ79" s="5">
        <f>IF($E79&gt;=AQ$2,VLOOKUP($E79-AQ$2,'data input'!$D$3:$E$130,2,FALSE),0)</f>
        <v>0.52989264405289482</v>
      </c>
      <c r="AR79" s="5">
        <f>IF($E79&gt;=AR$2,VLOOKUP($E79-AR$2,'data input'!$D$3:$E$130,2,FALSE),0)</f>
        <v>0.5596176923702425</v>
      </c>
      <c r="AS79" s="5">
        <f>IF($E79&gt;=AS$2,VLOOKUP($E79-AS$2,'data input'!$D$3:$E$130,2,FALSE),0)</f>
        <v>0.58901036286872965</v>
      </c>
      <c r="AT79" s="5">
        <f>IF($E79&gt;=AT$2,VLOOKUP($E79-AT$2,'data input'!$D$3:$E$130,2,FALSE),0)</f>
        <v>0.61791142218895267</v>
      </c>
      <c r="AU79" s="5">
        <f>IF($E79&gt;=AU$2,VLOOKUP($E79-AU$2,'data input'!$D$3:$E$130,2,FALSE),0)</f>
        <v>0.64616976667272386</v>
      </c>
      <c r="AV79" s="5">
        <f>IF($E79&gt;=AV$2,VLOOKUP($E79-AV$2,'data input'!$D$3:$E$130,2,FALSE),0)</f>
        <v>0.67364477971207992</v>
      </c>
      <c r="AW79" s="5">
        <f>IF($E79&gt;=AW$2,VLOOKUP($E79-AW$2,'data input'!$D$3:$E$130,2,FALSE),0)</f>
        <v>0.70020840453130417</v>
      </c>
      <c r="AX79" s="5">
        <f>IF($E79&gt;=AX$2,VLOOKUP($E79-AX$2,'data input'!$D$3:$E$130,2,FALSE),0)</f>
        <v>0.72574688224992645</v>
      </c>
      <c r="AY79" s="5">
        <f>IF($E79&gt;=AY$2,VLOOKUP($E79-AY$2,'data input'!$D$3:$E$130,2,FALSE),0)</f>
        <v>0.75016211752822304</v>
      </c>
      <c r="AZ79" s="5">
        <f>IF($E79&gt;=AZ$2,VLOOKUP($E79-AZ$2,'data input'!$D$3:$E$130,2,FALSE),0)</f>
        <v>0.77337264762313174</v>
      </c>
      <c r="BA79" s="5">
        <f>IF($E79&gt;=BA$2,VLOOKUP($E79-BA$2,'data input'!$D$3:$E$130,2,FALSE),0)</f>
        <v>0.79531420465274738</v>
      </c>
      <c r="BB79" s="5">
        <f>IF($E79&gt;=BB$2,VLOOKUP($E79-BB$2,'data input'!$D$3:$E$130,2,FALSE),0)</f>
        <v>0.81593987465324047</v>
      </c>
      <c r="BC79" s="5">
        <f>IF($E79&gt;=BC$2,VLOOKUP($E79-BC$2,'data input'!$D$3:$E$130,2,FALSE),0)</f>
        <v>0.83521987001968967</v>
      </c>
      <c r="BD79" s="5">
        <f>IF($E79&gt;=BD$2,VLOOKUP($E79-BD$2,'data input'!$D$3:$E$130,2,FALSE),0)</f>
        <v>0.85314094362410409</v>
      </c>
      <c r="BE79" s="5">
        <f>IF($E79&gt;=BE$2,VLOOKUP($E79-BE$2,'data input'!$D$3:$E$130,2,FALSE),0)</f>
        <v>0.86970548286319116</v>
      </c>
      <c r="BF79" s="5">
        <f>IF($E79&gt;=BF$2,VLOOKUP($E79-BF$2,'data input'!$D$3:$E$130,2,FALSE),0)</f>
        <v>0.88493032977829178</v>
      </c>
      <c r="BG79" s="5">
        <f>IF($E79&gt;=BG$2,VLOOKUP($E79-BG$2,'data input'!$D$3:$E$130,2,FALSE),0)</f>
        <v>0.89884537900441408</v>
      </c>
      <c r="BH79" s="5">
        <f>IF($E79&gt;=BH$2,VLOOKUP($E79-BH$2,'data input'!$D$3:$E$130,2,FALSE),0)</f>
        <v>0.91149200856259793</v>
      </c>
      <c r="BI79" s="5">
        <f>IF($E79&gt;=BI$2,VLOOKUP($E79-BI$2,'data input'!$D$3:$E$130,2,FALSE),0)</f>
        <v>0.92292139944792817</v>
      </c>
      <c r="BJ79" s="5">
        <f>IF($E79&gt;=BJ$2,VLOOKUP($E79-BJ$2,'data input'!$D$3:$E$130,2,FALSE),0)</f>
        <v>0.93319279873114191</v>
      </c>
      <c r="BK79" s="5">
        <f>IF($E79&gt;=BK$2,VLOOKUP($E79-BK$2,'data input'!$D$3:$E$130,2,FALSE),0)</f>
        <v>0.94237177772384684</v>
      </c>
      <c r="BL79" s="5">
        <f>IF($E79&gt;=BL$2,VLOOKUP($E79-BL$2,'data input'!$D$3:$E$130,2,FALSE),0)</f>
        <v>0.9505285319663519</v>
      </c>
      <c r="BM79" s="5">
        <f>IF($E79&gt;=BM$2,VLOOKUP($E79-BM$2,'data input'!$D$3:$E$130,2,FALSE),0)</f>
        <v>0.95773626374204757</v>
      </c>
      <c r="BN79" s="5">
        <f>IF($E79&gt;=BN$2,VLOOKUP($E79-BN$2,'data input'!$D$3:$E$130,2,FALSE),0)</f>
        <v>0.96406968088707423</v>
      </c>
      <c r="BO79" s="5">
        <f>IF($E79&gt;=BO$2,VLOOKUP($E79-BO$2,'data input'!$D$3:$E$130,2,FALSE),0)</f>
        <v>0.96960363823473861</v>
      </c>
      <c r="BP79" s="5">
        <f>IF($E79&gt;=BP$2,VLOOKUP($E79-BP$2,'data input'!$D$3:$E$130,2,FALSE),0)</f>
        <v>0.97441194047836144</v>
      </c>
      <c r="BQ79" s="5">
        <f>IF($E79&gt;=BQ$2,VLOOKUP($E79-BQ$2,'data input'!$D$3:$E$130,2,FALSE),0)</f>
        <v>0.97856631788584703</v>
      </c>
      <c r="BR79" s="5">
        <f>IF($E79&gt;=BR$2,VLOOKUP($E79-BR$2,'data input'!$D$3:$E$130,2,FALSE),0)</f>
        <v>0.98213557943718344</v>
      </c>
      <c r="BS79" s="5">
        <f>IF($E79&gt;=BS$2,VLOOKUP($E79-BS$2,'data input'!$D$3:$E$130,2,FALSE),0)</f>
        <v>0.98518494180739014</v>
      </c>
      <c r="BT79" s="5">
        <f>IF($E79&gt;=BT$2,VLOOKUP($E79-BT$2,'data input'!$D$3:$E$130,2,FALSE),0)</f>
        <v>0.98777552734495533</v>
      </c>
      <c r="BU79" s="5">
        <f>IF($E79&gt;=BU$2,VLOOKUP($E79-BU$2,'data input'!$D$3:$E$130,2,FALSE),0)</f>
        <v>0.98996401989972593</v>
      </c>
      <c r="BV79" s="5">
        <f>IF($E79&gt;=BV$2,VLOOKUP($E79-BV$2,'data input'!$D$3:$E$130,2,FALSE),0)</f>
        <v>0.99180246407540384</v>
      </c>
      <c r="BW79" s="5">
        <f>IF($E79&gt;=BW$2,VLOOKUP($E79-BW$2,'data input'!$D$3:$E$130,2,FALSE),0)</f>
        <v>0.99333819120801725</v>
      </c>
      <c r="BX79" s="5">
        <f>IF($E79&gt;=BX$2,VLOOKUP($E79-BX$2,'data input'!$D$3:$E$130,2,FALSE),0)</f>
        <v>0.99461385404593328</v>
      </c>
      <c r="BY79" s="5">
        <f>IF($E79&gt;=BY$2,VLOOKUP($E79-BY$2,'data input'!$D$3:$E$130,2,FALSE),0)</f>
        <v>0.99566755163698739</v>
      </c>
      <c r="BZ79" s="5">
        <f>IF($E79&gt;=BZ$2,VLOOKUP($E79-BZ$2,'data input'!$D$3:$E$130,2,FALSE),0)</f>
        <v>0.99653302619695938</v>
      </c>
      <c r="CA79" s="5">
        <f>IF($E79&gt;=CA$2,VLOOKUP($E79-CA$2,'data input'!$D$3:$E$130,2,FALSE),0)</f>
        <v>0.99723991460873751</v>
      </c>
      <c r="CB79" s="5">
        <f>IF($E79&gt;=CB$2,VLOOKUP($E79-CB$2,'data input'!$D$3:$E$130,2,FALSE),0)</f>
        <v>0.99781403854508677</v>
      </c>
      <c r="CC79" s="5">
        <f>IF($E79&gt;=CC$2,VLOOKUP($E79-CC$2,'data input'!$D$3:$E$130,2,FALSE),0)</f>
        <v>0.99827771888413241</v>
      </c>
      <c r="CD79" s="5">
        <f>IF($E79&gt;=CD$2,VLOOKUP($E79-CD$2,'data input'!$D$3:$E$130,2,FALSE),0)</f>
        <v>0.9986501019683699</v>
      </c>
      <c r="CE79" s="5">
        <f>IF($E79&gt;=CE$2,VLOOKUP($E79-CE$2,'data input'!$D$3:$E$130,2,FALSE),0)</f>
        <v>0</v>
      </c>
      <c r="CF79" s="5">
        <f>IF($E79&gt;=CF$2,VLOOKUP($E79-CF$2,'data input'!$D$3:$E$130,2,FALSE),0)</f>
        <v>0</v>
      </c>
      <c r="CG79" s="5">
        <f>IF($E79&gt;=CG$2,VLOOKUP($E79-CG$2,'data input'!$D$3:$E$130,2,FALSE),0)</f>
        <v>0</v>
      </c>
      <c r="CH79" s="5">
        <f>IF($E79&gt;=CH$2,VLOOKUP($E79-CH$2,'data input'!$D$3:$E$130,2,FALSE),0)</f>
        <v>0</v>
      </c>
      <c r="CI79" s="5">
        <f>IF($E79&gt;=CI$2,VLOOKUP($E79-CI$2,'data input'!$D$3:$E$130,2,FALSE),0)</f>
        <v>0</v>
      </c>
      <c r="CJ79" s="5">
        <f>IF($E79&gt;=CJ$2,VLOOKUP($E79-CJ$2,'data input'!$D$3:$E$130,2,FALSE),0)</f>
        <v>0</v>
      </c>
      <c r="CK79" s="5">
        <f>IF($E79&gt;=CK$2,VLOOKUP($E79-CK$2,'data input'!$D$3:$E$130,2,FALSE),0)</f>
        <v>0</v>
      </c>
      <c r="CL79" s="5">
        <f>IF($E79&gt;=CL$2,VLOOKUP($E79-CL$2,'data input'!$D$3:$E$130,2,FALSE),0)</f>
        <v>0</v>
      </c>
      <c r="CM79" s="5">
        <f>IF($E79&gt;=CM$2,VLOOKUP($E79-CM$2,'data input'!$D$3:$E$130,2,FALSE),0)</f>
        <v>0</v>
      </c>
      <c r="CN79" s="5">
        <f>IF($E79&gt;=CN$2,VLOOKUP($E79-CN$2,'data input'!$D$3:$E$130,2,FALSE),0)</f>
        <v>0</v>
      </c>
      <c r="CO79" s="5">
        <f>IF($E79&gt;=CO$2,VLOOKUP($E79-CO$2,'data input'!$D$3:$E$130,2,FALSE),0)</f>
        <v>0</v>
      </c>
      <c r="CP79" s="5">
        <f>IF($E79&gt;=CP$2,VLOOKUP($E79-CP$2,'data input'!$D$3:$E$130,2,FALSE),0)</f>
        <v>0</v>
      </c>
      <c r="CQ79" s="5">
        <f>IF($E79&gt;=CQ$2,VLOOKUP($E79-CQ$2,'data input'!$D$3:$E$130,2,FALSE),0)</f>
        <v>0</v>
      </c>
      <c r="CR79" s="5">
        <f>IF($E79&gt;=CR$2,VLOOKUP($E79-CR$2,'data input'!$D$3:$E$130,2,FALSE),0)</f>
        <v>0</v>
      </c>
      <c r="CS79" s="5">
        <f>IF($E79&gt;=CS$2,VLOOKUP($E79-CS$2,'data input'!$D$3:$E$130,2,FALSE),0)</f>
        <v>0</v>
      </c>
      <c r="CT79" s="5">
        <f>IF($E79&gt;=CT$2,VLOOKUP($E79-CT$2,'data input'!$D$3:$E$130,2,FALSE),0)</f>
        <v>0</v>
      </c>
      <c r="CU79" s="5">
        <f>IF($E79&gt;=CU$2,VLOOKUP($E79-CU$2,'data input'!$D$3:$E$130,2,FALSE),0)</f>
        <v>0</v>
      </c>
      <c r="CV79" s="5">
        <f>IF($E79&gt;=CV$2,VLOOKUP($E79-CV$2,'data input'!$D$3:$E$130,2,FALSE),0)</f>
        <v>0</v>
      </c>
      <c r="CW79" s="5">
        <f>IF($E79&gt;=CW$2,VLOOKUP($E79-CW$2,'data input'!$D$3:$E$130,2,FALSE),0)</f>
        <v>0</v>
      </c>
      <c r="CX79" s="5">
        <f>IF($E79&gt;=CX$2,VLOOKUP($E79-CX$2,'data input'!$D$3:$E$130,2,FALSE),0)</f>
        <v>0</v>
      </c>
      <c r="CY79" s="5">
        <f>IF($E79&gt;=CY$2,VLOOKUP($E79-CY$2,'data input'!$D$3:$E$130,2,FALSE),0)</f>
        <v>0</v>
      </c>
      <c r="CZ79" s="5">
        <f>IF($E79&gt;=CZ$2,VLOOKUP($E79-CZ$2,'data input'!$D$3:$E$130,2,FALSE),0)</f>
        <v>0</v>
      </c>
      <c r="DA79" s="5">
        <f>IF($E79&gt;=DA$2,VLOOKUP($E79-DA$2,'data input'!$D$3:$E$130,2,FALSE),0)</f>
        <v>0</v>
      </c>
      <c r="DB79" s="5">
        <f>IF($E79&gt;=DB$2,VLOOKUP($E79-DB$2,'data input'!$D$3:$E$130,2,FALSE),0)</f>
        <v>0</v>
      </c>
      <c r="DC79" s="5">
        <f>IF($E79&gt;=DC$2,VLOOKUP($E79-DC$2,'data input'!$D$3:$E$130,2,FALSE),0)</f>
        <v>0</v>
      </c>
      <c r="DD79" s="5">
        <f>IF($E79&gt;=DD$2,VLOOKUP($E79-DD$2,'data input'!$D$3:$E$130,2,FALSE),0)</f>
        <v>0</v>
      </c>
      <c r="DE79" s="5">
        <f>IF($E79&gt;=DE$2,VLOOKUP($E79-DE$2,'data input'!$D$3:$E$130,2,FALSE),0)</f>
        <v>0</v>
      </c>
      <c r="DF79" s="5">
        <f>IF($E79&gt;=DF$2,VLOOKUP($E79-DF$2,'data input'!$D$3:$E$130,2,FALSE),0)</f>
        <v>0</v>
      </c>
      <c r="DG79" s="5">
        <f>IF($E79&gt;=DG$2,VLOOKUP($E79-DG$2,'data input'!$D$3:$E$130,2,FALSE),0)</f>
        <v>0</v>
      </c>
      <c r="DH79" s="5">
        <f>IF($E79&gt;=DH$2,VLOOKUP($E79-DH$2,'data input'!$D$3:$E$130,2,FALSE),0)</f>
        <v>0</v>
      </c>
      <c r="DI79" s="5">
        <f>IF($E79&gt;=DI$2,VLOOKUP($E79-DI$2,'data input'!$D$3:$E$130,2,FALSE),0)</f>
        <v>0</v>
      </c>
      <c r="DJ79" s="5">
        <f>IF($E79&gt;=DJ$2,VLOOKUP($E79-DJ$2,'data input'!$D$3:$E$130,2,FALSE),0)</f>
        <v>0</v>
      </c>
      <c r="DK79" s="5">
        <f>IF($E79&gt;=DK$2,VLOOKUP($E79-DK$2,'data input'!$D$3:$E$130,2,FALSE),0)</f>
        <v>0</v>
      </c>
      <c r="DL79" s="5">
        <f>IF($E79&gt;=DL$2,VLOOKUP($E79-DL$2,'data input'!$D$3:$E$130,2,FALSE),0)</f>
        <v>0</v>
      </c>
      <c r="DM79" s="5">
        <f>IF($E79&gt;=DM$2,VLOOKUP($E79-DM$2,'data input'!$D$3:$E$130,2,FALSE),0)</f>
        <v>0</v>
      </c>
      <c r="DN79" s="5">
        <f>IF($E79&gt;=DN$2,VLOOKUP($E79-DN$2,'data input'!$D$3:$E$130,2,FALSE),0)</f>
        <v>0</v>
      </c>
      <c r="DO79" s="5">
        <f>IF($E79&gt;=DO$2,VLOOKUP($E79-DO$2,'data input'!$D$3:$E$130,2,FALSE),0)</f>
        <v>0</v>
      </c>
      <c r="DP79" s="5">
        <f>IF($E79&gt;=DP$2,VLOOKUP($E79-DP$2,'data input'!$D$3:$E$130,2,FALSE),0)</f>
        <v>0</v>
      </c>
      <c r="DQ79" s="5">
        <f>IF($E79&gt;=DQ$2,VLOOKUP($E79-DQ$2,'data input'!$D$3:$E$130,2,FALSE),0)</f>
        <v>0</v>
      </c>
      <c r="DR79" s="5">
        <f>IF($E79&gt;=DR$2,VLOOKUP($E79-DR$2,'data input'!$D$3:$E$130,2,FALSE),0)</f>
        <v>0</v>
      </c>
      <c r="DS79" s="5">
        <f>IF($E79&gt;=DS$2,VLOOKUP($E79-DS$2,'data input'!$D$3:$E$130,2,FALSE),0)</f>
        <v>0</v>
      </c>
      <c r="DT79" s="5">
        <f>IF($E79&gt;=DT$2,VLOOKUP($E79-DT$2,'data input'!$D$3:$E$130,2,FALSE),0)</f>
        <v>0</v>
      </c>
      <c r="DU79" s="5">
        <f>IF($E79&gt;=DU$2,VLOOKUP($E79-DU$2,'data input'!$D$3:$E$130,2,FALSE),0)</f>
        <v>0</v>
      </c>
      <c r="DV79" s="5">
        <f>IF($E79&gt;=DV$2,VLOOKUP($E79-DV$2,'data input'!$D$3:$E$130,2,FALSE),0)</f>
        <v>0</v>
      </c>
      <c r="DW79" s="5">
        <f>IF($E79&gt;=DW$2,VLOOKUP($E79-DW$2,'data input'!$D$3:$E$130,2,FALSE),0)</f>
        <v>0</v>
      </c>
      <c r="DX79" s="5">
        <f>IF($E79&gt;=DX$2,VLOOKUP($E79-DX$2,'data input'!$D$3:$E$130,2,FALSE),0)</f>
        <v>0</v>
      </c>
      <c r="DY79" s="5">
        <f>IF($E79&gt;=DY$2,VLOOKUP($E79-DY$2,'data input'!$D$3:$E$130,2,FALSE),0)</f>
        <v>0</v>
      </c>
      <c r="DZ79" s="5">
        <f>IF($E79&gt;=DZ$2,VLOOKUP($E79-DZ$2,'data input'!$D$3:$E$130,2,FALSE),0)</f>
        <v>0</v>
      </c>
      <c r="EA79" s="5">
        <f>IF($E79&gt;=EA$2,VLOOKUP($E79-EA$2,'data input'!$D$3:$E$130,2,FALSE),0)</f>
        <v>0</v>
      </c>
      <c r="EB79" s="5">
        <f>IF($E79&gt;=EB$2,VLOOKUP($E79-EB$2,'data input'!$D$3:$E$130,2,FALSE),0)</f>
        <v>0</v>
      </c>
      <c r="EC79" s="5">
        <f>IF($E79&gt;=EC$2,VLOOKUP($E79-EC$2,'data input'!$D$3:$E$130,2,FALSE),0)</f>
        <v>0</v>
      </c>
    </row>
    <row r="80" spans="5:133">
      <c r="E80" s="7">
        <f>'data input'!B80</f>
        <v>1955</v>
      </c>
      <c r="F80" s="5">
        <f>IF($E80&gt;=F$2,VLOOKUP($E80-F$2,'data input'!$D$3:$E$130,2,FALSE),0)</f>
        <v>2.7600853912624901E-3</v>
      </c>
      <c r="G80" s="5">
        <f>IF($E80&gt;=G$2,VLOOKUP($E80-G$2,'data input'!$D$3:$E$130,2,FALSE),0)</f>
        <v>3.4669738030406183E-3</v>
      </c>
      <c r="H80" s="5">
        <f>IF($E80&gt;=H$2,VLOOKUP($E80-H$2,'data input'!$D$3:$E$130,2,FALSE),0)</f>
        <v>4.3324483630126087E-3</v>
      </c>
      <c r="I80" s="5">
        <f>IF($E80&gt;=I$2,VLOOKUP($E80-I$2,'data input'!$D$3:$E$130,2,FALSE),0)</f>
        <v>5.3861459540667234E-3</v>
      </c>
      <c r="J80" s="5">
        <f>IF($E80&gt;=J$2,VLOOKUP($E80-J$2,'data input'!$D$3:$E$130,2,FALSE),0)</f>
        <v>6.6618087919827484E-3</v>
      </c>
      <c r="K80" s="5">
        <f>IF($E80&gt;=K$2,VLOOKUP($E80-K$2,'data input'!$D$3:$E$130,2,FALSE),0)</f>
        <v>8.1975359245961554E-3</v>
      </c>
      <c r="L80" s="5">
        <f>IF($E80&gt;=L$2,VLOOKUP($E80-L$2,'data input'!$D$3:$E$130,2,FALSE),0)</f>
        <v>1.0035980100274067E-2</v>
      </c>
      <c r="M80" s="5">
        <f>IF($E80&gt;=M$2,VLOOKUP($E80-M$2,'data input'!$D$3:$E$130,2,FALSE),0)</f>
        <v>1.2224472655044671E-2</v>
      </c>
      <c r="N80" s="5">
        <f>IF($E80&gt;=N$2,VLOOKUP($E80-N$2,'data input'!$D$3:$E$130,2,FALSE),0)</f>
        <v>1.4815058192609865E-2</v>
      </c>
      <c r="O80" s="5">
        <f>IF($E80&gt;=O$2,VLOOKUP($E80-O$2,'data input'!$D$3:$E$130,2,FALSE),0)</f>
        <v>1.7864420562816563E-2</v>
      </c>
      <c r="P80" s="5">
        <f>IF($E80&gt;=P$2,VLOOKUP($E80-P$2,'data input'!$D$3:$E$130,2,FALSE),0)</f>
        <v>2.1433682114152974E-2</v>
      </c>
      <c r="Q80" s="5">
        <f>IF($E80&gt;=Q$2,VLOOKUP($E80-Q$2,'data input'!$D$3:$E$130,2,FALSE),0)</f>
        <v>2.5588059521638562E-2</v>
      </c>
      <c r="R80" s="5">
        <f>IF($E80&gt;=R$2,VLOOKUP($E80-R$2,'data input'!$D$3:$E$130,2,FALSE),0)</f>
        <v>3.0396361765261393E-2</v>
      </c>
      <c r="S80" s="5">
        <f>IF($E80&gt;=S$2,VLOOKUP($E80-S$2,'data input'!$D$3:$E$130,2,FALSE),0)</f>
        <v>3.5930319112925768E-2</v>
      </c>
      <c r="T80" s="5">
        <f>IF($E80&gt;=T$2,VLOOKUP($E80-T$2,'data input'!$D$3:$E$130,2,FALSE),0)</f>
        <v>4.2263736257952433E-2</v>
      </c>
      <c r="U80" s="5">
        <f>IF($E80&gt;=U$2,VLOOKUP($E80-U$2,'data input'!$D$3:$E$130,2,FALSE),0)</f>
        <v>4.9471468033648103E-2</v>
      </c>
      <c r="V80" s="5">
        <f>IF($E80&gt;=V$2,VLOOKUP($E80-V$2,'data input'!$D$3:$E$130,2,FALSE),0)</f>
        <v>5.7628222276153163E-2</v>
      </c>
      <c r="W80" s="5">
        <f>IF($E80&gt;=W$2,VLOOKUP($E80-W$2,'data input'!$D$3:$E$130,2,FALSE),0)</f>
        <v>6.6807201268858085E-2</v>
      </c>
      <c r="X80" s="5">
        <f>IF($E80&gt;=X$2,VLOOKUP($E80-X$2,'data input'!$D$3:$E$130,2,FALSE),0)</f>
        <v>7.707860055207183E-2</v>
      </c>
      <c r="Y80" s="5">
        <f>IF($E80&gt;=Y$2,VLOOKUP($E80-Y$2,'data input'!$D$3:$E$130,2,FALSE),0)</f>
        <v>8.8507991437402067E-2</v>
      </c>
      <c r="Z80" s="5">
        <f>IF($E80&gt;=Z$2,VLOOKUP($E80-Z$2,'data input'!$D$3:$E$130,2,FALSE),0)</f>
        <v>0.10115462099558592</v>
      </c>
      <c r="AA80" s="5">
        <f>IF($E80&gt;=AA$2,VLOOKUP($E80-AA$2,'data input'!$D$3:$E$130,2,FALSE),0)</f>
        <v>0.11506967022170822</v>
      </c>
      <c r="AB80" s="5">
        <f>IF($E80&gt;=AB$2,VLOOKUP($E80-AB$2,'data input'!$D$3:$E$130,2,FALSE),0)</f>
        <v>0.13029451713680884</v>
      </c>
      <c r="AC80" s="5">
        <f>IF($E80&gt;=AC$2,VLOOKUP($E80-AC$2,'data input'!$D$3:$E$130,2,FALSE),0)</f>
        <v>0.14685905637589591</v>
      </c>
      <c r="AD80" s="5">
        <f>IF($E80&gt;=AD$2,VLOOKUP($E80-AD$2,'data input'!$D$3:$E$130,2,FALSE),0)</f>
        <v>0.16478012998031033</v>
      </c>
      <c r="AE80" s="5">
        <f>IF($E80&gt;=AE$2,VLOOKUP($E80-AE$2,'data input'!$D$3:$E$130,2,FALSE),0)</f>
        <v>0.18406012534675953</v>
      </c>
      <c r="AF80" s="5">
        <f>IF($E80&gt;=AF$2,VLOOKUP($E80-AF$2,'data input'!$D$3:$E$130,2,FALSE),0)</f>
        <v>0.20468579534725262</v>
      </c>
      <c r="AG80" s="5">
        <f>IF($E80&gt;=AG$2,VLOOKUP($E80-AG$2,'data input'!$D$3:$E$130,2,FALSE),0)</f>
        <v>0.22662735237686826</v>
      </c>
      <c r="AH80" s="5">
        <f>IF($E80&gt;=AH$2,VLOOKUP($E80-AH$2,'data input'!$D$3:$E$130,2,FALSE),0)</f>
        <v>0.24983788247177696</v>
      </c>
      <c r="AI80" s="5">
        <f>IF($E80&gt;=AI$2,VLOOKUP($E80-AI$2,'data input'!$D$3:$E$130,2,FALSE),0)</f>
        <v>0.27425311775007355</v>
      </c>
      <c r="AJ80" s="5">
        <f>IF($E80&gt;=AJ$2,VLOOKUP($E80-AJ$2,'data input'!$D$3:$E$130,2,FALSE),0)</f>
        <v>0.29979159546869583</v>
      </c>
      <c r="AK80" s="5">
        <f>IF($E80&gt;=AK$2,VLOOKUP($E80-AK$2,'data input'!$D$3:$E$130,2,FALSE),0)</f>
        <v>0.32635522028792008</v>
      </c>
      <c r="AL80" s="5">
        <f>IF($E80&gt;=AL$2,VLOOKUP($E80-AL$2,'data input'!$D$3:$E$130,2,FALSE),0)</f>
        <v>0.35383023332727614</v>
      </c>
      <c r="AM80" s="5">
        <f>IF($E80&gt;=AM$2,VLOOKUP($E80-AM$2,'data input'!$D$3:$E$130,2,FALSE),0)</f>
        <v>0.38208857781104733</v>
      </c>
      <c r="AN80" s="5">
        <f>IF($E80&gt;=AN$2,VLOOKUP($E80-AN$2,'data input'!$D$3:$E$130,2,FALSE),0)</f>
        <v>0.41098963713127035</v>
      </c>
      <c r="AO80" s="5">
        <f>IF($E80&gt;=AO$2,VLOOKUP($E80-AO$2,'data input'!$D$3:$E$130,2,FALSE),0)</f>
        <v>0.4403823076297575</v>
      </c>
      <c r="AP80" s="5">
        <f>IF($E80&gt;=AP$2,VLOOKUP($E80-AP$2,'data input'!$D$3:$E$130,2,FALSE),0)</f>
        <v>0.47010735594710518</v>
      </c>
      <c r="AQ80" s="5">
        <f>IF($E80&gt;=AQ$2,VLOOKUP($E80-AQ$2,'data input'!$D$3:$E$130,2,FALSE),0)</f>
        <v>0.5</v>
      </c>
      <c r="AR80" s="5">
        <f>IF($E80&gt;=AR$2,VLOOKUP($E80-AR$2,'data input'!$D$3:$E$130,2,FALSE),0)</f>
        <v>0.52989264405289482</v>
      </c>
      <c r="AS80" s="5">
        <f>IF($E80&gt;=AS$2,VLOOKUP($E80-AS$2,'data input'!$D$3:$E$130,2,FALSE),0)</f>
        <v>0.5596176923702425</v>
      </c>
      <c r="AT80" s="5">
        <f>IF($E80&gt;=AT$2,VLOOKUP($E80-AT$2,'data input'!$D$3:$E$130,2,FALSE),0)</f>
        <v>0.58901036286872965</v>
      </c>
      <c r="AU80" s="5">
        <f>IF($E80&gt;=AU$2,VLOOKUP($E80-AU$2,'data input'!$D$3:$E$130,2,FALSE),0)</f>
        <v>0.61791142218895267</v>
      </c>
      <c r="AV80" s="5">
        <f>IF($E80&gt;=AV$2,VLOOKUP($E80-AV$2,'data input'!$D$3:$E$130,2,FALSE),0)</f>
        <v>0.64616976667272386</v>
      </c>
      <c r="AW80" s="5">
        <f>IF($E80&gt;=AW$2,VLOOKUP($E80-AW$2,'data input'!$D$3:$E$130,2,FALSE),0)</f>
        <v>0.67364477971207992</v>
      </c>
      <c r="AX80" s="5">
        <f>IF($E80&gt;=AX$2,VLOOKUP($E80-AX$2,'data input'!$D$3:$E$130,2,FALSE),0)</f>
        <v>0.70020840453130417</v>
      </c>
      <c r="AY80" s="5">
        <f>IF($E80&gt;=AY$2,VLOOKUP($E80-AY$2,'data input'!$D$3:$E$130,2,FALSE),0)</f>
        <v>0.72574688224992645</v>
      </c>
      <c r="AZ80" s="5">
        <f>IF($E80&gt;=AZ$2,VLOOKUP($E80-AZ$2,'data input'!$D$3:$E$130,2,FALSE),0)</f>
        <v>0.75016211752822304</v>
      </c>
      <c r="BA80" s="5">
        <f>IF($E80&gt;=BA$2,VLOOKUP($E80-BA$2,'data input'!$D$3:$E$130,2,FALSE),0)</f>
        <v>0.77337264762313174</v>
      </c>
      <c r="BB80" s="5">
        <f>IF($E80&gt;=BB$2,VLOOKUP($E80-BB$2,'data input'!$D$3:$E$130,2,FALSE),0)</f>
        <v>0.79531420465274738</v>
      </c>
      <c r="BC80" s="5">
        <f>IF($E80&gt;=BC$2,VLOOKUP($E80-BC$2,'data input'!$D$3:$E$130,2,FALSE),0)</f>
        <v>0.81593987465324047</v>
      </c>
      <c r="BD80" s="5">
        <f>IF($E80&gt;=BD$2,VLOOKUP($E80-BD$2,'data input'!$D$3:$E$130,2,FALSE),0)</f>
        <v>0.83521987001968967</v>
      </c>
      <c r="BE80" s="5">
        <f>IF($E80&gt;=BE$2,VLOOKUP($E80-BE$2,'data input'!$D$3:$E$130,2,FALSE),0)</f>
        <v>0.85314094362410409</v>
      </c>
      <c r="BF80" s="5">
        <f>IF($E80&gt;=BF$2,VLOOKUP($E80-BF$2,'data input'!$D$3:$E$130,2,FALSE),0)</f>
        <v>0.86970548286319116</v>
      </c>
      <c r="BG80" s="5">
        <f>IF($E80&gt;=BG$2,VLOOKUP($E80-BG$2,'data input'!$D$3:$E$130,2,FALSE),0)</f>
        <v>0.88493032977829178</v>
      </c>
      <c r="BH80" s="5">
        <f>IF($E80&gt;=BH$2,VLOOKUP($E80-BH$2,'data input'!$D$3:$E$130,2,FALSE),0)</f>
        <v>0.89884537900441408</v>
      </c>
      <c r="BI80" s="5">
        <f>IF($E80&gt;=BI$2,VLOOKUP($E80-BI$2,'data input'!$D$3:$E$130,2,FALSE),0)</f>
        <v>0.91149200856259793</v>
      </c>
      <c r="BJ80" s="5">
        <f>IF($E80&gt;=BJ$2,VLOOKUP($E80-BJ$2,'data input'!$D$3:$E$130,2,FALSE),0)</f>
        <v>0.92292139944792817</v>
      </c>
      <c r="BK80" s="5">
        <f>IF($E80&gt;=BK$2,VLOOKUP($E80-BK$2,'data input'!$D$3:$E$130,2,FALSE),0)</f>
        <v>0.93319279873114191</v>
      </c>
      <c r="BL80" s="5">
        <f>IF($E80&gt;=BL$2,VLOOKUP($E80-BL$2,'data input'!$D$3:$E$130,2,FALSE),0)</f>
        <v>0.94237177772384684</v>
      </c>
      <c r="BM80" s="5">
        <f>IF($E80&gt;=BM$2,VLOOKUP($E80-BM$2,'data input'!$D$3:$E$130,2,FALSE),0)</f>
        <v>0.9505285319663519</v>
      </c>
      <c r="BN80" s="5">
        <f>IF($E80&gt;=BN$2,VLOOKUP($E80-BN$2,'data input'!$D$3:$E$130,2,FALSE),0)</f>
        <v>0.95773626374204757</v>
      </c>
      <c r="BO80" s="5">
        <f>IF($E80&gt;=BO$2,VLOOKUP($E80-BO$2,'data input'!$D$3:$E$130,2,FALSE),0)</f>
        <v>0.96406968088707423</v>
      </c>
      <c r="BP80" s="5">
        <f>IF($E80&gt;=BP$2,VLOOKUP($E80-BP$2,'data input'!$D$3:$E$130,2,FALSE),0)</f>
        <v>0.96960363823473861</v>
      </c>
      <c r="BQ80" s="5">
        <f>IF($E80&gt;=BQ$2,VLOOKUP($E80-BQ$2,'data input'!$D$3:$E$130,2,FALSE),0)</f>
        <v>0.97441194047836144</v>
      </c>
      <c r="BR80" s="5">
        <f>IF($E80&gt;=BR$2,VLOOKUP($E80-BR$2,'data input'!$D$3:$E$130,2,FALSE),0)</f>
        <v>0.97856631788584703</v>
      </c>
      <c r="BS80" s="5">
        <f>IF($E80&gt;=BS$2,VLOOKUP($E80-BS$2,'data input'!$D$3:$E$130,2,FALSE),0)</f>
        <v>0.98213557943718344</v>
      </c>
      <c r="BT80" s="5">
        <f>IF($E80&gt;=BT$2,VLOOKUP($E80-BT$2,'data input'!$D$3:$E$130,2,FALSE),0)</f>
        <v>0.98518494180739014</v>
      </c>
      <c r="BU80" s="5">
        <f>IF($E80&gt;=BU$2,VLOOKUP($E80-BU$2,'data input'!$D$3:$E$130,2,FALSE),0)</f>
        <v>0.98777552734495533</v>
      </c>
      <c r="BV80" s="5">
        <f>IF($E80&gt;=BV$2,VLOOKUP($E80-BV$2,'data input'!$D$3:$E$130,2,FALSE),0)</f>
        <v>0.98996401989972593</v>
      </c>
      <c r="BW80" s="5">
        <f>IF($E80&gt;=BW$2,VLOOKUP($E80-BW$2,'data input'!$D$3:$E$130,2,FALSE),0)</f>
        <v>0.99180246407540384</v>
      </c>
      <c r="BX80" s="5">
        <f>IF($E80&gt;=BX$2,VLOOKUP($E80-BX$2,'data input'!$D$3:$E$130,2,FALSE),0)</f>
        <v>0.99333819120801725</v>
      </c>
      <c r="BY80" s="5">
        <f>IF($E80&gt;=BY$2,VLOOKUP($E80-BY$2,'data input'!$D$3:$E$130,2,FALSE),0)</f>
        <v>0.99461385404593328</v>
      </c>
      <c r="BZ80" s="5">
        <f>IF($E80&gt;=BZ$2,VLOOKUP($E80-BZ$2,'data input'!$D$3:$E$130,2,FALSE),0)</f>
        <v>0.99566755163698739</v>
      </c>
      <c r="CA80" s="5">
        <f>IF($E80&gt;=CA$2,VLOOKUP($E80-CA$2,'data input'!$D$3:$E$130,2,FALSE),0)</f>
        <v>0.99653302619695938</v>
      </c>
      <c r="CB80" s="5">
        <f>IF($E80&gt;=CB$2,VLOOKUP($E80-CB$2,'data input'!$D$3:$E$130,2,FALSE),0)</f>
        <v>0.99723991460873751</v>
      </c>
      <c r="CC80" s="5">
        <f>IF($E80&gt;=CC$2,VLOOKUP($E80-CC$2,'data input'!$D$3:$E$130,2,FALSE),0)</f>
        <v>0.99781403854508677</v>
      </c>
      <c r="CD80" s="5">
        <f>IF($E80&gt;=CD$2,VLOOKUP($E80-CD$2,'data input'!$D$3:$E$130,2,FALSE),0)</f>
        <v>0.99827771888413241</v>
      </c>
      <c r="CE80" s="5">
        <f>IF($E80&gt;=CE$2,VLOOKUP($E80-CE$2,'data input'!$D$3:$E$130,2,FALSE),0)</f>
        <v>0.9986501019683699</v>
      </c>
      <c r="CF80" s="5">
        <f>IF($E80&gt;=CF$2,VLOOKUP($E80-CF$2,'data input'!$D$3:$E$130,2,FALSE),0)</f>
        <v>0</v>
      </c>
      <c r="CG80" s="5">
        <f>IF($E80&gt;=CG$2,VLOOKUP($E80-CG$2,'data input'!$D$3:$E$130,2,FALSE),0)</f>
        <v>0</v>
      </c>
      <c r="CH80" s="5">
        <f>IF($E80&gt;=CH$2,VLOOKUP($E80-CH$2,'data input'!$D$3:$E$130,2,FALSE),0)</f>
        <v>0</v>
      </c>
      <c r="CI80" s="5">
        <f>IF($E80&gt;=CI$2,VLOOKUP($E80-CI$2,'data input'!$D$3:$E$130,2,FALSE),0)</f>
        <v>0</v>
      </c>
      <c r="CJ80" s="5">
        <f>IF($E80&gt;=CJ$2,VLOOKUP($E80-CJ$2,'data input'!$D$3:$E$130,2,FALSE),0)</f>
        <v>0</v>
      </c>
      <c r="CK80" s="5">
        <f>IF($E80&gt;=CK$2,VLOOKUP($E80-CK$2,'data input'!$D$3:$E$130,2,FALSE),0)</f>
        <v>0</v>
      </c>
      <c r="CL80" s="5">
        <f>IF($E80&gt;=CL$2,VLOOKUP($E80-CL$2,'data input'!$D$3:$E$130,2,FALSE),0)</f>
        <v>0</v>
      </c>
      <c r="CM80" s="5">
        <f>IF($E80&gt;=CM$2,VLOOKUP($E80-CM$2,'data input'!$D$3:$E$130,2,FALSE),0)</f>
        <v>0</v>
      </c>
      <c r="CN80" s="5">
        <f>IF($E80&gt;=CN$2,VLOOKUP($E80-CN$2,'data input'!$D$3:$E$130,2,FALSE),0)</f>
        <v>0</v>
      </c>
      <c r="CO80" s="5">
        <f>IF($E80&gt;=CO$2,VLOOKUP($E80-CO$2,'data input'!$D$3:$E$130,2,FALSE),0)</f>
        <v>0</v>
      </c>
      <c r="CP80" s="5">
        <f>IF($E80&gt;=CP$2,VLOOKUP($E80-CP$2,'data input'!$D$3:$E$130,2,FALSE),0)</f>
        <v>0</v>
      </c>
      <c r="CQ80" s="5">
        <f>IF($E80&gt;=CQ$2,VLOOKUP($E80-CQ$2,'data input'!$D$3:$E$130,2,FALSE),0)</f>
        <v>0</v>
      </c>
      <c r="CR80" s="5">
        <f>IF($E80&gt;=CR$2,VLOOKUP($E80-CR$2,'data input'!$D$3:$E$130,2,FALSE),0)</f>
        <v>0</v>
      </c>
      <c r="CS80" s="5">
        <f>IF($E80&gt;=CS$2,VLOOKUP($E80-CS$2,'data input'!$D$3:$E$130,2,FALSE),0)</f>
        <v>0</v>
      </c>
      <c r="CT80" s="5">
        <f>IF($E80&gt;=CT$2,VLOOKUP($E80-CT$2,'data input'!$D$3:$E$130,2,FALSE),0)</f>
        <v>0</v>
      </c>
      <c r="CU80" s="5">
        <f>IF($E80&gt;=CU$2,VLOOKUP($E80-CU$2,'data input'!$D$3:$E$130,2,FALSE),0)</f>
        <v>0</v>
      </c>
      <c r="CV80" s="5">
        <f>IF($E80&gt;=CV$2,VLOOKUP($E80-CV$2,'data input'!$D$3:$E$130,2,FALSE),0)</f>
        <v>0</v>
      </c>
      <c r="CW80" s="5">
        <f>IF($E80&gt;=CW$2,VLOOKUP($E80-CW$2,'data input'!$D$3:$E$130,2,FALSE),0)</f>
        <v>0</v>
      </c>
      <c r="CX80" s="5">
        <f>IF($E80&gt;=CX$2,VLOOKUP($E80-CX$2,'data input'!$D$3:$E$130,2,FALSE),0)</f>
        <v>0</v>
      </c>
      <c r="CY80" s="5">
        <f>IF($E80&gt;=CY$2,VLOOKUP($E80-CY$2,'data input'!$D$3:$E$130,2,FALSE),0)</f>
        <v>0</v>
      </c>
      <c r="CZ80" s="5">
        <f>IF($E80&gt;=CZ$2,VLOOKUP($E80-CZ$2,'data input'!$D$3:$E$130,2,FALSE),0)</f>
        <v>0</v>
      </c>
      <c r="DA80" s="5">
        <f>IF($E80&gt;=DA$2,VLOOKUP($E80-DA$2,'data input'!$D$3:$E$130,2,FALSE),0)</f>
        <v>0</v>
      </c>
      <c r="DB80" s="5">
        <f>IF($E80&gt;=DB$2,VLOOKUP($E80-DB$2,'data input'!$D$3:$E$130,2,FALSE),0)</f>
        <v>0</v>
      </c>
      <c r="DC80" s="5">
        <f>IF($E80&gt;=DC$2,VLOOKUP($E80-DC$2,'data input'!$D$3:$E$130,2,FALSE),0)</f>
        <v>0</v>
      </c>
      <c r="DD80" s="5">
        <f>IF($E80&gt;=DD$2,VLOOKUP($E80-DD$2,'data input'!$D$3:$E$130,2,FALSE),0)</f>
        <v>0</v>
      </c>
      <c r="DE80" s="5">
        <f>IF($E80&gt;=DE$2,VLOOKUP($E80-DE$2,'data input'!$D$3:$E$130,2,FALSE),0)</f>
        <v>0</v>
      </c>
      <c r="DF80" s="5">
        <f>IF($E80&gt;=DF$2,VLOOKUP($E80-DF$2,'data input'!$D$3:$E$130,2,FALSE),0)</f>
        <v>0</v>
      </c>
      <c r="DG80" s="5">
        <f>IF($E80&gt;=DG$2,VLOOKUP($E80-DG$2,'data input'!$D$3:$E$130,2,FALSE),0)</f>
        <v>0</v>
      </c>
      <c r="DH80" s="5">
        <f>IF($E80&gt;=DH$2,VLOOKUP($E80-DH$2,'data input'!$D$3:$E$130,2,FALSE),0)</f>
        <v>0</v>
      </c>
      <c r="DI80" s="5">
        <f>IF($E80&gt;=DI$2,VLOOKUP($E80-DI$2,'data input'!$D$3:$E$130,2,FALSE),0)</f>
        <v>0</v>
      </c>
      <c r="DJ80" s="5">
        <f>IF($E80&gt;=DJ$2,VLOOKUP($E80-DJ$2,'data input'!$D$3:$E$130,2,FALSE),0)</f>
        <v>0</v>
      </c>
      <c r="DK80" s="5">
        <f>IF($E80&gt;=DK$2,VLOOKUP($E80-DK$2,'data input'!$D$3:$E$130,2,FALSE),0)</f>
        <v>0</v>
      </c>
      <c r="DL80" s="5">
        <f>IF($E80&gt;=DL$2,VLOOKUP($E80-DL$2,'data input'!$D$3:$E$130,2,FALSE),0)</f>
        <v>0</v>
      </c>
      <c r="DM80" s="5">
        <f>IF($E80&gt;=DM$2,VLOOKUP($E80-DM$2,'data input'!$D$3:$E$130,2,FALSE),0)</f>
        <v>0</v>
      </c>
      <c r="DN80" s="5">
        <f>IF($E80&gt;=DN$2,VLOOKUP($E80-DN$2,'data input'!$D$3:$E$130,2,FALSE),0)</f>
        <v>0</v>
      </c>
      <c r="DO80" s="5">
        <f>IF($E80&gt;=DO$2,VLOOKUP($E80-DO$2,'data input'!$D$3:$E$130,2,FALSE),0)</f>
        <v>0</v>
      </c>
      <c r="DP80" s="5">
        <f>IF($E80&gt;=DP$2,VLOOKUP($E80-DP$2,'data input'!$D$3:$E$130,2,FALSE),0)</f>
        <v>0</v>
      </c>
      <c r="DQ80" s="5">
        <f>IF($E80&gt;=DQ$2,VLOOKUP($E80-DQ$2,'data input'!$D$3:$E$130,2,FALSE),0)</f>
        <v>0</v>
      </c>
      <c r="DR80" s="5">
        <f>IF($E80&gt;=DR$2,VLOOKUP($E80-DR$2,'data input'!$D$3:$E$130,2,FALSE),0)</f>
        <v>0</v>
      </c>
      <c r="DS80" s="5">
        <f>IF($E80&gt;=DS$2,VLOOKUP($E80-DS$2,'data input'!$D$3:$E$130,2,FALSE),0)</f>
        <v>0</v>
      </c>
      <c r="DT80" s="5">
        <f>IF($E80&gt;=DT$2,VLOOKUP($E80-DT$2,'data input'!$D$3:$E$130,2,FALSE),0)</f>
        <v>0</v>
      </c>
      <c r="DU80" s="5">
        <f>IF($E80&gt;=DU$2,VLOOKUP($E80-DU$2,'data input'!$D$3:$E$130,2,FALSE),0)</f>
        <v>0</v>
      </c>
      <c r="DV80" s="5">
        <f>IF($E80&gt;=DV$2,VLOOKUP($E80-DV$2,'data input'!$D$3:$E$130,2,FALSE),0)</f>
        <v>0</v>
      </c>
      <c r="DW80" s="5">
        <f>IF($E80&gt;=DW$2,VLOOKUP($E80-DW$2,'data input'!$D$3:$E$130,2,FALSE),0)</f>
        <v>0</v>
      </c>
      <c r="DX80" s="5">
        <f>IF($E80&gt;=DX$2,VLOOKUP($E80-DX$2,'data input'!$D$3:$E$130,2,FALSE),0)</f>
        <v>0</v>
      </c>
      <c r="DY80" s="5">
        <f>IF($E80&gt;=DY$2,VLOOKUP($E80-DY$2,'data input'!$D$3:$E$130,2,FALSE),0)</f>
        <v>0</v>
      </c>
      <c r="DZ80" s="5">
        <f>IF($E80&gt;=DZ$2,VLOOKUP($E80-DZ$2,'data input'!$D$3:$E$130,2,FALSE),0)</f>
        <v>0</v>
      </c>
      <c r="EA80" s="5">
        <f>IF($E80&gt;=EA$2,VLOOKUP($E80-EA$2,'data input'!$D$3:$E$130,2,FALSE),0)</f>
        <v>0</v>
      </c>
      <c r="EB80" s="5">
        <f>IF($E80&gt;=EB$2,VLOOKUP($E80-EB$2,'data input'!$D$3:$E$130,2,FALSE),0)</f>
        <v>0</v>
      </c>
      <c r="EC80" s="5">
        <f>IF($E80&gt;=EC$2,VLOOKUP($E80-EC$2,'data input'!$D$3:$E$130,2,FALSE),0)</f>
        <v>0</v>
      </c>
    </row>
    <row r="81" spans="5:133">
      <c r="E81" s="7">
        <f>'data input'!B81</f>
        <v>1956</v>
      </c>
      <c r="F81" s="5">
        <f>IF($E81&gt;=F$2,VLOOKUP($E81-F$2,'data input'!$D$3:$E$130,2,FALSE),0)</f>
        <v>2.1859614549132322E-3</v>
      </c>
      <c r="G81" s="5">
        <f>IF($E81&gt;=G$2,VLOOKUP($E81-G$2,'data input'!$D$3:$E$130,2,FALSE),0)</f>
        <v>2.7600853912624901E-3</v>
      </c>
      <c r="H81" s="5">
        <f>IF($E81&gt;=H$2,VLOOKUP($E81-H$2,'data input'!$D$3:$E$130,2,FALSE),0)</f>
        <v>3.4669738030406183E-3</v>
      </c>
      <c r="I81" s="5">
        <f>IF($E81&gt;=I$2,VLOOKUP($E81-I$2,'data input'!$D$3:$E$130,2,FALSE),0)</f>
        <v>4.3324483630126087E-3</v>
      </c>
      <c r="J81" s="5">
        <f>IF($E81&gt;=J$2,VLOOKUP($E81-J$2,'data input'!$D$3:$E$130,2,FALSE),0)</f>
        <v>5.3861459540667234E-3</v>
      </c>
      <c r="K81" s="5">
        <f>IF($E81&gt;=K$2,VLOOKUP($E81-K$2,'data input'!$D$3:$E$130,2,FALSE),0)</f>
        <v>6.6618087919827484E-3</v>
      </c>
      <c r="L81" s="5">
        <f>IF($E81&gt;=L$2,VLOOKUP($E81-L$2,'data input'!$D$3:$E$130,2,FALSE),0)</f>
        <v>8.1975359245961554E-3</v>
      </c>
      <c r="M81" s="5">
        <f>IF($E81&gt;=M$2,VLOOKUP($E81-M$2,'data input'!$D$3:$E$130,2,FALSE),0)</f>
        <v>1.0035980100274067E-2</v>
      </c>
      <c r="N81" s="5">
        <f>IF($E81&gt;=N$2,VLOOKUP($E81-N$2,'data input'!$D$3:$E$130,2,FALSE),0)</f>
        <v>1.2224472655044671E-2</v>
      </c>
      <c r="O81" s="5">
        <f>IF($E81&gt;=O$2,VLOOKUP($E81-O$2,'data input'!$D$3:$E$130,2,FALSE),0)</f>
        <v>1.4815058192609865E-2</v>
      </c>
      <c r="P81" s="5">
        <f>IF($E81&gt;=P$2,VLOOKUP($E81-P$2,'data input'!$D$3:$E$130,2,FALSE),0)</f>
        <v>1.7864420562816563E-2</v>
      </c>
      <c r="Q81" s="5">
        <f>IF($E81&gt;=Q$2,VLOOKUP($E81-Q$2,'data input'!$D$3:$E$130,2,FALSE),0)</f>
        <v>2.1433682114152974E-2</v>
      </c>
      <c r="R81" s="5">
        <f>IF($E81&gt;=R$2,VLOOKUP($E81-R$2,'data input'!$D$3:$E$130,2,FALSE),0)</f>
        <v>2.5588059521638562E-2</v>
      </c>
      <c r="S81" s="5">
        <f>IF($E81&gt;=S$2,VLOOKUP($E81-S$2,'data input'!$D$3:$E$130,2,FALSE),0)</f>
        <v>3.0396361765261393E-2</v>
      </c>
      <c r="T81" s="5">
        <f>IF($E81&gt;=T$2,VLOOKUP($E81-T$2,'data input'!$D$3:$E$130,2,FALSE),0)</f>
        <v>3.5930319112925768E-2</v>
      </c>
      <c r="U81" s="5">
        <f>IF($E81&gt;=U$2,VLOOKUP($E81-U$2,'data input'!$D$3:$E$130,2,FALSE),0)</f>
        <v>4.2263736257952433E-2</v>
      </c>
      <c r="V81" s="5">
        <f>IF($E81&gt;=V$2,VLOOKUP($E81-V$2,'data input'!$D$3:$E$130,2,FALSE),0)</f>
        <v>4.9471468033648103E-2</v>
      </c>
      <c r="W81" s="5">
        <f>IF($E81&gt;=W$2,VLOOKUP($E81-W$2,'data input'!$D$3:$E$130,2,FALSE),0)</f>
        <v>5.7628222276153163E-2</v>
      </c>
      <c r="X81" s="5">
        <f>IF($E81&gt;=X$2,VLOOKUP($E81-X$2,'data input'!$D$3:$E$130,2,FALSE),0)</f>
        <v>6.6807201268858085E-2</v>
      </c>
      <c r="Y81" s="5">
        <f>IF($E81&gt;=Y$2,VLOOKUP($E81-Y$2,'data input'!$D$3:$E$130,2,FALSE),0)</f>
        <v>7.707860055207183E-2</v>
      </c>
      <c r="Z81" s="5">
        <f>IF($E81&gt;=Z$2,VLOOKUP($E81-Z$2,'data input'!$D$3:$E$130,2,FALSE),0)</f>
        <v>8.8507991437402067E-2</v>
      </c>
      <c r="AA81" s="5">
        <f>IF($E81&gt;=AA$2,VLOOKUP($E81-AA$2,'data input'!$D$3:$E$130,2,FALSE),0)</f>
        <v>0.10115462099558592</v>
      </c>
      <c r="AB81" s="5">
        <f>IF($E81&gt;=AB$2,VLOOKUP($E81-AB$2,'data input'!$D$3:$E$130,2,FALSE),0)</f>
        <v>0.11506967022170822</v>
      </c>
      <c r="AC81" s="5">
        <f>IF($E81&gt;=AC$2,VLOOKUP($E81-AC$2,'data input'!$D$3:$E$130,2,FALSE),0)</f>
        <v>0.13029451713680884</v>
      </c>
      <c r="AD81" s="5">
        <f>IF($E81&gt;=AD$2,VLOOKUP($E81-AD$2,'data input'!$D$3:$E$130,2,FALSE),0)</f>
        <v>0.14685905637589591</v>
      </c>
      <c r="AE81" s="5">
        <f>IF($E81&gt;=AE$2,VLOOKUP($E81-AE$2,'data input'!$D$3:$E$130,2,FALSE),0)</f>
        <v>0.16478012998031033</v>
      </c>
      <c r="AF81" s="5">
        <f>IF($E81&gt;=AF$2,VLOOKUP($E81-AF$2,'data input'!$D$3:$E$130,2,FALSE),0)</f>
        <v>0.18406012534675953</v>
      </c>
      <c r="AG81" s="5">
        <f>IF($E81&gt;=AG$2,VLOOKUP($E81-AG$2,'data input'!$D$3:$E$130,2,FALSE),0)</f>
        <v>0.20468579534725262</v>
      </c>
      <c r="AH81" s="5">
        <f>IF($E81&gt;=AH$2,VLOOKUP($E81-AH$2,'data input'!$D$3:$E$130,2,FALSE),0)</f>
        <v>0.22662735237686826</v>
      </c>
      <c r="AI81" s="5">
        <f>IF($E81&gt;=AI$2,VLOOKUP($E81-AI$2,'data input'!$D$3:$E$130,2,FALSE),0)</f>
        <v>0.24983788247177696</v>
      </c>
      <c r="AJ81" s="5">
        <f>IF($E81&gt;=AJ$2,VLOOKUP($E81-AJ$2,'data input'!$D$3:$E$130,2,FALSE),0)</f>
        <v>0.27425311775007355</v>
      </c>
      <c r="AK81" s="5">
        <f>IF($E81&gt;=AK$2,VLOOKUP($E81-AK$2,'data input'!$D$3:$E$130,2,FALSE),0)</f>
        <v>0.29979159546869583</v>
      </c>
      <c r="AL81" s="5">
        <f>IF($E81&gt;=AL$2,VLOOKUP($E81-AL$2,'data input'!$D$3:$E$130,2,FALSE),0)</f>
        <v>0.32635522028792008</v>
      </c>
      <c r="AM81" s="5">
        <f>IF($E81&gt;=AM$2,VLOOKUP($E81-AM$2,'data input'!$D$3:$E$130,2,FALSE),0)</f>
        <v>0.35383023332727614</v>
      </c>
      <c r="AN81" s="5">
        <f>IF($E81&gt;=AN$2,VLOOKUP($E81-AN$2,'data input'!$D$3:$E$130,2,FALSE),0)</f>
        <v>0.38208857781104733</v>
      </c>
      <c r="AO81" s="5">
        <f>IF($E81&gt;=AO$2,VLOOKUP($E81-AO$2,'data input'!$D$3:$E$130,2,FALSE),0)</f>
        <v>0.41098963713127035</v>
      </c>
      <c r="AP81" s="5">
        <f>IF($E81&gt;=AP$2,VLOOKUP($E81-AP$2,'data input'!$D$3:$E$130,2,FALSE),0)</f>
        <v>0.4403823076297575</v>
      </c>
      <c r="AQ81" s="5">
        <f>IF($E81&gt;=AQ$2,VLOOKUP($E81-AQ$2,'data input'!$D$3:$E$130,2,FALSE),0)</f>
        <v>0.47010735594710518</v>
      </c>
      <c r="AR81" s="5">
        <f>IF($E81&gt;=AR$2,VLOOKUP($E81-AR$2,'data input'!$D$3:$E$130,2,FALSE),0)</f>
        <v>0.5</v>
      </c>
      <c r="AS81" s="5">
        <f>IF($E81&gt;=AS$2,VLOOKUP($E81-AS$2,'data input'!$D$3:$E$130,2,FALSE),0)</f>
        <v>0.52989264405289482</v>
      </c>
      <c r="AT81" s="5">
        <f>IF($E81&gt;=AT$2,VLOOKUP($E81-AT$2,'data input'!$D$3:$E$130,2,FALSE),0)</f>
        <v>0.5596176923702425</v>
      </c>
      <c r="AU81" s="5">
        <f>IF($E81&gt;=AU$2,VLOOKUP($E81-AU$2,'data input'!$D$3:$E$130,2,FALSE),0)</f>
        <v>0.58901036286872965</v>
      </c>
      <c r="AV81" s="5">
        <f>IF($E81&gt;=AV$2,VLOOKUP($E81-AV$2,'data input'!$D$3:$E$130,2,FALSE),0)</f>
        <v>0.61791142218895267</v>
      </c>
      <c r="AW81" s="5">
        <f>IF($E81&gt;=AW$2,VLOOKUP($E81-AW$2,'data input'!$D$3:$E$130,2,FALSE),0)</f>
        <v>0.64616976667272386</v>
      </c>
      <c r="AX81" s="5">
        <f>IF($E81&gt;=AX$2,VLOOKUP($E81-AX$2,'data input'!$D$3:$E$130,2,FALSE),0)</f>
        <v>0.67364477971207992</v>
      </c>
      <c r="AY81" s="5">
        <f>IF($E81&gt;=AY$2,VLOOKUP($E81-AY$2,'data input'!$D$3:$E$130,2,FALSE),0)</f>
        <v>0.70020840453130417</v>
      </c>
      <c r="AZ81" s="5">
        <f>IF($E81&gt;=AZ$2,VLOOKUP($E81-AZ$2,'data input'!$D$3:$E$130,2,FALSE),0)</f>
        <v>0.72574688224992645</v>
      </c>
      <c r="BA81" s="5">
        <f>IF($E81&gt;=BA$2,VLOOKUP($E81-BA$2,'data input'!$D$3:$E$130,2,FALSE),0)</f>
        <v>0.75016211752822304</v>
      </c>
      <c r="BB81" s="5">
        <f>IF($E81&gt;=BB$2,VLOOKUP($E81-BB$2,'data input'!$D$3:$E$130,2,FALSE),0)</f>
        <v>0.77337264762313174</v>
      </c>
      <c r="BC81" s="5">
        <f>IF($E81&gt;=BC$2,VLOOKUP($E81-BC$2,'data input'!$D$3:$E$130,2,FALSE),0)</f>
        <v>0.79531420465274738</v>
      </c>
      <c r="BD81" s="5">
        <f>IF($E81&gt;=BD$2,VLOOKUP($E81-BD$2,'data input'!$D$3:$E$130,2,FALSE),0)</f>
        <v>0.81593987465324047</v>
      </c>
      <c r="BE81" s="5">
        <f>IF($E81&gt;=BE$2,VLOOKUP($E81-BE$2,'data input'!$D$3:$E$130,2,FALSE),0)</f>
        <v>0.83521987001968967</v>
      </c>
      <c r="BF81" s="5">
        <f>IF($E81&gt;=BF$2,VLOOKUP($E81-BF$2,'data input'!$D$3:$E$130,2,FALSE),0)</f>
        <v>0.85314094362410409</v>
      </c>
      <c r="BG81" s="5">
        <f>IF($E81&gt;=BG$2,VLOOKUP($E81-BG$2,'data input'!$D$3:$E$130,2,FALSE),0)</f>
        <v>0.86970548286319116</v>
      </c>
      <c r="BH81" s="5">
        <f>IF($E81&gt;=BH$2,VLOOKUP($E81-BH$2,'data input'!$D$3:$E$130,2,FALSE),0)</f>
        <v>0.88493032977829178</v>
      </c>
      <c r="BI81" s="5">
        <f>IF($E81&gt;=BI$2,VLOOKUP($E81-BI$2,'data input'!$D$3:$E$130,2,FALSE),0)</f>
        <v>0.89884537900441408</v>
      </c>
      <c r="BJ81" s="5">
        <f>IF($E81&gt;=BJ$2,VLOOKUP($E81-BJ$2,'data input'!$D$3:$E$130,2,FALSE),0)</f>
        <v>0.91149200856259793</v>
      </c>
      <c r="BK81" s="5">
        <f>IF($E81&gt;=BK$2,VLOOKUP($E81-BK$2,'data input'!$D$3:$E$130,2,FALSE),0)</f>
        <v>0.92292139944792817</v>
      </c>
      <c r="BL81" s="5">
        <f>IF($E81&gt;=BL$2,VLOOKUP($E81-BL$2,'data input'!$D$3:$E$130,2,FALSE),0)</f>
        <v>0.93319279873114191</v>
      </c>
      <c r="BM81" s="5">
        <f>IF($E81&gt;=BM$2,VLOOKUP($E81-BM$2,'data input'!$D$3:$E$130,2,FALSE),0)</f>
        <v>0.94237177772384684</v>
      </c>
      <c r="BN81" s="5">
        <f>IF($E81&gt;=BN$2,VLOOKUP($E81-BN$2,'data input'!$D$3:$E$130,2,FALSE),0)</f>
        <v>0.9505285319663519</v>
      </c>
      <c r="BO81" s="5">
        <f>IF($E81&gt;=BO$2,VLOOKUP($E81-BO$2,'data input'!$D$3:$E$130,2,FALSE),0)</f>
        <v>0.95773626374204757</v>
      </c>
      <c r="BP81" s="5">
        <f>IF($E81&gt;=BP$2,VLOOKUP($E81-BP$2,'data input'!$D$3:$E$130,2,FALSE),0)</f>
        <v>0.96406968088707423</v>
      </c>
      <c r="BQ81" s="5">
        <f>IF($E81&gt;=BQ$2,VLOOKUP($E81-BQ$2,'data input'!$D$3:$E$130,2,FALSE),0)</f>
        <v>0.96960363823473861</v>
      </c>
      <c r="BR81" s="5">
        <f>IF($E81&gt;=BR$2,VLOOKUP($E81-BR$2,'data input'!$D$3:$E$130,2,FALSE),0)</f>
        <v>0.97441194047836144</v>
      </c>
      <c r="BS81" s="5">
        <f>IF($E81&gt;=BS$2,VLOOKUP($E81-BS$2,'data input'!$D$3:$E$130,2,FALSE),0)</f>
        <v>0.97856631788584703</v>
      </c>
      <c r="BT81" s="5">
        <f>IF($E81&gt;=BT$2,VLOOKUP($E81-BT$2,'data input'!$D$3:$E$130,2,FALSE),0)</f>
        <v>0.98213557943718344</v>
      </c>
      <c r="BU81" s="5">
        <f>IF($E81&gt;=BU$2,VLOOKUP($E81-BU$2,'data input'!$D$3:$E$130,2,FALSE),0)</f>
        <v>0.98518494180739014</v>
      </c>
      <c r="BV81" s="5">
        <f>IF($E81&gt;=BV$2,VLOOKUP($E81-BV$2,'data input'!$D$3:$E$130,2,FALSE),0)</f>
        <v>0.98777552734495533</v>
      </c>
      <c r="BW81" s="5">
        <f>IF($E81&gt;=BW$2,VLOOKUP($E81-BW$2,'data input'!$D$3:$E$130,2,FALSE),0)</f>
        <v>0.98996401989972593</v>
      </c>
      <c r="BX81" s="5">
        <f>IF($E81&gt;=BX$2,VLOOKUP($E81-BX$2,'data input'!$D$3:$E$130,2,FALSE),0)</f>
        <v>0.99180246407540384</v>
      </c>
      <c r="BY81" s="5">
        <f>IF($E81&gt;=BY$2,VLOOKUP($E81-BY$2,'data input'!$D$3:$E$130,2,FALSE),0)</f>
        <v>0.99333819120801725</v>
      </c>
      <c r="BZ81" s="5">
        <f>IF($E81&gt;=BZ$2,VLOOKUP($E81-BZ$2,'data input'!$D$3:$E$130,2,FALSE),0)</f>
        <v>0.99461385404593328</v>
      </c>
      <c r="CA81" s="5">
        <f>IF($E81&gt;=CA$2,VLOOKUP($E81-CA$2,'data input'!$D$3:$E$130,2,FALSE),0)</f>
        <v>0.99566755163698739</v>
      </c>
      <c r="CB81" s="5">
        <f>IF($E81&gt;=CB$2,VLOOKUP($E81-CB$2,'data input'!$D$3:$E$130,2,FALSE),0)</f>
        <v>0.99653302619695938</v>
      </c>
      <c r="CC81" s="5">
        <f>IF($E81&gt;=CC$2,VLOOKUP($E81-CC$2,'data input'!$D$3:$E$130,2,FALSE),0)</f>
        <v>0.99723991460873751</v>
      </c>
      <c r="CD81" s="5">
        <f>IF($E81&gt;=CD$2,VLOOKUP($E81-CD$2,'data input'!$D$3:$E$130,2,FALSE),0)</f>
        <v>0.99781403854508677</v>
      </c>
      <c r="CE81" s="5">
        <f>IF($E81&gt;=CE$2,VLOOKUP($E81-CE$2,'data input'!$D$3:$E$130,2,FALSE),0)</f>
        <v>0.99827771888413241</v>
      </c>
      <c r="CF81" s="5">
        <f>IF($E81&gt;=CF$2,VLOOKUP($E81-CF$2,'data input'!$D$3:$E$130,2,FALSE),0)</f>
        <v>0.9986501019683699</v>
      </c>
      <c r="CG81" s="5">
        <f>IF($E81&gt;=CG$2,VLOOKUP($E81-CG$2,'data input'!$D$3:$E$130,2,FALSE),0)</f>
        <v>0</v>
      </c>
      <c r="CH81" s="5">
        <f>IF($E81&gt;=CH$2,VLOOKUP($E81-CH$2,'data input'!$D$3:$E$130,2,FALSE),0)</f>
        <v>0</v>
      </c>
      <c r="CI81" s="5">
        <f>IF($E81&gt;=CI$2,VLOOKUP($E81-CI$2,'data input'!$D$3:$E$130,2,FALSE),0)</f>
        <v>0</v>
      </c>
      <c r="CJ81" s="5">
        <f>IF($E81&gt;=CJ$2,VLOOKUP($E81-CJ$2,'data input'!$D$3:$E$130,2,FALSE),0)</f>
        <v>0</v>
      </c>
      <c r="CK81" s="5">
        <f>IF($E81&gt;=CK$2,VLOOKUP($E81-CK$2,'data input'!$D$3:$E$130,2,FALSE),0)</f>
        <v>0</v>
      </c>
      <c r="CL81" s="5">
        <f>IF($E81&gt;=CL$2,VLOOKUP($E81-CL$2,'data input'!$D$3:$E$130,2,FALSE),0)</f>
        <v>0</v>
      </c>
      <c r="CM81" s="5">
        <f>IF($E81&gt;=CM$2,VLOOKUP($E81-CM$2,'data input'!$D$3:$E$130,2,FALSE),0)</f>
        <v>0</v>
      </c>
      <c r="CN81" s="5">
        <f>IF($E81&gt;=CN$2,VLOOKUP($E81-CN$2,'data input'!$D$3:$E$130,2,FALSE),0)</f>
        <v>0</v>
      </c>
      <c r="CO81" s="5">
        <f>IF($E81&gt;=CO$2,VLOOKUP($E81-CO$2,'data input'!$D$3:$E$130,2,FALSE),0)</f>
        <v>0</v>
      </c>
      <c r="CP81" s="5">
        <f>IF($E81&gt;=CP$2,VLOOKUP($E81-CP$2,'data input'!$D$3:$E$130,2,FALSE),0)</f>
        <v>0</v>
      </c>
      <c r="CQ81" s="5">
        <f>IF($E81&gt;=CQ$2,VLOOKUP($E81-CQ$2,'data input'!$D$3:$E$130,2,FALSE),0)</f>
        <v>0</v>
      </c>
      <c r="CR81" s="5">
        <f>IF($E81&gt;=CR$2,VLOOKUP($E81-CR$2,'data input'!$D$3:$E$130,2,FALSE),0)</f>
        <v>0</v>
      </c>
      <c r="CS81" s="5">
        <f>IF($E81&gt;=CS$2,VLOOKUP($E81-CS$2,'data input'!$D$3:$E$130,2,FALSE),0)</f>
        <v>0</v>
      </c>
      <c r="CT81" s="5">
        <f>IF($E81&gt;=CT$2,VLOOKUP($E81-CT$2,'data input'!$D$3:$E$130,2,FALSE),0)</f>
        <v>0</v>
      </c>
      <c r="CU81" s="5">
        <f>IF($E81&gt;=CU$2,VLOOKUP($E81-CU$2,'data input'!$D$3:$E$130,2,FALSE),0)</f>
        <v>0</v>
      </c>
      <c r="CV81" s="5">
        <f>IF($E81&gt;=CV$2,VLOOKUP($E81-CV$2,'data input'!$D$3:$E$130,2,FALSE),0)</f>
        <v>0</v>
      </c>
      <c r="CW81" s="5">
        <f>IF($E81&gt;=CW$2,VLOOKUP($E81-CW$2,'data input'!$D$3:$E$130,2,FALSE),0)</f>
        <v>0</v>
      </c>
      <c r="CX81" s="5">
        <f>IF($E81&gt;=CX$2,VLOOKUP($E81-CX$2,'data input'!$D$3:$E$130,2,FALSE),0)</f>
        <v>0</v>
      </c>
      <c r="CY81" s="5">
        <f>IF($E81&gt;=CY$2,VLOOKUP($E81-CY$2,'data input'!$D$3:$E$130,2,FALSE),0)</f>
        <v>0</v>
      </c>
      <c r="CZ81" s="5">
        <f>IF($E81&gt;=CZ$2,VLOOKUP($E81-CZ$2,'data input'!$D$3:$E$130,2,FALSE),0)</f>
        <v>0</v>
      </c>
      <c r="DA81" s="5">
        <f>IF($E81&gt;=DA$2,VLOOKUP($E81-DA$2,'data input'!$D$3:$E$130,2,FALSE),0)</f>
        <v>0</v>
      </c>
      <c r="DB81" s="5">
        <f>IF($E81&gt;=DB$2,VLOOKUP($E81-DB$2,'data input'!$D$3:$E$130,2,FALSE),0)</f>
        <v>0</v>
      </c>
      <c r="DC81" s="5">
        <f>IF($E81&gt;=DC$2,VLOOKUP($E81-DC$2,'data input'!$D$3:$E$130,2,FALSE),0)</f>
        <v>0</v>
      </c>
      <c r="DD81" s="5">
        <f>IF($E81&gt;=DD$2,VLOOKUP($E81-DD$2,'data input'!$D$3:$E$130,2,FALSE),0)</f>
        <v>0</v>
      </c>
      <c r="DE81" s="5">
        <f>IF($E81&gt;=DE$2,VLOOKUP($E81-DE$2,'data input'!$D$3:$E$130,2,FALSE),0)</f>
        <v>0</v>
      </c>
      <c r="DF81" s="5">
        <f>IF($E81&gt;=DF$2,VLOOKUP($E81-DF$2,'data input'!$D$3:$E$130,2,FALSE),0)</f>
        <v>0</v>
      </c>
      <c r="DG81" s="5">
        <f>IF($E81&gt;=DG$2,VLOOKUP($E81-DG$2,'data input'!$D$3:$E$130,2,FALSE),0)</f>
        <v>0</v>
      </c>
      <c r="DH81" s="5">
        <f>IF($E81&gt;=DH$2,VLOOKUP($E81-DH$2,'data input'!$D$3:$E$130,2,FALSE),0)</f>
        <v>0</v>
      </c>
      <c r="DI81" s="5">
        <f>IF($E81&gt;=DI$2,VLOOKUP($E81-DI$2,'data input'!$D$3:$E$130,2,FALSE),0)</f>
        <v>0</v>
      </c>
      <c r="DJ81" s="5">
        <f>IF($E81&gt;=DJ$2,VLOOKUP($E81-DJ$2,'data input'!$D$3:$E$130,2,FALSE),0)</f>
        <v>0</v>
      </c>
      <c r="DK81" s="5">
        <f>IF($E81&gt;=DK$2,VLOOKUP($E81-DK$2,'data input'!$D$3:$E$130,2,FALSE),0)</f>
        <v>0</v>
      </c>
      <c r="DL81" s="5">
        <f>IF($E81&gt;=DL$2,VLOOKUP($E81-DL$2,'data input'!$D$3:$E$130,2,FALSE),0)</f>
        <v>0</v>
      </c>
      <c r="DM81" s="5">
        <f>IF($E81&gt;=DM$2,VLOOKUP($E81-DM$2,'data input'!$D$3:$E$130,2,FALSE),0)</f>
        <v>0</v>
      </c>
      <c r="DN81" s="5">
        <f>IF($E81&gt;=DN$2,VLOOKUP($E81-DN$2,'data input'!$D$3:$E$130,2,FALSE),0)</f>
        <v>0</v>
      </c>
      <c r="DO81" s="5">
        <f>IF($E81&gt;=DO$2,VLOOKUP($E81-DO$2,'data input'!$D$3:$E$130,2,FALSE),0)</f>
        <v>0</v>
      </c>
      <c r="DP81" s="5">
        <f>IF($E81&gt;=DP$2,VLOOKUP($E81-DP$2,'data input'!$D$3:$E$130,2,FALSE),0)</f>
        <v>0</v>
      </c>
      <c r="DQ81" s="5">
        <f>IF($E81&gt;=DQ$2,VLOOKUP($E81-DQ$2,'data input'!$D$3:$E$130,2,FALSE),0)</f>
        <v>0</v>
      </c>
      <c r="DR81" s="5">
        <f>IF($E81&gt;=DR$2,VLOOKUP($E81-DR$2,'data input'!$D$3:$E$130,2,FALSE),0)</f>
        <v>0</v>
      </c>
      <c r="DS81" s="5">
        <f>IF($E81&gt;=DS$2,VLOOKUP($E81-DS$2,'data input'!$D$3:$E$130,2,FALSE),0)</f>
        <v>0</v>
      </c>
      <c r="DT81" s="5">
        <f>IF($E81&gt;=DT$2,VLOOKUP($E81-DT$2,'data input'!$D$3:$E$130,2,FALSE),0)</f>
        <v>0</v>
      </c>
      <c r="DU81" s="5">
        <f>IF($E81&gt;=DU$2,VLOOKUP($E81-DU$2,'data input'!$D$3:$E$130,2,FALSE),0)</f>
        <v>0</v>
      </c>
      <c r="DV81" s="5">
        <f>IF($E81&gt;=DV$2,VLOOKUP($E81-DV$2,'data input'!$D$3:$E$130,2,FALSE),0)</f>
        <v>0</v>
      </c>
      <c r="DW81" s="5">
        <f>IF($E81&gt;=DW$2,VLOOKUP($E81-DW$2,'data input'!$D$3:$E$130,2,FALSE),0)</f>
        <v>0</v>
      </c>
      <c r="DX81" s="5">
        <f>IF($E81&gt;=DX$2,VLOOKUP($E81-DX$2,'data input'!$D$3:$E$130,2,FALSE),0)</f>
        <v>0</v>
      </c>
      <c r="DY81" s="5">
        <f>IF($E81&gt;=DY$2,VLOOKUP($E81-DY$2,'data input'!$D$3:$E$130,2,FALSE),0)</f>
        <v>0</v>
      </c>
      <c r="DZ81" s="5">
        <f>IF($E81&gt;=DZ$2,VLOOKUP($E81-DZ$2,'data input'!$D$3:$E$130,2,FALSE),0)</f>
        <v>0</v>
      </c>
      <c r="EA81" s="5">
        <f>IF($E81&gt;=EA$2,VLOOKUP($E81-EA$2,'data input'!$D$3:$E$130,2,FALSE),0)</f>
        <v>0</v>
      </c>
      <c r="EB81" s="5">
        <f>IF($E81&gt;=EB$2,VLOOKUP($E81-EB$2,'data input'!$D$3:$E$130,2,FALSE),0)</f>
        <v>0</v>
      </c>
      <c r="EC81" s="5">
        <f>IF($E81&gt;=EC$2,VLOOKUP($E81-EC$2,'data input'!$D$3:$E$130,2,FALSE),0)</f>
        <v>0</v>
      </c>
    </row>
    <row r="82" spans="5:133">
      <c r="E82" s="7">
        <f>'data input'!B82</f>
        <v>1957</v>
      </c>
      <c r="F82" s="5">
        <f>IF($E82&gt;=F$2,VLOOKUP($E82-F$2,'data input'!$D$3:$E$130,2,FALSE),0)</f>
        <v>1.7222811158675855E-3</v>
      </c>
      <c r="G82" s="5">
        <f>IF($E82&gt;=G$2,VLOOKUP($E82-G$2,'data input'!$D$3:$E$130,2,FALSE),0)</f>
        <v>2.1859614549132322E-3</v>
      </c>
      <c r="H82" s="5">
        <f>IF($E82&gt;=H$2,VLOOKUP($E82-H$2,'data input'!$D$3:$E$130,2,FALSE),0)</f>
        <v>2.7600853912624901E-3</v>
      </c>
      <c r="I82" s="5">
        <f>IF($E82&gt;=I$2,VLOOKUP($E82-I$2,'data input'!$D$3:$E$130,2,FALSE),0)</f>
        <v>3.4669738030406183E-3</v>
      </c>
      <c r="J82" s="5">
        <f>IF($E82&gt;=J$2,VLOOKUP($E82-J$2,'data input'!$D$3:$E$130,2,FALSE),0)</f>
        <v>4.3324483630126087E-3</v>
      </c>
      <c r="K82" s="5">
        <f>IF($E82&gt;=K$2,VLOOKUP($E82-K$2,'data input'!$D$3:$E$130,2,FALSE),0)</f>
        <v>5.3861459540667234E-3</v>
      </c>
      <c r="L82" s="5">
        <f>IF($E82&gt;=L$2,VLOOKUP($E82-L$2,'data input'!$D$3:$E$130,2,FALSE),0)</f>
        <v>6.6618087919827484E-3</v>
      </c>
      <c r="M82" s="5">
        <f>IF($E82&gt;=M$2,VLOOKUP($E82-M$2,'data input'!$D$3:$E$130,2,FALSE),0)</f>
        <v>8.1975359245961554E-3</v>
      </c>
      <c r="N82" s="5">
        <f>IF($E82&gt;=N$2,VLOOKUP($E82-N$2,'data input'!$D$3:$E$130,2,FALSE),0)</f>
        <v>1.0035980100274067E-2</v>
      </c>
      <c r="O82" s="5">
        <f>IF($E82&gt;=O$2,VLOOKUP($E82-O$2,'data input'!$D$3:$E$130,2,FALSE),0)</f>
        <v>1.2224472655044671E-2</v>
      </c>
      <c r="P82" s="5">
        <f>IF($E82&gt;=P$2,VLOOKUP($E82-P$2,'data input'!$D$3:$E$130,2,FALSE),0)</f>
        <v>1.4815058192609865E-2</v>
      </c>
      <c r="Q82" s="5">
        <f>IF($E82&gt;=Q$2,VLOOKUP($E82-Q$2,'data input'!$D$3:$E$130,2,FALSE),0)</f>
        <v>1.7864420562816563E-2</v>
      </c>
      <c r="R82" s="5">
        <f>IF($E82&gt;=R$2,VLOOKUP($E82-R$2,'data input'!$D$3:$E$130,2,FALSE),0)</f>
        <v>2.1433682114152974E-2</v>
      </c>
      <c r="S82" s="5">
        <f>IF($E82&gt;=S$2,VLOOKUP($E82-S$2,'data input'!$D$3:$E$130,2,FALSE),0)</f>
        <v>2.5588059521638562E-2</v>
      </c>
      <c r="T82" s="5">
        <f>IF($E82&gt;=T$2,VLOOKUP($E82-T$2,'data input'!$D$3:$E$130,2,FALSE),0)</f>
        <v>3.0396361765261393E-2</v>
      </c>
      <c r="U82" s="5">
        <f>IF($E82&gt;=U$2,VLOOKUP($E82-U$2,'data input'!$D$3:$E$130,2,FALSE),0)</f>
        <v>3.5930319112925768E-2</v>
      </c>
      <c r="V82" s="5">
        <f>IF($E82&gt;=V$2,VLOOKUP($E82-V$2,'data input'!$D$3:$E$130,2,FALSE),0)</f>
        <v>4.2263736257952433E-2</v>
      </c>
      <c r="W82" s="5">
        <f>IF($E82&gt;=W$2,VLOOKUP($E82-W$2,'data input'!$D$3:$E$130,2,FALSE),0)</f>
        <v>4.9471468033648103E-2</v>
      </c>
      <c r="X82" s="5">
        <f>IF($E82&gt;=X$2,VLOOKUP($E82-X$2,'data input'!$D$3:$E$130,2,FALSE),0)</f>
        <v>5.7628222276153163E-2</v>
      </c>
      <c r="Y82" s="5">
        <f>IF($E82&gt;=Y$2,VLOOKUP($E82-Y$2,'data input'!$D$3:$E$130,2,FALSE),0)</f>
        <v>6.6807201268858085E-2</v>
      </c>
      <c r="Z82" s="5">
        <f>IF($E82&gt;=Z$2,VLOOKUP($E82-Z$2,'data input'!$D$3:$E$130,2,FALSE),0)</f>
        <v>7.707860055207183E-2</v>
      </c>
      <c r="AA82" s="5">
        <f>IF($E82&gt;=AA$2,VLOOKUP($E82-AA$2,'data input'!$D$3:$E$130,2,FALSE),0)</f>
        <v>8.8507991437402067E-2</v>
      </c>
      <c r="AB82" s="5">
        <f>IF($E82&gt;=AB$2,VLOOKUP($E82-AB$2,'data input'!$D$3:$E$130,2,FALSE),0)</f>
        <v>0.10115462099558592</v>
      </c>
      <c r="AC82" s="5">
        <f>IF($E82&gt;=AC$2,VLOOKUP($E82-AC$2,'data input'!$D$3:$E$130,2,FALSE),0)</f>
        <v>0.11506967022170822</v>
      </c>
      <c r="AD82" s="5">
        <f>IF($E82&gt;=AD$2,VLOOKUP($E82-AD$2,'data input'!$D$3:$E$130,2,FALSE),0)</f>
        <v>0.13029451713680884</v>
      </c>
      <c r="AE82" s="5">
        <f>IF($E82&gt;=AE$2,VLOOKUP($E82-AE$2,'data input'!$D$3:$E$130,2,FALSE),0)</f>
        <v>0.14685905637589591</v>
      </c>
      <c r="AF82" s="5">
        <f>IF($E82&gt;=AF$2,VLOOKUP($E82-AF$2,'data input'!$D$3:$E$130,2,FALSE),0)</f>
        <v>0.16478012998031033</v>
      </c>
      <c r="AG82" s="5">
        <f>IF($E82&gt;=AG$2,VLOOKUP($E82-AG$2,'data input'!$D$3:$E$130,2,FALSE),0)</f>
        <v>0.18406012534675953</v>
      </c>
      <c r="AH82" s="5">
        <f>IF($E82&gt;=AH$2,VLOOKUP($E82-AH$2,'data input'!$D$3:$E$130,2,FALSE),0)</f>
        <v>0.20468579534725262</v>
      </c>
      <c r="AI82" s="5">
        <f>IF($E82&gt;=AI$2,VLOOKUP($E82-AI$2,'data input'!$D$3:$E$130,2,FALSE),0)</f>
        <v>0.22662735237686826</v>
      </c>
      <c r="AJ82" s="5">
        <f>IF($E82&gt;=AJ$2,VLOOKUP($E82-AJ$2,'data input'!$D$3:$E$130,2,FALSE),0)</f>
        <v>0.24983788247177696</v>
      </c>
      <c r="AK82" s="5">
        <f>IF($E82&gt;=AK$2,VLOOKUP($E82-AK$2,'data input'!$D$3:$E$130,2,FALSE),0)</f>
        <v>0.27425311775007355</v>
      </c>
      <c r="AL82" s="5">
        <f>IF($E82&gt;=AL$2,VLOOKUP($E82-AL$2,'data input'!$D$3:$E$130,2,FALSE),0)</f>
        <v>0.29979159546869583</v>
      </c>
      <c r="AM82" s="5">
        <f>IF($E82&gt;=AM$2,VLOOKUP($E82-AM$2,'data input'!$D$3:$E$130,2,FALSE),0)</f>
        <v>0.32635522028792008</v>
      </c>
      <c r="AN82" s="5">
        <f>IF($E82&gt;=AN$2,VLOOKUP($E82-AN$2,'data input'!$D$3:$E$130,2,FALSE),0)</f>
        <v>0.35383023332727614</v>
      </c>
      <c r="AO82" s="5">
        <f>IF($E82&gt;=AO$2,VLOOKUP($E82-AO$2,'data input'!$D$3:$E$130,2,FALSE),0)</f>
        <v>0.38208857781104733</v>
      </c>
      <c r="AP82" s="5">
        <f>IF($E82&gt;=AP$2,VLOOKUP($E82-AP$2,'data input'!$D$3:$E$130,2,FALSE),0)</f>
        <v>0.41098963713127035</v>
      </c>
      <c r="AQ82" s="5">
        <f>IF($E82&gt;=AQ$2,VLOOKUP($E82-AQ$2,'data input'!$D$3:$E$130,2,FALSE),0)</f>
        <v>0.4403823076297575</v>
      </c>
      <c r="AR82" s="5">
        <f>IF($E82&gt;=AR$2,VLOOKUP($E82-AR$2,'data input'!$D$3:$E$130,2,FALSE),0)</f>
        <v>0.47010735594710518</v>
      </c>
      <c r="AS82" s="5">
        <f>IF($E82&gt;=AS$2,VLOOKUP($E82-AS$2,'data input'!$D$3:$E$130,2,FALSE),0)</f>
        <v>0.5</v>
      </c>
      <c r="AT82" s="5">
        <f>IF($E82&gt;=AT$2,VLOOKUP($E82-AT$2,'data input'!$D$3:$E$130,2,FALSE),0)</f>
        <v>0.52989264405289482</v>
      </c>
      <c r="AU82" s="5">
        <f>IF($E82&gt;=AU$2,VLOOKUP($E82-AU$2,'data input'!$D$3:$E$130,2,FALSE),0)</f>
        <v>0.5596176923702425</v>
      </c>
      <c r="AV82" s="5">
        <f>IF($E82&gt;=AV$2,VLOOKUP($E82-AV$2,'data input'!$D$3:$E$130,2,FALSE),0)</f>
        <v>0.58901036286872965</v>
      </c>
      <c r="AW82" s="5">
        <f>IF($E82&gt;=AW$2,VLOOKUP($E82-AW$2,'data input'!$D$3:$E$130,2,FALSE),0)</f>
        <v>0.61791142218895267</v>
      </c>
      <c r="AX82" s="5">
        <f>IF($E82&gt;=AX$2,VLOOKUP($E82-AX$2,'data input'!$D$3:$E$130,2,FALSE),0)</f>
        <v>0.64616976667272386</v>
      </c>
      <c r="AY82" s="5">
        <f>IF($E82&gt;=AY$2,VLOOKUP($E82-AY$2,'data input'!$D$3:$E$130,2,FALSE),0)</f>
        <v>0.67364477971207992</v>
      </c>
      <c r="AZ82" s="5">
        <f>IF($E82&gt;=AZ$2,VLOOKUP($E82-AZ$2,'data input'!$D$3:$E$130,2,FALSE),0)</f>
        <v>0.70020840453130417</v>
      </c>
      <c r="BA82" s="5">
        <f>IF($E82&gt;=BA$2,VLOOKUP($E82-BA$2,'data input'!$D$3:$E$130,2,FALSE),0)</f>
        <v>0.72574688224992645</v>
      </c>
      <c r="BB82" s="5">
        <f>IF($E82&gt;=BB$2,VLOOKUP($E82-BB$2,'data input'!$D$3:$E$130,2,FALSE),0)</f>
        <v>0.75016211752822304</v>
      </c>
      <c r="BC82" s="5">
        <f>IF($E82&gt;=BC$2,VLOOKUP($E82-BC$2,'data input'!$D$3:$E$130,2,FALSE),0)</f>
        <v>0.77337264762313174</v>
      </c>
      <c r="BD82" s="5">
        <f>IF($E82&gt;=BD$2,VLOOKUP($E82-BD$2,'data input'!$D$3:$E$130,2,FALSE),0)</f>
        <v>0.79531420465274738</v>
      </c>
      <c r="BE82" s="5">
        <f>IF($E82&gt;=BE$2,VLOOKUP($E82-BE$2,'data input'!$D$3:$E$130,2,FALSE),0)</f>
        <v>0.81593987465324047</v>
      </c>
      <c r="BF82" s="5">
        <f>IF($E82&gt;=BF$2,VLOOKUP($E82-BF$2,'data input'!$D$3:$E$130,2,FALSE),0)</f>
        <v>0.83521987001968967</v>
      </c>
      <c r="BG82" s="5">
        <f>IF($E82&gt;=BG$2,VLOOKUP($E82-BG$2,'data input'!$D$3:$E$130,2,FALSE),0)</f>
        <v>0.85314094362410409</v>
      </c>
      <c r="BH82" s="5">
        <f>IF($E82&gt;=BH$2,VLOOKUP($E82-BH$2,'data input'!$D$3:$E$130,2,FALSE),0)</f>
        <v>0.86970548286319116</v>
      </c>
      <c r="BI82" s="5">
        <f>IF($E82&gt;=BI$2,VLOOKUP($E82-BI$2,'data input'!$D$3:$E$130,2,FALSE),0)</f>
        <v>0.88493032977829178</v>
      </c>
      <c r="BJ82" s="5">
        <f>IF($E82&gt;=BJ$2,VLOOKUP($E82-BJ$2,'data input'!$D$3:$E$130,2,FALSE),0)</f>
        <v>0.89884537900441408</v>
      </c>
      <c r="BK82" s="5">
        <f>IF($E82&gt;=BK$2,VLOOKUP($E82-BK$2,'data input'!$D$3:$E$130,2,FALSE),0)</f>
        <v>0.91149200856259793</v>
      </c>
      <c r="BL82" s="5">
        <f>IF($E82&gt;=BL$2,VLOOKUP($E82-BL$2,'data input'!$D$3:$E$130,2,FALSE),0)</f>
        <v>0.92292139944792817</v>
      </c>
      <c r="BM82" s="5">
        <f>IF($E82&gt;=BM$2,VLOOKUP($E82-BM$2,'data input'!$D$3:$E$130,2,FALSE),0)</f>
        <v>0.93319279873114191</v>
      </c>
      <c r="BN82" s="5">
        <f>IF($E82&gt;=BN$2,VLOOKUP($E82-BN$2,'data input'!$D$3:$E$130,2,FALSE),0)</f>
        <v>0.94237177772384684</v>
      </c>
      <c r="BO82" s="5">
        <f>IF($E82&gt;=BO$2,VLOOKUP($E82-BO$2,'data input'!$D$3:$E$130,2,FALSE),0)</f>
        <v>0.9505285319663519</v>
      </c>
      <c r="BP82" s="5">
        <f>IF($E82&gt;=BP$2,VLOOKUP($E82-BP$2,'data input'!$D$3:$E$130,2,FALSE),0)</f>
        <v>0.95773626374204757</v>
      </c>
      <c r="BQ82" s="5">
        <f>IF($E82&gt;=BQ$2,VLOOKUP($E82-BQ$2,'data input'!$D$3:$E$130,2,FALSE),0)</f>
        <v>0.96406968088707423</v>
      </c>
      <c r="BR82" s="5">
        <f>IF($E82&gt;=BR$2,VLOOKUP($E82-BR$2,'data input'!$D$3:$E$130,2,FALSE),0)</f>
        <v>0.96960363823473861</v>
      </c>
      <c r="BS82" s="5">
        <f>IF($E82&gt;=BS$2,VLOOKUP($E82-BS$2,'data input'!$D$3:$E$130,2,FALSE),0)</f>
        <v>0.97441194047836144</v>
      </c>
      <c r="BT82" s="5">
        <f>IF($E82&gt;=BT$2,VLOOKUP($E82-BT$2,'data input'!$D$3:$E$130,2,FALSE),0)</f>
        <v>0.97856631788584703</v>
      </c>
      <c r="BU82" s="5">
        <f>IF($E82&gt;=BU$2,VLOOKUP($E82-BU$2,'data input'!$D$3:$E$130,2,FALSE),0)</f>
        <v>0.98213557943718344</v>
      </c>
      <c r="BV82" s="5">
        <f>IF($E82&gt;=BV$2,VLOOKUP($E82-BV$2,'data input'!$D$3:$E$130,2,FALSE),0)</f>
        <v>0.98518494180739014</v>
      </c>
      <c r="BW82" s="5">
        <f>IF($E82&gt;=BW$2,VLOOKUP($E82-BW$2,'data input'!$D$3:$E$130,2,FALSE),0)</f>
        <v>0.98777552734495533</v>
      </c>
      <c r="BX82" s="5">
        <f>IF($E82&gt;=BX$2,VLOOKUP($E82-BX$2,'data input'!$D$3:$E$130,2,FALSE),0)</f>
        <v>0.98996401989972593</v>
      </c>
      <c r="BY82" s="5">
        <f>IF($E82&gt;=BY$2,VLOOKUP($E82-BY$2,'data input'!$D$3:$E$130,2,FALSE),0)</f>
        <v>0.99180246407540384</v>
      </c>
      <c r="BZ82" s="5">
        <f>IF($E82&gt;=BZ$2,VLOOKUP($E82-BZ$2,'data input'!$D$3:$E$130,2,FALSE),0)</f>
        <v>0.99333819120801725</v>
      </c>
      <c r="CA82" s="5">
        <f>IF($E82&gt;=CA$2,VLOOKUP($E82-CA$2,'data input'!$D$3:$E$130,2,FALSE),0)</f>
        <v>0.99461385404593328</v>
      </c>
      <c r="CB82" s="5">
        <f>IF($E82&gt;=CB$2,VLOOKUP($E82-CB$2,'data input'!$D$3:$E$130,2,FALSE),0)</f>
        <v>0.99566755163698739</v>
      </c>
      <c r="CC82" s="5">
        <f>IF($E82&gt;=CC$2,VLOOKUP($E82-CC$2,'data input'!$D$3:$E$130,2,FALSE),0)</f>
        <v>0.99653302619695938</v>
      </c>
      <c r="CD82" s="5">
        <f>IF($E82&gt;=CD$2,VLOOKUP($E82-CD$2,'data input'!$D$3:$E$130,2,FALSE),0)</f>
        <v>0.99723991460873751</v>
      </c>
      <c r="CE82" s="5">
        <f>IF($E82&gt;=CE$2,VLOOKUP($E82-CE$2,'data input'!$D$3:$E$130,2,FALSE),0)</f>
        <v>0.99781403854508677</v>
      </c>
      <c r="CF82" s="5">
        <f>IF($E82&gt;=CF$2,VLOOKUP($E82-CF$2,'data input'!$D$3:$E$130,2,FALSE),0)</f>
        <v>0.99827771888413241</v>
      </c>
      <c r="CG82" s="5">
        <f>IF($E82&gt;=CG$2,VLOOKUP($E82-CG$2,'data input'!$D$3:$E$130,2,FALSE),0)</f>
        <v>0.9986501019683699</v>
      </c>
      <c r="CH82" s="5">
        <f>IF($E82&gt;=CH$2,VLOOKUP($E82-CH$2,'data input'!$D$3:$E$130,2,FALSE),0)</f>
        <v>0</v>
      </c>
      <c r="CI82" s="5">
        <f>IF($E82&gt;=CI$2,VLOOKUP($E82-CI$2,'data input'!$D$3:$E$130,2,FALSE),0)</f>
        <v>0</v>
      </c>
      <c r="CJ82" s="5">
        <f>IF($E82&gt;=CJ$2,VLOOKUP($E82-CJ$2,'data input'!$D$3:$E$130,2,FALSE),0)</f>
        <v>0</v>
      </c>
      <c r="CK82" s="5">
        <f>IF($E82&gt;=CK$2,VLOOKUP($E82-CK$2,'data input'!$D$3:$E$130,2,FALSE),0)</f>
        <v>0</v>
      </c>
      <c r="CL82" s="5">
        <f>IF($E82&gt;=CL$2,VLOOKUP($E82-CL$2,'data input'!$D$3:$E$130,2,FALSE),0)</f>
        <v>0</v>
      </c>
      <c r="CM82" s="5">
        <f>IF($E82&gt;=CM$2,VLOOKUP($E82-CM$2,'data input'!$D$3:$E$130,2,FALSE),0)</f>
        <v>0</v>
      </c>
      <c r="CN82" s="5">
        <f>IF($E82&gt;=CN$2,VLOOKUP($E82-CN$2,'data input'!$D$3:$E$130,2,FALSE),0)</f>
        <v>0</v>
      </c>
      <c r="CO82" s="5">
        <f>IF($E82&gt;=CO$2,VLOOKUP($E82-CO$2,'data input'!$D$3:$E$130,2,FALSE),0)</f>
        <v>0</v>
      </c>
      <c r="CP82" s="5">
        <f>IF($E82&gt;=CP$2,VLOOKUP($E82-CP$2,'data input'!$D$3:$E$130,2,FALSE),0)</f>
        <v>0</v>
      </c>
      <c r="CQ82" s="5">
        <f>IF($E82&gt;=CQ$2,VLOOKUP($E82-CQ$2,'data input'!$D$3:$E$130,2,FALSE),0)</f>
        <v>0</v>
      </c>
      <c r="CR82" s="5">
        <f>IF($E82&gt;=CR$2,VLOOKUP($E82-CR$2,'data input'!$D$3:$E$130,2,FALSE),0)</f>
        <v>0</v>
      </c>
      <c r="CS82" s="5">
        <f>IF($E82&gt;=CS$2,VLOOKUP($E82-CS$2,'data input'!$D$3:$E$130,2,FALSE),0)</f>
        <v>0</v>
      </c>
      <c r="CT82" s="5">
        <f>IF($E82&gt;=CT$2,VLOOKUP($E82-CT$2,'data input'!$D$3:$E$130,2,FALSE),0)</f>
        <v>0</v>
      </c>
      <c r="CU82" s="5">
        <f>IF($E82&gt;=CU$2,VLOOKUP($E82-CU$2,'data input'!$D$3:$E$130,2,FALSE),0)</f>
        <v>0</v>
      </c>
      <c r="CV82" s="5">
        <f>IF($E82&gt;=CV$2,VLOOKUP($E82-CV$2,'data input'!$D$3:$E$130,2,FALSE),0)</f>
        <v>0</v>
      </c>
      <c r="CW82" s="5">
        <f>IF($E82&gt;=CW$2,VLOOKUP($E82-CW$2,'data input'!$D$3:$E$130,2,FALSE),0)</f>
        <v>0</v>
      </c>
      <c r="CX82" s="5">
        <f>IF($E82&gt;=CX$2,VLOOKUP($E82-CX$2,'data input'!$D$3:$E$130,2,FALSE),0)</f>
        <v>0</v>
      </c>
      <c r="CY82" s="5">
        <f>IF($E82&gt;=CY$2,VLOOKUP($E82-CY$2,'data input'!$D$3:$E$130,2,FALSE),0)</f>
        <v>0</v>
      </c>
      <c r="CZ82" s="5">
        <f>IF($E82&gt;=CZ$2,VLOOKUP($E82-CZ$2,'data input'!$D$3:$E$130,2,FALSE),0)</f>
        <v>0</v>
      </c>
      <c r="DA82" s="5">
        <f>IF($E82&gt;=DA$2,VLOOKUP($E82-DA$2,'data input'!$D$3:$E$130,2,FALSE),0)</f>
        <v>0</v>
      </c>
      <c r="DB82" s="5">
        <f>IF($E82&gt;=DB$2,VLOOKUP($E82-DB$2,'data input'!$D$3:$E$130,2,FALSE),0)</f>
        <v>0</v>
      </c>
      <c r="DC82" s="5">
        <f>IF($E82&gt;=DC$2,VLOOKUP($E82-DC$2,'data input'!$D$3:$E$130,2,FALSE),0)</f>
        <v>0</v>
      </c>
      <c r="DD82" s="5">
        <f>IF($E82&gt;=DD$2,VLOOKUP($E82-DD$2,'data input'!$D$3:$E$130,2,FALSE),0)</f>
        <v>0</v>
      </c>
      <c r="DE82" s="5">
        <f>IF($E82&gt;=DE$2,VLOOKUP($E82-DE$2,'data input'!$D$3:$E$130,2,FALSE),0)</f>
        <v>0</v>
      </c>
      <c r="DF82" s="5">
        <f>IF($E82&gt;=DF$2,VLOOKUP($E82-DF$2,'data input'!$D$3:$E$130,2,FALSE),0)</f>
        <v>0</v>
      </c>
      <c r="DG82" s="5">
        <f>IF($E82&gt;=DG$2,VLOOKUP($E82-DG$2,'data input'!$D$3:$E$130,2,FALSE),0)</f>
        <v>0</v>
      </c>
      <c r="DH82" s="5">
        <f>IF($E82&gt;=DH$2,VLOOKUP($E82-DH$2,'data input'!$D$3:$E$130,2,FALSE),0)</f>
        <v>0</v>
      </c>
      <c r="DI82" s="5">
        <f>IF($E82&gt;=DI$2,VLOOKUP($E82-DI$2,'data input'!$D$3:$E$130,2,FALSE),0)</f>
        <v>0</v>
      </c>
      <c r="DJ82" s="5">
        <f>IF($E82&gt;=DJ$2,VLOOKUP($E82-DJ$2,'data input'!$D$3:$E$130,2,FALSE),0)</f>
        <v>0</v>
      </c>
      <c r="DK82" s="5">
        <f>IF($E82&gt;=DK$2,VLOOKUP($E82-DK$2,'data input'!$D$3:$E$130,2,FALSE),0)</f>
        <v>0</v>
      </c>
      <c r="DL82" s="5">
        <f>IF($E82&gt;=DL$2,VLOOKUP($E82-DL$2,'data input'!$D$3:$E$130,2,FALSE),0)</f>
        <v>0</v>
      </c>
      <c r="DM82" s="5">
        <f>IF($E82&gt;=DM$2,VLOOKUP($E82-DM$2,'data input'!$D$3:$E$130,2,FALSE),0)</f>
        <v>0</v>
      </c>
      <c r="DN82" s="5">
        <f>IF($E82&gt;=DN$2,VLOOKUP($E82-DN$2,'data input'!$D$3:$E$130,2,FALSE),0)</f>
        <v>0</v>
      </c>
      <c r="DO82" s="5">
        <f>IF($E82&gt;=DO$2,VLOOKUP($E82-DO$2,'data input'!$D$3:$E$130,2,FALSE),0)</f>
        <v>0</v>
      </c>
      <c r="DP82" s="5">
        <f>IF($E82&gt;=DP$2,VLOOKUP($E82-DP$2,'data input'!$D$3:$E$130,2,FALSE),0)</f>
        <v>0</v>
      </c>
      <c r="DQ82" s="5">
        <f>IF($E82&gt;=DQ$2,VLOOKUP($E82-DQ$2,'data input'!$D$3:$E$130,2,FALSE),0)</f>
        <v>0</v>
      </c>
      <c r="DR82" s="5">
        <f>IF($E82&gt;=DR$2,VLOOKUP($E82-DR$2,'data input'!$D$3:$E$130,2,FALSE),0)</f>
        <v>0</v>
      </c>
      <c r="DS82" s="5">
        <f>IF($E82&gt;=DS$2,VLOOKUP($E82-DS$2,'data input'!$D$3:$E$130,2,FALSE),0)</f>
        <v>0</v>
      </c>
      <c r="DT82" s="5">
        <f>IF($E82&gt;=DT$2,VLOOKUP($E82-DT$2,'data input'!$D$3:$E$130,2,FALSE),0)</f>
        <v>0</v>
      </c>
      <c r="DU82" s="5">
        <f>IF($E82&gt;=DU$2,VLOOKUP($E82-DU$2,'data input'!$D$3:$E$130,2,FALSE),0)</f>
        <v>0</v>
      </c>
      <c r="DV82" s="5">
        <f>IF($E82&gt;=DV$2,VLOOKUP($E82-DV$2,'data input'!$D$3:$E$130,2,FALSE),0)</f>
        <v>0</v>
      </c>
      <c r="DW82" s="5">
        <f>IF($E82&gt;=DW$2,VLOOKUP($E82-DW$2,'data input'!$D$3:$E$130,2,FALSE),0)</f>
        <v>0</v>
      </c>
      <c r="DX82" s="5">
        <f>IF($E82&gt;=DX$2,VLOOKUP($E82-DX$2,'data input'!$D$3:$E$130,2,FALSE),0)</f>
        <v>0</v>
      </c>
      <c r="DY82" s="5">
        <f>IF($E82&gt;=DY$2,VLOOKUP($E82-DY$2,'data input'!$D$3:$E$130,2,FALSE),0)</f>
        <v>0</v>
      </c>
      <c r="DZ82" s="5">
        <f>IF($E82&gt;=DZ$2,VLOOKUP($E82-DZ$2,'data input'!$D$3:$E$130,2,FALSE),0)</f>
        <v>0</v>
      </c>
      <c r="EA82" s="5">
        <f>IF($E82&gt;=EA$2,VLOOKUP($E82-EA$2,'data input'!$D$3:$E$130,2,FALSE),0)</f>
        <v>0</v>
      </c>
      <c r="EB82" s="5">
        <f>IF($E82&gt;=EB$2,VLOOKUP($E82-EB$2,'data input'!$D$3:$E$130,2,FALSE),0)</f>
        <v>0</v>
      </c>
      <c r="EC82" s="5">
        <f>IF($E82&gt;=EC$2,VLOOKUP($E82-EC$2,'data input'!$D$3:$E$130,2,FALSE),0)</f>
        <v>0</v>
      </c>
    </row>
    <row r="83" spans="5:133">
      <c r="E83" s="7">
        <f>'data input'!B83</f>
        <v>1958</v>
      </c>
      <c r="F83" s="5">
        <f>IF($E83&gt;=F$2,VLOOKUP($E83-F$2,'data input'!$D$3:$E$130,2,FALSE),0)</f>
        <v>1.3498980316301035E-3</v>
      </c>
      <c r="G83" s="5">
        <f>IF($E83&gt;=G$2,VLOOKUP($E83-G$2,'data input'!$D$3:$E$130,2,FALSE),0)</f>
        <v>1.7222811158675855E-3</v>
      </c>
      <c r="H83" s="5">
        <f>IF($E83&gt;=H$2,VLOOKUP($E83-H$2,'data input'!$D$3:$E$130,2,FALSE),0)</f>
        <v>2.1859614549132322E-3</v>
      </c>
      <c r="I83" s="5">
        <f>IF($E83&gt;=I$2,VLOOKUP($E83-I$2,'data input'!$D$3:$E$130,2,FALSE),0)</f>
        <v>2.7600853912624901E-3</v>
      </c>
      <c r="J83" s="5">
        <f>IF($E83&gt;=J$2,VLOOKUP($E83-J$2,'data input'!$D$3:$E$130,2,FALSE),0)</f>
        <v>3.4669738030406183E-3</v>
      </c>
      <c r="K83" s="5">
        <f>IF($E83&gt;=K$2,VLOOKUP($E83-K$2,'data input'!$D$3:$E$130,2,FALSE),0)</f>
        <v>4.3324483630126087E-3</v>
      </c>
      <c r="L83" s="5">
        <f>IF($E83&gt;=L$2,VLOOKUP($E83-L$2,'data input'!$D$3:$E$130,2,FALSE),0)</f>
        <v>5.3861459540667234E-3</v>
      </c>
      <c r="M83" s="5">
        <f>IF($E83&gt;=M$2,VLOOKUP($E83-M$2,'data input'!$D$3:$E$130,2,FALSE),0)</f>
        <v>6.6618087919827484E-3</v>
      </c>
      <c r="N83" s="5">
        <f>IF($E83&gt;=N$2,VLOOKUP($E83-N$2,'data input'!$D$3:$E$130,2,FALSE),0)</f>
        <v>8.1975359245961554E-3</v>
      </c>
      <c r="O83" s="5">
        <f>IF($E83&gt;=O$2,VLOOKUP($E83-O$2,'data input'!$D$3:$E$130,2,FALSE),0)</f>
        <v>1.0035980100274067E-2</v>
      </c>
      <c r="P83" s="5">
        <f>IF($E83&gt;=P$2,VLOOKUP($E83-P$2,'data input'!$D$3:$E$130,2,FALSE),0)</f>
        <v>1.2224472655044671E-2</v>
      </c>
      <c r="Q83" s="5">
        <f>IF($E83&gt;=Q$2,VLOOKUP($E83-Q$2,'data input'!$D$3:$E$130,2,FALSE),0)</f>
        <v>1.4815058192609865E-2</v>
      </c>
      <c r="R83" s="5">
        <f>IF($E83&gt;=R$2,VLOOKUP($E83-R$2,'data input'!$D$3:$E$130,2,FALSE),0)</f>
        <v>1.7864420562816563E-2</v>
      </c>
      <c r="S83" s="5">
        <f>IF($E83&gt;=S$2,VLOOKUP($E83-S$2,'data input'!$D$3:$E$130,2,FALSE),0)</f>
        <v>2.1433682114152974E-2</v>
      </c>
      <c r="T83" s="5">
        <f>IF($E83&gt;=T$2,VLOOKUP($E83-T$2,'data input'!$D$3:$E$130,2,FALSE),0)</f>
        <v>2.5588059521638562E-2</v>
      </c>
      <c r="U83" s="5">
        <f>IF($E83&gt;=U$2,VLOOKUP($E83-U$2,'data input'!$D$3:$E$130,2,FALSE),0)</f>
        <v>3.0396361765261393E-2</v>
      </c>
      <c r="V83" s="5">
        <f>IF($E83&gt;=V$2,VLOOKUP($E83-V$2,'data input'!$D$3:$E$130,2,FALSE),0)</f>
        <v>3.5930319112925768E-2</v>
      </c>
      <c r="W83" s="5">
        <f>IF($E83&gt;=W$2,VLOOKUP($E83-W$2,'data input'!$D$3:$E$130,2,FALSE),0)</f>
        <v>4.2263736257952433E-2</v>
      </c>
      <c r="X83" s="5">
        <f>IF($E83&gt;=X$2,VLOOKUP($E83-X$2,'data input'!$D$3:$E$130,2,FALSE),0)</f>
        <v>4.9471468033648103E-2</v>
      </c>
      <c r="Y83" s="5">
        <f>IF($E83&gt;=Y$2,VLOOKUP($E83-Y$2,'data input'!$D$3:$E$130,2,FALSE),0)</f>
        <v>5.7628222276153163E-2</v>
      </c>
      <c r="Z83" s="5">
        <f>IF($E83&gt;=Z$2,VLOOKUP($E83-Z$2,'data input'!$D$3:$E$130,2,FALSE),0)</f>
        <v>6.6807201268858085E-2</v>
      </c>
      <c r="AA83" s="5">
        <f>IF($E83&gt;=AA$2,VLOOKUP($E83-AA$2,'data input'!$D$3:$E$130,2,FALSE),0)</f>
        <v>7.707860055207183E-2</v>
      </c>
      <c r="AB83" s="5">
        <f>IF($E83&gt;=AB$2,VLOOKUP($E83-AB$2,'data input'!$D$3:$E$130,2,FALSE),0)</f>
        <v>8.8507991437402067E-2</v>
      </c>
      <c r="AC83" s="5">
        <f>IF($E83&gt;=AC$2,VLOOKUP($E83-AC$2,'data input'!$D$3:$E$130,2,FALSE),0)</f>
        <v>0.10115462099558592</v>
      </c>
      <c r="AD83" s="5">
        <f>IF($E83&gt;=AD$2,VLOOKUP($E83-AD$2,'data input'!$D$3:$E$130,2,FALSE),0)</f>
        <v>0.11506967022170822</v>
      </c>
      <c r="AE83" s="5">
        <f>IF($E83&gt;=AE$2,VLOOKUP($E83-AE$2,'data input'!$D$3:$E$130,2,FALSE),0)</f>
        <v>0.13029451713680884</v>
      </c>
      <c r="AF83" s="5">
        <f>IF($E83&gt;=AF$2,VLOOKUP($E83-AF$2,'data input'!$D$3:$E$130,2,FALSE),0)</f>
        <v>0.14685905637589591</v>
      </c>
      <c r="AG83" s="5">
        <f>IF($E83&gt;=AG$2,VLOOKUP($E83-AG$2,'data input'!$D$3:$E$130,2,FALSE),0)</f>
        <v>0.16478012998031033</v>
      </c>
      <c r="AH83" s="5">
        <f>IF($E83&gt;=AH$2,VLOOKUP($E83-AH$2,'data input'!$D$3:$E$130,2,FALSE),0)</f>
        <v>0.18406012534675953</v>
      </c>
      <c r="AI83" s="5">
        <f>IF($E83&gt;=AI$2,VLOOKUP($E83-AI$2,'data input'!$D$3:$E$130,2,FALSE),0)</f>
        <v>0.20468579534725262</v>
      </c>
      <c r="AJ83" s="5">
        <f>IF($E83&gt;=AJ$2,VLOOKUP($E83-AJ$2,'data input'!$D$3:$E$130,2,FALSE),0)</f>
        <v>0.22662735237686826</v>
      </c>
      <c r="AK83" s="5">
        <f>IF($E83&gt;=AK$2,VLOOKUP($E83-AK$2,'data input'!$D$3:$E$130,2,FALSE),0)</f>
        <v>0.24983788247177696</v>
      </c>
      <c r="AL83" s="5">
        <f>IF($E83&gt;=AL$2,VLOOKUP($E83-AL$2,'data input'!$D$3:$E$130,2,FALSE),0)</f>
        <v>0.27425311775007355</v>
      </c>
      <c r="AM83" s="5">
        <f>IF($E83&gt;=AM$2,VLOOKUP($E83-AM$2,'data input'!$D$3:$E$130,2,FALSE),0)</f>
        <v>0.29979159546869583</v>
      </c>
      <c r="AN83" s="5">
        <f>IF($E83&gt;=AN$2,VLOOKUP($E83-AN$2,'data input'!$D$3:$E$130,2,FALSE),0)</f>
        <v>0.32635522028792008</v>
      </c>
      <c r="AO83" s="5">
        <f>IF($E83&gt;=AO$2,VLOOKUP($E83-AO$2,'data input'!$D$3:$E$130,2,FALSE),0)</f>
        <v>0.35383023332727614</v>
      </c>
      <c r="AP83" s="5">
        <f>IF($E83&gt;=AP$2,VLOOKUP($E83-AP$2,'data input'!$D$3:$E$130,2,FALSE),0)</f>
        <v>0.38208857781104733</v>
      </c>
      <c r="AQ83" s="5">
        <f>IF($E83&gt;=AQ$2,VLOOKUP($E83-AQ$2,'data input'!$D$3:$E$130,2,FALSE),0)</f>
        <v>0.41098963713127035</v>
      </c>
      <c r="AR83" s="5">
        <f>IF($E83&gt;=AR$2,VLOOKUP($E83-AR$2,'data input'!$D$3:$E$130,2,FALSE),0)</f>
        <v>0.4403823076297575</v>
      </c>
      <c r="AS83" s="5">
        <f>IF($E83&gt;=AS$2,VLOOKUP($E83-AS$2,'data input'!$D$3:$E$130,2,FALSE),0)</f>
        <v>0.47010735594710518</v>
      </c>
      <c r="AT83" s="5">
        <f>IF($E83&gt;=AT$2,VLOOKUP($E83-AT$2,'data input'!$D$3:$E$130,2,FALSE),0)</f>
        <v>0.5</v>
      </c>
      <c r="AU83" s="5">
        <f>IF($E83&gt;=AU$2,VLOOKUP($E83-AU$2,'data input'!$D$3:$E$130,2,FALSE),0)</f>
        <v>0.52989264405289482</v>
      </c>
      <c r="AV83" s="5">
        <f>IF($E83&gt;=AV$2,VLOOKUP($E83-AV$2,'data input'!$D$3:$E$130,2,FALSE),0)</f>
        <v>0.5596176923702425</v>
      </c>
      <c r="AW83" s="5">
        <f>IF($E83&gt;=AW$2,VLOOKUP($E83-AW$2,'data input'!$D$3:$E$130,2,FALSE),0)</f>
        <v>0.58901036286872965</v>
      </c>
      <c r="AX83" s="5">
        <f>IF($E83&gt;=AX$2,VLOOKUP($E83-AX$2,'data input'!$D$3:$E$130,2,FALSE),0)</f>
        <v>0.61791142218895267</v>
      </c>
      <c r="AY83" s="5">
        <f>IF($E83&gt;=AY$2,VLOOKUP($E83-AY$2,'data input'!$D$3:$E$130,2,FALSE),0)</f>
        <v>0.64616976667272386</v>
      </c>
      <c r="AZ83" s="5">
        <f>IF($E83&gt;=AZ$2,VLOOKUP($E83-AZ$2,'data input'!$D$3:$E$130,2,FALSE),0)</f>
        <v>0.67364477971207992</v>
      </c>
      <c r="BA83" s="5">
        <f>IF($E83&gt;=BA$2,VLOOKUP($E83-BA$2,'data input'!$D$3:$E$130,2,FALSE),0)</f>
        <v>0.70020840453130417</v>
      </c>
      <c r="BB83" s="5">
        <f>IF($E83&gt;=BB$2,VLOOKUP($E83-BB$2,'data input'!$D$3:$E$130,2,FALSE),0)</f>
        <v>0.72574688224992645</v>
      </c>
      <c r="BC83" s="5">
        <f>IF($E83&gt;=BC$2,VLOOKUP($E83-BC$2,'data input'!$D$3:$E$130,2,FALSE),0)</f>
        <v>0.75016211752822304</v>
      </c>
      <c r="BD83" s="5">
        <f>IF($E83&gt;=BD$2,VLOOKUP($E83-BD$2,'data input'!$D$3:$E$130,2,FALSE),0)</f>
        <v>0.77337264762313174</v>
      </c>
      <c r="BE83" s="5">
        <f>IF($E83&gt;=BE$2,VLOOKUP($E83-BE$2,'data input'!$D$3:$E$130,2,FALSE),0)</f>
        <v>0.79531420465274738</v>
      </c>
      <c r="BF83" s="5">
        <f>IF($E83&gt;=BF$2,VLOOKUP($E83-BF$2,'data input'!$D$3:$E$130,2,FALSE),0)</f>
        <v>0.81593987465324047</v>
      </c>
      <c r="BG83" s="5">
        <f>IF($E83&gt;=BG$2,VLOOKUP($E83-BG$2,'data input'!$D$3:$E$130,2,FALSE),0)</f>
        <v>0.83521987001968967</v>
      </c>
      <c r="BH83" s="5">
        <f>IF($E83&gt;=BH$2,VLOOKUP($E83-BH$2,'data input'!$D$3:$E$130,2,FALSE),0)</f>
        <v>0.85314094362410409</v>
      </c>
      <c r="BI83" s="5">
        <f>IF($E83&gt;=BI$2,VLOOKUP($E83-BI$2,'data input'!$D$3:$E$130,2,FALSE),0)</f>
        <v>0.86970548286319116</v>
      </c>
      <c r="BJ83" s="5">
        <f>IF($E83&gt;=BJ$2,VLOOKUP($E83-BJ$2,'data input'!$D$3:$E$130,2,FALSE),0)</f>
        <v>0.88493032977829178</v>
      </c>
      <c r="BK83" s="5">
        <f>IF($E83&gt;=BK$2,VLOOKUP($E83-BK$2,'data input'!$D$3:$E$130,2,FALSE),0)</f>
        <v>0.89884537900441408</v>
      </c>
      <c r="BL83" s="5">
        <f>IF($E83&gt;=BL$2,VLOOKUP($E83-BL$2,'data input'!$D$3:$E$130,2,FALSE),0)</f>
        <v>0.91149200856259793</v>
      </c>
      <c r="BM83" s="5">
        <f>IF($E83&gt;=BM$2,VLOOKUP($E83-BM$2,'data input'!$D$3:$E$130,2,FALSE),0)</f>
        <v>0.92292139944792817</v>
      </c>
      <c r="BN83" s="5">
        <f>IF($E83&gt;=BN$2,VLOOKUP($E83-BN$2,'data input'!$D$3:$E$130,2,FALSE),0)</f>
        <v>0.93319279873114191</v>
      </c>
      <c r="BO83" s="5">
        <f>IF($E83&gt;=BO$2,VLOOKUP($E83-BO$2,'data input'!$D$3:$E$130,2,FALSE),0)</f>
        <v>0.94237177772384684</v>
      </c>
      <c r="BP83" s="5">
        <f>IF($E83&gt;=BP$2,VLOOKUP($E83-BP$2,'data input'!$D$3:$E$130,2,FALSE),0)</f>
        <v>0.9505285319663519</v>
      </c>
      <c r="BQ83" s="5">
        <f>IF($E83&gt;=BQ$2,VLOOKUP($E83-BQ$2,'data input'!$D$3:$E$130,2,FALSE),0)</f>
        <v>0.95773626374204757</v>
      </c>
      <c r="BR83" s="5">
        <f>IF($E83&gt;=BR$2,VLOOKUP($E83-BR$2,'data input'!$D$3:$E$130,2,FALSE),0)</f>
        <v>0.96406968088707423</v>
      </c>
      <c r="BS83" s="5">
        <f>IF($E83&gt;=BS$2,VLOOKUP($E83-BS$2,'data input'!$D$3:$E$130,2,FALSE),0)</f>
        <v>0.96960363823473861</v>
      </c>
      <c r="BT83" s="5">
        <f>IF($E83&gt;=BT$2,VLOOKUP($E83-BT$2,'data input'!$D$3:$E$130,2,FALSE),0)</f>
        <v>0.97441194047836144</v>
      </c>
      <c r="BU83" s="5">
        <f>IF($E83&gt;=BU$2,VLOOKUP($E83-BU$2,'data input'!$D$3:$E$130,2,FALSE),0)</f>
        <v>0.97856631788584703</v>
      </c>
      <c r="BV83" s="5">
        <f>IF($E83&gt;=BV$2,VLOOKUP($E83-BV$2,'data input'!$D$3:$E$130,2,FALSE),0)</f>
        <v>0.98213557943718344</v>
      </c>
      <c r="BW83" s="5">
        <f>IF($E83&gt;=BW$2,VLOOKUP($E83-BW$2,'data input'!$D$3:$E$130,2,FALSE),0)</f>
        <v>0.98518494180739014</v>
      </c>
      <c r="BX83" s="5">
        <f>IF($E83&gt;=BX$2,VLOOKUP($E83-BX$2,'data input'!$D$3:$E$130,2,FALSE),0)</f>
        <v>0.98777552734495533</v>
      </c>
      <c r="BY83" s="5">
        <f>IF($E83&gt;=BY$2,VLOOKUP($E83-BY$2,'data input'!$D$3:$E$130,2,FALSE),0)</f>
        <v>0.98996401989972593</v>
      </c>
      <c r="BZ83" s="5">
        <f>IF($E83&gt;=BZ$2,VLOOKUP($E83-BZ$2,'data input'!$D$3:$E$130,2,FALSE),0)</f>
        <v>0.99180246407540384</v>
      </c>
      <c r="CA83" s="5">
        <f>IF($E83&gt;=CA$2,VLOOKUP($E83-CA$2,'data input'!$D$3:$E$130,2,FALSE),0)</f>
        <v>0.99333819120801725</v>
      </c>
      <c r="CB83" s="5">
        <f>IF($E83&gt;=CB$2,VLOOKUP($E83-CB$2,'data input'!$D$3:$E$130,2,FALSE),0)</f>
        <v>0.99461385404593328</v>
      </c>
      <c r="CC83" s="5">
        <f>IF($E83&gt;=CC$2,VLOOKUP($E83-CC$2,'data input'!$D$3:$E$130,2,FALSE),0)</f>
        <v>0.99566755163698739</v>
      </c>
      <c r="CD83" s="5">
        <f>IF($E83&gt;=CD$2,VLOOKUP($E83-CD$2,'data input'!$D$3:$E$130,2,FALSE),0)</f>
        <v>0.99653302619695938</v>
      </c>
      <c r="CE83" s="5">
        <f>IF($E83&gt;=CE$2,VLOOKUP($E83-CE$2,'data input'!$D$3:$E$130,2,FALSE),0)</f>
        <v>0.99723991460873751</v>
      </c>
      <c r="CF83" s="5">
        <f>IF($E83&gt;=CF$2,VLOOKUP($E83-CF$2,'data input'!$D$3:$E$130,2,FALSE),0)</f>
        <v>0.99781403854508677</v>
      </c>
      <c r="CG83" s="5">
        <f>IF($E83&gt;=CG$2,VLOOKUP($E83-CG$2,'data input'!$D$3:$E$130,2,FALSE),0)</f>
        <v>0.99827771888413241</v>
      </c>
      <c r="CH83" s="5">
        <f>IF($E83&gt;=CH$2,VLOOKUP($E83-CH$2,'data input'!$D$3:$E$130,2,FALSE),0)</f>
        <v>0.9986501019683699</v>
      </c>
      <c r="CI83" s="5">
        <f>IF($E83&gt;=CI$2,VLOOKUP($E83-CI$2,'data input'!$D$3:$E$130,2,FALSE),0)</f>
        <v>0</v>
      </c>
      <c r="CJ83" s="5">
        <f>IF($E83&gt;=CJ$2,VLOOKUP($E83-CJ$2,'data input'!$D$3:$E$130,2,FALSE),0)</f>
        <v>0</v>
      </c>
      <c r="CK83" s="5">
        <f>IF($E83&gt;=CK$2,VLOOKUP($E83-CK$2,'data input'!$D$3:$E$130,2,FALSE),0)</f>
        <v>0</v>
      </c>
      <c r="CL83" s="5">
        <f>IF($E83&gt;=CL$2,VLOOKUP($E83-CL$2,'data input'!$D$3:$E$130,2,FALSE),0)</f>
        <v>0</v>
      </c>
      <c r="CM83" s="5">
        <f>IF($E83&gt;=CM$2,VLOOKUP($E83-CM$2,'data input'!$D$3:$E$130,2,FALSE),0)</f>
        <v>0</v>
      </c>
      <c r="CN83" s="5">
        <f>IF($E83&gt;=CN$2,VLOOKUP($E83-CN$2,'data input'!$D$3:$E$130,2,FALSE),0)</f>
        <v>0</v>
      </c>
      <c r="CO83" s="5">
        <f>IF($E83&gt;=CO$2,VLOOKUP($E83-CO$2,'data input'!$D$3:$E$130,2,FALSE),0)</f>
        <v>0</v>
      </c>
      <c r="CP83" s="5">
        <f>IF($E83&gt;=CP$2,VLOOKUP($E83-CP$2,'data input'!$D$3:$E$130,2,FALSE),0)</f>
        <v>0</v>
      </c>
      <c r="CQ83" s="5">
        <f>IF($E83&gt;=CQ$2,VLOOKUP($E83-CQ$2,'data input'!$D$3:$E$130,2,FALSE),0)</f>
        <v>0</v>
      </c>
      <c r="CR83" s="5">
        <f>IF($E83&gt;=CR$2,VLOOKUP($E83-CR$2,'data input'!$D$3:$E$130,2,FALSE),0)</f>
        <v>0</v>
      </c>
      <c r="CS83" s="5">
        <f>IF($E83&gt;=CS$2,VLOOKUP($E83-CS$2,'data input'!$D$3:$E$130,2,FALSE),0)</f>
        <v>0</v>
      </c>
      <c r="CT83" s="5">
        <f>IF($E83&gt;=CT$2,VLOOKUP($E83-CT$2,'data input'!$D$3:$E$130,2,FALSE),0)</f>
        <v>0</v>
      </c>
      <c r="CU83" s="5">
        <f>IF($E83&gt;=CU$2,VLOOKUP($E83-CU$2,'data input'!$D$3:$E$130,2,FALSE),0)</f>
        <v>0</v>
      </c>
      <c r="CV83" s="5">
        <f>IF($E83&gt;=CV$2,VLOOKUP($E83-CV$2,'data input'!$D$3:$E$130,2,FALSE),0)</f>
        <v>0</v>
      </c>
      <c r="CW83" s="5">
        <f>IF($E83&gt;=CW$2,VLOOKUP($E83-CW$2,'data input'!$D$3:$E$130,2,FALSE),0)</f>
        <v>0</v>
      </c>
      <c r="CX83" s="5">
        <f>IF($E83&gt;=CX$2,VLOOKUP($E83-CX$2,'data input'!$D$3:$E$130,2,FALSE),0)</f>
        <v>0</v>
      </c>
      <c r="CY83" s="5">
        <f>IF($E83&gt;=CY$2,VLOOKUP($E83-CY$2,'data input'!$D$3:$E$130,2,FALSE),0)</f>
        <v>0</v>
      </c>
      <c r="CZ83" s="5">
        <f>IF($E83&gt;=CZ$2,VLOOKUP($E83-CZ$2,'data input'!$D$3:$E$130,2,FALSE),0)</f>
        <v>0</v>
      </c>
      <c r="DA83" s="5">
        <f>IF($E83&gt;=DA$2,VLOOKUP($E83-DA$2,'data input'!$D$3:$E$130,2,FALSE),0)</f>
        <v>0</v>
      </c>
      <c r="DB83" s="5">
        <f>IF($E83&gt;=DB$2,VLOOKUP($E83-DB$2,'data input'!$D$3:$E$130,2,FALSE),0)</f>
        <v>0</v>
      </c>
      <c r="DC83" s="5">
        <f>IF($E83&gt;=DC$2,VLOOKUP($E83-DC$2,'data input'!$D$3:$E$130,2,FALSE),0)</f>
        <v>0</v>
      </c>
      <c r="DD83" s="5">
        <f>IF($E83&gt;=DD$2,VLOOKUP($E83-DD$2,'data input'!$D$3:$E$130,2,FALSE),0)</f>
        <v>0</v>
      </c>
      <c r="DE83" s="5">
        <f>IF($E83&gt;=DE$2,VLOOKUP($E83-DE$2,'data input'!$D$3:$E$130,2,FALSE),0)</f>
        <v>0</v>
      </c>
      <c r="DF83" s="5">
        <f>IF($E83&gt;=DF$2,VLOOKUP($E83-DF$2,'data input'!$D$3:$E$130,2,FALSE),0)</f>
        <v>0</v>
      </c>
      <c r="DG83" s="5">
        <f>IF($E83&gt;=DG$2,VLOOKUP($E83-DG$2,'data input'!$D$3:$E$130,2,FALSE),0)</f>
        <v>0</v>
      </c>
      <c r="DH83" s="5">
        <f>IF($E83&gt;=DH$2,VLOOKUP($E83-DH$2,'data input'!$D$3:$E$130,2,FALSE),0)</f>
        <v>0</v>
      </c>
      <c r="DI83" s="5">
        <f>IF($E83&gt;=DI$2,VLOOKUP($E83-DI$2,'data input'!$D$3:$E$130,2,FALSE),0)</f>
        <v>0</v>
      </c>
      <c r="DJ83" s="5">
        <f>IF($E83&gt;=DJ$2,VLOOKUP($E83-DJ$2,'data input'!$D$3:$E$130,2,FALSE),0)</f>
        <v>0</v>
      </c>
      <c r="DK83" s="5">
        <f>IF($E83&gt;=DK$2,VLOOKUP($E83-DK$2,'data input'!$D$3:$E$130,2,FALSE),0)</f>
        <v>0</v>
      </c>
      <c r="DL83" s="5">
        <f>IF($E83&gt;=DL$2,VLOOKUP($E83-DL$2,'data input'!$D$3:$E$130,2,FALSE),0)</f>
        <v>0</v>
      </c>
      <c r="DM83" s="5">
        <f>IF($E83&gt;=DM$2,VLOOKUP($E83-DM$2,'data input'!$D$3:$E$130,2,FALSE),0)</f>
        <v>0</v>
      </c>
      <c r="DN83" s="5">
        <f>IF($E83&gt;=DN$2,VLOOKUP($E83-DN$2,'data input'!$D$3:$E$130,2,FALSE),0)</f>
        <v>0</v>
      </c>
      <c r="DO83" s="5">
        <f>IF($E83&gt;=DO$2,VLOOKUP($E83-DO$2,'data input'!$D$3:$E$130,2,FALSE),0)</f>
        <v>0</v>
      </c>
      <c r="DP83" s="5">
        <f>IF($E83&gt;=DP$2,VLOOKUP($E83-DP$2,'data input'!$D$3:$E$130,2,FALSE),0)</f>
        <v>0</v>
      </c>
      <c r="DQ83" s="5">
        <f>IF($E83&gt;=DQ$2,VLOOKUP($E83-DQ$2,'data input'!$D$3:$E$130,2,FALSE),0)</f>
        <v>0</v>
      </c>
      <c r="DR83" s="5">
        <f>IF($E83&gt;=DR$2,VLOOKUP($E83-DR$2,'data input'!$D$3:$E$130,2,FALSE),0)</f>
        <v>0</v>
      </c>
      <c r="DS83" s="5">
        <f>IF($E83&gt;=DS$2,VLOOKUP($E83-DS$2,'data input'!$D$3:$E$130,2,FALSE),0)</f>
        <v>0</v>
      </c>
      <c r="DT83" s="5">
        <f>IF($E83&gt;=DT$2,VLOOKUP($E83-DT$2,'data input'!$D$3:$E$130,2,FALSE),0)</f>
        <v>0</v>
      </c>
      <c r="DU83" s="5">
        <f>IF($E83&gt;=DU$2,VLOOKUP($E83-DU$2,'data input'!$D$3:$E$130,2,FALSE),0)</f>
        <v>0</v>
      </c>
      <c r="DV83" s="5">
        <f>IF($E83&gt;=DV$2,VLOOKUP($E83-DV$2,'data input'!$D$3:$E$130,2,FALSE),0)</f>
        <v>0</v>
      </c>
      <c r="DW83" s="5">
        <f>IF($E83&gt;=DW$2,VLOOKUP($E83-DW$2,'data input'!$D$3:$E$130,2,FALSE),0)</f>
        <v>0</v>
      </c>
      <c r="DX83" s="5">
        <f>IF($E83&gt;=DX$2,VLOOKUP($E83-DX$2,'data input'!$D$3:$E$130,2,FALSE),0)</f>
        <v>0</v>
      </c>
      <c r="DY83" s="5">
        <f>IF($E83&gt;=DY$2,VLOOKUP($E83-DY$2,'data input'!$D$3:$E$130,2,FALSE),0)</f>
        <v>0</v>
      </c>
      <c r="DZ83" s="5">
        <f>IF($E83&gt;=DZ$2,VLOOKUP($E83-DZ$2,'data input'!$D$3:$E$130,2,FALSE),0)</f>
        <v>0</v>
      </c>
      <c r="EA83" s="5">
        <f>IF($E83&gt;=EA$2,VLOOKUP($E83-EA$2,'data input'!$D$3:$E$130,2,FALSE),0)</f>
        <v>0</v>
      </c>
      <c r="EB83" s="5">
        <f>IF($E83&gt;=EB$2,VLOOKUP($E83-EB$2,'data input'!$D$3:$E$130,2,FALSE),0)</f>
        <v>0</v>
      </c>
      <c r="EC83" s="5">
        <f>IF($E83&gt;=EC$2,VLOOKUP($E83-EC$2,'data input'!$D$3:$E$130,2,FALSE),0)</f>
        <v>0</v>
      </c>
    </row>
    <row r="84" spans="5:133">
      <c r="E84" s="7">
        <f>'data input'!B84</f>
        <v>1959</v>
      </c>
      <c r="F84" s="5">
        <f>IF($E84&gt;=F$2,VLOOKUP($E84-F$2,'data input'!$D$3:$E$130,2,FALSE),0)</f>
        <v>1.0525127683760349E-3</v>
      </c>
      <c r="G84" s="5">
        <f>IF($E84&gt;=G$2,VLOOKUP($E84-G$2,'data input'!$D$3:$E$130,2,FALSE),0)</f>
        <v>1.3498980316301035E-3</v>
      </c>
      <c r="H84" s="5">
        <f>IF($E84&gt;=H$2,VLOOKUP($E84-H$2,'data input'!$D$3:$E$130,2,FALSE),0)</f>
        <v>1.7222811158675855E-3</v>
      </c>
      <c r="I84" s="5">
        <f>IF($E84&gt;=I$2,VLOOKUP($E84-I$2,'data input'!$D$3:$E$130,2,FALSE),0)</f>
        <v>2.1859614549132322E-3</v>
      </c>
      <c r="J84" s="5">
        <f>IF($E84&gt;=J$2,VLOOKUP($E84-J$2,'data input'!$D$3:$E$130,2,FALSE),0)</f>
        <v>2.7600853912624901E-3</v>
      </c>
      <c r="K84" s="5">
        <f>IF($E84&gt;=K$2,VLOOKUP($E84-K$2,'data input'!$D$3:$E$130,2,FALSE),0)</f>
        <v>3.4669738030406183E-3</v>
      </c>
      <c r="L84" s="5">
        <f>IF($E84&gt;=L$2,VLOOKUP($E84-L$2,'data input'!$D$3:$E$130,2,FALSE),0)</f>
        <v>4.3324483630126087E-3</v>
      </c>
      <c r="M84" s="5">
        <f>IF($E84&gt;=M$2,VLOOKUP($E84-M$2,'data input'!$D$3:$E$130,2,FALSE),0)</f>
        <v>5.3861459540667234E-3</v>
      </c>
      <c r="N84" s="5">
        <f>IF($E84&gt;=N$2,VLOOKUP($E84-N$2,'data input'!$D$3:$E$130,2,FALSE),0)</f>
        <v>6.6618087919827484E-3</v>
      </c>
      <c r="O84" s="5">
        <f>IF($E84&gt;=O$2,VLOOKUP($E84-O$2,'data input'!$D$3:$E$130,2,FALSE),0)</f>
        <v>8.1975359245961554E-3</v>
      </c>
      <c r="P84" s="5">
        <f>IF($E84&gt;=P$2,VLOOKUP($E84-P$2,'data input'!$D$3:$E$130,2,FALSE),0)</f>
        <v>1.0035980100274067E-2</v>
      </c>
      <c r="Q84" s="5">
        <f>IF($E84&gt;=Q$2,VLOOKUP($E84-Q$2,'data input'!$D$3:$E$130,2,FALSE),0)</f>
        <v>1.2224472655044671E-2</v>
      </c>
      <c r="R84" s="5">
        <f>IF($E84&gt;=R$2,VLOOKUP($E84-R$2,'data input'!$D$3:$E$130,2,FALSE),0)</f>
        <v>1.4815058192609865E-2</v>
      </c>
      <c r="S84" s="5">
        <f>IF($E84&gt;=S$2,VLOOKUP($E84-S$2,'data input'!$D$3:$E$130,2,FALSE),0)</f>
        <v>1.7864420562816563E-2</v>
      </c>
      <c r="T84" s="5">
        <f>IF($E84&gt;=T$2,VLOOKUP($E84-T$2,'data input'!$D$3:$E$130,2,FALSE),0)</f>
        <v>2.1433682114152974E-2</v>
      </c>
      <c r="U84" s="5">
        <f>IF($E84&gt;=U$2,VLOOKUP($E84-U$2,'data input'!$D$3:$E$130,2,FALSE),0)</f>
        <v>2.5588059521638562E-2</v>
      </c>
      <c r="V84" s="5">
        <f>IF($E84&gt;=V$2,VLOOKUP($E84-V$2,'data input'!$D$3:$E$130,2,FALSE),0)</f>
        <v>3.0396361765261393E-2</v>
      </c>
      <c r="W84" s="5">
        <f>IF($E84&gt;=W$2,VLOOKUP($E84-W$2,'data input'!$D$3:$E$130,2,FALSE),0)</f>
        <v>3.5930319112925768E-2</v>
      </c>
      <c r="X84" s="5">
        <f>IF($E84&gt;=X$2,VLOOKUP($E84-X$2,'data input'!$D$3:$E$130,2,FALSE),0)</f>
        <v>4.2263736257952433E-2</v>
      </c>
      <c r="Y84" s="5">
        <f>IF($E84&gt;=Y$2,VLOOKUP($E84-Y$2,'data input'!$D$3:$E$130,2,FALSE),0)</f>
        <v>4.9471468033648103E-2</v>
      </c>
      <c r="Z84" s="5">
        <f>IF($E84&gt;=Z$2,VLOOKUP($E84-Z$2,'data input'!$D$3:$E$130,2,FALSE),0)</f>
        <v>5.7628222276153163E-2</v>
      </c>
      <c r="AA84" s="5">
        <f>IF($E84&gt;=AA$2,VLOOKUP($E84-AA$2,'data input'!$D$3:$E$130,2,FALSE),0)</f>
        <v>6.6807201268858085E-2</v>
      </c>
      <c r="AB84" s="5">
        <f>IF($E84&gt;=AB$2,VLOOKUP($E84-AB$2,'data input'!$D$3:$E$130,2,FALSE),0)</f>
        <v>7.707860055207183E-2</v>
      </c>
      <c r="AC84" s="5">
        <f>IF($E84&gt;=AC$2,VLOOKUP($E84-AC$2,'data input'!$D$3:$E$130,2,FALSE),0)</f>
        <v>8.8507991437402067E-2</v>
      </c>
      <c r="AD84" s="5">
        <f>IF($E84&gt;=AD$2,VLOOKUP($E84-AD$2,'data input'!$D$3:$E$130,2,FALSE),0)</f>
        <v>0.10115462099558592</v>
      </c>
      <c r="AE84" s="5">
        <f>IF($E84&gt;=AE$2,VLOOKUP($E84-AE$2,'data input'!$D$3:$E$130,2,FALSE),0)</f>
        <v>0.11506967022170822</v>
      </c>
      <c r="AF84" s="5">
        <f>IF($E84&gt;=AF$2,VLOOKUP($E84-AF$2,'data input'!$D$3:$E$130,2,FALSE),0)</f>
        <v>0.13029451713680884</v>
      </c>
      <c r="AG84" s="5">
        <f>IF($E84&gt;=AG$2,VLOOKUP($E84-AG$2,'data input'!$D$3:$E$130,2,FALSE),0)</f>
        <v>0.14685905637589591</v>
      </c>
      <c r="AH84" s="5">
        <f>IF($E84&gt;=AH$2,VLOOKUP($E84-AH$2,'data input'!$D$3:$E$130,2,FALSE),0)</f>
        <v>0.16478012998031033</v>
      </c>
      <c r="AI84" s="5">
        <f>IF($E84&gt;=AI$2,VLOOKUP($E84-AI$2,'data input'!$D$3:$E$130,2,FALSE),0)</f>
        <v>0.18406012534675953</v>
      </c>
      <c r="AJ84" s="5">
        <f>IF($E84&gt;=AJ$2,VLOOKUP($E84-AJ$2,'data input'!$D$3:$E$130,2,FALSE),0)</f>
        <v>0.20468579534725262</v>
      </c>
      <c r="AK84" s="5">
        <f>IF($E84&gt;=AK$2,VLOOKUP($E84-AK$2,'data input'!$D$3:$E$130,2,FALSE),0)</f>
        <v>0.22662735237686826</v>
      </c>
      <c r="AL84" s="5">
        <f>IF($E84&gt;=AL$2,VLOOKUP($E84-AL$2,'data input'!$D$3:$E$130,2,FALSE),0)</f>
        <v>0.24983788247177696</v>
      </c>
      <c r="AM84" s="5">
        <f>IF($E84&gt;=AM$2,VLOOKUP($E84-AM$2,'data input'!$D$3:$E$130,2,FALSE),0)</f>
        <v>0.27425311775007355</v>
      </c>
      <c r="AN84" s="5">
        <f>IF($E84&gt;=AN$2,VLOOKUP($E84-AN$2,'data input'!$D$3:$E$130,2,FALSE),0)</f>
        <v>0.29979159546869583</v>
      </c>
      <c r="AO84" s="5">
        <f>IF($E84&gt;=AO$2,VLOOKUP($E84-AO$2,'data input'!$D$3:$E$130,2,FALSE),0)</f>
        <v>0.32635522028792008</v>
      </c>
      <c r="AP84" s="5">
        <f>IF($E84&gt;=AP$2,VLOOKUP($E84-AP$2,'data input'!$D$3:$E$130,2,FALSE),0)</f>
        <v>0.35383023332727614</v>
      </c>
      <c r="AQ84" s="5">
        <f>IF($E84&gt;=AQ$2,VLOOKUP($E84-AQ$2,'data input'!$D$3:$E$130,2,FALSE),0)</f>
        <v>0.38208857781104733</v>
      </c>
      <c r="AR84" s="5">
        <f>IF($E84&gt;=AR$2,VLOOKUP($E84-AR$2,'data input'!$D$3:$E$130,2,FALSE),0)</f>
        <v>0.41098963713127035</v>
      </c>
      <c r="AS84" s="5">
        <f>IF($E84&gt;=AS$2,VLOOKUP($E84-AS$2,'data input'!$D$3:$E$130,2,FALSE),0)</f>
        <v>0.4403823076297575</v>
      </c>
      <c r="AT84" s="5">
        <f>IF($E84&gt;=AT$2,VLOOKUP($E84-AT$2,'data input'!$D$3:$E$130,2,FALSE),0)</f>
        <v>0.47010735594710518</v>
      </c>
      <c r="AU84" s="5">
        <f>IF($E84&gt;=AU$2,VLOOKUP($E84-AU$2,'data input'!$D$3:$E$130,2,FALSE),0)</f>
        <v>0.5</v>
      </c>
      <c r="AV84" s="5">
        <f>IF($E84&gt;=AV$2,VLOOKUP($E84-AV$2,'data input'!$D$3:$E$130,2,FALSE),0)</f>
        <v>0.52989264405289482</v>
      </c>
      <c r="AW84" s="5">
        <f>IF($E84&gt;=AW$2,VLOOKUP($E84-AW$2,'data input'!$D$3:$E$130,2,FALSE),0)</f>
        <v>0.5596176923702425</v>
      </c>
      <c r="AX84" s="5">
        <f>IF($E84&gt;=AX$2,VLOOKUP($E84-AX$2,'data input'!$D$3:$E$130,2,FALSE),0)</f>
        <v>0.58901036286872965</v>
      </c>
      <c r="AY84" s="5">
        <f>IF($E84&gt;=AY$2,VLOOKUP($E84-AY$2,'data input'!$D$3:$E$130,2,FALSE),0)</f>
        <v>0.61791142218895267</v>
      </c>
      <c r="AZ84" s="5">
        <f>IF($E84&gt;=AZ$2,VLOOKUP($E84-AZ$2,'data input'!$D$3:$E$130,2,FALSE),0)</f>
        <v>0.64616976667272386</v>
      </c>
      <c r="BA84" s="5">
        <f>IF($E84&gt;=BA$2,VLOOKUP($E84-BA$2,'data input'!$D$3:$E$130,2,FALSE),0)</f>
        <v>0.67364477971207992</v>
      </c>
      <c r="BB84" s="5">
        <f>IF($E84&gt;=BB$2,VLOOKUP($E84-BB$2,'data input'!$D$3:$E$130,2,FALSE),0)</f>
        <v>0.70020840453130417</v>
      </c>
      <c r="BC84" s="5">
        <f>IF($E84&gt;=BC$2,VLOOKUP($E84-BC$2,'data input'!$D$3:$E$130,2,FALSE),0)</f>
        <v>0.72574688224992645</v>
      </c>
      <c r="BD84" s="5">
        <f>IF($E84&gt;=BD$2,VLOOKUP($E84-BD$2,'data input'!$D$3:$E$130,2,FALSE),0)</f>
        <v>0.75016211752822304</v>
      </c>
      <c r="BE84" s="5">
        <f>IF($E84&gt;=BE$2,VLOOKUP($E84-BE$2,'data input'!$D$3:$E$130,2,FALSE),0)</f>
        <v>0.77337264762313174</v>
      </c>
      <c r="BF84" s="5">
        <f>IF($E84&gt;=BF$2,VLOOKUP($E84-BF$2,'data input'!$D$3:$E$130,2,FALSE),0)</f>
        <v>0.79531420465274738</v>
      </c>
      <c r="BG84" s="5">
        <f>IF($E84&gt;=BG$2,VLOOKUP($E84-BG$2,'data input'!$D$3:$E$130,2,FALSE),0)</f>
        <v>0.81593987465324047</v>
      </c>
      <c r="BH84" s="5">
        <f>IF($E84&gt;=BH$2,VLOOKUP($E84-BH$2,'data input'!$D$3:$E$130,2,FALSE),0)</f>
        <v>0.83521987001968967</v>
      </c>
      <c r="BI84" s="5">
        <f>IF($E84&gt;=BI$2,VLOOKUP($E84-BI$2,'data input'!$D$3:$E$130,2,FALSE),0)</f>
        <v>0.85314094362410409</v>
      </c>
      <c r="BJ84" s="5">
        <f>IF($E84&gt;=BJ$2,VLOOKUP($E84-BJ$2,'data input'!$D$3:$E$130,2,FALSE),0)</f>
        <v>0.86970548286319116</v>
      </c>
      <c r="BK84" s="5">
        <f>IF($E84&gt;=BK$2,VLOOKUP($E84-BK$2,'data input'!$D$3:$E$130,2,FALSE),0)</f>
        <v>0.88493032977829178</v>
      </c>
      <c r="BL84" s="5">
        <f>IF($E84&gt;=BL$2,VLOOKUP($E84-BL$2,'data input'!$D$3:$E$130,2,FALSE),0)</f>
        <v>0.89884537900441408</v>
      </c>
      <c r="BM84" s="5">
        <f>IF($E84&gt;=BM$2,VLOOKUP($E84-BM$2,'data input'!$D$3:$E$130,2,FALSE),0)</f>
        <v>0.91149200856259793</v>
      </c>
      <c r="BN84" s="5">
        <f>IF($E84&gt;=BN$2,VLOOKUP($E84-BN$2,'data input'!$D$3:$E$130,2,FALSE),0)</f>
        <v>0.92292139944792817</v>
      </c>
      <c r="BO84" s="5">
        <f>IF($E84&gt;=BO$2,VLOOKUP($E84-BO$2,'data input'!$D$3:$E$130,2,FALSE),0)</f>
        <v>0.93319279873114191</v>
      </c>
      <c r="BP84" s="5">
        <f>IF($E84&gt;=BP$2,VLOOKUP($E84-BP$2,'data input'!$D$3:$E$130,2,FALSE),0)</f>
        <v>0.94237177772384684</v>
      </c>
      <c r="BQ84" s="5">
        <f>IF($E84&gt;=BQ$2,VLOOKUP($E84-BQ$2,'data input'!$D$3:$E$130,2,FALSE),0)</f>
        <v>0.9505285319663519</v>
      </c>
      <c r="BR84" s="5">
        <f>IF($E84&gt;=BR$2,VLOOKUP($E84-BR$2,'data input'!$D$3:$E$130,2,FALSE),0)</f>
        <v>0.95773626374204757</v>
      </c>
      <c r="BS84" s="5">
        <f>IF($E84&gt;=BS$2,VLOOKUP($E84-BS$2,'data input'!$D$3:$E$130,2,FALSE),0)</f>
        <v>0.96406968088707423</v>
      </c>
      <c r="BT84" s="5">
        <f>IF($E84&gt;=BT$2,VLOOKUP($E84-BT$2,'data input'!$D$3:$E$130,2,FALSE),0)</f>
        <v>0.96960363823473861</v>
      </c>
      <c r="BU84" s="5">
        <f>IF($E84&gt;=BU$2,VLOOKUP($E84-BU$2,'data input'!$D$3:$E$130,2,FALSE),0)</f>
        <v>0.97441194047836144</v>
      </c>
      <c r="BV84" s="5">
        <f>IF($E84&gt;=BV$2,VLOOKUP($E84-BV$2,'data input'!$D$3:$E$130,2,FALSE),0)</f>
        <v>0.97856631788584703</v>
      </c>
      <c r="BW84" s="5">
        <f>IF($E84&gt;=BW$2,VLOOKUP($E84-BW$2,'data input'!$D$3:$E$130,2,FALSE),0)</f>
        <v>0.98213557943718344</v>
      </c>
      <c r="BX84" s="5">
        <f>IF($E84&gt;=BX$2,VLOOKUP($E84-BX$2,'data input'!$D$3:$E$130,2,FALSE),0)</f>
        <v>0.98518494180739014</v>
      </c>
      <c r="BY84" s="5">
        <f>IF($E84&gt;=BY$2,VLOOKUP($E84-BY$2,'data input'!$D$3:$E$130,2,FALSE),0)</f>
        <v>0.98777552734495533</v>
      </c>
      <c r="BZ84" s="5">
        <f>IF($E84&gt;=BZ$2,VLOOKUP($E84-BZ$2,'data input'!$D$3:$E$130,2,FALSE),0)</f>
        <v>0.98996401989972593</v>
      </c>
      <c r="CA84" s="5">
        <f>IF($E84&gt;=CA$2,VLOOKUP($E84-CA$2,'data input'!$D$3:$E$130,2,FALSE),0)</f>
        <v>0.99180246407540384</v>
      </c>
      <c r="CB84" s="5">
        <f>IF($E84&gt;=CB$2,VLOOKUP($E84-CB$2,'data input'!$D$3:$E$130,2,FALSE),0)</f>
        <v>0.99333819120801725</v>
      </c>
      <c r="CC84" s="5">
        <f>IF($E84&gt;=CC$2,VLOOKUP($E84-CC$2,'data input'!$D$3:$E$130,2,FALSE),0)</f>
        <v>0.99461385404593328</v>
      </c>
      <c r="CD84" s="5">
        <f>IF($E84&gt;=CD$2,VLOOKUP($E84-CD$2,'data input'!$D$3:$E$130,2,FALSE),0)</f>
        <v>0.99566755163698739</v>
      </c>
      <c r="CE84" s="5">
        <f>IF($E84&gt;=CE$2,VLOOKUP($E84-CE$2,'data input'!$D$3:$E$130,2,FALSE),0)</f>
        <v>0.99653302619695938</v>
      </c>
      <c r="CF84" s="5">
        <f>IF($E84&gt;=CF$2,VLOOKUP($E84-CF$2,'data input'!$D$3:$E$130,2,FALSE),0)</f>
        <v>0.99723991460873751</v>
      </c>
      <c r="CG84" s="5">
        <f>IF($E84&gt;=CG$2,VLOOKUP($E84-CG$2,'data input'!$D$3:$E$130,2,FALSE),0)</f>
        <v>0.99781403854508677</v>
      </c>
      <c r="CH84" s="5">
        <f>IF($E84&gt;=CH$2,VLOOKUP($E84-CH$2,'data input'!$D$3:$E$130,2,FALSE),0)</f>
        <v>0.99827771888413241</v>
      </c>
      <c r="CI84" s="5">
        <f>IF($E84&gt;=CI$2,VLOOKUP($E84-CI$2,'data input'!$D$3:$E$130,2,FALSE),0)</f>
        <v>0.9986501019683699</v>
      </c>
      <c r="CJ84" s="5">
        <f>IF($E84&gt;=CJ$2,VLOOKUP($E84-CJ$2,'data input'!$D$3:$E$130,2,FALSE),0)</f>
        <v>0</v>
      </c>
      <c r="CK84" s="5">
        <f>IF($E84&gt;=CK$2,VLOOKUP($E84-CK$2,'data input'!$D$3:$E$130,2,FALSE),0)</f>
        <v>0</v>
      </c>
      <c r="CL84" s="5">
        <f>IF($E84&gt;=CL$2,VLOOKUP($E84-CL$2,'data input'!$D$3:$E$130,2,FALSE),0)</f>
        <v>0</v>
      </c>
      <c r="CM84" s="5">
        <f>IF($E84&gt;=CM$2,VLOOKUP($E84-CM$2,'data input'!$D$3:$E$130,2,FALSE),0)</f>
        <v>0</v>
      </c>
      <c r="CN84" s="5">
        <f>IF($E84&gt;=CN$2,VLOOKUP($E84-CN$2,'data input'!$D$3:$E$130,2,FALSE),0)</f>
        <v>0</v>
      </c>
      <c r="CO84" s="5">
        <f>IF($E84&gt;=CO$2,VLOOKUP($E84-CO$2,'data input'!$D$3:$E$130,2,FALSE),0)</f>
        <v>0</v>
      </c>
      <c r="CP84" s="5">
        <f>IF($E84&gt;=CP$2,VLOOKUP($E84-CP$2,'data input'!$D$3:$E$130,2,FALSE),0)</f>
        <v>0</v>
      </c>
      <c r="CQ84" s="5">
        <f>IF($E84&gt;=CQ$2,VLOOKUP($E84-CQ$2,'data input'!$D$3:$E$130,2,FALSE),0)</f>
        <v>0</v>
      </c>
      <c r="CR84" s="5">
        <f>IF($E84&gt;=CR$2,VLOOKUP($E84-CR$2,'data input'!$D$3:$E$130,2,FALSE),0)</f>
        <v>0</v>
      </c>
      <c r="CS84" s="5">
        <f>IF($E84&gt;=CS$2,VLOOKUP($E84-CS$2,'data input'!$D$3:$E$130,2,FALSE),0)</f>
        <v>0</v>
      </c>
      <c r="CT84" s="5">
        <f>IF($E84&gt;=CT$2,VLOOKUP($E84-CT$2,'data input'!$D$3:$E$130,2,FALSE),0)</f>
        <v>0</v>
      </c>
      <c r="CU84" s="5">
        <f>IF($E84&gt;=CU$2,VLOOKUP($E84-CU$2,'data input'!$D$3:$E$130,2,FALSE),0)</f>
        <v>0</v>
      </c>
      <c r="CV84" s="5">
        <f>IF($E84&gt;=CV$2,VLOOKUP($E84-CV$2,'data input'!$D$3:$E$130,2,FALSE),0)</f>
        <v>0</v>
      </c>
      <c r="CW84" s="5">
        <f>IF($E84&gt;=CW$2,VLOOKUP($E84-CW$2,'data input'!$D$3:$E$130,2,FALSE),0)</f>
        <v>0</v>
      </c>
      <c r="CX84" s="5">
        <f>IF($E84&gt;=CX$2,VLOOKUP($E84-CX$2,'data input'!$D$3:$E$130,2,FALSE),0)</f>
        <v>0</v>
      </c>
      <c r="CY84" s="5">
        <f>IF($E84&gt;=CY$2,VLOOKUP($E84-CY$2,'data input'!$D$3:$E$130,2,FALSE),0)</f>
        <v>0</v>
      </c>
      <c r="CZ84" s="5">
        <f>IF($E84&gt;=CZ$2,VLOOKUP($E84-CZ$2,'data input'!$D$3:$E$130,2,FALSE),0)</f>
        <v>0</v>
      </c>
      <c r="DA84" s="5">
        <f>IF($E84&gt;=DA$2,VLOOKUP($E84-DA$2,'data input'!$D$3:$E$130,2,FALSE),0)</f>
        <v>0</v>
      </c>
      <c r="DB84" s="5">
        <f>IF($E84&gt;=DB$2,VLOOKUP($E84-DB$2,'data input'!$D$3:$E$130,2,FALSE),0)</f>
        <v>0</v>
      </c>
      <c r="DC84" s="5">
        <f>IF($E84&gt;=DC$2,VLOOKUP($E84-DC$2,'data input'!$D$3:$E$130,2,FALSE),0)</f>
        <v>0</v>
      </c>
      <c r="DD84" s="5">
        <f>IF($E84&gt;=DD$2,VLOOKUP($E84-DD$2,'data input'!$D$3:$E$130,2,FALSE),0)</f>
        <v>0</v>
      </c>
      <c r="DE84" s="5">
        <f>IF($E84&gt;=DE$2,VLOOKUP($E84-DE$2,'data input'!$D$3:$E$130,2,FALSE),0)</f>
        <v>0</v>
      </c>
      <c r="DF84" s="5">
        <f>IF($E84&gt;=DF$2,VLOOKUP($E84-DF$2,'data input'!$D$3:$E$130,2,FALSE),0)</f>
        <v>0</v>
      </c>
      <c r="DG84" s="5">
        <f>IF($E84&gt;=DG$2,VLOOKUP($E84-DG$2,'data input'!$D$3:$E$130,2,FALSE),0)</f>
        <v>0</v>
      </c>
      <c r="DH84" s="5">
        <f>IF($E84&gt;=DH$2,VLOOKUP($E84-DH$2,'data input'!$D$3:$E$130,2,FALSE),0)</f>
        <v>0</v>
      </c>
      <c r="DI84" s="5">
        <f>IF($E84&gt;=DI$2,VLOOKUP($E84-DI$2,'data input'!$D$3:$E$130,2,FALSE),0)</f>
        <v>0</v>
      </c>
      <c r="DJ84" s="5">
        <f>IF($E84&gt;=DJ$2,VLOOKUP($E84-DJ$2,'data input'!$D$3:$E$130,2,FALSE),0)</f>
        <v>0</v>
      </c>
      <c r="DK84" s="5">
        <f>IF($E84&gt;=DK$2,VLOOKUP($E84-DK$2,'data input'!$D$3:$E$130,2,FALSE),0)</f>
        <v>0</v>
      </c>
      <c r="DL84" s="5">
        <f>IF($E84&gt;=DL$2,VLOOKUP($E84-DL$2,'data input'!$D$3:$E$130,2,FALSE),0)</f>
        <v>0</v>
      </c>
      <c r="DM84" s="5">
        <f>IF($E84&gt;=DM$2,VLOOKUP($E84-DM$2,'data input'!$D$3:$E$130,2,FALSE),0)</f>
        <v>0</v>
      </c>
      <c r="DN84" s="5">
        <f>IF($E84&gt;=DN$2,VLOOKUP($E84-DN$2,'data input'!$D$3:$E$130,2,FALSE),0)</f>
        <v>0</v>
      </c>
      <c r="DO84" s="5">
        <f>IF($E84&gt;=DO$2,VLOOKUP($E84-DO$2,'data input'!$D$3:$E$130,2,FALSE),0)</f>
        <v>0</v>
      </c>
      <c r="DP84" s="5">
        <f>IF($E84&gt;=DP$2,VLOOKUP($E84-DP$2,'data input'!$D$3:$E$130,2,FALSE),0)</f>
        <v>0</v>
      </c>
      <c r="DQ84" s="5">
        <f>IF($E84&gt;=DQ$2,VLOOKUP($E84-DQ$2,'data input'!$D$3:$E$130,2,FALSE),0)</f>
        <v>0</v>
      </c>
      <c r="DR84" s="5">
        <f>IF($E84&gt;=DR$2,VLOOKUP($E84-DR$2,'data input'!$D$3:$E$130,2,FALSE),0)</f>
        <v>0</v>
      </c>
      <c r="DS84" s="5">
        <f>IF($E84&gt;=DS$2,VLOOKUP($E84-DS$2,'data input'!$D$3:$E$130,2,FALSE),0)</f>
        <v>0</v>
      </c>
      <c r="DT84" s="5">
        <f>IF($E84&gt;=DT$2,VLOOKUP($E84-DT$2,'data input'!$D$3:$E$130,2,FALSE),0)</f>
        <v>0</v>
      </c>
      <c r="DU84" s="5">
        <f>IF($E84&gt;=DU$2,VLOOKUP($E84-DU$2,'data input'!$D$3:$E$130,2,FALSE),0)</f>
        <v>0</v>
      </c>
      <c r="DV84" s="5">
        <f>IF($E84&gt;=DV$2,VLOOKUP($E84-DV$2,'data input'!$D$3:$E$130,2,FALSE),0)</f>
        <v>0</v>
      </c>
      <c r="DW84" s="5">
        <f>IF($E84&gt;=DW$2,VLOOKUP($E84-DW$2,'data input'!$D$3:$E$130,2,FALSE),0)</f>
        <v>0</v>
      </c>
      <c r="DX84" s="5">
        <f>IF($E84&gt;=DX$2,VLOOKUP($E84-DX$2,'data input'!$D$3:$E$130,2,FALSE),0)</f>
        <v>0</v>
      </c>
      <c r="DY84" s="5">
        <f>IF($E84&gt;=DY$2,VLOOKUP($E84-DY$2,'data input'!$D$3:$E$130,2,FALSE),0)</f>
        <v>0</v>
      </c>
      <c r="DZ84" s="5">
        <f>IF($E84&gt;=DZ$2,VLOOKUP($E84-DZ$2,'data input'!$D$3:$E$130,2,FALSE),0)</f>
        <v>0</v>
      </c>
      <c r="EA84" s="5">
        <f>IF($E84&gt;=EA$2,VLOOKUP($E84-EA$2,'data input'!$D$3:$E$130,2,FALSE),0)</f>
        <v>0</v>
      </c>
      <c r="EB84" s="5">
        <f>IF($E84&gt;=EB$2,VLOOKUP($E84-EB$2,'data input'!$D$3:$E$130,2,FALSE),0)</f>
        <v>0</v>
      </c>
      <c r="EC84" s="5">
        <f>IF($E84&gt;=EC$2,VLOOKUP($E84-EC$2,'data input'!$D$3:$E$130,2,FALSE),0)</f>
        <v>0</v>
      </c>
    </row>
    <row r="85" spans="5:133">
      <c r="E85" s="7">
        <f>'data input'!B85</f>
        <v>1960</v>
      </c>
      <c r="F85" s="5">
        <f>IF($E85&gt;=F$2,VLOOKUP($E85-F$2,'data input'!$D$3:$E$130,2,FALSE),0)</f>
        <v>8.1635231282861653E-4</v>
      </c>
      <c r="G85" s="5">
        <f>IF($E85&gt;=G$2,VLOOKUP($E85-G$2,'data input'!$D$3:$E$130,2,FALSE),0)</f>
        <v>1.0525127683760349E-3</v>
      </c>
      <c r="H85" s="5">
        <f>IF($E85&gt;=H$2,VLOOKUP($E85-H$2,'data input'!$D$3:$E$130,2,FALSE),0)</f>
        <v>1.3498980316301035E-3</v>
      </c>
      <c r="I85" s="5">
        <f>IF($E85&gt;=I$2,VLOOKUP($E85-I$2,'data input'!$D$3:$E$130,2,FALSE),0)</f>
        <v>1.7222811158675855E-3</v>
      </c>
      <c r="J85" s="5">
        <f>IF($E85&gt;=J$2,VLOOKUP($E85-J$2,'data input'!$D$3:$E$130,2,FALSE),0)</f>
        <v>2.1859614549132322E-3</v>
      </c>
      <c r="K85" s="5">
        <f>IF($E85&gt;=K$2,VLOOKUP($E85-K$2,'data input'!$D$3:$E$130,2,FALSE),0)</f>
        <v>2.7600853912624901E-3</v>
      </c>
      <c r="L85" s="5">
        <f>IF($E85&gt;=L$2,VLOOKUP($E85-L$2,'data input'!$D$3:$E$130,2,FALSE),0)</f>
        <v>3.4669738030406183E-3</v>
      </c>
      <c r="M85" s="5">
        <f>IF($E85&gt;=M$2,VLOOKUP($E85-M$2,'data input'!$D$3:$E$130,2,FALSE),0)</f>
        <v>4.3324483630126087E-3</v>
      </c>
      <c r="N85" s="5">
        <f>IF($E85&gt;=N$2,VLOOKUP($E85-N$2,'data input'!$D$3:$E$130,2,FALSE),0)</f>
        <v>5.3861459540667234E-3</v>
      </c>
      <c r="O85" s="5">
        <f>IF($E85&gt;=O$2,VLOOKUP($E85-O$2,'data input'!$D$3:$E$130,2,FALSE),0)</f>
        <v>6.6618087919827484E-3</v>
      </c>
      <c r="P85" s="5">
        <f>IF($E85&gt;=P$2,VLOOKUP($E85-P$2,'data input'!$D$3:$E$130,2,FALSE),0)</f>
        <v>8.1975359245961554E-3</v>
      </c>
      <c r="Q85" s="5">
        <f>IF($E85&gt;=Q$2,VLOOKUP($E85-Q$2,'data input'!$D$3:$E$130,2,FALSE),0)</f>
        <v>1.0035980100274067E-2</v>
      </c>
      <c r="R85" s="5">
        <f>IF($E85&gt;=R$2,VLOOKUP($E85-R$2,'data input'!$D$3:$E$130,2,FALSE),0)</f>
        <v>1.2224472655044671E-2</v>
      </c>
      <c r="S85" s="5">
        <f>IF($E85&gt;=S$2,VLOOKUP($E85-S$2,'data input'!$D$3:$E$130,2,FALSE),0)</f>
        <v>1.4815058192609865E-2</v>
      </c>
      <c r="T85" s="5">
        <f>IF($E85&gt;=T$2,VLOOKUP($E85-T$2,'data input'!$D$3:$E$130,2,FALSE),0)</f>
        <v>1.7864420562816563E-2</v>
      </c>
      <c r="U85" s="5">
        <f>IF($E85&gt;=U$2,VLOOKUP($E85-U$2,'data input'!$D$3:$E$130,2,FALSE),0)</f>
        <v>2.1433682114152974E-2</v>
      </c>
      <c r="V85" s="5">
        <f>IF($E85&gt;=V$2,VLOOKUP($E85-V$2,'data input'!$D$3:$E$130,2,FALSE),0)</f>
        <v>2.5588059521638562E-2</v>
      </c>
      <c r="W85" s="5">
        <f>IF($E85&gt;=W$2,VLOOKUP($E85-W$2,'data input'!$D$3:$E$130,2,FALSE),0)</f>
        <v>3.0396361765261393E-2</v>
      </c>
      <c r="X85" s="5">
        <f>IF($E85&gt;=X$2,VLOOKUP($E85-X$2,'data input'!$D$3:$E$130,2,FALSE),0)</f>
        <v>3.5930319112925768E-2</v>
      </c>
      <c r="Y85" s="5">
        <f>IF($E85&gt;=Y$2,VLOOKUP($E85-Y$2,'data input'!$D$3:$E$130,2,FALSE),0)</f>
        <v>4.2263736257952433E-2</v>
      </c>
      <c r="Z85" s="5">
        <f>IF($E85&gt;=Z$2,VLOOKUP($E85-Z$2,'data input'!$D$3:$E$130,2,FALSE),0)</f>
        <v>4.9471468033648103E-2</v>
      </c>
      <c r="AA85" s="5">
        <f>IF($E85&gt;=AA$2,VLOOKUP($E85-AA$2,'data input'!$D$3:$E$130,2,FALSE),0)</f>
        <v>5.7628222276153163E-2</v>
      </c>
      <c r="AB85" s="5">
        <f>IF($E85&gt;=AB$2,VLOOKUP($E85-AB$2,'data input'!$D$3:$E$130,2,FALSE),0)</f>
        <v>6.6807201268858085E-2</v>
      </c>
      <c r="AC85" s="5">
        <f>IF($E85&gt;=AC$2,VLOOKUP($E85-AC$2,'data input'!$D$3:$E$130,2,FALSE),0)</f>
        <v>7.707860055207183E-2</v>
      </c>
      <c r="AD85" s="5">
        <f>IF($E85&gt;=AD$2,VLOOKUP($E85-AD$2,'data input'!$D$3:$E$130,2,FALSE),0)</f>
        <v>8.8507991437402067E-2</v>
      </c>
      <c r="AE85" s="5">
        <f>IF($E85&gt;=AE$2,VLOOKUP($E85-AE$2,'data input'!$D$3:$E$130,2,FALSE),0)</f>
        <v>0.10115462099558592</v>
      </c>
      <c r="AF85" s="5">
        <f>IF($E85&gt;=AF$2,VLOOKUP($E85-AF$2,'data input'!$D$3:$E$130,2,FALSE),0)</f>
        <v>0.11506967022170822</v>
      </c>
      <c r="AG85" s="5">
        <f>IF($E85&gt;=AG$2,VLOOKUP($E85-AG$2,'data input'!$D$3:$E$130,2,FALSE),0)</f>
        <v>0.13029451713680884</v>
      </c>
      <c r="AH85" s="5">
        <f>IF($E85&gt;=AH$2,VLOOKUP($E85-AH$2,'data input'!$D$3:$E$130,2,FALSE),0)</f>
        <v>0.14685905637589591</v>
      </c>
      <c r="AI85" s="5">
        <f>IF($E85&gt;=AI$2,VLOOKUP($E85-AI$2,'data input'!$D$3:$E$130,2,FALSE),0)</f>
        <v>0.16478012998031033</v>
      </c>
      <c r="AJ85" s="5">
        <f>IF($E85&gt;=AJ$2,VLOOKUP($E85-AJ$2,'data input'!$D$3:$E$130,2,FALSE),0)</f>
        <v>0.18406012534675953</v>
      </c>
      <c r="AK85" s="5">
        <f>IF($E85&gt;=AK$2,VLOOKUP($E85-AK$2,'data input'!$D$3:$E$130,2,FALSE),0)</f>
        <v>0.20468579534725262</v>
      </c>
      <c r="AL85" s="5">
        <f>IF($E85&gt;=AL$2,VLOOKUP($E85-AL$2,'data input'!$D$3:$E$130,2,FALSE),0)</f>
        <v>0.22662735237686826</v>
      </c>
      <c r="AM85" s="5">
        <f>IF($E85&gt;=AM$2,VLOOKUP($E85-AM$2,'data input'!$D$3:$E$130,2,FALSE),0)</f>
        <v>0.24983788247177696</v>
      </c>
      <c r="AN85" s="5">
        <f>IF($E85&gt;=AN$2,VLOOKUP($E85-AN$2,'data input'!$D$3:$E$130,2,FALSE),0)</f>
        <v>0.27425311775007355</v>
      </c>
      <c r="AO85" s="5">
        <f>IF($E85&gt;=AO$2,VLOOKUP($E85-AO$2,'data input'!$D$3:$E$130,2,FALSE),0)</f>
        <v>0.29979159546869583</v>
      </c>
      <c r="AP85" s="5">
        <f>IF($E85&gt;=AP$2,VLOOKUP($E85-AP$2,'data input'!$D$3:$E$130,2,FALSE),0)</f>
        <v>0.32635522028792008</v>
      </c>
      <c r="AQ85" s="5">
        <f>IF($E85&gt;=AQ$2,VLOOKUP($E85-AQ$2,'data input'!$D$3:$E$130,2,FALSE),0)</f>
        <v>0.35383023332727614</v>
      </c>
      <c r="AR85" s="5">
        <f>IF($E85&gt;=AR$2,VLOOKUP($E85-AR$2,'data input'!$D$3:$E$130,2,FALSE),0)</f>
        <v>0.38208857781104733</v>
      </c>
      <c r="AS85" s="5">
        <f>IF($E85&gt;=AS$2,VLOOKUP($E85-AS$2,'data input'!$D$3:$E$130,2,FALSE),0)</f>
        <v>0.41098963713127035</v>
      </c>
      <c r="AT85" s="5">
        <f>IF($E85&gt;=AT$2,VLOOKUP($E85-AT$2,'data input'!$D$3:$E$130,2,FALSE),0)</f>
        <v>0.4403823076297575</v>
      </c>
      <c r="AU85" s="5">
        <f>IF($E85&gt;=AU$2,VLOOKUP($E85-AU$2,'data input'!$D$3:$E$130,2,FALSE),0)</f>
        <v>0.47010735594710518</v>
      </c>
      <c r="AV85" s="5">
        <f>IF($E85&gt;=AV$2,VLOOKUP($E85-AV$2,'data input'!$D$3:$E$130,2,FALSE),0)</f>
        <v>0.5</v>
      </c>
      <c r="AW85" s="5">
        <f>IF($E85&gt;=AW$2,VLOOKUP($E85-AW$2,'data input'!$D$3:$E$130,2,FALSE),0)</f>
        <v>0.52989264405289482</v>
      </c>
      <c r="AX85" s="5">
        <f>IF($E85&gt;=AX$2,VLOOKUP($E85-AX$2,'data input'!$D$3:$E$130,2,FALSE),0)</f>
        <v>0.5596176923702425</v>
      </c>
      <c r="AY85" s="5">
        <f>IF($E85&gt;=AY$2,VLOOKUP($E85-AY$2,'data input'!$D$3:$E$130,2,FALSE),0)</f>
        <v>0.58901036286872965</v>
      </c>
      <c r="AZ85" s="5">
        <f>IF($E85&gt;=AZ$2,VLOOKUP($E85-AZ$2,'data input'!$D$3:$E$130,2,FALSE),0)</f>
        <v>0.61791142218895267</v>
      </c>
      <c r="BA85" s="5">
        <f>IF($E85&gt;=BA$2,VLOOKUP($E85-BA$2,'data input'!$D$3:$E$130,2,FALSE),0)</f>
        <v>0.64616976667272386</v>
      </c>
      <c r="BB85" s="5">
        <f>IF($E85&gt;=BB$2,VLOOKUP($E85-BB$2,'data input'!$D$3:$E$130,2,FALSE),0)</f>
        <v>0.67364477971207992</v>
      </c>
      <c r="BC85" s="5">
        <f>IF($E85&gt;=BC$2,VLOOKUP($E85-BC$2,'data input'!$D$3:$E$130,2,FALSE),0)</f>
        <v>0.70020840453130417</v>
      </c>
      <c r="BD85" s="5">
        <f>IF($E85&gt;=BD$2,VLOOKUP($E85-BD$2,'data input'!$D$3:$E$130,2,FALSE),0)</f>
        <v>0.72574688224992645</v>
      </c>
      <c r="BE85" s="5">
        <f>IF($E85&gt;=BE$2,VLOOKUP($E85-BE$2,'data input'!$D$3:$E$130,2,FALSE),0)</f>
        <v>0.75016211752822304</v>
      </c>
      <c r="BF85" s="5">
        <f>IF($E85&gt;=BF$2,VLOOKUP($E85-BF$2,'data input'!$D$3:$E$130,2,FALSE),0)</f>
        <v>0.77337264762313174</v>
      </c>
      <c r="BG85" s="5">
        <f>IF($E85&gt;=BG$2,VLOOKUP($E85-BG$2,'data input'!$D$3:$E$130,2,FALSE),0)</f>
        <v>0.79531420465274738</v>
      </c>
      <c r="BH85" s="5">
        <f>IF($E85&gt;=BH$2,VLOOKUP($E85-BH$2,'data input'!$D$3:$E$130,2,FALSE),0)</f>
        <v>0.81593987465324047</v>
      </c>
      <c r="BI85" s="5">
        <f>IF($E85&gt;=BI$2,VLOOKUP($E85-BI$2,'data input'!$D$3:$E$130,2,FALSE),0)</f>
        <v>0.83521987001968967</v>
      </c>
      <c r="BJ85" s="5">
        <f>IF($E85&gt;=BJ$2,VLOOKUP($E85-BJ$2,'data input'!$D$3:$E$130,2,FALSE),0)</f>
        <v>0.85314094362410409</v>
      </c>
      <c r="BK85" s="5">
        <f>IF($E85&gt;=BK$2,VLOOKUP($E85-BK$2,'data input'!$D$3:$E$130,2,FALSE),0)</f>
        <v>0.86970548286319116</v>
      </c>
      <c r="BL85" s="5">
        <f>IF($E85&gt;=BL$2,VLOOKUP($E85-BL$2,'data input'!$D$3:$E$130,2,FALSE),0)</f>
        <v>0.88493032977829178</v>
      </c>
      <c r="BM85" s="5">
        <f>IF($E85&gt;=BM$2,VLOOKUP($E85-BM$2,'data input'!$D$3:$E$130,2,FALSE),0)</f>
        <v>0.89884537900441408</v>
      </c>
      <c r="BN85" s="5">
        <f>IF($E85&gt;=BN$2,VLOOKUP($E85-BN$2,'data input'!$D$3:$E$130,2,FALSE),0)</f>
        <v>0.91149200856259793</v>
      </c>
      <c r="BO85" s="5">
        <f>IF($E85&gt;=BO$2,VLOOKUP($E85-BO$2,'data input'!$D$3:$E$130,2,FALSE),0)</f>
        <v>0.92292139944792817</v>
      </c>
      <c r="BP85" s="5">
        <f>IF($E85&gt;=BP$2,VLOOKUP($E85-BP$2,'data input'!$D$3:$E$130,2,FALSE),0)</f>
        <v>0.93319279873114191</v>
      </c>
      <c r="BQ85" s="5">
        <f>IF($E85&gt;=BQ$2,VLOOKUP($E85-BQ$2,'data input'!$D$3:$E$130,2,FALSE),0)</f>
        <v>0.94237177772384684</v>
      </c>
      <c r="BR85" s="5">
        <f>IF($E85&gt;=BR$2,VLOOKUP($E85-BR$2,'data input'!$D$3:$E$130,2,FALSE),0)</f>
        <v>0.9505285319663519</v>
      </c>
      <c r="BS85" s="5">
        <f>IF($E85&gt;=BS$2,VLOOKUP($E85-BS$2,'data input'!$D$3:$E$130,2,FALSE),0)</f>
        <v>0.95773626374204757</v>
      </c>
      <c r="BT85" s="5">
        <f>IF($E85&gt;=BT$2,VLOOKUP($E85-BT$2,'data input'!$D$3:$E$130,2,FALSE),0)</f>
        <v>0.96406968088707423</v>
      </c>
      <c r="BU85" s="5">
        <f>IF($E85&gt;=BU$2,VLOOKUP($E85-BU$2,'data input'!$D$3:$E$130,2,FALSE),0)</f>
        <v>0.96960363823473861</v>
      </c>
      <c r="BV85" s="5">
        <f>IF($E85&gt;=BV$2,VLOOKUP($E85-BV$2,'data input'!$D$3:$E$130,2,FALSE),0)</f>
        <v>0.97441194047836144</v>
      </c>
      <c r="BW85" s="5">
        <f>IF($E85&gt;=BW$2,VLOOKUP($E85-BW$2,'data input'!$D$3:$E$130,2,FALSE),0)</f>
        <v>0.97856631788584703</v>
      </c>
      <c r="BX85" s="5">
        <f>IF($E85&gt;=BX$2,VLOOKUP($E85-BX$2,'data input'!$D$3:$E$130,2,FALSE),0)</f>
        <v>0.98213557943718344</v>
      </c>
      <c r="BY85" s="5">
        <f>IF($E85&gt;=BY$2,VLOOKUP($E85-BY$2,'data input'!$D$3:$E$130,2,FALSE),0)</f>
        <v>0.98518494180739014</v>
      </c>
      <c r="BZ85" s="5">
        <f>IF($E85&gt;=BZ$2,VLOOKUP($E85-BZ$2,'data input'!$D$3:$E$130,2,FALSE),0)</f>
        <v>0.98777552734495533</v>
      </c>
      <c r="CA85" s="5">
        <f>IF($E85&gt;=CA$2,VLOOKUP($E85-CA$2,'data input'!$D$3:$E$130,2,FALSE),0)</f>
        <v>0.98996401989972593</v>
      </c>
      <c r="CB85" s="5">
        <f>IF($E85&gt;=CB$2,VLOOKUP($E85-CB$2,'data input'!$D$3:$E$130,2,FALSE),0)</f>
        <v>0.99180246407540384</v>
      </c>
      <c r="CC85" s="5">
        <f>IF($E85&gt;=CC$2,VLOOKUP($E85-CC$2,'data input'!$D$3:$E$130,2,FALSE),0)</f>
        <v>0.99333819120801725</v>
      </c>
      <c r="CD85" s="5">
        <f>IF($E85&gt;=CD$2,VLOOKUP($E85-CD$2,'data input'!$D$3:$E$130,2,FALSE),0)</f>
        <v>0.99461385404593328</v>
      </c>
      <c r="CE85" s="5">
        <f>IF($E85&gt;=CE$2,VLOOKUP($E85-CE$2,'data input'!$D$3:$E$130,2,FALSE),0)</f>
        <v>0.99566755163698739</v>
      </c>
      <c r="CF85" s="5">
        <f>IF($E85&gt;=CF$2,VLOOKUP($E85-CF$2,'data input'!$D$3:$E$130,2,FALSE),0)</f>
        <v>0.99653302619695938</v>
      </c>
      <c r="CG85" s="5">
        <f>IF($E85&gt;=CG$2,VLOOKUP($E85-CG$2,'data input'!$D$3:$E$130,2,FALSE),0)</f>
        <v>0.99723991460873751</v>
      </c>
      <c r="CH85" s="5">
        <f>IF($E85&gt;=CH$2,VLOOKUP($E85-CH$2,'data input'!$D$3:$E$130,2,FALSE),0)</f>
        <v>0.99781403854508677</v>
      </c>
      <c r="CI85" s="5">
        <f>IF($E85&gt;=CI$2,VLOOKUP($E85-CI$2,'data input'!$D$3:$E$130,2,FALSE),0)</f>
        <v>0.99827771888413241</v>
      </c>
      <c r="CJ85" s="5">
        <f>IF($E85&gt;=CJ$2,VLOOKUP($E85-CJ$2,'data input'!$D$3:$E$130,2,FALSE),0)</f>
        <v>0.9986501019683699</v>
      </c>
      <c r="CK85" s="5">
        <f>IF($E85&gt;=CK$2,VLOOKUP($E85-CK$2,'data input'!$D$3:$E$130,2,FALSE),0)</f>
        <v>0</v>
      </c>
      <c r="CL85" s="5">
        <f>IF($E85&gt;=CL$2,VLOOKUP($E85-CL$2,'data input'!$D$3:$E$130,2,FALSE),0)</f>
        <v>0</v>
      </c>
      <c r="CM85" s="5">
        <f>IF($E85&gt;=CM$2,VLOOKUP($E85-CM$2,'data input'!$D$3:$E$130,2,FALSE),0)</f>
        <v>0</v>
      </c>
      <c r="CN85" s="5">
        <f>IF($E85&gt;=CN$2,VLOOKUP($E85-CN$2,'data input'!$D$3:$E$130,2,FALSE),0)</f>
        <v>0</v>
      </c>
      <c r="CO85" s="5">
        <f>IF($E85&gt;=CO$2,VLOOKUP($E85-CO$2,'data input'!$D$3:$E$130,2,FALSE),0)</f>
        <v>0</v>
      </c>
      <c r="CP85" s="5">
        <f>IF($E85&gt;=CP$2,VLOOKUP($E85-CP$2,'data input'!$D$3:$E$130,2,FALSE),0)</f>
        <v>0</v>
      </c>
      <c r="CQ85" s="5">
        <f>IF($E85&gt;=CQ$2,VLOOKUP($E85-CQ$2,'data input'!$D$3:$E$130,2,FALSE),0)</f>
        <v>0</v>
      </c>
      <c r="CR85" s="5">
        <f>IF($E85&gt;=CR$2,VLOOKUP($E85-CR$2,'data input'!$D$3:$E$130,2,FALSE),0)</f>
        <v>0</v>
      </c>
      <c r="CS85" s="5">
        <f>IF($E85&gt;=CS$2,VLOOKUP($E85-CS$2,'data input'!$D$3:$E$130,2,FALSE),0)</f>
        <v>0</v>
      </c>
      <c r="CT85" s="5">
        <f>IF($E85&gt;=CT$2,VLOOKUP($E85-CT$2,'data input'!$D$3:$E$130,2,FALSE),0)</f>
        <v>0</v>
      </c>
      <c r="CU85" s="5">
        <f>IF($E85&gt;=CU$2,VLOOKUP($E85-CU$2,'data input'!$D$3:$E$130,2,FALSE),0)</f>
        <v>0</v>
      </c>
      <c r="CV85" s="5">
        <f>IF($E85&gt;=CV$2,VLOOKUP($E85-CV$2,'data input'!$D$3:$E$130,2,FALSE),0)</f>
        <v>0</v>
      </c>
      <c r="CW85" s="5">
        <f>IF($E85&gt;=CW$2,VLOOKUP($E85-CW$2,'data input'!$D$3:$E$130,2,FALSE),0)</f>
        <v>0</v>
      </c>
      <c r="CX85" s="5">
        <f>IF($E85&gt;=CX$2,VLOOKUP($E85-CX$2,'data input'!$D$3:$E$130,2,FALSE),0)</f>
        <v>0</v>
      </c>
      <c r="CY85" s="5">
        <f>IF($E85&gt;=CY$2,VLOOKUP($E85-CY$2,'data input'!$D$3:$E$130,2,FALSE),0)</f>
        <v>0</v>
      </c>
      <c r="CZ85" s="5">
        <f>IF($E85&gt;=CZ$2,VLOOKUP($E85-CZ$2,'data input'!$D$3:$E$130,2,FALSE),0)</f>
        <v>0</v>
      </c>
      <c r="DA85" s="5">
        <f>IF($E85&gt;=DA$2,VLOOKUP($E85-DA$2,'data input'!$D$3:$E$130,2,FALSE),0)</f>
        <v>0</v>
      </c>
      <c r="DB85" s="5">
        <f>IF($E85&gt;=DB$2,VLOOKUP($E85-DB$2,'data input'!$D$3:$E$130,2,FALSE),0)</f>
        <v>0</v>
      </c>
      <c r="DC85" s="5">
        <f>IF($E85&gt;=DC$2,VLOOKUP($E85-DC$2,'data input'!$D$3:$E$130,2,FALSE),0)</f>
        <v>0</v>
      </c>
      <c r="DD85" s="5">
        <f>IF($E85&gt;=DD$2,VLOOKUP($E85-DD$2,'data input'!$D$3:$E$130,2,FALSE),0)</f>
        <v>0</v>
      </c>
      <c r="DE85" s="5">
        <f>IF($E85&gt;=DE$2,VLOOKUP($E85-DE$2,'data input'!$D$3:$E$130,2,FALSE),0)</f>
        <v>0</v>
      </c>
      <c r="DF85" s="5">
        <f>IF($E85&gt;=DF$2,VLOOKUP($E85-DF$2,'data input'!$D$3:$E$130,2,FALSE),0)</f>
        <v>0</v>
      </c>
      <c r="DG85" s="5">
        <f>IF($E85&gt;=DG$2,VLOOKUP($E85-DG$2,'data input'!$D$3:$E$130,2,FALSE),0)</f>
        <v>0</v>
      </c>
      <c r="DH85" s="5">
        <f>IF($E85&gt;=DH$2,VLOOKUP($E85-DH$2,'data input'!$D$3:$E$130,2,FALSE),0)</f>
        <v>0</v>
      </c>
      <c r="DI85" s="5">
        <f>IF($E85&gt;=DI$2,VLOOKUP($E85-DI$2,'data input'!$D$3:$E$130,2,FALSE),0)</f>
        <v>0</v>
      </c>
      <c r="DJ85" s="5">
        <f>IF($E85&gt;=DJ$2,VLOOKUP($E85-DJ$2,'data input'!$D$3:$E$130,2,FALSE),0)</f>
        <v>0</v>
      </c>
      <c r="DK85" s="5">
        <f>IF($E85&gt;=DK$2,VLOOKUP($E85-DK$2,'data input'!$D$3:$E$130,2,FALSE),0)</f>
        <v>0</v>
      </c>
      <c r="DL85" s="5">
        <f>IF($E85&gt;=DL$2,VLOOKUP($E85-DL$2,'data input'!$D$3:$E$130,2,FALSE),0)</f>
        <v>0</v>
      </c>
      <c r="DM85" s="5">
        <f>IF($E85&gt;=DM$2,VLOOKUP($E85-DM$2,'data input'!$D$3:$E$130,2,FALSE),0)</f>
        <v>0</v>
      </c>
      <c r="DN85" s="5">
        <f>IF($E85&gt;=DN$2,VLOOKUP($E85-DN$2,'data input'!$D$3:$E$130,2,FALSE),0)</f>
        <v>0</v>
      </c>
      <c r="DO85" s="5">
        <f>IF($E85&gt;=DO$2,VLOOKUP($E85-DO$2,'data input'!$D$3:$E$130,2,FALSE),0)</f>
        <v>0</v>
      </c>
      <c r="DP85" s="5">
        <f>IF($E85&gt;=DP$2,VLOOKUP($E85-DP$2,'data input'!$D$3:$E$130,2,FALSE),0)</f>
        <v>0</v>
      </c>
      <c r="DQ85" s="5">
        <f>IF($E85&gt;=DQ$2,VLOOKUP($E85-DQ$2,'data input'!$D$3:$E$130,2,FALSE),0)</f>
        <v>0</v>
      </c>
      <c r="DR85" s="5">
        <f>IF($E85&gt;=DR$2,VLOOKUP($E85-DR$2,'data input'!$D$3:$E$130,2,FALSE),0)</f>
        <v>0</v>
      </c>
      <c r="DS85" s="5">
        <f>IF($E85&gt;=DS$2,VLOOKUP($E85-DS$2,'data input'!$D$3:$E$130,2,FALSE),0)</f>
        <v>0</v>
      </c>
      <c r="DT85" s="5">
        <f>IF($E85&gt;=DT$2,VLOOKUP($E85-DT$2,'data input'!$D$3:$E$130,2,FALSE),0)</f>
        <v>0</v>
      </c>
      <c r="DU85" s="5">
        <f>IF($E85&gt;=DU$2,VLOOKUP($E85-DU$2,'data input'!$D$3:$E$130,2,FALSE),0)</f>
        <v>0</v>
      </c>
      <c r="DV85" s="5">
        <f>IF($E85&gt;=DV$2,VLOOKUP($E85-DV$2,'data input'!$D$3:$E$130,2,FALSE),0)</f>
        <v>0</v>
      </c>
      <c r="DW85" s="5">
        <f>IF($E85&gt;=DW$2,VLOOKUP($E85-DW$2,'data input'!$D$3:$E$130,2,FALSE),0)</f>
        <v>0</v>
      </c>
      <c r="DX85" s="5">
        <f>IF($E85&gt;=DX$2,VLOOKUP($E85-DX$2,'data input'!$D$3:$E$130,2,FALSE),0)</f>
        <v>0</v>
      </c>
      <c r="DY85" s="5">
        <f>IF($E85&gt;=DY$2,VLOOKUP($E85-DY$2,'data input'!$D$3:$E$130,2,FALSE),0)</f>
        <v>0</v>
      </c>
      <c r="DZ85" s="5">
        <f>IF($E85&gt;=DZ$2,VLOOKUP($E85-DZ$2,'data input'!$D$3:$E$130,2,FALSE),0)</f>
        <v>0</v>
      </c>
      <c r="EA85" s="5">
        <f>IF($E85&gt;=EA$2,VLOOKUP($E85-EA$2,'data input'!$D$3:$E$130,2,FALSE),0)</f>
        <v>0</v>
      </c>
      <c r="EB85" s="5">
        <f>IF($E85&gt;=EB$2,VLOOKUP($E85-EB$2,'data input'!$D$3:$E$130,2,FALSE),0)</f>
        <v>0</v>
      </c>
      <c r="EC85" s="5">
        <f>IF($E85&gt;=EC$2,VLOOKUP($E85-EC$2,'data input'!$D$3:$E$130,2,FALSE),0)</f>
        <v>0</v>
      </c>
    </row>
    <row r="86" spans="5:133">
      <c r="E86" s="7">
        <f>'data input'!B86</f>
        <v>1961</v>
      </c>
      <c r="F86" s="5">
        <f>IF($E86&gt;=F$2,VLOOKUP($E86-F$2,'data input'!$D$3:$E$130,2,FALSE),0)</f>
        <v>6.2986334399772748E-4</v>
      </c>
      <c r="G86" s="5">
        <f>IF($E86&gt;=G$2,VLOOKUP($E86-G$2,'data input'!$D$3:$E$130,2,FALSE),0)</f>
        <v>8.1635231282861653E-4</v>
      </c>
      <c r="H86" s="5">
        <f>IF($E86&gt;=H$2,VLOOKUP($E86-H$2,'data input'!$D$3:$E$130,2,FALSE),0)</f>
        <v>1.0525127683760349E-3</v>
      </c>
      <c r="I86" s="5">
        <f>IF($E86&gt;=I$2,VLOOKUP($E86-I$2,'data input'!$D$3:$E$130,2,FALSE),0)</f>
        <v>1.3498980316301035E-3</v>
      </c>
      <c r="J86" s="5">
        <f>IF($E86&gt;=J$2,VLOOKUP($E86-J$2,'data input'!$D$3:$E$130,2,FALSE),0)</f>
        <v>1.7222811158675855E-3</v>
      </c>
      <c r="K86" s="5">
        <f>IF($E86&gt;=K$2,VLOOKUP($E86-K$2,'data input'!$D$3:$E$130,2,FALSE),0)</f>
        <v>2.1859614549132322E-3</v>
      </c>
      <c r="L86" s="5">
        <f>IF($E86&gt;=L$2,VLOOKUP($E86-L$2,'data input'!$D$3:$E$130,2,FALSE),0)</f>
        <v>2.7600853912624901E-3</v>
      </c>
      <c r="M86" s="5">
        <f>IF($E86&gt;=M$2,VLOOKUP($E86-M$2,'data input'!$D$3:$E$130,2,FALSE),0)</f>
        <v>3.4669738030406183E-3</v>
      </c>
      <c r="N86" s="5">
        <f>IF($E86&gt;=N$2,VLOOKUP($E86-N$2,'data input'!$D$3:$E$130,2,FALSE),0)</f>
        <v>4.3324483630126087E-3</v>
      </c>
      <c r="O86" s="5">
        <f>IF($E86&gt;=O$2,VLOOKUP($E86-O$2,'data input'!$D$3:$E$130,2,FALSE),0)</f>
        <v>5.3861459540667234E-3</v>
      </c>
      <c r="P86" s="5">
        <f>IF($E86&gt;=P$2,VLOOKUP($E86-P$2,'data input'!$D$3:$E$130,2,FALSE),0)</f>
        <v>6.6618087919827484E-3</v>
      </c>
      <c r="Q86" s="5">
        <f>IF($E86&gt;=Q$2,VLOOKUP($E86-Q$2,'data input'!$D$3:$E$130,2,FALSE),0)</f>
        <v>8.1975359245961554E-3</v>
      </c>
      <c r="R86" s="5">
        <f>IF($E86&gt;=R$2,VLOOKUP($E86-R$2,'data input'!$D$3:$E$130,2,FALSE),0)</f>
        <v>1.0035980100274067E-2</v>
      </c>
      <c r="S86" s="5">
        <f>IF($E86&gt;=S$2,VLOOKUP($E86-S$2,'data input'!$D$3:$E$130,2,FALSE),0)</f>
        <v>1.2224472655044671E-2</v>
      </c>
      <c r="T86" s="5">
        <f>IF($E86&gt;=T$2,VLOOKUP($E86-T$2,'data input'!$D$3:$E$130,2,FALSE),0)</f>
        <v>1.4815058192609865E-2</v>
      </c>
      <c r="U86" s="5">
        <f>IF($E86&gt;=U$2,VLOOKUP($E86-U$2,'data input'!$D$3:$E$130,2,FALSE),0)</f>
        <v>1.7864420562816563E-2</v>
      </c>
      <c r="V86" s="5">
        <f>IF($E86&gt;=V$2,VLOOKUP($E86-V$2,'data input'!$D$3:$E$130,2,FALSE),0)</f>
        <v>2.1433682114152974E-2</v>
      </c>
      <c r="W86" s="5">
        <f>IF($E86&gt;=W$2,VLOOKUP($E86-W$2,'data input'!$D$3:$E$130,2,FALSE),0)</f>
        <v>2.5588059521638562E-2</v>
      </c>
      <c r="X86" s="5">
        <f>IF($E86&gt;=X$2,VLOOKUP($E86-X$2,'data input'!$D$3:$E$130,2,FALSE),0)</f>
        <v>3.0396361765261393E-2</v>
      </c>
      <c r="Y86" s="5">
        <f>IF($E86&gt;=Y$2,VLOOKUP($E86-Y$2,'data input'!$D$3:$E$130,2,FALSE),0)</f>
        <v>3.5930319112925768E-2</v>
      </c>
      <c r="Z86" s="5">
        <f>IF($E86&gt;=Z$2,VLOOKUP($E86-Z$2,'data input'!$D$3:$E$130,2,FALSE),0)</f>
        <v>4.2263736257952433E-2</v>
      </c>
      <c r="AA86" s="5">
        <f>IF($E86&gt;=AA$2,VLOOKUP($E86-AA$2,'data input'!$D$3:$E$130,2,FALSE),0)</f>
        <v>4.9471468033648103E-2</v>
      </c>
      <c r="AB86" s="5">
        <f>IF($E86&gt;=AB$2,VLOOKUP($E86-AB$2,'data input'!$D$3:$E$130,2,FALSE),0)</f>
        <v>5.7628222276153163E-2</v>
      </c>
      <c r="AC86" s="5">
        <f>IF($E86&gt;=AC$2,VLOOKUP($E86-AC$2,'data input'!$D$3:$E$130,2,FALSE),0)</f>
        <v>6.6807201268858085E-2</v>
      </c>
      <c r="AD86" s="5">
        <f>IF($E86&gt;=AD$2,VLOOKUP($E86-AD$2,'data input'!$D$3:$E$130,2,FALSE),0)</f>
        <v>7.707860055207183E-2</v>
      </c>
      <c r="AE86" s="5">
        <f>IF($E86&gt;=AE$2,VLOOKUP($E86-AE$2,'data input'!$D$3:$E$130,2,FALSE),0)</f>
        <v>8.8507991437402067E-2</v>
      </c>
      <c r="AF86" s="5">
        <f>IF($E86&gt;=AF$2,VLOOKUP($E86-AF$2,'data input'!$D$3:$E$130,2,FALSE),0)</f>
        <v>0.10115462099558592</v>
      </c>
      <c r="AG86" s="5">
        <f>IF($E86&gt;=AG$2,VLOOKUP($E86-AG$2,'data input'!$D$3:$E$130,2,FALSE),0)</f>
        <v>0.11506967022170822</v>
      </c>
      <c r="AH86" s="5">
        <f>IF($E86&gt;=AH$2,VLOOKUP($E86-AH$2,'data input'!$D$3:$E$130,2,FALSE),0)</f>
        <v>0.13029451713680884</v>
      </c>
      <c r="AI86" s="5">
        <f>IF($E86&gt;=AI$2,VLOOKUP($E86-AI$2,'data input'!$D$3:$E$130,2,FALSE),0)</f>
        <v>0.14685905637589591</v>
      </c>
      <c r="AJ86" s="5">
        <f>IF($E86&gt;=AJ$2,VLOOKUP($E86-AJ$2,'data input'!$D$3:$E$130,2,FALSE),0)</f>
        <v>0.16478012998031033</v>
      </c>
      <c r="AK86" s="5">
        <f>IF($E86&gt;=AK$2,VLOOKUP($E86-AK$2,'data input'!$D$3:$E$130,2,FALSE),0)</f>
        <v>0.18406012534675953</v>
      </c>
      <c r="AL86" s="5">
        <f>IF($E86&gt;=AL$2,VLOOKUP($E86-AL$2,'data input'!$D$3:$E$130,2,FALSE),0)</f>
        <v>0.20468579534725262</v>
      </c>
      <c r="AM86" s="5">
        <f>IF($E86&gt;=AM$2,VLOOKUP($E86-AM$2,'data input'!$D$3:$E$130,2,FALSE),0)</f>
        <v>0.22662735237686826</v>
      </c>
      <c r="AN86" s="5">
        <f>IF($E86&gt;=AN$2,VLOOKUP($E86-AN$2,'data input'!$D$3:$E$130,2,FALSE),0)</f>
        <v>0.24983788247177696</v>
      </c>
      <c r="AO86" s="5">
        <f>IF($E86&gt;=AO$2,VLOOKUP($E86-AO$2,'data input'!$D$3:$E$130,2,FALSE),0)</f>
        <v>0.27425311775007355</v>
      </c>
      <c r="AP86" s="5">
        <f>IF($E86&gt;=AP$2,VLOOKUP($E86-AP$2,'data input'!$D$3:$E$130,2,FALSE),0)</f>
        <v>0.29979159546869583</v>
      </c>
      <c r="AQ86" s="5">
        <f>IF($E86&gt;=AQ$2,VLOOKUP($E86-AQ$2,'data input'!$D$3:$E$130,2,FALSE),0)</f>
        <v>0.32635522028792008</v>
      </c>
      <c r="AR86" s="5">
        <f>IF($E86&gt;=AR$2,VLOOKUP($E86-AR$2,'data input'!$D$3:$E$130,2,FALSE),0)</f>
        <v>0.35383023332727614</v>
      </c>
      <c r="AS86" s="5">
        <f>IF($E86&gt;=AS$2,VLOOKUP($E86-AS$2,'data input'!$D$3:$E$130,2,FALSE),0)</f>
        <v>0.38208857781104733</v>
      </c>
      <c r="AT86" s="5">
        <f>IF($E86&gt;=AT$2,VLOOKUP($E86-AT$2,'data input'!$D$3:$E$130,2,FALSE),0)</f>
        <v>0.41098963713127035</v>
      </c>
      <c r="AU86" s="5">
        <f>IF($E86&gt;=AU$2,VLOOKUP($E86-AU$2,'data input'!$D$3:$E$130,2,FALSE),0)</f>
        <v>0.4403823076297575</v>
      </c>
      <c r="AV86" s="5">
        <f>IF($E86&gt;=AV$2,VLOOKUP($E86-AV$2,'data input'!$D$3:$E$130,2,FALSE),0)</f>
        <v>0.47010735594710518</v>
      </c>
      <c r="AW86" s="5">
        <f>IF($E86&gt;=AW$2,VLOOKUP($E86-AW$2,'data input'!$D$3:$E$130,2,FALSE),0)</f>
        <v>0.5</v>
      </c>
      <c r="AX86" s="5">
        <f>IF($E86&gt;=AX$2,VLOOKUP($E86-AX$2,'data input'!$D$3:$E$130,2,FALSE),0)</f>
        <v>0.52989264405289482</v>
      </c>
      <c r="AY86" s="5">
        <f>IF($E86&gt;=AY$2,VLOOKUP($E86-AY$2,'data input'!$D$3:$E$130,2,FALSE),0)</f>
        <v>0.5596176923702425</v>
      </c>
      <c r="AZ86" s="5">
        <f>IF($E86&gt;=AZ$2,VLOOKUP($E86-AZ$2,'data input'!$D$3:$E$130,2,FALSE),0)</f>
        <v>0.58901036286872965</v>
      </c>
      <c r="BA86" s="5">
        <f>IF($E86&gt;=BA$2,VLOOKUP($E86-BA$2,'data input'!$D$3:$E$130,2,FALSE),0)</f>
        <v>0.61791142218895267</v>
      </c>
      <c r="BB86" s="5">
        <f>IF($E86&gt;=BB$2,VLOOKUP($E86-BB$2,'data input'!$D$3:$E$130,2,FALSE),0)</f>
        <v>0.64616976667272386</v>
      </c>
      <c r="BC86" s="5">
        <f>IF($E86&gt;=BC$2,VLOOKUP($E86-BC$2,'data input'!$D$3:$E$130,2,FALSE),0)</f>
        <v>0.67364477971207992</v>
      </c>
      <c r="BD86" s="5">
        <f>IF($E86&gt;=BD$2,VLOOKUP($E86-BD$2,'data input'!$D$3:$E$130,2,FALSE),0)</f>
        <v>0.70020840453130417</v>
      </c>
      <c r="BE86" s="5">
        <f>IF($E86&gt;=BE$2,VLOOKUP($E86-BE$2,'data input'!$D$3:$E$130,2,FALSE),0)</f>
        <v>0.72574688224992645</v>
      </c>
      <c r="BF86" s="5">
        <f>IF($E86&gt;=BF$2,VLOOKUP($E86-BF$2,'data input'!$D$3:$E$130,2,FALSE),0)</f>
        <v>0.75016211752822304</v>
      </c>
      <c r="BG86" s="5">
        <f>IF($E86&gt;=BG$2,VLOOKUP($E86-BG$2,'data input'!$D$3:$E$130,2,FALSE),0)</f>
        <v>0.77337264762313174</v>
      </c>
      <c r="BH86" s="5">
        <f>IF($E86&gt;=BH$2,VLOOKUP($E86-BH$2,'data input'!$D$3:$E$130,2,FALSE),0)</f>
        <v>0.79531420465274738</v>
      </c>
      <c r="BI86" s="5">
        <f>IF($E86&gt;=BI$2,VLOOKUP($E86-BI$2,'data input'!$D$3:$E$130,2,FALSE),0)</f>
        <v>0.81593987465324047</v>
      </c>
      <c r="BJ86" s="5">
        <f>IF($E86&gt;=BJ$2,VLOOKUP($E86-BJ$2,'data input'!$D$3:$E$130,2,FALSE),0)</f>
        <v>0.83521987001968967</v>
      </c>
      <c r="BK86" s="5">
        <f>IF($E86&gt;=BK$2,VLOOKUP($E86-BK$2,'data input'!$D$3:$E$130,2,FALSE),0)</f>
        <v>0.85314094362410409</v>
      </c>
      <c r="BL86" s="5">
        <f>IF($E86&gt;=BL$2,VLOOKUP($E86-BL$2,'data input'!$D$3:$E$130,2,FALSE),0)</f>
        <v>0.86970548286319116</v>
      </c>
      <c r="BM86" s="5">
        <f>IF($E86&gt;=BM$2,VLOOKUP($E86-BM$2,'data input'!$D$3:$E$130,2,FALSE),0)</f>
        <v>0.88493032977829178</v>
      </c>
      <c r="BN86" s="5">
        <f>IF($E86&gt;=BN$2,VLOOKUP($E86-BN$2,'data input'!$D$3:$E$130,2,FALSE),0)</f>
        <v>0.89884537900441408</v>
      </c>
      <c r="BO86" s="5">
        <f>IF($E86&gt;=BO$2,VLOOKUP($E86-BO$2,'data input'!$D$3:$E$130,2,FALSE),0)</f>
        <v>0.91149200856259793</v>
      </c>
      <c r="BP86" s="5">
        <f>IF($E86&gt;=BP$2,VLOOKUP($E86-BP$2,'data input'!$D$3:$E$130,2,FALSE),0)</f>
        <v>0.92292139944792817</v>
      </c>
      <c r="BQ86" s="5">
        <f>IF($E86&gt;=BQ$2,VLOOKUP($E86-BQ$2,'data input'!$D$3:$E$130,2,FALSE),0)</f>
        <v>0.93319279873114191</v>
      </c>
      <c r="BR86" s="5">
        <f>IF($E86&gt;=BR$2,VLOOKUP($E86-BR$2,'data input'!$D$3:$E$130,2,FALSE),0)</f>
        <v>0.94237177772384684</v>
      </c>
      <c r="BS86" s="5">
        <f>IF($E86&gt;=BS$2,VLOOKUP($E86-BS$2,'data input'!$D$3:$E$130,2,FALSE),0)</f>
        <v>0.9505285319663519</v>
      </c>
      <c r="BT86" s="5">
        <f>IF($E86&gt;=BT$2,VLOOKUP($E86-BT$2,'data input'!$D$3:$E$130,2,FALSE),0)</f>
        <v>0.95773626374204757</v>
      </c>
      <c r="BU86" s="5">
        <f>IF($E86&gt;=BU$2,VLOOKUP($E86-BU$2,'data input'!$D$3:$E$130,2,FALSE),0)</f>
        <v>0.96406968088707423</v>
      </c>
      <c r="BV86" s="5">
        <f>IF($E86&gt;=BV$2,VLOOKUP($E86-BV$2,'data input'!$D$3:$E$130,2,FALSE),0)</f>
        <v>0.96960363823473861</v>
      </c>
      <c r="BW86" s="5">
        <f>IF($E86&gt;=BW$2,VLOOKUP($E86-BW$2,'data input'!$D$3:$E$130,2,FALSE),0)</f>
        <v>0.97441194047836144</v>
      </c>
      <c r="BX86" s="5">
        <f>IF($E86&gt;=BX$2,VLOOKUP($E86-BX$2,'data input'!$D$3:$E$130,2,FALSE),0)</f>
        <v>0.97856631788584703</v>
      </c>
      <c r="BY86" s="5">
        <f>IF($E86&gt;=BY$2,VLOOKUP($E86-BY$2,'data input'!$D$3:$E$130,2,FALSE),0)</f>
        <v>0.98213557943718344</v>
      </c>
      <c r="BZ86" s="5">
        <f>IF($E86&gt;=BZ$2,VLOOKUP($E86-BZ$2,'data input'!$D$3:$E$130,2,FALSE),0)</f>
        <v>0.98518494180739014</v>
      </c>
      <c r="CA86" s="5">
        <f>IF($E86&gt;=CA$2,VLOOKUP($E86-CA$2,'data input'!$D$3:$E$130,2,FALSE),0)</f>
        <v>0.98777552734495533</v>
      </c>
      <c r="CB86" s="5">
        <f>IF($E86&gt;=CB$2,VLOOKUP($E86-CB$2,'data input'!$D$3:$E$130,2,FALSE),0)</f>
        <v>0.98996401989972593</v>
      </c>
      <c r="CC86" s="5">
        <f>IF($E86&gt;=CC$2,VLOOKUP($E86-CC$2,'data input'!$D$3:$E$130,2,FALSE),0)</f>
        <v>0.99180246407540384</v>
      </c>
      <c r="CD86" s="5">
        <f>IF($E86&gt;=CD$2,VLOOKUP($E86-CD$2,'data input'!$D$3:$E$130,2,FALSE),0)</f>
        <v>0.99333819120801725</v>
      </c>
      <c r="CE86" s="5">
        <f>IF($E86&gt;=CE$2,VLOOKUP($E86-CE$2,'data input'!$D$3:$E$130,2,FALSE),0)</f>
        <v>0.99461385404593328</v>
      </c>
      <c r="CF86" s="5">
        <f>IF($E86&gt;=CF$2,VLOOKUP($E86-CF$2,'data input'!$D$3:$E$130,2,FALSE),0)</f>
        <v>0.99566755163698739</v>
      </c>
      <c r="CG86" s="5">
        <f>IF($E86&gt;=CG$2,VLOOKUP($E86-CG$2,'data input'!$D$3:$E$130,2,FALSE),0)</f>
        <v>0.99653302619695938</v>
      </c>
      <c r="CH86" s="5">
        <f>IF($E86&gt;=CH$2,VLOOKUP($E86-CH$2,'data input'!$D$3:$E$130,2,FALSE),0)</f>
        <v>0.99723991460873751</v>
      </c>
      <c r="CI86" s="5">
        <f>IF($E86&gt;=CI$2,VLOOKUP($E86-CI$2,'data input'!$D$3:$E$130,2,FALSE),0)</f>
        <v>0.99781403854508677</v>
      </c>
      <c r="CJ86" s="5">
        <f>IF($E86&gt;=CJ$2,VLOOKUP($E86-CJ$2,'data input'!$D$3:$E$130,2,FALSE),0)</f>
        <v>0.99827771888413241</v>
      </c>
      <c r="CK86" s="5">
        <f>IF($E86&gt;=CK$2,VLOOKUP($E86-CK$2,'data input'!$D$3:$E$130,2,FALSE),0)</f>
        <v>0.9986501019683699</v>
      </c>
      <c r="CL86" s="5">
        <f>IF($E86&gt;=CL$2,VLOOKUP($E86-CL$2,'data input'!$D$3:$E$130,2,FALSE),0)</f>
        <v>0</v>
      </c>
      <c r="CM86" s="5">
        <f>IF($E86&gt;=CM$2,VLOOKUP($E86-CM$2,'data input'!$D$3:$E$130,2,FALSE),0)</f>
        <v>0</v>
      </c>
      <c r="CN86" s="5">
        <f>IF($E86&gt;=CN$2,VLOOKUP($E86-CN$2,'data input'!$D$3:$E$130,2,FALSE),0)</f>
        <v>0</v>
      </c>
      <c r="CO86" s="5">
        <f>IF($E86&gt;=CO$2,VLOOKUP($E86-CO$2,'data input'!$D$3:$E$130,2,FALSE),0)</f>
        <v>0</v>
      </c>
      <c r="CP86" s="5">
        <f>IF($E86&gt;=CP$2,VLOOKUP($E86-CP$2,'data input'!$D$3:$E$130,2,FALSE),0)</f>
        <v>0</v>
      </c>
      <c r="CQ86" s="5">
        <f>IF($E86&gt;=CQ$2,VLOOKUP($E86-CQ$2,'data input'!$D$3:$E$130,2,FALSE),0)</f>
        <v>0</v>
      </c>
      <c r="CR86" s="5">
        <f>IF($E86&gt;=CR$2,VLOOKUP($E86-CR$2,'data input'!$D$3:$E$130,2,FALSE),0)</f>
        <v>0</v>
      </c>
      <c r="CS86" s="5">
        <f>IF($E86&gt;=CS$2,VLOOKUP($E86-CS$2,'data input'!$D$3:$E$130,2,FALSE),0)</f>
        <v>0</v>
      </c>
      <c r="CT86" s="5">
        <f>IF($E86&gt;=CT$2,VLOOKUP($E86-CT$2,'data input'!$D$3:$E$130,2,FALSE),0)</f>
        <v>0</v>
      </c>
      <c r="CU86" s="5">
        <f>IF($E86&gt;=CU$2,VLOOKUP($E86-CU$2,'data input'!$D$3:$E$130,2,FALSE),0)</f>
        <v>0</v>
      </c>
      <c r="CV86" s="5">
        <f>IF($E86&gt;=CV$2,VLOOKUP($E86-CV$2,'data input'!$D$3:$E$130,2,FALSE),0)</f>
        <v>0</v>
      </c>
      <c r="CW86" s="5">
        <f>IF($E86&gt;=CW$2,VLOOKUP($E86-CW$2,'data input'!$D$3:$E$130,2,FALSE),0)</f>
        <v>0</v>
      </c>
      <c r="CX86" s="5">
        <f>IF($E86&gt;=CX$2,VLOOKUP($E86-CX$2,'data input'!$D$3:$E$130,2,FALSE),0)</f>
        <v>0</v>
      </c>
      <c r="CY86" s="5">
        <f>IF($E86&gt;=CY$2,VLOOKUP($E86-CY$2,'data input'!$D$3:$E$130,2,FALSE),0)</f>
        <v>0</v>
      </c>
      <c r="CZ86" s="5">
        <f>IF($E86&gt;=CZ$2,VLOOKUP($E86-CZ$2,'data input'!$D$3:$E$130,2,FALSE),0)</f>
        <v>0</v>
      </c>
      <c r="DA86" s="5">
        <f>IF($E86&gt;=DA$2,VLOOKUP($E86-DA$2,'data input'!$D$3:$E$130,2,FALSE),0)</f>
        <v>0</v>
      </c>
      <c r="DB86" s="5">
        <f>IF($E86&gt;=DB$2,VLOOKUP($E86-DB$2,'data input'!$D$3:$E$130,2,FALSE),0)</f>
        <v>0</v>
      </c>
      <c r="DC86" s="5">
        <f>IF($E86&gt;=DC$2,VLOOKUP($E86-DC$2,'data input'!$D$3:$E$130,2,FALSE),0)</f>
        <v>0</v>
      </c>
      <c r="DD86" s="5">
        <f>IF($E86&gt;=DD$2,VLOOKUP($E86-DD$2,'data input'!$D$3:$E$130,2,FALSE),0)</f>
        <v>0</v>
      </c>
      <c r="DE86" s="5">
        <f>IF($E86&gt;=DE$2,VLOOKUP($E86-DE$2,'data input'!$D$3:$E$130,2,FALSE),0)</f>
        <v>0</v>
      </c>
      <c r="DF86" s="5">
        <f>IF($E86&gt;=DF$2,VLOOKUP($E86-DF$2,'data input'!$D$3:$E$130,2,FALSE),0)</f>
        <v>0</v>
      </c>
      <c r="DG86" s="5">
        <f>IF($E86&gt;=DG$2,VLOOKUP($E86-DG$2,'data input'!$D$3:$E$130,2,FALSE),0)</f>
        <v>0</v>
      </c>
      <c r="DH86" s="5">
        <f>IF($E86&gt;=DH$2,VLOOKUP($E86-DH$2,'data input'!$D$3:$E$130,2,FALSE),0)</f>
        <v>0</v>
      </c>
      <c r="DI86" s="5">
        <f>IF($E86&gt;=DI$2,VLOOKUP($E86-DI$2,'data input'!$D$3:$E$130,2,FALSE),0)</f>
        <v>0</v>
      </c>
      <c r="DJ86" s="5">
        <f>IF($E86&gt;=DJ$2,VLOOKUP($E86-DJ$2,'data input'!$D$3:$E$130,2,FALSE),0)</f>
        <v>0</v>
      </c>
      <c r="DK86" s="5">
        <f>IF($E86&gt;=DK$2,VLOOKUP($E86-DK$2,'data input'!$D$3:$E$130,2,FALSE),0)</f>
        <v>0</v>
      </c>
      <c r="DL86" s="5">
        <f>IF($E86&gt;=DL$2,VLOOKUP($E86-DL$2,'data input'!$D$3:$E$130,2,FALSE),0)</f>
        <v>0</v>
      </c>
      <c r="DM86" s="5">
        <f>IF($E86&gt;=DM$2,VLOOKUP($E86-DM$2,'data input'!$D$3:$E$130,2,FALSE),0)</f>
        <v>0</v>
      </c>
      <c r="DN86" s="5">
        <f>IF($E86&gt;=DN$2,VLOOKUP($E86-DN$2,'data input'!$D$3:$E$130,2,FALSE),0)</f>
        <v>0</v>
      </c>
      <c r="DO86" s="5">
        <f>IF($E86&gt;=DO$2,VLOOKUP($E86-DO$2,'data input'!$D$3:$E$130,2,FALSE),0)</f>
        <v>0</v>
      </c>
      <c r="DP86" s="5">
        <f>IF($E86&gt;=DP$2,VLOOKUP($E86-DP$2,'data input'!$D$3:$E$130,2,FALSE),0)</f>
        <v>0</v>
      </c>
      <c r="DQ86" s="5">
        <f>IF($E86&gt;=DQ$2,VLOOKUP($E86-DQ$2,'data input'!$D$3:$E$130,2,FALSE),0)</f>
        <v>0</v>
      </c>
      <c r="DR86" s="5">
        <f>IF($E86&gt;=DR$2,VLOOKUP($E86-DR$2,'data input'!$D$3:$E$130,2,FALSE),0)</f>
        <v>0</v>
      </c>
      <c r="DS86" s="5">
        <f>IF($E86&gt;=DS$2,VLOOKUP($E86-DS$2,'data input'!$D$3:$E$130,2,FALSE),0)</f>
        <v>0</v>
      </c>
      <c r="DT86" s="5">
        <f>IF($E86&gt;=DT$2,VLOOKUP($E86-DT$2,'data input'!$D$3:$E$130,2,FALSE),0)</f>
        <v>0</v>
      </c>
      <c r="DU86" s="5">
        <f>IF($E86&gt;=DU$2,VLOOKUP($E86-DU$2,'data input'!$D$3:$E$130,2,FALSE),0)</f>
        <v>0</v>
      </c>
      <c r="DV86" s="5">
        <f>IF($E86&gt;=DV$2,VLOOKUP($E86-DV$2,'data input'!$D$3:$E$130,2,FALSE),0)</f>
        <v>0</v>
      </c>
      <c r="DW86" s="5">
        <f>IF($E86&gt;=DW$2,VLOOKUP($E86-DW$2,'data input'!$D$3:$E$130,2,FALSE),0)</f>
        <v>0</v>
      </c>
      <c r="DX86" s="5">
        <f>IF($E86&gt;=DX$2,VLOOKUP($E86-DX$2,'data input'!$D$3:$E$130,2,FALSE),0)</f>
        <v>0</v>
      </c>
      <c r="DY86" s="5">
        <f>IF($E86&gt;=DY$2,VLOOKUP($E86-DY$2,'data input'!$D$3:$E$130,2,FALSE),0)</f>
        <v>0</v>
      </c>
      <c r="DZ86" s="5">
        <f>IF($E86&gt;=DZ$2,VLOOKUP($E86-DZ$2,'data input'!$D$3:$E$130,2,FALSE),0)</f>
        <v>0</v>
      </c>
      <c r="EA86" s="5">
        <f>IF($E86&gt;=EA$2,VLOOKUP($E86-EA$2,'data input'!$D$3:$E$130,2,FALSE),0)</f>
        <v>0</v>
      </c>
      <c r="EB86" s="5">
        <f>IF($E86&gt;=EB$2,VLOOKUP($E86-EB$2,'data input'!$D$3:$E$130,2,FALSE),0)</f>
        <v>0</v>
      </c>
      <c r="EC86" s="5">
        <f>IF($E86&gt;=EC$2,VLOOKUP($E86-EC$2,'data input'!$D$3:$E$130,2,FALSE),0)</f>
        <v>0</v>
      </c>
    </row>
    <row r="87" spans="5:133">
      <c r="E87" s="7">
        <f>'data input'!B87</f>
        <v>1962</v>
      </c>
      <c r="F87" s="5">
        <f>IF($E87&gt;=F$2,VLOOKUP($E87-F$2,'data input'!$D$3:$E$130,2,FALSE),0)</f>
        <v>4.8342414238378151E-4</v>
      </c>
      <c r="G87" s="5">
        <f>IF($E87&gt;=G$2,VLOOKUP($E87-G$2,'data input'!$D$3:$E$130,2,FALSE),0)</f>
        <v>6.2986334399772748E-4</v>
      </c>
      <c r="H87" s="5">
        <f>IF($E87&gt;=H$2,VLOOKUP($E87-H$2,'data input'!$D$3:$E$130,2,FALSE),0)</f>
        <v>8.1635231282861653E-4</v>
      </c>
      <c r="I87" s="5">
        <f>IF($E87&gt;=I$2,VLOOKUP($E87-I$2,'data input'!$D$3:$E$130,2,FALSE),0)</f>
        <v>1.0525127683760349E-3</v>
      </c>
      <c r="J87" s="5">
        <f>IF($E87&gt;=J$2,VLOOKUP($E87-J$2,'data input'!$D$3:$E$130,2,FALSE),0)</f>
        <v>1.3498980316301035E-3</v>
      </c>
      <c r="K87" s="5">
        <f>IF($E87&gt;=K$2,VLOOKUP($E87-K$2,'data input'!$D$3:$E$130,2,FALSE),0)</f>
        <v>1.7222811158675855E-3</v>
      </c>
      <c r="L87" s="5">
        <f>IF($E87&gt;=L$2,VLOOKUP($E87-L$2,'data input'!$D$3:$E$130,2,FALSE),0)</f>
        <v>2.1859614549132322E-3</v>
      </c>
      <c r="M87" s="5">
        <f>IF($E87&gt;=M$2,VLOOKUP($E87-M$2,'data input'!$D$3:$E$130,2,FALSE),0)</f>
        <v>2.7600853912624901E-3</v>
      </c>
      <c r="N87" s="5">
        <f>IF($E87&gt;=N$2,VLOOKUP($E87-N$2,'data input'!$D$3:$E$130,2,FALSE),0)</f>
        <v>3.4669738030406183E-3</v>
      </c>
      <c r="O87" s="5">
        <f>IF($E87&gt;=O$2,VLOOKUP($E87-O$2,'data input'!$D$3:$E$130,2,FALSE),0)</f>
        <v>4.3324483630126087E-3</v>
      </c>
      <c r="P87" s="5">
        <f>IF($E87&gt;=P$2,VLOOKUP($E87-P$2,'data input'!$D$3:$E$130,2,FALSE),0)</f>
        <v>5.3861459540667234E-3</v>
      </c>
      <c r="Q87" s="5">
        <f>IF($E87&gt;=Q$2,VLOOKUP($E87-Q$2,'data input'!$D$3:$E$130,2,FALSE),0)</f>
        <v>6.6618087919827484E-3</v>
      </c>
      <c r="R87" s="5">
        <f>IF($E87&gt;=R$2,VLOOKUP($E87-R$2,'data input'!$D$3:$E$130,2,FALSE),0)</f>
        <v>8.1975359245961554E-3</v>
      </c>
      <c r="S87" s="5">
        <f>IF($E87&gt;=S$2,VLOOKUP($E87-S$2,'data input'!$D$3:$E$130,2,FALSE),0)</f>
        <v>1.0035980100274067E-2</v>
      </c>
      <c r="T87" s="5">
        <f>IF($E87&gt;=T$2,VLOOKUP($E87-T$2,'data input'!$D$3:$E$130,2,FALSE),0)</f>
        <v>1.2224472655044671E-2</v>
      </c>
      <c r="U87" s="5">
        <f>IF($E87&gt;=U$2,VLOOKUP($E87-U$2,'data input'!$D$3:$E$130,2,FALSE),0)</f>
        <v>1.4815058192609865E-2</v>
      </c>
      <c r="V87" s="5">
        <f>IF($E87&gt;=V$2,VLOOKUP($E87-V$2,'data input'!$D$3:$E$130,2,FALSE),0)</f>
        <v>1.7864420562816563E-2</v>
      </c>
      <c r="W87" s="5">
        <f>IF($E87&gt;=W$2,VLOOKUP($E87-W$2,'data input'!$D$3:$E$130,2,FALSE),0)</f>
        <v>2.1433682114152974E-2</v>
      </c>
      <c r="X87" s="5">
        <f>IF($E87&gt;=X$2,VLOOKUP($E87-X$2,'data input'!$D$3:$E$130,2,FALSE),0)</f>
        <v>2.5588059521638562E-2</v>
      </c>
      <c r="Y87" s="5">
        <f>IF($E87&gt;=Y$2,VLOOKUP($E87-Y$2,'data input'!$D$3:$E$130,2,FALSE),0)</f>
        <v>3.0396361765261393E-2</v>
      </c>
      <c r="Z87" s="5">
        <f>IF($E87&gt;=Z$2,VLOOKUP($E87-Z$2,'data input'!$D$3:$E$130,2,FALSE),0)</f>
        <v>3.5930319112925768E-2</v>
      </c>
      <c r="AA87" s="5">
        <f>IF($E87&gt;=AA$2,VLOOKUP($E87-AA$2,'data input'!$D$3:$E$130,2,FALSE),0)</f>
        <v>4.2263736257952433E-2</v>
      </c>
      <c r="AB87" s="5">
        <f>IF($E87&gt;=AB$2,VLOOKUP($E87-AB$2,'data input'!$D$3:$E$130,2,FALSE),0)</f>
        <v>4.9471468033648103E-2</v>
      </c>
      <c r="AC87" s="5">
        <f>IF($E87&gt;=AC$2,VLOOKUP($E87-AC$2,'data input'!$D$3:$E$130,2,FALSE),0)</f>
        <v>5.7628222276153163E-2</v>
      </c>
      <c r="AD87" s="5">
        <f>IF($E87&gt;=AD$2,VLOOKUP($E87-AD$2,'data input'!$D$3:$E$130,2,FALSE),0)</f>
        <v>6.6807201268858085E-2</v>
      </c>
      <c r="AE87" s="5">
        <f>IF($E87&gt;=AE$2,VLOOKUP($E87-AE$2,'data input'!$D$3:$E$130,2,FALSE),0)</f>
        <v>7.707860055207183E-2</v>
      </c>
      <c r="AF87" s="5">
        <f>IF($E87&gt;=AF$2,VLOOKUP($E87-AF$2,'data input'!$D$3:$E$130,2,FALSE),0)</f>
        <v>8.8507991437402067E-2</v>
      </c>
      <c r="AG87" s="5">
        <f>IF($E87&gt;=AG$2,VLOOKUP($E87-AG$2,'data input'!$D$3:$E$130,2,FALSE),0)</f>
        <v>0.10115462099558592</v>
      </c>
      <c r="AH87" s="5">
        <f>IF($E87&gt;=AH$2,VLOOKUP($E87-AH$2,'data input'!$D$3:$E$130,2,FALSE),0)</f>
        <v>0.11506967022170822</v>
      </c>
      <c r="AI87" s="5">
        <f>IF($E87&gt;=AI$2,VLOOKUP($E87-AI$2,'data input'!$D$3:$E$130,2,FALSE),0)</f>
        <v>0.13029451713680884</v>
      </c>
      <c r="AJ87" s="5">
        <f>IF($E87&gt;=AJ$2,VLOOKUP($E87-AJ$2,'data input'!$D$3:$E$130,2,FALSE),0)</f>
        <v>0.14685905637589591</v>
      </c>
      <c r="AK87" s="5">
        <f>IF($E87&gt;=AK$2,VLOOKUP($E87-AK$2,'data input'!$D$3:$E$130,2,FALSE),0)</f>
        <v>0.16478012998031033</v>
      </c>
      <c r="AL87" s="5">
        <f>IF($E87&gt;=AL$2,VLOOKUP($E87-AL$2,'data input'!$D$3:$E$130,2,FALSE),0)</f>
        <v>0.18406012534675953</v>
      </c>
      <c r="AM87" s="5">
        <f>IF($E87&gt;=AM$2,VLOOKUP($E87-AM$2,'data input'!$D$3:$E$130,2,FALSE),0)</f>
        <v>0.20468579534725262</v>
      </c>
      <c r="AN87" s="5">
        <f>IF($E87&gt;=AN$2,VLOOKUP($E87-AN$2,'data input'!$D$3:$E$130,2,FALSE),0)</f>
        <v>0.22662735237686826</v>
      </c>
      <c r="AO87" s="5">
        <f>IF($E87&gt;=AO$2,VLOOKUP($E87-AO$2,'data input'!$D$3:$E$130,2,FALSE),0)</f>
        <v>0.24983788247177696</v>
      </c>
      <c r="AP87" s="5">
        <f>IF($E87&gt;=AP$2,VLOOKUP($E87-AP$2,'data input'!$D$3:$E$130,2,FALSE),0)</f>
        <v>0.27425311775007355</v>
      </c>
      <c r="AQ87" s="5">
        <f>IF($E87&gt;=AQ$2,VLOOKUP($E87-AQ$2,'data input'!$D$3:$E$130,2,FALSE),0)</f>
        <v>0.29979159546869583</v>
      </c>
      <c r="AR87" s="5">
        <f>IF($E87&gt;=AR$2,VLOOKUP($E87-AR$2,'data input'!$D$3:$E$130,2,FALSE),0)</f>
        <v>0.32635522028792008</v>
      </c>
      <c r="AS87" s="5">
        <f>IF($E87&gt;=AS$2,VLOOKUP($E87-AS$2,'data input'!$D$3:$E$130,2,FALSE),0)</f>
        <v>0.35383023332727614</v>
      </c>
      <c r="AT87" s="5">
        <f>IF($E87&gt;=AT$2,VLOOKUP($E87-AT$2,'data input'!$D$3:$E$130,2,FALSE),0)</f>
        <v>0.38208857781104733</v>
      </c>
      <c r="AU87" s="5">
        <f>IF($E87&gt;=AU$2,VLOOKUP($E87-AU$2,'data input'!$D$3:$E$130,2,FALSE),0)</f>
        <v>0.41098963713127035</v>
      </c>
      <c r="AV87" s="5">
        <f>IF($E87&gt;=AV$2,VLOOKUP($E87-AV$2,'data input'!$D$3:$E$130,2,FALSE),0)</f>
        <v>0.4403823076297575</v>
      </c>
      <c r="AW87" s="5">
        <f>IF($E87&gt;=AW$2,VLOOKUP($E87-AW$2,'data input'!$D$3:$E$130,2,FALSE),0)</f>
        <v>0.47010735594710518</v>
      </c>
      <c r="AX87" s="5">
        <f>IF($E87&gt;=AX$2,VLOOKUP($E87-AX$2,'data input'!$D$3:$E$130,2,FALSE),0)</f>
        <v>0.5</v>
      </c>
      <c r="AY87" s="5">
        <f>IF($E87&gt;=AY$2,VLOOKUP($E87-AY$2,'data input'!$D$3:$E$130,2,FALSE),0)</f>
        <v>0.52989264405289482</v>
      </c>
      <c r="AZ87" s="5">
        <f>IF($E87&gt;=AZ$2,VLOOKUP($E87-AZ$2,'data input'!$D$3:$E$130,2,FALSE),0)</f>
        <v>0.5596176923702425</v>
      </c>
      <c r="BA87" s="5">
        <f>IF($E87&gt;=BA$2,VLOOKUP($E87-BA$2,'data input'!$D$3:$E$130,2,FALSE),0)</f>
        <v>0.58901036286872965</v>
      </c>
      <c r="BB87" s="5">
        <f>IF($E87&gt;=BB$2,VLOOKUP($E87-BB$2,'data input'!$D$3:$E$130,2,FALSE),0)</f>
        <v>0.61791142218895267</v>
      </c>
      <c r="BC87" s="5">
        <f>IF($E87&gt;=BC$2,VLOOKUP($E87-BC$2,'data input'!$D$3:$E$130,2,FALSE),0)</f>
        <v>0.64616976667272386</v>
      </c>
      <c r="BD87" s="5">
        <f>IF($E87&gt;=BD$2,VLOOKUP($E87-BD$2,'data input'!$D$3:$E$130,2,FALSE),0)</f>
        <v>0.67364477971207992</v>
      </c>
      <c r="BE87" s="5">
        <f>IF($E87&gt;=BE$2,VLOOKUP($E87-BE$2,'data input'!$D$3:$E$130,2,FALSE),0)</f>
        <v>0.70020840453130417</v>
      </c>
      <c r="BF87" s="5">
        <f>IF($E87&gt;=BF$2,VLOOKUP($E87-BF$2,'data input'!$D$3:$E$130,2,FALSE),0)</f>
        <v>0.72574688224992645</v>
      </c>
      <c r="BG87" s="5">
        <f>IF($E87&gt;=BG$2,VLOOKUP($E87-BG$2,'data input'!$D$3:$E$130,2,FALSE),0)</f>
        <v>0.75016211752822304</v>
      </c>
      <c r="BH87" s="5">
        <f>IF($E87&gt;=BH$2,VLOOKUP($E87-BH$2,'data input'!$D$3:$E$130,2,FALSE),0)</f>
        <v>0.77337264762313174</v>
      </c>
      <c r="BI87" s="5">
        <f>IF($E87&gt;=BI$2,VLOOKUP($E87-BI$2,'data input'!$D$3:$E$130,2,FALSE),0)</f>
        <v>0.79531420465274738</v>
      </c>
      <c r="BJ87" s="5">
        <f>IF($E87&gt;=BJ$2,VLOOKUP($E87-BJ$2,'data input'!$D$3:$E$130,2,FALSE),0)</f>
        <v>0.81593987465324047</v>
      </c>
      <c r="BK87" s="5">
        <f>IF($E87&gt;=BK$2,VLOOKUP($E87-BK$2,'data input'!$D$3:$E$130,2,FALSE),0)</f>
        <v>0.83521987001968967</v>
      </c>
      <c r="BL87" s="5">
        <f>IF($E87&gt;=BL$2,VLOOKUP($E87-BL$2,'data input'!$D$3:$E$130,2,FALSE),0)</f>
        <v>0.85314094362410409</v>
      </c>
      <c r="BM87" s="5">
        <f>IF($E87&gt;=BM$2,VLOOKUP($E87-BM$2,'data input'!$D$3:$E$130,2,FALSE),0)</f>
        <v>0.86970548286319116</v>
      </c>
      <c r="BN87" s="5">
        <f>IF($E87&gt;=BN$2,VLOOKUP($E87-BN$2,'data input'!$D$3:$E$130,2,FALSE),0)</f>
        <v>0.88493032977829178</v>
      </c>
      <c r="BO87" s="5">
        <f>IF($E87&gt;=BO$2,VLOOKUP($E87-BO$2,'data input'!$D$3:$E$130,2,FALSE),0)</f>
        <v>0.89884537900441408</v>
      </c>
      <c r="BP87" s="5">
        <f>IF($E87&gt;=BP$2,VLOOKUP($E87-BP$2,'data input'!$D$3:$E$130,2,FALSE),0)</f>
        <v>0.91149200856259793</v>
      </c>
      <c r="BQ87" s="5">
        <f>IF($E87&gt;=BQ$2,VLOOKUP($E87-BQ$2,'data input'!$D$3:$E$130,2,FALSE),0)</f>
        <v>0.92292139944792817</v>
      </c>
      <c r="BR87" s="5">
        <f>IF($E87&gt;=BR$2,VLOOKUP($E87-BR$2,'data input'!$D$3:$E$130,2,FALSE),0)</f>
        <v>0.93319279873114191</v>
      </c>
      <c r="BS87" s="5">
        <f>IF($E87&gt;=BS$2,VLOOKUP($E87-BS$2,'data input'!$D$3:$E$130,2,FALSE),0)</f>
        <v>0.94237177772384684</v>
      </c>
      <c r="BT87" s="5">
        <f>IF($E87&gt;=BT$2,VLOOKUP($E87-BT$2,'data input'!$D$3:$E$130,2,FALSE),0)</f>
        <v>0.9505285319663519</v>
      </c>
      <c r="BU87" s="5">
        <f>IF($E87&gt;=BU$2,VLOOKUP($E87-BU$2,'data input'!$D$3:$E$130,2,FALSE),0)</f>
        <v>0.95773626374204757</v>
      </c>
      <c r="BV87" s="5">
        <f>IF($E87&gt;=BV$2,VLOOKUP($E87-BV$2,'data input'!$D$3:$E$130,2,FALSE),0)</f>
        <v>0.96406968088707423</v>
      </c>
      <c r="BW87" s="5">
        <f>IF($E87&gt;=BW$2,VLOOKUP($E87-BW$2,'data input'!$D$3:$E$130,2,FALSE),0)</f>
        <v>0.96960363823473861</v>
      </c>
      <c r="BX87" s="5">
        <f>IF($E87&gt;=BX$2,VLOOKUP($E87-BX$2,'data input'!$D$3:$E$130,2,FALSE),0)</f>
        <v>0.97441194047836144</v>
      </c>
      <c r="BY87" s="5">
        <f>IF($E87&gt;=BY$2,VLOOKUP($E87-BY$2,'data input'!$D$3:$E$130,2,FALSE),0)</f>
        <v>0.97856631788584703</v>
      </c>
      <c r="BZ87" s="5">
        <f>IF($E87&gt;=BZ$2,VLOOKUP($E87-BZ$2,'data input'!$D$3:$E$130,2,FALSE),0)</f>
        <v>0.98213557943718344</v>
      </c>
      <c r="CA87" s="5">
        <f>IF($E87&gt;=CA$2,VLOOKUP($E87-CA$2,'data input'!$D$3:$E$130,2,FALSE),0)</f>
        <v>0.98518494180739014</v>
      </c>
      <c r="CB87" s="5">
        <f>IF($E87&gt;=CB$2,VLOOKUP($E87-CB$2,'data input'!$D$3:$E$130,2,FALSE),0)</f>
        <v>0.98777552734495533</v>
      </c>
      <c r="CC87" s="5">
        <f>IF($E87&gt;=CC$2,VLOOKUP($E87-CC$2,'data input'!$D$3:$E$130,2,FALSE),0)</f>
        <v>0.98996401989972593</v>
      </c>
      <c r="CD87" s="5">
        <f>IF($E87&gt;=CD$2,VLOOKUP($E87-CD$2,'data input'!$D$3:$E$130,2,FALSE),0)</f>
        <v>0.99180246407540384</v>
      </c>
      <c r="CE87" s="5">
        <f>IF($E87&gt;=CE$2,VLOOKUP($E87-CE$2,'data input'!$D$3:$E$130,2,FALSE),0)</f>
        <v>0.99333819120801725</v>
      </c>
      <c r="CF87" s="5">
        <f>IF($E87&gt;=CF$2,VLOOKUP($E87-CF$2,'data input'!$D$3:$E$130,2,FALSE),0)</f>
        <v>0.99461385404593328</v>
      </c>
      <c r="CG87" s="5">
        <f>IF($E87&gt;=CG$2,VLOOKUP($E87-CG$2,'data input'!$D$3:$E$130,2,FALSE),0)</f>
        <v>0.99566755163698739</v>
      </c>
      <c r="CH87" s="5">
        <f>IF($E87&gt;=CH$2,VLOOKUP($E87-CH$2,'data input'!$D$3:$E$130,2,FALSE),0)</f>
        <v>0.99653302619695938</v>
      </c>
      <c r="CI87" s="5">
        <f>IF($E87&gt;=CI$2,VLOOKUP($E87-CI$2,'data input'!$D$3:$E$130,2,FALSE),0)</f>
        <v>0.99723991460873751</v>
      </c>
      <c r="CJ87" s="5">
        <f>IF($E87&gt;=CJ$2,VLOOKUP($E87-CJ$2,'data input'!$D$3:$E$130,2,FALSE),0)</f>
        <v>0.99781403854508677</v>
      </c>
      <c r="CK87" s="5">
        <f>IF($E87&gt;=CK$2,VLOOKUP($E87-CK$2,'data input'!$D$3:$E$130,2,FALSE),0)</f>
        <v>0.99827771888413241</v>
      </c>
      <c r="CL87" s="5">
        <f>IF($E87&gt;=CL$2,VLOOKUP($E87-CL$2,'data input'!$D$3:$E$130,2,FALSE),0)</f>
        <v>0.9986501019683699</v>
      </c>
      <c r="CM87" s="5">
        <f>IF($E87&gt;=CM$2,VLOOKUP($E87-CM$2,'data input'!$D$3:$E$130,2,FALSE),0)</f>
        <v>0</v>
      </c>
      <c r="CN87" s="5">
        <f>IF($E87&gt;=CN$2,VLOOKUP($E87-CN$2,'data input'!$D$3:$E$130,2,FALSE),0)</f>
        <v>0</v>
      </c>
      <c r="CO87" s="5">
        <f>IF($E87&gt;=CO$2,VLOOKUP($E87-CO$2,'data input'!$D$3:$E$130,2,FALSE),0)</f>
        <v>0</v>
      </c>
      <c r="CP87" s="5">
        <f>IF($E87&gt;=CP$2,VLOOKUP($E87-CP$2,'data input'!$D$3:$E$130,2,FALSE),0)</f>
        <v>0</v>
      </c>
      <c r="CQ87" s="5">
        <f>IF($E87&gt;=CQ$2,VLOOKUP($E87-CQ$2,'data input'!$D$3:$E$130,2,FALSE),0)</f>
        <v>0</v>
      </c>
      <c r="CR87" s="5">
        <f>IF($E87&gt;=CR$2,VLOOKUP($E87-CR$2,'data input'!$D$3:$E$130,2,FALSE),0)</f>
        <v>0</v>
      </c>
      <c r="CS87" s="5">
        <f>IF($E87&gt;=CS$2,VLOOKUP($E87-CS$2,'data input'!$D$3:$E$130,2,FALSE),0)</f>
        <v>0</v>
      </c>
      <c r="CT87" s="5">
        <f>IF($E87&gt;=CT$2,VLOOKUP($E87-CT$2,'data input'!$D$3:$E$130,2,FALSE),0)</f>
        <v>0</v>
      </c>
      <c r="CU87" s="5">
        <f>IF($E87&gt;=CU$2,VLOOKUP($E87-CU$2,'data input'!$D$3:$E$130,2,FALSE),0)</f>
        <v>0</v>
      </c>
      <c r="CV87" s="5">
        <f>IF($E87&gt;=CV$2,VLOOKUP($E87-CV$2,'data input'!$D$3:$E$130,2,FALSE),0)</f>
        <v>0</v>
      </c>
      <c r="CW87" s="5">
        <f>IF($E87&gt;=CW$2,VLOOKUP($E87-CW$2,'data input'!$D$3:$E$130,2,FALSE),0)</f>
        <v>0</v>
      </c>
      <c r="CX87" s="5">
        <f>IF($E87&gt;=CX$2,VLOOKUP($E87-CX$2,'data input'!$D$3:$E$130,2,FALSE),0)</f>
        <v>0</v>
      </c>
      <c r="CY87" s="5">
        <f>IF($E87&gt;=CY$2,VLOOKUP($E87-CY$2,'data input'!$D$3:$E$130,2,FALSE),0)</f>
        <v>0</v>
      </c>
      <c r="CZ87" s="5">
        <f>IF($E87&gt;=CZ$2,VLOOKUP($E87-CZ$2,'data input'!$D$3:$E$130,2,FALSE),0)</f>
        <v>0</v>
      </c>
      <c r="DA87" s="5">
        <f>IF($E87&gt;=DA$2,VLOOKUP($E87-DA$2,'data input'!$D$3:$E$130,2,FALSE),0)</f>
        <v>0</v>
      </c>
      <c r="DB87" s="5">
        <f>IF($E87&gt;=DB$2,VLOOKUP($E87-DB$2,'data input'!$D$3:$E$130,2,FALSE),0)</f>
        <v>0</v>
      </c>
      <c r="DC87" s="5">
        <f>IF($E87&gt;=DC$2,VLOOKUP($E87-DC$2,'data input'!$D$3:$E$130,2,FALSE),0)</f>
        <v>0</v>
      </c>
      <c r="DD87" s="5">
        <f>IF($E87&gt;=DD$2,VLOOKUP($E87-DD$2,'data input'!$D$3:$E$130,2,FALSE),0)</f>
        <v>0</v>
      </c>
      <c r="DE87" s="5">
        <f>IF($E87&gt;=DE$2,VLOOKUP($E87-DE$2,'data input'!$D$3:$E$130,2,FALSE),0)</f>
        <v>0</v>
      </c>
      <c r="DF87" s="5">
        <f>IF($E87&gt;=DF$2,VLOOKUP($E87-DF$2,'data input'!$D$3:$E$130,2,FALSE),0)</f>
        <v>0</v>
      </c>
      <c r="DG87" s="5">
        <f>IF($E87&gt;=DG$2,VLOOKUP($E87-DG$2,'data input'!$D$3:$E$130,2,FALSE),0)</f>
        <v>0</v>
      </c>
      <c r="DH87" s="5">
        <f>IF($E87&gt;=DH$2,VLOOKUP($E87-DH$2,'data input'!$D$3:$E$130,2,FALSE),0)</f>
        <v>0</v>
      </c>
      <c r="DI87" s="5">
        <f>IF($E87&gt;=DI$2,VLOOKUP($E87-DI$2,'data input'!$D$3:$E$130,2,FALSE),0)</f>
        <v>0</v>
      </c>
      <c r="DJ87" s="5">
        <f>IF($E87&gt;=DJ$2,VLOOKUP($E87-DJ$2,'data input'!$D$3:$E$130,2,FALSE),0)</f>
        <v>0</v>
      </c>
      <c r="DK87" s="5">
        <f>IF($E87&gt;=DK$2,VLOOKUP($E87-DK$2,'data input'!$D$3:$E$130,2,FALSE),0)</f>
        <v>0</v>
      </c>
      <c r="DL87" s="5">
        <f>IF($E87&gt;=DL$2,VLOOKUP($E87-DL$2,'data input'!$D$3:$E$130,2,FALSE),0)</f>
        <v>0</v>
      </c>
      <c r="DM87" s="5">
        <f>IF($E87&gt;=DM$2,VLOOKUP($E87-DM$2,'data input'!$D$3:$E$130,2,FALSE),0)</f>
        <v>0</v>
      </c>
      <c r="DN87" s="5">
        <f>IF($E87&gt;=DN$2,VLOOKUP($E87-DN$2,'data input'!$D$3:$E$130,2,FALSE),0)</f>
        <v>0</v>
      </c>
      <c r="DO87" s="5">
        <f>IF($E87&gt;=DO$2,VLOOKUP($E87-DO$2,'data input'!$D$3:$E$130,2,FALSE),0)</f>
        <v>0</v>
      </c>
      <c r="DP87" s="5">
        <f>IF($E87&gt;=DP$2,VLOOKUP($E87-DP$2,'data input'!$D$3:$E$130,2,FALSE),0)</f>
        <v>0</v>
      </c>
      <c r="DQ87" s="5">
        <f>IF($E87&gt;=DQ$2,VLOOKUP($E87-DQ$2,'data input'!$D$3:$E$130,2,FALSE),0)</f>
        <v>0</v>
      </c>
      <c r="DR87" s="5">
        <f>IF($E87&gt;=DR$2,VLOOKUP($E87-DR$2,'data input'!$D$3:$E$130,2,FALSE),0)</f>
        <v>0</v>
      </c>
      <c r="DS87" s="5">
        <f>IF($E87&gt;=DS$2,VLOOKUP($E87-DS$2,'data input'!$D$3:$E$130,2,FALSE),0)</f>
        <v>0</v>
      </c>
      <c r="DT87" s="5">
        <f>IF($E87&gt;=DT$2,VLOOKUP($E87-DT$2,'data input'!$D$3:$E$130,2,FALSE),0)</f>
        <v>0</v>
      </c>
      <c r="DU87" s="5">
        <f>IF($E87&gt;=DU$2,VLOOKUP($E87-DU$2,'data input'!$D$3:$E$130,2,FALSE),0)</f>
        <v>0</v>
      </c>
      <c r="DV87" s="5">
        <f>IF($E87&gt;=DV$2,VLOOKUP($E87-DV$2,'data input'!$D$3:$E$130,2,FALSE),0)</f>
        <v>0</v>
      </c>
      <c r="DW87" s="5">
        <f>IF($E87&gt;=DW$2,VLOOKUP($E87-DW$2,'data input'!$D$3:$E$130,2,FALSE),0)</f>
        <v>0</v>
      </c>
      <c r="DX87" s="5">
        <f>IF($E87&gt;=DX$2,VLOOKUP($E87-DX$2,'data input'!$D$3:$E$130,2,FALSE),0)</f>
        <v>0</v>
      </c>
      <c r="DY87" s="5">
        <f>IF($E87&gt;=DY$2,VLOOKUP($E87-DY$2,'data input'!$D$3:$E$130,2,FALSE),0)</f>
        <v>0</v>
      </c>
      <c r="DZ87" s="5">
        <f>IF($E87&gt;=DZ$2,VLOOKUP($E87-DZ$2,'data input'!$D$3:$E$130,2,FALSE),0)</f>
        <v>0</v>
      </c>
      <c r="EA87" s="5">
        <f>IF($E87&gt;=EA$2,VLOOKUP($E87-EA$2,'data input'!$D$3:$E$130,2,FALSE),0)</f>
        <v>0</v>
      </c>
      <c r="EB87" s="5">
        <f>IF($E87&gt;=EB$2,VLOOKUP($E87-EB$2,'data input'!$D$3:$E$130,2,FALSE),0)</f>
        <v>0</v>
      </c>
      <c r="EC87" s="5">
        <f>IF($E87&gt;=EC$2,VLOOKUP($E87-EC$2,'data input'!$D$3:$E$130,2,FALSE),0)</f>
        <v>0</v>
      </c>
    </row>
    <row r="88" spans="5:133">
      <c r="E88" s="7">
        <f>'data input'!B88</f>
        <v>1963</v>
      </c>
      <c r="F88" s="5">
        <f>IF($E88&gt;=F$2,VLOOKUP($E88-F$2,'data input'!$D$3:$E$130,2,FALSE),0)</f>
        <v>3.6907845427502917E-4</v>
      </c>
      <c r="G88" s="5">
        <f>IF($E88&gt;=G$2,VLOOKUP($E88-G$2,'data input'!$D$3:$E$130,2,FALSE),0)</f>
        <v>4.8342414238378151E-4</v>
      </c>
      <c r="H88" s="5">
        <f>IF($E88&gt;=H$2,VLOOKUP($E88-H$2,'data input'!$D$3:$E$130,2,FALSE),0)</f>
        <v>6.2986334399772748E-4</v>
      </c>
      <c r="I88" s="5">
        <f>IF($E88&gt;=I$2,VLOOKUP($E88-I$2,'data input'!$D$3:$E$130,2,FALSE),0)</f>
        <v>8.1635231282861653E-4</v>
      </c>
      <c r="J88" s="5">
        <f>IF($E88&gt;=J$2,VLOOKUP($E88-J$2,'data input'!$D$3:$E$130,2,FALSE),0)</f>
        <v>1.0525127683760349E-3</v>
      </c>
      <c r="K88" s="5">
        <f>IF($E88&gt;=K$2,VLOOKUP($E88-K$2,'data input'!$D$3:$E$130,2,FALSE),0)</f>
        <v>1.3498980316301035E-3</v>
      </c>
      <c r="L88" s="5">
        <f>IF($E88&gt;=L$2,VLOOKUP($E88-L$2,'data input'!$D$3:$E$130,2,FALSE),0)</f>
        <v>1.7222811158675855E-3</v>
      </c>
      <c r="M88" s="5">
        <f>IF($E88&gt;=M$2,VLOOKUP($E88-M$2,'data input'!$D$3:$E$130,2,FALSE),0)</f>
        <v>2.1859614549132322E-3</v>
      </c>
      <c r="N88" s="5">
        <f>IF($E88&gt;=N$2,VLOOKUP($E88-N$2,'data input'!$D$3:$E$130,2,FALSE),0)</f>
        <v>2.7600853912624901E-3</v>
      </c>
      <c r="O88" s="5">
        <f>IF($E88&gt;=O$2,VLOOKUP($E88-O$2,'data input'!$D$3:$E$130,2,FALSE),0)</f>
        <v>3.4669738030406183E-3</v>
      </c>
      <c r="P88" s="5">
        <f>IF($E88&gt;=P$2,VLOOKUP($E88-P$2,'data input'!$D$3:$E$130,2,FALSE),0)</f>
        <v>4.3324483630126087E-3</v>
      </c>
      <c r="Q88" s="5">
        <f>IF($E88&gt;=Q$2,VLOOKUP($E88-Q$2,'data input'!$D$3:$E$130,2,FALSE),0)</f>
        <v>5.3861459540667234E-3</v>
      </c>
      <c r="R88" s="5">
        <f>IF($E88&gt;=R$2,VLOOKUP($E88-R$2,'data input'!$D$3:$E$130,2,FALSE),0)</f>
        <v>6.6618087919827484E-3</v>
      </c>
      <c r="S88" s="5">
        <f>IF($E88&gt;=S$2,VLOOKUP($E88-S$2,'data input'!$D$3:$E$130,2,FALSE),0)</f>
        <v>8.1975359245961554E-3</v>
      </c>
      <c r="T88" s="5">
        <f>IF($E88&gt;=T$2,VLOOKUP($E88-T$2,'data input'!$D$3:$E$130,2,FALSE),0)</f>
        <v>1.0035980100274067E-2</v>
      </c>
      <c r="U88" s="5">
        <f>IF($E88&gt;=U$2,VLOOKUP($E88-U$2,'data input'!$D$3:$E$130,2,FALSE),0)</f>
        <v>1.2224472655044671E-2</v>
      </c>
      <c r="V88" s="5">
        <f>IF($E88&gt;=V$2,VLOOKUP($E88-V$2,'data input'!$D$3:$E$130,2,FALSE),0)</f>
        <v>1.4815058192609865E-2</v>
      </c>
      <c r="W88" s="5">
        <f>IF($E88&gt;=W$2,VLOOKUP($E88-W$2,'data input'!$D$3:$E$130,2,FALSE),0)</f>
        <v>1.7864420562816563E-2</v>
      </c>
      <c r="X88" s="5">
        <f>IF($E88&gt;=X$2,VLOOKUP($E88-X$2,'data input'!$D$3:$E$130,2,FALSE),0)</f>
        <v>2.1433682114152974E-2</v>
      </c>
      <c r="Y88" s="5">
        <f>IF($E88&gt;=Y$2,VLOOKUP($E88-Y$2,'data input'!$D$3:$E$130,2,FALSE),0)</f>
        <v>2.5588059521638562E-2</v>
      </c>
      <c r="Z88" s="5">
        <f>IF($E88&gt;=Z$2,VLOOKUP($E88-Z$2,'data input'!$D$3:$E$130,2,FALSE),0)</f>
        <v>3.0396361765261393E-2</v>
      </c>
      <c r="AA88" s="5">
        <f>IF($E88&gt;=AA$2,VLOOKUP($E88-AA$2,'data input'!$D$3:$E$130,2,FALSE),0)</f>
        <v>3.5930319112925768E-2</v>
      </c>
      <c r="AB88" s="5">
        <f>IF($E88&gt;=AB$2,VLOOKUP($E88-AB$2,'data input'!$D$3:$E$130,2,FALSE),0)</f>
        <v>4.2263736257952433E-2</v>
      </c>
      <c r="AC88" s="5">
        <f>IF($E88&gt;=AC$2,VLOOKUP($E88-AC$2,'data input'!$D$3:$E$130,2,FALSE),0)</f>
        <v>4.9471468033648103E-2</v>
      </c>
      <c r="AD88" s="5">
        <f>IF($E88&gt;=AD$2,VLOOKUP($E88-AD$2,'data input'!$D$3:$E$130,2,FALSE),0)</f>
        <v>5.7628222276153163E-2</v>
      </c>
      <c r="AE88" s="5">
        <f>IF($E88&gt;=AE$2,VLOOKUP($E88-AE$2,'data input'!$D$3:$E$130,2,FALSE),0)</f>
        <v>6.6807201268858085E-2</v>
      </c>
      <c r="AF88" s="5">
        <f>IF($E88&gt;=AF$2,VLOOKUP($E88-AF$2,'data input'!$D$3:$E$130,2,FALSE),0)</f>
        <v>7.707860055207183E-2</v>
      </c>
      <c r="AG88" s="5">
        <f>IF($E88&gt;=AG$2,VLOOKUP($E88-AG$2,'data input'!$D$3:$E$130,2,FALSE),0)</f>
        <v>8.8507991437402067E-2</v>
      </c>
      <c r="AH88" s="5">
        <f>IF($E88&gt;=AH$2,VLOOKUP($E88-AH$2,'data input'!$D$3:$E$130,2,FALSE),0)</f>
        <v>0.10115462099558592</v>
      </c>
      <c r="AI88" s="5">
        <f>IF($E88&gt;=AI$2,VLOOKUP($E88-AI$2,'data input'!$D$3:$E$130,2,FALSE),0)</f>
        <v>0.11506967022170822</v>
      </c>
      <c r="AJ88" s="5">
        <f>IF($E88&gt;=AJ$2,VLOOKUP($E88-AJ$2,'data input'!$D$3:$E$130,2,FALSE),0)</f>
        <v>0.13029451713680884</v>
      </c>
      <c r="AK88" s="5">
        <f>IF($E88&gt;=AK$2,VLOOKUP($E88-AK$2,'data input'!$D$3:$E$130,2,FALSE),0)</f>
        <v>0.14685905637589591</v>
      </c>
      <c r="AL88" s="5">
        <f>IF($E88&gt;=AL$2,VLOOKUP($E88-AL$2,'data input'!$D$3:$E$130,2,FALSE),0)</f>
        <v>0.16478012998031033</v>
      </c>
      <c r="AM88" s="5">
        <f>IF($E88&gt;=AM$2,VLOOKUP($E88-AM$2,'data input'!$D$3:$E$130,2,FALSE),0)</f>
        <v>0.18406012534675953</v>
      </c>
      <c r="AN88" s="5">
        <f>IF($E88&gt;=AN$2,VLOOKUP($E88-AN$2,'data input'!$D$3:$E$130,2,FALSE),0)</f>
        <v>0.20468579534725262</v>
      </c>
      <c r="AO88" s="5">
        <f>IF($E88&gt;=AO$2,VLOOKUP($E88-AO$2,'data input'!$D$3:$E$130,2,FALSE),0)</f>
        <v>0.22662735237686826</v>
      </c>
      <c r="AP88" s="5">
        <f>IF($E88&gt;=AP$2,VLOOKUP($E88-AP$2,'data input'!$D$3:$E$130,2,FALSE),0)</f>
        <v>0.24983788247177696</v>
      </c>
      <c r="AQ88" s="5">
        <f>IF($E88&gt;=AQ$2,VLOOKUP($E88-AQ$2,'data input'!$D$3:$E$130,2,FALSE),0)</f>
        <v>0.27425311775007355</v>
      </c>
      <c r="AR88" s="5">
        <f>IF($E88&gt;=AR$2,VLOOKUP($E88-AR$2,'data input'!$D$3:$E$130,2,FALSE),0)</f>
        <v>0.29979159546869583</v>
      </c>
      <c r="AS88" s="5">
        <f>IF($E88&gt;=AS$2,VLOOKUP($E88-AS$2,'data input'!$D$3:$E$130,2,FALSE),0)</f>
        <v>0.32635522028792008</v>
      </c>
      <c r="AT88" s="5">
        <f>IF($E88&gt;=AT$2,VLOOKUP($E88-AT$2,'data input'!$D$3:$E$130,2,FALSE),0)</f>
        <v>0.35383023332727614</v>
      </c>
      <c r="AU88" s="5">
        <f>IF($E88&gt;=AU$2,VLOOKUP($E88-AU$2,'data input'!$D$3:$E$130,2,FALSE),0)</f>
        <v>0.38208857781104733</v>
      </c>
      <c r="AV88" s="5">
        <f>IF($E88&gt;=AV$2,VLOOKUP($E88-AV$2,'data input'!$D$3:$E$130,2,FALSE),0)</f>
        <v>0.41098963713127035</v>
      </c>
      <c r="AW88" s="5">
        <f>IF($E88&gt;=AW$2,VLOOKUP($E88-AW$2,'data input'!$D$3:$E$130,2,FALSE),0)</f>
        <v>0.4403823076297575</v>
      </c>
      <c r="AX88" s="5">
        <f>IF($E88&gt;=AX$2,VLOOKUP($E88-AX$2,'data input'!$D$3:$E$130,2,FALSE),0)</f>
        <v>0.47010735594710518</v>
      </c>
      <c r="AY88" s="5">
        <f>IF($E88&gt;=AY$2,VLOOKUP($E88-AY$2,'data input'!$D$3:$E$130,2,FALSE),0)</f>
        <v>0.5</v>
      </c>
      <c r="AZ88" s="5">
        <f>IF($E88&gt;=AZ$2,VLOOKUP($E88-AZ$2,'data input'!$D$3:$E$130,2,FALSE),0)</f>
        <v>0.52989264405289482</v>
      </c>
      <c r="BA88" s="5">
        <f>IF($E88&gt;=BA$2,VLOOKUP($E88-BA$2,'data input'!$D$3:$E$130,2,FALSE),0)</f>
        <v>0.5596176923702425</v>
      </c>
      <c r="BB88" s="5">
        <f>IF($E88&gt;=BB$2,VLOOKUP($E88-BB$2,'data input'!$D$3:$E$130,2,FALSE),0)</f>
        <v>0.58901036286872965</v>
      </c>
      <c r="BC88" s="5">
        <f>IF($E88&gt;=BC$2,VLOOKUP($E88-BC$2,'data input'!$D$3:$E$130,2,FALSE),0)</f>
        <v>0.61791142218895267</v>
      </c>
      <c r="BD88" s="5">
        <f>IF($E88&gt;=BD$2,VLOOKUP($E88-BD$2,'data input'!$D$3:$E$130,2,FALSE),0)</f>
        <v>0.64616976667272386</v>
      </c>
      <c r="BE88" s="5">
        <f>IF($E88&gt;=BE$2,VLOOKUP($E88-BE$2,'data input'!$D$3:$E$130,2,FALSE),0)</f>
        <v>0.67364477971207992</v>
      </c>
      <c r="BF88" s="5">
        <f>IF($E88&gt;=BF$2,VLOOKUP($E88-BF$2,'data input'!$D$3:$E$130,2,FALSE),0)</f>
        <v>0.70020840453130417</v>
      </c>
      <c r="BG88" s="5">
        <f>IF($E88&gt;=BG$2,VLOOKUP($E88-BG$2,'data input'!$D$3:$E$130,2,FALSE),0)</f>
        <v>0.72574688224992645</v>
      </c>
      <c r="BH88" s="5">
        <f>IF($E88&gt;=BH$2,VLOOKUP($E88-BH$2,'data input'!$D$3:$E$130,2,FALSE),0)</f>
        <v>0.75016211752822304</v>
      </c>
      <c r="BI88" s="5">
        <f>IF($E88&gt;=BI$2,VLOOKUP($E88-BI$2,'data input'!$D$3:$E$130,2,FALSE),0)</f>
        <v>0.77337264762313174</v>
      </c>
      <c r="BJ88" s="5">
        <f>IF($E88&gt;=BJ$2,VLOOKUP($E88-BJ$2,'data input'!$D$3:$E$130,2,FALSE),0)</f>
        <v>0.79531420465274738</v>
      </c>
      <c r="BK88" s="5">
        <f>IF($E88&gt;=BK$2,VLOOKUP($E88-BK$2,'data input'!$D$3:$E$130,2,FALSE),0)</f>
        <v>0.81593987465324047</v>
      </c>
      <c r="BL88" s="5">
        <f>IF($E88&gt;=BL$2,VLOOKUP($E88-BL$2,'data input'!$D$3:$E$130,2,FALSE),0)</f>
        <v>0.83521987001968967</v>
      </c>
      <c r="BM88" s="5">
        <f>IF($E88&gt;=BM$2,VLOOKUP($E88-BM$2,'data input'!$D$3:$E$130,2,FALSE),0)</f>
        <v>0.85314094362410409</v>
      </c>
      <c r="BN88" s="5">
        <f>IF($E88&gt;=BN$2,VLOOKUP($E88-BN$2,'data input'!$D$3:$E$130,2,FALSE),0)</f>
        <v>0.86970548286319116</v>
      </c>
      <c r="BO88" s="5">
        <f>IF($E88&gt;=BO$2,VLOOKUP($E88-BO$2,'data input'!$D$3:$E$130,2,FALSE),0)</f>
        <v>0.88493032977829178</v>
      </c>
      <c r="BP88" s="5">
        <f>IF($E88&gt;=BP$2,VLOOKUP($E88-BP$2,'data input'!$D$3:$E$130,2,FALSE),0)</f>
        <v>0.89884537900441408</v>
      </c>
      <c r="BQ88" s="5">
        <f>IF($E88&gt;=BQ$2,VLOOKUP($E88-BQ$2,'data input'!$D$3:$E$130,2,FALSE),0)</f>
        <v>0.91149200856259793</v>
      </c>
      <c r="BR88" s="5">
        <f>IF($E88&gt;=BR$2,VLOOKUP($E88-BR$2,'data input'!$D$3:$E$130,2,FALSE),0)</f>
        <v>0.92292139944792817</v>
      </c>
      <c r="BS88" s="5">
        <f>IF($E88&gt;=BS$2,VLOOKUP($E88-BS$2,'data input'!$D$3:$E$130,2,FALSE),0)</f>
        <v>0.93319279873114191</v>
      </c>
      <c r="BT88" s="5">
        <f>IF($E88&gt;=BT$2,VLOOKUP($E88-BT$2,'data input'!$D$3:$E$130,2,FALSE),0)</f>
        <v>0.94237177772384684</v>
      </c>
      <c r="BU88" s="5">
        <f>IF($E88&gt;=BU$2,VLOOKUP($E88-BU$2,'data input'!$D$3:$E$130,2,FALSE),0)</f>
        <v>0.9505285319663519</v>
      </c>
      <c r="BV88" s="5">
        <f>IF($E88&gt;=BV$2,VLOOKUP($E88-BV$2,'data input'!$D$3:$E$130,2,FALSE),0)</f>
        <v>0.95773626374204757</v>
      </c>
      <c r="BW88" s="5">
        <f>IF($E88&gt;=BW$2,VLOOKUP($E88-BW$2,'data input'!$D$3:$E$130,2,FALSE),0)</f>
        <v>0.96406968088707423</v>
      </c>
      <c r="BX88" s="5">
        <f>IF($E88&gt;=BX$2,VLOOKUP($E88-BX$2,'data input'!$D$3:$E$130,2,FALSE),0)</f>
        <v>0.96960363823473861</v>
      </c>
      <c r="BY88" s="5">
        <f>IF($E88&gt;=BY$2,VLOOKUP($E88-BY$2,'data input'!$D$3:$E$130,2,FALSE),0)</f>
        <v>0.97441194047836144</v>
      </c>
      <c r="BZ88" s="5">
        <f>IF($E88&gt;=BZ$2,VLOOKUP($E88-BZ$2,'data input'!$D$3:$E$130,2,FALSE),0)</f>
        <v>0.97856631788584703</v>
      </c>
      <c r="CA88" s="5">
        <f>IF($E88&gt;=CA$2,VLOOKUP($E88-CA$2,'data input'!$D$3:$E$130,2,FALSE),0)</f>
        <v>0.98213557943718344</v>
      </c>
      <c r="CB88" s="5">
        <f>IF($E88&gt;=CB$2,VLOOKUP($E88-CB$2,'data input'!$D$3:$E$130,2,FALSE),0)</f>
        <v>0.98518494180739014</v>
      </c>
      <c r="CC88" s="5">
        <f>IF($E88&gt;=CC$2,VLOOKUP($E88-CC$2,'data input'!$D$3:$E$130,2,FALSE),0)</f>
        <v>0.98777552734495533</v>
      </c>
      <c r="CD88" s="5">
        <f>IF($E88&gt;=CD$2,VLOOKUP($E88-CD$2,'data input'!$D$3:$E$130,2,FALSE),0)</f>
        <v>0.98996401989972593</v>
      </c>
      <c r="CE88" s="5">
        <f>IF($E88&gt;=CE$2,VLOOKUP($E88-CE$2,'data input'!$D$3:$E$130,2,FALSE),0)</f>
        <v>0.99180246407540384</v>
      </c>
      <c r="CF88" s="5">
        <f>IF($E88&gt;=CF$2,VLOOKUP($E88-CF$2,'data input'!$D$3:$E$130,2,FALSE),0)</f>
        <v>0.99333819120801725</v>
      </c>
      <c r="CG88" s="5">
        <f>IF($E88&gt;=CG$2,VLOOKUP($E88-CG$2,'data input'!$D$3:$E$130,2,FALSE),0)</f>
        <v>0.99461385404593328</v>
      </c>
      <c r="CH88" s="5">
        <f>IF($E88&gt;=CH$2,VLOOKUP($E88-CH$2,'data input'!$D$3:$E$130,2,FALSE),0)</f>
        <v>0.99566755163698739</v>
      </c>
      <c r="CI88" s="5">
        <f>IF($E88&gt;=CI$2,VLOOKUP($E88-CI$2,'data input'!$D$3:$E$130,2,FALSE),0)</f>
        <v>0.99653302619695938</v>
      </c>
      <c r="CJ88" s="5">
        <f>IF($E88&gt;=CJ$2,VLOOKUP($E88-CJ$2,'data input'!$D$3:$E$130,2,FALSE),0)</f>
        <v>0.99723991460873751</v>
      </c>
      <c r="CK88" s="5">
        <f>IF($E88&gt;=CK$2,VLOOKUP($E88-CK$2,'data input'!$D$3:$E$130,2,FALSE),0)</f>
        <v>0.99781403854508677</v>
      </c>
      <c r="CL88" s="5">
        <f>IF($E88&gt;=CL$2,VLOOKUP($E88-CL$2,'data input'!$D$3:$E$130,2,FALSE),0)</f>
        <v>0.99827771888413241</v>
      </c>
      <c r="CM88" s="5">
        <f>IF($E88&gt;=CM$2,VLOOKUP($E88-CM$2,'data input'!$D$3:$E$130,2,FALSE),0)</f>
        <v>0.9986501019683699</v>
      </c>
      <c r="CN88" s="5">
        <f>IF($E88&gt;=CN$2,VLOOKUP($E88-CN$2,'data input'!$D$3:$E$130,2,FALSE),0)</f>
        <v>0</v>
      </c>
      <c r="CO88" s="5">
        <f>IF($E88&gt;=CO$2,VLOOKUP($E88-CO$2,'data input'!$D$3:$E$130,2,FALSE),0)</f>
        <v>0</v>
      </c>
      <c r="CP88" s="5">
        <f>IF($E88&gt;=CP$2,VLOOKUP($E88-CP$2,'data input'!$D$3:$E$130,2,FALSE),0)</f>
        <v>0</v>
      </c>
      <c r="CQ88" s="5">
        <f>IF($E88&gt;=CQ$2,VLOOKUP($E88-CQ$2,'data input'!$D$3:$E$130,2,FALSE),0)</f>
        <v>0</v>
      </c>
      <c r="CR88" s="5">
        <f>IF($E88&gt;=CR$2,VLOOKUP($E88-CR$2,'data input'!$D$3:$E$130,2,FALSE),0)</f>
        <v>0</v>
      </c>
      <c r="CS88" s="5">
        <f>IF($E88&gt;=CS$2,VLOOKUP($E88-CS$2,'data input'!$D$3:$E$130,2,FALSE),0)</f>
        <v>0</v>
      </c>
      <c r="CT88" s="5">
        <f>IF($E88&gt;=CT$2,VLOOKUP($E88-CT$2,'data input'!$D$3:$E$130,2,FALSE),0)</f>
        <v>0</v>
      </c>
      <c r="CU88" s="5">
        <f>IF($E88&gt;=CU$2,VLOOKUP($E88-CU$2,'data input'!$D$3:$E$130,2,FALSE),0)</f>
        <v>0</v>
      </c>
      <c r="CV88" s="5">
        <f>IF($E88&gt;=CV$2,VLOOKUP($E88-CV$2,'data input'!$D$3:$E$130,2,FALSE),0)</f>
        <v>0</v>
      </c>
      <c r="CW88" s="5">
        <f>IF($E88&gt;=CW$2,VLOOKUP($E88-CW$2,'data input'!$D$3:$E$130,2,FALSE),0)</f>
        <v>0</v>
      </c>
      <c r="CX88" s="5">
        <f>IF($E88&gt;=CX$2,VLOOKUP($E88-CX$2,'data input'!$D$3:$E$130,2,FALSE),0)</f>
        <v>0</v>
      </c>
      <c r="CY88" s="5">
        <f>IF($E88&gt;=CY$2,VLOOKUP($E88-CY$2,'data input'!$D$3:$E$130,2,FALSE),0)</f>
        <v>0</v>
      </c>
      <c r="CZ88" s="5">
        <f>IF($E88&gt;=CZ$2,VLOOKUP($E88-CZ$2,'data input'!$D$3:$E$130,2,FALSE),0)</f>
        <v>0</v>
      </c>
      <c r="DA88" s="5">
        <f>IF($E88&gt;=DA$2,VLOOKUP($E88-DA$2,'data input'!$D$3:$E$130,2,FALSE),0)</f>
        <v>0</v>
      </c>
      <c r="DB88" s="5">
        <f>IF($E88&gt;=DB$2,VLOOKUP($E88-DB$2,'data input'!$D$3:$E$130,2,FALSE),0)</f>
        <v>0</v>
      </c>
      <c r="DC88" s="5">
        <f>IF($E88&gt;=DC$2,VLOOKUP($E88-DC$2,'data input'!$D$3:$E$130,2,FALSE),0)</f>
        <v>0</v>
      </c>
      <c r="DD88" s="5">
        <f>IF($E88&gt;=DD$2,VLOOKUP($E88-DD$2,'data input'!$D$3:$E$130,2,FALSE),0)</f>
        <v>0</v>
      </c>
      <c r="DE88" s="5">
        <f>IF($E88&gt;=DE$2,VLOOKUP($E88-DE$2,'data input'!$D$3:$E$130,2,FALSE),0)</f>
        <v>0</v>
      </c>
      <c r="DF88" s="5">
        <f>IF($E88&gt;=DF$2,VLOOKUP($E88-DF$2,'data input'!$D$3:$E$130,2,FALSE),0)</f>
        <v>0</v>
      </c>
      <c r="DG88" s="5">
        <f>IF($E88&gt;=DG$2,VLOOKUP($E88-DG$2,'data input'!$D$3:$E$130,2,FALSE),0)</f>
        <v>0</v>
      </c>
      <c r="DH88" s="5">
        <f>IF($E88&gt;=DH$2,VLOOKUP($E88-DH$2,'data input'!$D$3:$E$130,2,FALSE),0)</f>
        <v>0</v>
      </c>
      <c r="DI88" s="5">
        <f>IF($E88&gt;=DI$2,VLOOKUP($E88-DI$2,'data input'!$D$3:$E$130,2,FALSE),0)</f>
        <v>0</v>
      </c>
      <c r="DJ88" s="5">
        <f>IF($E88&gt;=DJ$2,VLOOKUP($E88-DJ$2,'data input'!$D$3:$E$130,2,FALSE),0)</f>
        <v>0</v>
      </c>
      <c r="DK88" s="5">
        <f>IF($E88&gt;=DK$2,VLOOKUP($E88-DK$2,'data input'!$D$3:$E$130,2,FALSE),0)</f>
        <v>0</v>
      </c>
      <c r="DL88" s="5">
        <f>IF($E88&gt;=DL$2,VLOOKUP($E88-DL$2,'data input'!$D$3:$E$130,2,FALSE),0)</f>
        <v>0</v>
      </c>
      <c r="DM88" s="5">
        <f>IF($E88&gt;=DM$2,VLOOKUP($E88-DM$2,'data input'!$D$3:$E$130,2,FALSE),0)</f>
        <v>0</v>
      </c>
      <c r="DN88" s="5">
        <f>IF($E88&gt;=DN$2,VLOOKUP($E88-DN$2,'data input'!$D$3:$E$130,2,FALSE),0)</f>
        <v>0</v>
      </c>
      <c r="DO88" s="5">
        <f>IF($E88&gt;=DO$2,VLOOKUP($E88-DO$2,'data input'!$D$3:$E$130,2,FALSE),0)</f>
        <v>0</v>
      </c>
      <c r="DP88" s="5">
        <f>IF($E88&gt;=DP$2,VLOOKUP($E88-DP$2,'data input'!$D$3:$E$130,2,FALSE),0)</f>
        <v>0</v>
      </c>
      <c r="DQ88" s="5">
        <f>IF($E88&gt;=DQ$2,VLOOKUP($E88-DQ$2,'data input'!$D$3:$E$130,2,FALSE),0)</f>
        <v>0</v>
      </c>
      <c r="DR88" s="5">
        <f>IF($E88&gt;=DR$2,VLOOKUP($E88-DR$2,'data input'!$D$3:$E$130,2,FALSE),0)</f>
        <v>0</v>
      </c>
      <c r="DS88" s="5">
        <f>IF($E88&gt;=DS$2,VLOOKUP($E88-DS$2,'data input'!$D$3:$E$130,2,FALSE),0)</f>
        <v>0</v>
      </c>
      <c r="DT88" s="5">
        <f>IF($E88&gt;=DT$2,VLOOKUP($E88-DT$2,'data input'!$D$3:$E$130,2,FALSE),0)</f>
        <v>0</v>
      </c>
      <c r="DU88" s="5">
        <f>IF($E88&gt;=DU$2,VLOOKUP($E88-DU$2,'data input'!$D$3:$E$130,2,FALSE),0)</f>
        <v>0</v>
      </c>
      <c r="DV88" s="5">
        <f>IF($E88&gt;=DV$2,VLOOKUP($E88-DV$2,'data input'!$D$3:$E$130,2,FALSE),0)</f>
        <v>0</v>
      </c>
      <c r="DW88" s="5">
        <f>IF($E88&gt;=DW$2,VLOOKUP($E88-DW$2,'data input'!$D$3:$E$130,2,FALSE),0)</f>
        <v>0</v>
      </c>
      <c r="DX88" s="5">
        <f>IF($E88&gt;=DX$2,VLOOKUP($E88-DX$2,'data input'!$D$3:$E$130,2,FALSE),0)</f>
        <v>0</v>
      </c>
      <c r="DY88" s="5">
        <f>IF($E88&gt;=DY$2,VLOOKUP($E88-DY$2,'data input'!$D$3:$E$130,2,FALSE),0)</f>
        <v>0</v>
      </c>
      <c r="DZ88" s="5">
        <f>IF($E88&gt;=DZ$2,VLOOKUP($E88-DZ$2,'data input'!$D$3:$E$130,2,FALSE),0)</f>
        <v>0</v>
      </c>
      <c r="EA88" s="5">
        <f>IF($E88&gt;=EA$2,VLOOKUP($E88-EA$2,'data input'!$D$3:$E$130,2,FALSE),0)</f>
        <v>0</v>
      </c>
      <c r="EB88" s="5">
        <f>IF($E88&gt;=EB$2,VLOOKUP($E88-EB$2,'data input'!$D$3:$E$130,2,FALSE),0)</f>
        <v>0</v>
      </c>
      <c r="EC88" s="5">
        <f>IF($E88&gt;=EC$2,VLOOKUP($E88-EC$2,'data input'!$D$3:$E$130,2,FALSE),0)</f>
        <v>0</v>
      </c>
    </row>
    <row r="89" spans="5:133">
      <c r="E89" s="7">
        <f>'data input'!B89</f>
        <v>1964</v>
      </c>
      <c r="F89" s="5">
        <f>IF($E89&gt;=F$2,VLOOKUP($E89-F$2,'data input'!$D$3:$E$130,2,FALSE),0)</f>
        <v>2.8029327681622362E-4</v>
      </c>
      <c r="G89" s="5">
        <f>IF($E89&gt;=G$2,VLOOKUP($E89-G$2,'data input'!$D$3:$E$130,2,FALSE),0)</f>
        <v>3.6907845427502917E-4</v>
      </c>
      <c r="H89" s="5">
        <f>IF($E89&gt;=H$2,VLOOKUP($E89-H$2,'data input'!$D$3:$E$130,2,FALSE),0)</f>
        <v>4.8342414238378151E-4</v>
      </c>
      <c r="I89" s="5">
        <f>IF($E89&gt;=I$2,VLOOKUP($E89-I$2,'data input'!$D$3:$E$130,2,FALSE),0)</f>
        <v>6.2986334399772748E-4</v>
      </c>
      <c r="J89" s="5">
        <f>IF($E89&gt;=J$2,VLOOKUP($E89-J$2,'data input'!$D$3:$E$130,2,FALSE),0)</f>
        <v>8.1635231282861653E-4</v>
      </c>
      <c r="K89" s="5">
        <f>IF($E89&gt;=K$2,VLOOKUP($E89-K$2,'data input'!$D$3:$E$130,2,FALSE),0)</f>
        <v>1.0525127683760349E-3</v>
      </c>
      <c r="L89" s="5">
        <f>IF($E89&gt;=L$2,VLOOKUP($E89-L$2,'data input'!$D$3:$E$130,2,FALSE),0)</f>
        <v>1.3498980316301035E-3</v>
      </c>
      <c r="M89" s="5">
        <f>IF($E89&gt;=M$2,VLOOKUP($E89-M$2,'data input'!$D$3:$E$130,2,FALSE),0)</f>
        <v>1.7222811158675855E-3</v>
      </c>
      <c r="N89" s="5">
        <f>IF($E89&gt;=N$2,VLOOKUP($E89-N$2,'data input'!$D$3:$E$130,2,FALSE),0)</f>
        <v>2.1859614549132322E-3</v>
      </c>
      <c r="O89" s="5">
        <f>IF($E89&gt;=O$2,VLOOKUP($E89-O$2,'data input'!$D$3:$E$130,2,FALSE),0)</f>
        <v>2.7600853912624901E-3</v>
      </c>
      <c r="P89" s="5">
        <f>IF($E89&gt;=P$2,VLOOKUP($E89-P$2,'data input'!$D$3:$E$130,2,FALSE),0)</f>
        <v>3.4669738030406183E-3</v>
      </c>
      <c r="Q89" s="5">
        <f>IF($E89&gt;=Q$2,VLOOKUP($E89-Q$2,'data input'!$D$3:$E$130,2,FALSE),0)</f>
        <v>4.3324483630126087E-3</v>
      </c>
      <c r="R89" s="5">
        <f>IF($E89&gt;=R$2,VLOOKUP($E89-R$2,'data input'!$D$3:$E$130,2,FALSE),0)</f>
        <v>5.3861459540667234E-3</v>
      </c>
      <c r="S89" s="5">
        <f>IF($E89&gt;=S$2,VLOOKUP($E89-S$2,'data input'!$D$3:$E$130,2,FALSE),0)</f>
        <v>6.6618087919827484E-3</v>
      </c>
      <c r="T89" s="5">
        <f>IF($E89&gt;=T$2,VLOOKUP($E89-T$2,'data input'!$D$3:$E$130,2,FALSE),0)</f>
        <v>8.1975359245961554E-3</v>
      </c>
      <c r="U89" s="5">
        <f>IF($E89&gt;=U$2,VLOOKUP($E89-U$2,'data input'!$D$3:$E$130,2,FALSE),0)</f>
        <v>1.0035980100274067E-2</v>
      </c>
      <c r="V89" s="5">
        <f>IF($E89&gt;=V$2,VLOOKUP($E89-V$2,'data input'!$D$3:$E$130,2,FALSE),0)</f>
        <v>1.2224472655044671E-2</v>
      </c>
      <c r="W89" s="5">
        <f>IF($E89&gt;=W$2,VLOOKUP($E89-W$2,'data input'!$D$3:$E$130,2,FALSE),0)</f>
        <v>1.4815058192609865E-2</v>
      </c>
      <c r="X89" s="5">
        <f>IF($E89&gt;=X$2,VLOOKUP($E89-X$2,'data input'!$D$3:$E$130,2,FALSE),0)</f>
        <v>1.7864420562816563E-2</v>
      </c>
      <c r="Y89" s="5">
        <f>IF($E89&gt;=Y$2,VLOOKUP($E89-Y$2,'data input'!$D$3:$E$130,2,FALSE),0)</f>
        <v>2.1433682114152974E-2</v>
      </c>
      <c r="Z89" s="5">
        <f>IF($E89&gt;=Z$2,VLOOKUP($E89-Z$2,'data input'!$D$3:$E$130,2,FALSE),0)</f>
        <v>2.5588059521638562E-2</v>
      </c>
      <c r="AA89" s="5">
        <f>IF($E89&gt;=AA$2,VLOOKUP($E89-AA$2,'data input'!$D$3:$E$130,2,FALSE),0)</f>
        <v>3.0396361765261393E-2</v>
      </c>
      <c r="AB89" s="5">
        <f>IF($E89&gt;=AB$2,VLOOKUP($E89-AB$2,'data input'!$D$3:$E$130,2,FALSE),0)</f>
        <v>3.5930319112925768E-2</v>
      </c>
      <c r="AC89" s="5">
        <f>IF($E89&gt;=AC$2,VLOOKUP($E89-AC$2,'data input'!$D$3:$E$130,2,FALSE),0)</f>
        <v>4.2263736257952433E-2</v>
      </c>
      <c r="AD89" s="5">
        <f>IF($E89&gt;=AD$2,VLOOKUP($E89-AD$2,'data input'!$D$3:$E$130,2,FALSE),0)</f>
        <v>4.9471468033648103E-2</v>
      </c>
      <c r="AE89" s="5">
        <f>IF($E89&gt;=AE$2,VLOOKUP($E89-AE$2,'data input'!$D$3:$E$130,2,FALSE),0)</f>
        <v>5.7628222276153163E-2</v>
      </c>
      <c r="AF89" s="5">
        <f>IF($E89&gt;=AF$2,VLOOKUP($E89-AF$2,'data input'!$D$3:$E$130,2,FALSE),0)</f>
        <v>6.6807201268858085E-2</v>
      </c>
      <c r="AG89" s="5">
        <f>IF($E89&gt;=AG$2,VLOOKUP($E89-AG$2,'data input'!$D$3:$E$130,2,FALSE),0)</f>
        <v>7.707860055207183E-2</v>
      </c>
      <c r="AH89" s="5">
        <f>IF($E89&gt;=AH$2,VLOOKUP($E89-AH$2,'data input'!$D$3:$E$130,2,FALSE),0)</f>
        <v>8.8507991437402067E-2</v>
      </c>
      <c r="AI89" s="5">
        <f>IF($E89&gt;=AI$2,VLOOKUP($E89-AI$2,'data input'!$D$3:$E$130,2,FALSE),0)</f>
        <v>0.10115462099558592</v>
      </c>
      <c r="AJ89" s="5">
        <f>IF($E89&gt;=AJ$2,VLOOKUP($E89-AJ$2,'data input'!$D$3:$E$130,2,FALSE),0)</f>
        <v>0.11506967022170822</v>
      </c>
      <c r="AK89" s="5">
        <f>IF($E89&gt;=AK$2,VLOOKUP($E89-AK$2,'data input'!$D$3:$E$130,2,FALSE),0)</f>
        <v>0.13029451713680884</v>
      </c>
      <c r="AL89" s="5">
        <f>IF($E89&gt;=AL$2,VLOOKUP($E89-AL$2,'data input'!$D$3:$E$130,2,FALSE),0)</f>
        <v>0.14685905637589591</v>
      </c>
      <c r="AM89" s="5">
        <f>IF($E89&gt;=AM$2,VLOOKUP($E89-AM$2,'data input'!$D$3:$E$130,2,FALSE),0)</f>
        <v>0.16478012998031033</v>
      </c>
      <c r="AN89" s="5">
        <f>IF($E89&gt;=AN$2,VLOOKUP($E89-AN$2,'data input'!$D$3:$E$130,2,FALSE),0)</f>
        <v>0.18406012534675953</v>
      </c>
      <c r="AO89" s="5">
        <f>IF($E89&gt;=AO$2,VLOOKUP($E89-AO$2,'data input'!$D$3:$E$130,2,FALSE),0)</f>
        <v>0.20468579534725262</v>
      </c>
      <c r="AP89" s="5">
        <f>IF($E89&gt;=AP$2,VLOOKUP($E89-AP$2,'data input'!$D$3:$E$130,2,FALSE),0)</f>
        <v>0.22662735237686826</v>
      </c>
      <c r="AQ89" s="5">
        <f>IF($E89&gt;=AQ$2,VLOOKUP($E89-AQ$2,'data input'!$D$3:$E$130,2,FALSE),0)</f>
        <v>0.24983788247177696</v>
      </c>
      <c r="AR89" s="5">
        <f>IF($E89&gt;=AR$2,VLOOKUP($E89-AR$2,'data input'!$D$3:$E$130,2,FALSE),0)</f>
        <v>0.27425311775007355</v>
      </c>
      <c r="AS89" s="5">
        <f>IF($E89&gt;=AS$2,VLOOKUP($E89-AS$2,'data input'!$D$3:$E$130,2,FALSE),0)</f>
        <v>0.29979159546869583</v>
      </c>
      <c r="AT89" s="5">
        <f>IF($E89&gt;=AT$2,VLOOKUP($E89-AT$2,'data input'!$D$3:$E$130,2,FALSE),0)</f>
        <v>0.32635522028792008</v>
      </c>
      <c r="AU89" s="5">
        <f>IF($E89&gt;=AU$2,VLOOKUP($E89-AU$2,'data input'!$D$3:$E$130,2,FALSE),0)</f>
        <v>0.35383023332727614</v>
      </c>
      <c r="AV89" s="5">
        <f>IF($E89&gt;=AV$2,VLOOKUP($E89-AV$2,'data input'!$D$3:$E$130,2,FALSE),0)</f>
        <v>0.38208857781104733</v>
      </c>
      <c r="AW89" s="5">
        <f>IF($E89&gt;=AW$2,VLOOKUP($E89-AW$2,'data input'!$D$3:$E$130,2,FALSE),0)</f>
        <v>0.41098963713127035</v>
      </c>
      <c r="AX89" s="5">
        <f>IF($E89&gt;=AX$2,VLOOKUP($E89-AX$2,'data input'!$D$3:$E$130,2,FALSE),0)</f>
        <v>0.4403823076297575</v>
      </c>
      <c r="AY89" s="5">
        <f>IF($E89&gt;=AY$2,VLOOKUP($E89-AY$2,'data input'!$D$3:$E$130,2,FALSE),0)</f>
        <v>0.47010735594710518</v>
      </c>
      <c r="AZ89" s="5">
        <f>IF($E89&gt;=AZ$2,VLOOKUP($E89-AZ$2,'data input'!$D$3:$E$130,2,FALSE),0)</f>
        <v>0.5</v>
      </c>
      <c r="BA89" s="5">
        <f>IF($E89&gt;=BA$2,VLOOKUP($E89-BA$2,'data input'!$D$3:$E$130,2,FALSE),0)</f>
        <v>0.52989264405289482</v>
      </c>
      <c r="BB89" s="5">
        <f>IF($E89&gt;=BB$2,VLOOKUP($E89-BB$2,'data input'!$D$3:$E$130,2,FALSE),0)</f>
        <v>0.5596176923702425</v>
      </c>
      <c r="BC89" s="5">
        <f>IF($E89&gt;=BC$2,VLOOKUP($E89-BC$2,'data input'!$D$3:$E$130,2,FALSE),0)</f>
        <v>0.58901036286872965</v>
      </c>
      <c r="BD89" s="5">
        <f>IF($E89&gt;=BD$2,VLOOKUP($E89-BD$2,'data input'!$D$3:$E$130,2,FALSE),0)</f>
        <v>0.61791142218895267</v>
      </c>
      <c r="BE89" s="5">
        <f>IF($E89&gt;=BE$2,VLOOKUP($E89-BE$2,'data input'!$D$3:$E$130,2,FALSE),0)</f>
        <v>0.64616976667272386</v>
      </c>
      <c r="BF89" s="5">
        <f>IF($E89&gt;=BF$2,VLOOKUP($E89-BF$2,'data input'!$D$3:$E$130,2,FALSE),0)</f>
        <v>0.67364477971207992</v>
      </c>
      <c r="BG89" s="5">
        <f>IF($E89&gt;=BG$2,VLOOKUP($E89-BG$2,'data input'!$D$3:$E$130,2,FALSE),0)</f>
        <v>0.70020840453130417</v>
      </c>
      <c r="BH89" s="5">
        <f>IF($E89&gt;=BH$2,VLOOKUP($E89-BH$2,'data input'!$D$3:$E$130,2,FALSE),0)</f>
        <v>0.72574688224992645</v>
      </c>
      <c r="BI89" s="5">
        <f>IF($E89&gt;=BI$2,VLOOKUP($E89-BI$2,'data input'!$D$3:$E$130,2,FALSE),0)</f>
        <v>0.75016211752822304</v>
      </c>
      <c r="BJ89" s="5">
        <f>IF($E89&gt;=BJ$2,VLOOKUP($E89-BJ$2,'data input'!$D$3:$E$130,2,FALSE),0)</f>
        <v>0.77337264762313174</v>
      </c>
      <c r="BK89" s="5">
        <f>IF($E89&gt;=BK$2,VLOOKUP($E89-BK$2,'data input'!$D$3:$E$130,2,FALSE),0)</f>
        <v>0.79531420465274738</v>
      </c>
      <c r="BL89" s="5">
        <f>IF($E89&gt;=BL$2,VLOOKUP($E89-BL$2,'data input'!$D$3:$E$130,2,FALSE),0)</f>
        <v>0.81593987465324047</v>
      </c>
      <c r="BM89" s="5">
        <f>IF($E89&gt;=BM$2,VLOOKUP($E89-BM$2,'data input'!$D$3:$E$130,2,FALSE),0)</f>
        <v>0.83521987001968967</v>
      </c>
      <c r="BN89" s="5">
        <f>IF($E89&gt;=BN$2,VLOOKUP($E89-BN$2,'data input'!$D$3:$E$130,2,FALSE),0)</f>
        <v>0.85314094362410409</v>
      </c>
      <c r="BO89" s="5">
        <f>IF($E89&gt;=BO$2,VLOOKUP($E89-BO$2,'data input'!$D$3:$E$130,2,FALSE),0)</f>
        <v>0.86970548286319116</v>
      </c>
      <c r="BP89" s="5">
        <f>IF($E89&gt;=BP$2,VLOOKUP($E89-BP$2,'data input'!$D$3:$E$130,2,FALSE),0)</f>
        <v>0.88493032977829178</v>
      </c>
      <c r="BQ89" s="5">
        <f>IF($E89&gt;=BQ$2,VLOOKUP($E89-BQ$2,'data input'!$D$3:$E$130,2,FALSE),0)</f>
        <v>0.89884537900441408</v>
      </c>
      <c r="BR89" s="5">
        <f>IF($E89&gt;=BR$2,VLOOKUP($E89-BR$2,'data input'!$D$3:$E$130,2,FALSE),0)</f>
        <v>0.91149200856259793</v>
      </c>
      <c r="BS89" s="5">
        <f>IF($E89&gt;=BS$2,VLOOKUP($E89-BS$2,'data input'!$D$3:$E$130,2,FALSE),0)</f>
        <v>0.92292139944792817</v>
      </c>
      <c r="BT89" s="5">
        <f>IF($E89&gt;=BT$2,VLOOKUP($E89-BT$2,'data input'!$D$3:$E$130,2,FALSE),0)</f>
        <v>0.93319279873114191</v>
      </c>
      <c r="BU89" s="5">
        <f>IF($E89&gt;=BU$2,VLOOKUP($E89-BU$2,'data input'!$D$3:$E$130,2,FALSE),0)</f>
        <v>0.94237177772384684</v>
      </c>
      <c r="BV89" s="5">
        <f>IF($E89&gt;=BV$2,VLOOKUP($E89-BV$2,'data input'!$D$3:$E$130,2,FALSE),0)</f>
        <v>0.9505285319663519</v>
      </c>
      <c r="BW89" s="5">
        <f>IF($E89&gt;=BW$2,VLOOKUP($E89-BW$2,'data input'!$D$3:$E$130,2,FALSE),0)</f>
        <v>0.95773626374204757</v>
      </c>
      <c r="BX89" s="5">
        <f>IF($E89&gt;=BX$2,VLOOKUP($E89-BX$2,'data input'!$D$3:$E$130,2,FALSE),0)</f>
        <v>0.96406968088707423</v>
      </c>
      <c r="BY89" s="5">
        <f>IF($E89&gt;=BY$2,VLOOKUP($E89-BY$2,'data input'!$D$3:$E$130,2,FALSE),0)</f>
        <v>0.96960363823473861</v>
      </c>
      <c r="BZ89" s="5">
        <f>IF($E89&gt;=BZ$2,VLOOKUP($E89-BZ$2,'data input'!$D$3:$E$130,2,FALSE),0)</f>
        <v>0.97441194047836144</v>
      </c>
      <c r="CA89" s="5">
        <f>IF($E89&gt;=CA$2,VLOOKUP($E89-CA$2,'data input'!$D$3:$E$130,2,FALSE),0)</f>
        <v>0.97856631788584703</v>
      </c>
      <c r="CB89" s="5">
        <f>IF($E89&gt;=CB$2,VLOOKUP($E89-CB$2,'data input'!$D$3:$E$130,2,FALSE),0)</f>
        <v>0.98213557943718344</v>
      </c>
      <c r="CC89" s="5">
        <f>IF($E89&gt;=CC$2,VLOOKUP($E89-CC$2,'data input'!$D$3:$E$130,2,FALSE),0)</f>
        <v>0.98518494180739014</v>
      </c>
      <c r="CD89" s="5">
        <f>IF($E89&gt;=CD$2,VLOOKUP($E89-CD$2,'data input'!$D$3:$E$130,2,FALSE),0)</f>
        <v>0.98777552734495533</v>
      </c>
      <c r="CE89" s="5">
        <f>IF($E89&gt;=CE$2,VLOOKUP($E89-CE$2,'data input'!$D$3:$E$130,2,FALSE),0)</f>
        <v>0.98996401989972593</v>
      </c>
      <c r="CF89" s="5">
        <f>IF($E89&gt;=CF$2,VLOOKUP($E89-CF$2,'data input'!$D$3:$E$130,2,FALSE),0)</f>
        <v>0.99180246407540384</v>
      </c>
      <c r="CG89" s="5">
        <f>IF($E89&gt;=CG$2,VLOOKUP($E89-CG$2,'data input'!$D$3:$E$130,2,FALSE),0)</f>
        <v>0.99333819120801725</v>
      </c>
      <c r="CH89" s="5">
        <f>IF($E89&gt;=CH$2,VLOOKUP($E89-CH$2,'data input'!$D$3:$E$130,2,FALSE),0)</f>
        <v>0.99461385404593328</v>
      </c>
      <c r="CI89" s="5">
        <f>IF($E89&gt;=CI$2,VLOOKUP($E89-CI$2,'data input'!$D$3:$E$130,2,FALSE),0)</f>
        <v>0.99566755163698739</v>
      </c>
      <c r="CJ89" s="5">
        <f>IF($E89&gt;=CJ$2,VLOOKUP($E89-CJ$2,'data input'!$D$3:$E$130,2,FALSE),0)</f>
        <v>0.99653302619695938</v>
      </c>
      <c r="CK89" s="5">
        <f>IF($E89&gt;=CK$2,VLOOKUP($E89-CK$2,'data input'!$D$3:$E$130,2,FALSE),0)</f>
        <v>0.99723991460873751</v>
      </c>
      <c r="CL89" s="5">
        <f>IF($E89&gt;=CL$2,VLOOKUP($E89-CL$2,'data input'!$D$3:$E$130,2,FALSE),0)</f>
        <v>0.99781403854508677</v>
      </c>
      <c r="CM89" s="5">
        <f>IF($E89&gt;=CM$2,VLOOKUP($E89-CM$2,'data input'!$D$3:$E$130,2,FALSE),0)</f>
        <v>0.99827771888413241</v>
      </c>
      <c r="CN89" s="5">
        <f>IF($E89&gt;=CN$2,VLOOKUP($E89-CN$2,'data input'!$D$3:$E$130,2,FALSE),0)</f>
        <v>0.9986501019683699</v>
      </c>
      <c r="CO89" s="5">
        <f>IF($E89&gt;=CO$2,VLOOKUP($E89-CO$2,'data input'!$D$3:$E$130,2,FALSE),0)</f>
        <v>0</v>
      </c>
      <c r="CP89" s="5">
        <f>IF($E89&gt;=CP$2,VLOOKUP($E89-CP$2,'data input'!$D$3:$E$130,2,FALSE),0)</f>
        <v>0</v>
      </c>
      <c r="CQ89" s="5">
        <f>IF($E89&gt;=CQ$2,VLOOKUP($E89-CQ$2,'data input'!$D$3:$E$130,2,FALSE),0)</f>
        <v>0</v>
      </c>
      <c r="CR89" s="5">
        <f>IF($E89&gt;=CR$2,VLOOKUP($E89-CR$2,'data input'!$D$3:$E$130,2,FALSE),0)</f>
        <v>0</v>
      </c>
      <c r="CS89" s="5">
        <f>IF($E89&gt;=CS$2,VLOOKUP($E89-CS$2,'data input'!$D$3:$E$130,2,FALSE),0)</f>
        <v>0</v>
      </c>
      <c r="CT89" s="5">
        <f>IF($E89&gt;=CT$2,VLOOKUP($E89-CT$2,'data input'!$D$3:$E$130,2,FALSE),0)</f>
        <v>0</v>
      </c>
      <c r="CU89" s="5">
        <f>IF($E89&gt;=CU$2,VLOOKUP($E89-CU$2,'data input'!$D$3:$E$130,2,FALSE),0)</f>
        <v>0</v>
      </c>
      <c r="CV89" s="5">
        <f>IF($E89&gt;=CV$2,VLOOKUP($E89-CV$2,'data input'!$D$3:$E$130,2,FALSE),0)</f>
        <v>0</v>
      </c>
      <c r="CW89" s="5">
        <f>IF($E89&gt;=CW$2,VLOOKUP($E89-CW$2,'data input'!$D$3:$E$130,2,FALSE),0)</f>
        <v>0</v>
      </c>
      <c r="CX89" s="5">
        <f>IF($E89&gt;=CX$2,VLOOKUP($E89-CX$2,'data input'!$D$3:$E$130,2,FALSE),0)</f>
        <v>0</v>
      </c>
      <c r="CY89" s="5">
        <f>IF($E89&gt;=CY$2,VLOOKUP($E89-CY$2,'data input'!$D$3:$E$130,2,FALSE),0)</f>
        <v>0</v>
      </c>
      <c r="CZ89" s="5">
        <f>IF($E89&gt;=CZ$2,VLOOKUP($E89-CZ$2,'data input'!$D$3:$E$130,2,FALSE),0)</f>
        <v>0</v>
      </c>
      <c r="DA89" s="5">
        <f>IF($E89&gt;=DA$2,VLOOKUP($E89-DA$2,'data input'!$D$3:$E$130,2,FALSE),0)</f>
        <v>0</v>
      </c>
      <c r="DB89" s="5">
        <f>IF($E89&gt;=DB$2,VLOOKUP($E89-DB$2,'data input'!$D$3:$E$130,2,FALSE),0)</f>
        <v>0</v>
      </c>
      <c r="DC89" s="5">
        <f>IF($E89&gt;=DC$2,VLOOKUP($E89-DC$2,'data input'!$D$3:$E$130,2,FALSE),0)</f>
        <v>0</v>
      </c>
      <c r="DD89" s="5">
        <f>IF($E89&gt;=DD$2,VLOOKUP($E89-DD$2,'data input'!$D$3:$E$130,2,FALSE),0)</f>
        <v>0</v>
      </c>
      <c r="DE89" s="5">
        <f>IF($E89&gt;=DE$2,VLOOKUP($E89-DE$2,'data input'!$D$3:$E$130,2,FALSE),0)</f>
        <v>0</v>
      </c>
      <c r="DF89" s="5">
        <f>IF($E89&gt;=DF$2,VLOOKUP($E89-DF$2,'data input'!$D$3:$E$130,2,FALSE),0)</f>
        <v>0</v>
      </c>
      <c r="DG89" s="5">
        <f>IF($E89&gt;=DG$2,VLOOKUP($E89-DG$2,'data input'!$D$3:$E$130,2,FALSE),0)</f>
        <v>0</v>
      </c>
      <c r="DH89" s="5">
        <f>IF($E89&gt;=DH$2,VLOOKUP($E89-DH$2,'data input'!$D$3:$E$130,2,FALSE),0)</f>
        <v>0</v>
      </c>
      <c r="DI89" s="5">
        <f>IF($E89&gt;=DI$2,VLOOKUP($E89-DI$2,'data input'!$D$3:$E$130,2,FALSE),0)</f>
        <v>0</v>
      </c>
      <c r="DJ89" s="5">
        <f>IF($E89&gt;=DJ$2,VLOOKUP($E89-DJ$2,'data input'!$D$3:$E$130,2,FALSE),0)</f>
        <v>0</v>
      </c>
      <c r="DK89" s="5">
        <f>IF($E89&gt;=DK$2,VLOOKUP($E89-DK$2,'data input'!$D$3:$E$130,2,FALSE),0)</f>
        <v>0</v>
      </c>
      <c r="DL89" s="5">
        <f>IF($E89&gt;=DL$2,VLOOKUP($E89-DL$2,'data input'!$D$3:$E$130,2,FALSE),0)</f>
        <v>0</v>
      </c>
      <c r="DM89" s="5">
        <f>IF($E89&gt;=DM$2,VLOOKUP($E89-DM$2,'data input'!$D$3:$E$130,2,FALSE),0)</f>
        <v>0</v>
      </c>
      <c r="DN89" s="5">
        <f>IF($E89&gt;=DN$2,VLOOKUP($E89-DN$2,'data input'!$D$3:$E$130,2,FALSE),0)</f>
        <v>0</v>
      </c>
      <c r="DO89" s="5">
        <f>IF($E89&gt;=DO$2,VLOOKUP($E89-DO$2,'data input'!$D$3:$E$130,2,FALSE),0)</f>
        <v>0</v>
      </c>
      <c r="DP89" s="5">
        <f>IF($E89&gt;=DP$2,VLOOKUP($E89-DP$2,'data input'!$D$3:$E$130,2,FALSE),0)</f>
        <v>0</v>
      </c>
      <c r="DQ89" s="5">
        <f>IF($E89&gt;=DQ$2,VLOOKUP($E89-DQ$2,'data input'!$D$3:$E$130,2,FALSE),0)</f>
        <v>0</v>
      </c>
      <c r="DR89" s="5">
        <f>IF($E89&gt;=DR$2,VLOOKUP($E89-DR$2,'data input'!$D$3:$E$130,2,FALSE),0)</f>
        <v>0</v>
      </c>
      <c r="DS89" s="5">
        <f>IF($E89&gt;=DS$2,VLOOKUP($E89-DS$2,'data input'!$D$3:$E$130,2,FALSE),0)</f>
        <v>0</v>
      </c>
      <c r="DT89" s="5">
        <f>IF($E89&gt;=DT$2,VLOOKUP($E89-DT$2,'data input'!$D$3:$E$130,2,FALSE),0)</f>
        <v>0</v>
      </c>
      <c r="DU89" s="5">
        <f>IF($E89&gt;=DU$2,VLOOKUP($E89-DU$2,'data input'!$D$3:$E$130,2,FALSE),0)</f>
        <v>0</v>
      </c>
      <c r="DV89" s="5">
        <f>IF($E89&gt;=DV$2,VLOOKUP($E89-DV$2,'data input'!$D$3:$E$130,2,FALSE),0)</f>
        <v>0</v>
      </c>
      <c r="DW89" s="5">
        <f>IF($E89&gt;=DW$2,VLOOKUP($E89-DW$2,'data input'!$D$3:$E$130,2,FALSE),0)</f>
        <v>0</v>
      </c>
      <c r="DX89" s="5">
        <f>IF($E89&gt;=DX$2,VLOOKUP($E89-DX$2,'data input'!$D$3:$E$130,2,FALSE),0)</f>
        <v>0</v>
      </c>
      <c r="DY89" s="5">
        <f>IF($E89&gt;=DY$2,VLOOKUP($E89-DY$2,'data input'!$D$3:$E$130,2,FALSE),0)</f>
        <v>0</v>
      </c>
      <c r="DZ89" s="5">
        <f>IF($E89&gt;=DZ$2,VLOOKUP($E89-DZ$2,'data input'!$D$3:$E$130,2,FALSE),0)</f>
        <v>0</v>
      </c>
      <c r="EA89" s="5">
        <f>IF($E89&gt;=EA$2,VLOOKUP($E89-EA$2,'data input'!$D$3:$E$130,2,FALSE),0)</f>
        <v>0</v>
      </c>
      <c r="EB89" s="5">
        <f>IF($E89&gt;=EB$2,VLOOKUP($E89-EB$2,'data input'!$D$3:$E$130,2,FALSE),0)</f>
        <v>0</v>
      </c>
      <c r="EC89" s="5">
        <f>IF($E89&gt;=EC$2,VLOOKUP($E89-EC$2,'data input'!$D$3:$E$130,2,FALSE),0)</f>
        <v>0</v>
      </c>
    </row>
    <row r="90" spans="5:133">
      <c r="E90" s="7">
        <f>'data input'!B90</f>
        <v>1965</v>
      </c>
      <c r="F90" s="5">
        <f>IF($E90&gt;=F$2,VLOOKUP($E90-F$2,'data input'!$D$3:$E$130,2,FALSE),0)</f>
        <v>2.1174139572344153E-4</v>
      </c>
      <c r="G90" s="5">
        <f>IF($E90&gt;=G$2,VLOOKUP($E90-G$2,'data input'!$D$3:$E$130,2,FALSE),0)</f>
        <v>2.8029327681622362E-4</v>
      </c>
      <c r="H90" s="5">
        <f>IF($E90&gt;=H$2,VLOOKUP($E90-H$2,'data input'!$D$3:$E$130,2,FALSE),0)</f>
        <v>3.6907845427502917E-4</v>
      </c>
      <c r="I90" s="5">
        <f>IF($E90&gt;=I$2,VLOOKUP($E90-I$2,'data input'!$D$3:$E$130,2,FALSE),0)</f>
        <v>4.8342414238378151E-4</v>
      </c>
      <c r="J90" s="5">
        <f>IF($E90&gt;=J$2,VLOOKUP($E90-J$2,'data input'!$D$3:$E$130,2,FALSE),0)</f>
        <v>6.2986334399772748E-4</v>
      </c>
      <c r="K90" s="5">
        <f>IF($E90&gt;=K$2,VLOOKUP($E90-K$2,'data input'!$D$3:$E$130,2,FALSE),0)</f>
        <v>8.1635231282861653E-4</v>
      </c>
      <c r="L90" s="5">
        <f>IF($E90&gt;=L$2,VLOOKUP($E90-L$2,'data input'!$D$3:$E$130,2,FALSE),0)</f>
        <v>1.0525127683760349E-3</v>
      </c>
      <c r="M90" s="5">
        <f>IF($E90&gt;=M$2,VLOOKUP($E90-M$2,'data input'!$D$3:$E$130,2,FALSE),0)</f>
        <v>1.3498980316301035E-3</v>
      </c>
      <c r="N90" s="5">
        <f>IF($E90&gt;=N$2,VLOOKUP($E90-N$2,'data input'!$D$3:$E$130,2,FALSE),0)</f>
        <v>1.7222811158675855E-3</v>
      </c>
      <c r="O90" s="5">
        <f>IF($E90&gt;=O$2,VLOOKUP($E90-O$2,'data input'!$D$3:$E$130,2,FALSE),0)</f>
        <v>2.1859614549132322E-3</v>
      </c>
      <c r="P90" s="5">
        <f>IF($E90&gt;=P$2,VLOOKUP($E90-P$2,'data input'!$D$3:$E$130,2,FALSE),0)</f>
        <v>2.7600853912624901E-3</v>
      </c>
      <c r="Q90" s="5">
        <f>IF($E90&gt;=Q$2,VLOOKUP($E90-Q$2,'data input'!$D$3:$E$130,2,FALSE),0)</f>
        <v>3.4669738030406183E-3</v>
      </c>
      <c r="R90" s="5">
        <f>IF($E90&gt;=R$2,VLOOKUP($E90-R$2,'data input'!$D$3:$E$130,2,FALSE),0)</f>
        <v>4.3324483630126087E-3</v>
      </c>
      <c r="S90" s="5">
        <f>IF($E90&gt;=S$2,VLOOKUP($E90-S$2,'data input'!$D$3:$E$130,2,FALSE),0)</f>
        <v>5.3861459540667234E-3</v>
      </c>
      <c r="T90" s="5">
        <f>IF($E90&gt;=T$2,VLOOKUP($E90-T$2,'data input'!$D$3:$E$130,2,FALSE),0)</f>
        <v>6.6618087919827484E-3</v>
      </c>
      <c r="U90" s="5">
        <f>IF($E90&gt;=U$2,VLOOKUP($E90-U$2,'data input'!$D$3:$E$130,2,FALSE),0)</f>
        <v>8.1975359245961554E-3</v>
      </c>
      <c r="V90" s="5">
        <f>IF($E90&gt;=V$2,VLOOKUP($E90-V$2,'data input'!$D$3:$E$130,2,FALSE),0)</f>
        <v>1.0035980100274067E-2</v>
      </c>
      <c r="W90" s="5">
        <f>IF($E90&gt;=W$2,VLOOKUP($E90-W$2,'data input'!$D$3:$E$130,2,FALSE),0)</f>
        <v>1.2224472655044671E-2</v>
      </c>
      <c r="X90" s="5">
        <f>IF($E90&gt;=X$2,VLOOKUP($E90-X$2,'data input'!$D$3:$E$130,2,FALSE),0)</f>
        <v>1.4815058192609865E-2</v>
      </c>
      <c r="Y90" s="5">
        <f>IF($E90&gt;=Y$2,VLOOKUP($E90-Y$2,'data input'!$D$3:$E$130,2,FALSE),0)</f>
        <v>1.7864420562816563E-2</v>
      </c>
      <c r="Z90" s="5">
        <f>IF($E90&gt;=Z$2,VLOOKUP($E90-Z$2,'data input'!$D$3:$E$130,2,FALSE),0)</f>
        <v>2.1433682114152974E-2</v>
      </c>
      <c r="AA90" s="5">
        <f>IF($E90&gt;=AA$2,VLOOKUP($E90-AA$2,'data input'!$D$3:$E$130,2,FALSE),0)</f>
        <v>2.5588059521638562E-2</v>
      </c>
      <c r="AB90" s="5">
        <f>IF($E90&gt;=AB$2,VLOOKUP($E90-AB$2,'data input'!$D$3:$E$130,2,FALSE),0)</f>
        <v>3.0396361765261393E-2</v>
      </c>
      <c r="AC90" s="5">
        <f>IF($E90&gt;=AC$2,VLOOKUP($E90-AC$2,'data input'!$D$3:$E$130,2,FALSE),0)</f>
        <v>3.5930319112925768E-2</v>
      </c>
      <c r="AD90" s="5">
        <f>IF($E90&gt;=AD$2,VLOOKUP($E90-AD$2,'data input'!$D$3:$E$130,2,FALSE),0)</f>
        <v>4.2263736257952433E-2</v>
      </c>
      <c r="AE90" s="5">
        <f>IF($E90&gt;=AE$2,VLOOKUP($E90-AE$2,'data input'!$D$3:$E$130,2,FALSE),0)</f>
        <v>4.9471468033648103E-2</v>
      </c>
      <c r="AF90" s="5">
        <f>IF($E90&gt;=AF$2,VLOOKUP($E90-AF$2,'data input'!$D$3:$E$130,2,FALSE),0)</f>
        <v>5.7628222276153163E-2</v>
      </c>
      <c r="AG90" s="5">
        <f>IF($E90&gt;=AG$2,VLOOKUP($E90-AG$2,'data input'!$D$3:$E$130,2,FALSE),0)</f>
        <v>6.6807201268858085E-2</v>
      </c>
      <c r="AH90" s="5">
        <f>IF($E90&gt;=AH$2,VLOOKUP($E90-AH$2,'data input'!$D$3:$E$130,2,FALSE),0)</f>
        <v>7.707860055207183E-2</v>
      </c>
      <c r="AI90" s="5">
        <f>IF($E90&gt;=AI$2,VLOOKUP($E90-AI$2,'data input'!$D$3:$E$130,2,FALSE),0)</f>
        <v>8.8507991437402067E-2</v>
      </c>
      <c r="AJ90" s="5">
        <f>IF($E90&gt;=AJ$2,VLOOKUP($E90-AJ$2,'data input'!$D$3:$E$130,2,FALSE),0)</f>
        <v>0.10115462099558592</v>
      </c>
      <c r="AK90" s="5">
        <f>IF($E90&gt;=AK$2,VLOOKUP($E90-AK$2,'data input'!$D$3:$E$130,2,FALSE),0)</f>
        <v>0.11506967022170822</v>
      </c>
      <c r="AL90" s="5">
        <f>IF($E90&gt;=AL$2,VLOOKUP($E90-AL$2,'data input'!$D$3:$E$130,2,FALSE),0)</f>
        <v>0.13029451713680884</v>
      </c>
      <c r="AM90" s="5">
        <f>IF($E90&gt;=AM$2,VLOOKUP($E90-AM$2,'data input'!$D$3:$E$130,2,FALSE),0)</f>
        <v>0.14685905637589591</v>
      </c>
      <c r="AN90" s="5">
        <f>IF($E90&gt;=AN$2,VLOOKUP($E90-AN$2,'data input'!$D$3:$E$130,2,FALSE),0)</f>
        <v>0.16478012998031033</v>
      </c>
      <c r="AO90" s="5">
        <f>IF($E90&gt;=AO$2,VLOOKUP($E90-AO$2,'data input'!$D$3:$E$130,2,FALSE),0)</f>
        <v>0.18406012534675953</v>
      </c>
      <c r="AP90" s="5">
        <f>IF($E90&gt;=AP$2,VLOOKUP($E90-AP$2,'data input'!$D$3:$E$130,2,FALSE),0)</f>
        <v>0.20468579534725262</v>
      </c>
      <c r="AQ90" s="5">
        <f>IF($E90&gt;=AQ$2,VLOOKUP($E90-AQ$2,'data input'!$D$3:$E$130,2,FALSE),0)</f>
        <v>0.22662735237686826</v>
      </c>
      <c r="AR90" s="5">
        <f>IF($E90&gt;=AR$2,VLOOKUP($E90-AR$2,'data input'!$D$3:$E$130,2,FALSE),0)</f>
        <v>0.24983788247177696</v>
      </c>
      <c r="AS90" s="5">
        <f>IF($E90&gt;=AS$2,VLOOKUP($E90-AS$2,'data input'!$D$3:$E$130,2,FALSE),0)</f>
        <v>0.27425311775007355</v>
      </c>
      <c r="AT90" s="5">
        <f>IF($E90&gt;=AT$2,VLOOKUP($E90-AT$2,'data input'!$D$3:$E$130,2,FALSE),0)</f>
        <v>0.29979159546869583</v>
      </c>
      <c r="AU90" s="5">
        <f>IF($E90&gt;=AU$2,VLOOKUP($E90-AU$2,'data input'!$D$3:$E$130,2,FALSE),0)</f>
        <v>0.32635522028792008</v>
      </c>
      <c r="AV90" s="5">
        <f>IF($E90&gt;=AV$2,VLOOKUP($E90-AV$2,'data input'!$D$3:$E$130,2,FALSE),0)</f>
        <v>0.35383023332727614</v>
      </c>
      <c r="AW90" s="5">
        <f>IF($E90&gt;=AW$2,VLOOKUP($E90-AW$2,'data input'!$D$3:$E$130,2,FALSE),0)</f>
        <v>0.38208857781104733</v>
      </c>
      <c r="AX90" s="5">
        <f>IF($E90&gt;=AX$2,VLOOKUP($E90-AX$2,'data input'!$D$3:$E$130,2,FALSE),0)</f>
        <v>0.41098963713127035</v>
      </c>
      <c r="AY90" s="5">
        <f>IF($E90&gt;=AY$2,VLOOKUP($E90-AY$2,'data input'!$D$3:$E$130,2,FALSE),0)</f>
        <v>0.4403823076297575</v>
      </c>
      <c r="AZ90" s="5">
        <f>IF($E90&gt;=AZ$2,VLOOKUP($E90-AZ$2,'data input'!$D$3:$E$130,2,FALSE),0)</f>
        <v>0.47010735594710518</v>
      </c>
      <c r="BA90" s="5">
        <f>IF($E90&gt;=BA$2,VLOOKUP($E90-BA$2,'data input'!$D$3:$E$130,2,FALSE),0)</f>
        <v>0.5</v>
      </c>
      <c r="BB90" s="5">
        <f>IF($E90&gt;=BB$2,VLOOKUP($E90-BB$2,'data input'!$D$3:$E$130,2,FALSE),0)</f>
        <v>0.52989264405289482</v>
      </c>
      <c r="BC90" s="5">
        <f>IF($E90&gt;=BC$2,VLOOKUP($E90-BC$2,'data input'!$D$3:$E$130,2,FALSE),0)</f>
        <v>0.5596176923702425</v>
      </c>
      <c r="BD90" s="5">
        <f>IF($E90&gt;=BD$2,VLOOKUP($E90-BD$2,'data input'!$D$3:$E$130,2,FALSE),0)</f>
        <v>0.58901036286872965</v>
      </c>
      <c r="BE90" s="5">
        <f>IF($E90&gt;=BE$2,VLOOKUP($E90-BE$2,'data input'!$D$3:$E$130,2,FALSE),0)</f>
        <v>0.61791142218895267</v>
      </c>
      <c r="BF90" s="5">
        <f>IF($E90&gt;=BF$2,VLOOKUP($E90-BF$2,'data input'!$D$3:$E$130,2,FALSE),0)</f>
        <v>0.64616976667272386</v>
      </c>
      <c r="BG90" s="5">
        <f>IF($E90&gt;=BG$2,VLOOKUP($E90-BG$2,'data input'!$D$3:$E$130,2,FALSE),0)</f>
        <v>0.67364477971207992</v>
      </c>
      <c r="BH90" s="5">
        <f>IF($E90&gt;=BH$2,VLOOKUP($E90-BH$2,'data input'!$D$3:$E$130,2,FALSE),0)</f>
        <v>0.70020840453130417</v>
      </c>
      <c r="BI90" s="5">
        <f>IF($E90&gt;=BI$2,VLOOKUP($E90-BI$2,'data input'!$D$3:$E$130,2,FALSE),0)</f>
        <v>0.72574688224992645</v>
      </c>
      <c r="BJ90" s="5">
        <f>IF($E90&gt;=BJ$2,VLOOKUP($E90-BJ$2,'data input'!$D$3:$E$130,2,FALSE),0)</f>
        <v>0.75016211752822304</v>
      </c>
      <c r="BK90" s="5">
        <f>IF($E90&gt;=BK$2,VLOOKUP($E90-BK$2,'data input'!$D$3:$E$130,2,FALSE),0)</f>
        <v>0.77337264762313174</v>
      </c>
      <c r="BL90" s="5">
        <f>IF($E90&gt;=BL$2,VLOOKUP($E90-BL$2,'data input'!$D$3:$E$130,2,FALSE),0)</f>
        <v>0.79531420465274738</v>
      </c>
      <c r="BM90" s="5">
        <f>IF($E90&gt;=BM$2,VLOOKUP($E90-BM$2,'data input'!$D$3:$E$130,2,FALSE),0)</f>
        <v>0.81593987465324047</v>
      </c>
      <c r="BN90" s="5">
        <f>IF($E90&gt;=BN$2,VLOOKUP($E90-BN$2,'data input'!$D$3:$E$130,2,FALSE),0)</f>
        <v>0.83521987001968967</v>
      </c>
      <c r="BO90" s="5">
        <f>IF($E90&gt;=BO$2,VLOOKUP($E90-BO$2,'data input'!$D$3:$E$130,2,FALSE),0)</f>
        <v>0.85314094362410409</v>
      </c>
      <c r="BP90" s="5">
        <f>IF($E90&gt;=BP$2,VLOOKUP($E90-BP$2,'data input'!$D$3:$E$130,2,FALSE),0)</f>
        <v>0.86970548286319116</v>
      </c>
      <c r="BQ90" s="5">
        <f>IF($E90&gt;=BQ$2,VLOOKUP($E90-BQ$2,'data input'!$D$3:$E$130,2,FALSE),0)</f>
        <v>0.88493032977829178</v>
      </c>
      <c r="BR90" s="5">
        <f>IF($E90&gt;=BR$2,VLOOKUP($E90-BR$2,'data input'!$D$3:$E$130,2,FALSE),0)</f>
        <v>0.89884537900441408</v>
      </c>
      <c r="BS90" s="5">
        <f>IF($E90&gt;=BS$2,VLOOKUP($E90-BS$2,'data input'!$D$3:$E$130,2,FALSE),0)</f>
        <v>0.91149200856259793</v>
      </c>
      <c r="BT90" s="5">
        <f>IF($E90&gt;=BT$2,VLOOKUP($E90-BT$2,'data input'!$D$3:$E$130,2,FALSE),0)</f>
        <v>0.92292139944792817</v>
      </c>
      <c r="BU90" s="5">
        <f>IF($E90&gt;=BU$2,VLOOKUP($E90-BU$2,'data input'!$D$3:$E$130,2,FALSE),0)</f>
        <v>0.93319279873114191</v>
      </c>
      <c r="BV90" s="5">
        <f>IF($E90&gt;=BV$2,VLOOKUP($E90-BV$2,'data input'!$D$3:$E$130,2,FALSE),0)</f>
        <v>0.94237177772384684</v>
      </c>
      <c r="BW90" s="5">
        <f>IF($E90&gt;=BW$2,VLOOKUP($E90-BW$2,'data input'!$D$3:$E$130,2,FALSE),0)</f>
        <v>0.9505285319663519</v>
      </c>
      <c r="BX90" s="5">
        <f>IF($E90&gt;=BX$2,VLOOKUP($E90-BX$2,'data input'!$D$3:$E$130,2,FALSE),0)</f>
        <v>0.95773626374204757</v>
      </c>
      <c r="BY90" s="5">
        <f>IF($E90&gt;=BY$2,VLOOKUP($E90-BY$2,'data input'!$D$3:$E$130,2,FALSE),0)</f>
        <v>0.96406968088707423</v>
      </c>
      <c r="BZ90" s="5">
        <f>IF($E90&gt;=BZ$2,VLOOKUP($E90-BZ$2,'data input'!$D$3:$E$130,2,FALSE),0)</f>
        <v>0.96960363823473861</v>
      </c>
      <c r="CA90" s="5">
        <f>IF($E90&gt;=CA$2,VLOOKUP($E90-CA$2,'data input'!$D$3:$E$130,2,FALSE),0)</f>
        <v>0.97441194047836144</v>
      </c>
      <c r="CB90" s="5">
        <f>IF($E90&gt;=CB$2,VLOOKUP($E90-CB$2,'data input'!$D$3:$E$130,2,FALSE),0)</f>
        <v>0.97856631788584703</v>
      </c>
      <c r="CC90" s="5">
        <f>IF($E90&gt;=CC$2,VLOOKUP($E90-CC$2,'data input'!$D$3:$E$130,2,FALSE),0)</f>
        <v>0.98213557943718344</v>
      </c>
      <c r="CD90" s="5">
        <f>IF($E90&gt;=CD$2,VLOOKUP($E90-CD$2,'data input'!$D$3:$E$130,2,FALSE),0)</f>
        <v>0.98518494180739014</v>
      </c>
      <c r="CE90" s="5">
        <f>IF($E90&gt;=CE$2,VLOOKUP($E90-CE$2,'data input'!$D$3:$E$130,2,FALSE),0)</f>
        <v>0.98777552734495533</v>
      </c>
      <c r="CF90" s="5">
        <f>IF($E90&gt;=CF$2,VLOOKUP($E90-CF$2,'data input'!$D$3:$E$130,2,FALSE),0)</f>
        <v>0.98996401989972593</v>
      </c>
      <c r="CG90" s="5">
        <f>IF($E90&gt;=CG$2,VLOOKUP($E90-CG$2,'data input'!$D$3:$E$130,2,FALSE),0)</f>
        <v>0.99180246407540384</v>
      </c>
      <c r="CH90" s="5">
        <f>IF($E90&gt;=CH$2,VLOOKUP($E90-CH$2,'data input'!$D$3:$E$130,2,FALSE),0)</f>
        <v>0.99333819120801725</v>
      </c>
      <c r="CI90" s="5">
        <f>IF($E90&gt;=CI$2,VLOOKUP($E90-CI$2,'data input'!$D$3:$E$130,2,FALSE),0)</f>
        <v>0.99461385404593328</v>
      </c>
      <c r="CJ90" s="5">
        <f>IF($E90&gt;=CJ$2,VLOOKUP($E90-CJ$2,'data input'!$D$3:$E$130,2,FALSE),0)</f>
        <v>0.99566755163698739</v>
      </c>
      <c r="CK90" s="5">
        <f>IF($E90&gt;=CK$2,VLOOKUP($E90-CK$2,'data input'!$D$3:$E$130,2,FALSE),0)</f>
        <v>0.99653302619695938</v>
      </c>
      <c r="CL90" s="5">
        <f>IF($E90&gt;=CL$2,VLOOKUP($E90-CL$2,'data input'!$D$3:$E$130,2,FALSE),0)</f>
        <v>0.99723991460873751</v>
      </c>
      <c r="CM90" s="5">
        <f>IF($E90&gt;=CM$2,VLOOKUP($E90-CM$2,'data input'!$D$3:$E$130,2,FALSE),0)</f>
        <v>0.99781403854508677</v>
      </c>
      <c r="CN90" s="5">
        <f>IF($E90&gt;=CN$2,VLOOKUP($E90-CN$2,'data input'!$D$3:$E$130,2,FALSE),0)</f>
        <v>0.99827771888413241</v>
      </c>
      <c r="CO90" s="5">
        <f>IF($E90&gt;=CO$2,VLOOKUP($E90-CO$2,'data input'!$D$3:$E$130,2,FALSE),0)</f>
        <v>0.9986501019683699</v>
      </c>
      <c r="CP90" s="5">
        <f>IF($E90&gt;=CP$2,VLOOKUP($E90-CP$2,'data input'!$D$3:$E$130,2,FALSE),0)</f>
        <v>0</v>
      </c>
      <c r="CQ90" s="5">
        <f>IF($E90&gt;=CQ$2,VLOOKUP($E90-CQ$2,'data input'!$D$3:$E$130,2,FALSE),0)</f>
        <v>0</v>
      </c>
      <c r="CR90" s="5">
        <f>IF($E90&gt;=CR$2,VLOOKUP($E90-CR$2,'data input'!$D$3:$E$130,2,FALSE),0)</f>
        <v>0</v>
      </c>
      <c r="CS90" s="5">
        <f>IF($E90&gt;=CS$2,VLOOKUP($E90-CS$2,'data input'!$D$3:$E$130,2,FALSE),0)</f>
        <v>0</v>
      </c>
      <c r="CT90" s="5">
        <f>IF($E90&gt;=CT$2,VLOOKUP($E90-CT$2,'data input'!$D$3:$E$130,2,FALSE),0)</f>
        <v>0</v>
      </c>
      <c r="CU90" s="5">
        <f>IF($E90&gt;=CU$2,VLOOKUP($E90-CU$2,'data input'!$D$3:$E$130,2,FALSE),0)</f>
        <v>0</v>
      </c>
      <c r="CV90" s="5">
        <f>IF($E90&gt;=CV$2,VLOOKUP($E90-CV$2,'data input'!$D$3:$E$130,2,FALSE),0)</f>
        <v>0</v>
      </c>
      <c r="CW90" s="5">
        <f>IF($E90&gt;=CW$2,VLOOKUP($E90-CW$2,'data input'!$D$3:$E$130,2,FALSE),0)</f>
        <v>0</v>
      </c>
      <c r="CX90" s="5">
        <f>IF($E90&gt;=CX$2,VLOOKUP($E90-CX$2,'data input'!$D$3:$E$130,2,FALSE),0)</f>
        <v>0</v>
      </c>
      <c r="CY90" s="5">
        <f>IF($E90&gt;=CY$2,VLOOKUP($E90-CY$2,'data input'!$D$3:$E$130,2,FALSE),0)</f>
        <v>0</v>
      </c>
      <c r="CZ90" s="5">
        <f>IF($E90&gt;=CZ$2,VLOOKUP($E90-CZ$2,'data input'!$D$3:$E$130,2,FALSE),0)</f>
        <v>0</v>
      </c>
      <c r="DA90" s="5">
        <f>IF($E90&gt;=DA$2,VLOOKUP($E90-DA$2,'data input'!$D$3:$E$130,2,FALSE),0)</f>
        <v>0</v>
      </c>
      <c r="DB90" s="5">
        <f>IF($E90&gt;=DB$2,VLOOKUP($E90-DB$2,'data input'!$D$3:$E$130,2,FALSE),0)</f>
        <v>0</v>
      </c>
      <c r="DC90" s="5">
        <f>IF($E90&gt;=DC$2,VLOOKUP($E90-DC$2,'data input'!$D$3:$E$130,2,FALSE),0)</f>
        <v>0</v>
      </c>
      <c r="DD90" s="5">
        <f>IF($E90&gt;=DD$2,VLOOKUP($E90-DD$2,'data input'!$D$3:$E$130,2,FALSE),0)</f>
        <v>0</v>
      </c>
      <c r="DE90" s="5">
        <f>IF($E90&gt;=DE$2,VLOOKUP($E90-DE$2,'data input'!$D$3:$E$130,2,FALSE),0)</f>
        <v>0</v>
      </c>
      <c r="DF90" s="5">
        <f>IF($E90&gt;=DF$2,VLOOKUP($E90-DF$2,'data input'!$D$3:$E$130,2,FALSE),0)</f>
        <v>0</v>
      </c>
      <c r="DG90" s="5">
        <f>IF($E90&gt;=DG$2,VLOOKUP($E90-DG$2,'data input'!$D$3:$E$130,2,FALSE),0)</f>
        <v>0</v>
      </c>
      <c r="DH90" s="5">
        <f>IF($E90&gt;=DH$2,VLOOKUP($E90-DH$2,'data input'!$D$3:$E$130,2,FALSE),0)</f>
        <v>0</v>
      </c>
      <c r="DI90" s="5">
        <f>IF($E90&gt;=DI$2,VLOOKUP($E90-DI$2,'data input'!$D$3:$E$130,2,FALSE),0)</f>
        <v>0</v>
      </c>
      <c r="DJ90" s="5">
        <f>IF($E90&gt;=DJ$2,VLOOKUP($E90-DJ$2,'data input'!$D$3:$E$130,2,FALSE),0)</f>
        <v>0</v>
      </c>
      <c r="DK90" s="5">
        <f>IF($E90&gt;=DK$2,VLOOKUP($E90-DK$2,'data input'!$D$3:$E$130,2,FALSE),0)</f>
        <v>0</v>
      </c>
      <c r="DL90" s="5">
        <f>IF($E90&gt;=DL$2,VLOOKUP($E90-DL$2,'data input'!$D$3:$E$130,2,FALSE),0)</f>
        <v>0</v>
      </c>
      <c r="DM90" s="5">
        <f>IF($E90&gt;=DM$2,VLOOKUP($E90-DM$2,'data input'!$D$3:$E$130,2,FALSE),0)</f>
        <v>0</v>
      </c>
      <c r="DN90" s="5">
        <f>IF($E90&gt;=DN$2,VLOOKUP($E90-DN$2,'data input'!$D$3:$E$130,2,FALSE),0)</f>
        <v>0</v>
      </c>
      <c r="DO90" s="5">
        <f>IF($E90&gt;=DO$2,VLOOKUP($E90-DO$2,'data input'!$D$3:$E$130,2,FALSE),0)</f>
        <v>0</v>
      </c>
      <c r="DP90" s="5">
        <f>IF($E90&gt;=DP$2,VLOOKUP($E90-DP$2,'data input'!$D$3:$E$130,2,FALSE),0)</f>
        <v>0</v>
      </c>
      <c r="DQ90" s="5">
        <f>IF($E90&gt;=DQ$2,VLOOKUP($E90-DQ$2,'data input'!$D$3:$E$130,2,FALSE),0)</f>
        <v>0</v>
      </c>
      <c r="DR90" s="5">
        <f>IF($E90&gt;=DR$2,VLOOKUP($E90-DR$2,'data input'!$D$3:$E$130,2,FALSE),0)</f>
        <v>0</v>
      </c>
      <c r="DS90" s="5">
        <f>IF($E90&gt;=DS$2,VLOOKUP($E90-DS$2,'data input'!$D$3:$E$130,2,FALSE),0)</f>
        <v>0</v>
      </c>
      <c r="DT90" s="5">
        <f>IF($E90&gt;=DT$2,VLOOKUP($E90-DT$2,'data input'!$D$3:$E$130,2,FALSE),0)</f>
        <v>0</v>
      </c>
      <c r="DU90" s="5">
        <f>IF($E90&gt;=DU$2,VLOOKUP($E90-DU$2,'data input'!$D$3:$E$130,2,FALSE),0)</f>
        <v>0</v>
      </c>
      <c r="DV90" s="5">
        <f>IF($E90&gt;=DV$2,VLOOKUP($E90-DV$2,'data input'!$D$3:$E$130,2,FALSE),0)</f>
        <v>0</v>
      </c>
      <c r="DW90" s="5">
        <f>IF($E90&gt;=DW$2,VLOOKUP($E90-DW$2,'data input'!$D$3:$E$130,2,FALSE),0)</f>
        <v>0</v>
      </c>
      <c r="DX90" s="5">
        <f>IF($E90&gt;=DX$2,VLOOKUP($E90-DX$2,'data input'!$D$3:$E$130,2,FALSE),0)</f>
        <v>0</v>
      </c>
      <c r="DY90" s="5">
        <f>IF($E90&gt;=DY$2,VLOOKUP($E90-DY$2,'data input'!$D$3:$E$130,2,FALSE),0)</f>
        <v>0</v>
      </c>
      <c r="DZ90" s="5">
        <f>IF($E90&gt;=DZ$2,VLOOKUP($E90-DZ$2,'data input'!$D$3:$E$130,2,FALSE),0)</f>
        <v>0</v>
      </c>
      <c r="EA90" s="5">
        <f>IF($E90&gt;=EA$2,VLOOKUP($E90-EA$2,'data input'!$D$3:$E$130,2,FALSE),0)</f>
        <v>0</v>
      </c>
      <c r="EB90" s="5">
        <f>IF($E90&gt;=EB$2,VLOOKUP($E90-EB$2,'data input'!$D$3:$E$130,2,FALSE),0)</f>
        <v>0</v>
      </c>
      <c r="EC90" s="5">
        <f>IF($E90&gt;=EC$2,VLOOKUP($E90-EC$2,'data input'!$D$3:$E$130,2,FALSE),0)</f>
        <v>0</v>
      </c>
    </row>
    <row r="91" spans="5:133">
      <c r="E91" s="7">
        <f>'data input'!B91</f>
        <v>1966</v>
      </c>
      <c r="F91" s="5">
        <f>IF($E91&gt;=F$2,VLOOKUP($E91-F$2,'data input'!$D$3:$E$130,2,FALSE),0)</f>
        <v>1.5910859015755285E-4</v>
      </c>
      <c r="G91" s="5">
        <f>IF($E91&gt;=G$2,VLOOKUP($E91-G$2,'data input'!$D$3:$E$130,2,FALSE),0)</f>
        <v>2.1174139572344153E-4</v>
      </c>
      <c r="H91" s="5">
        <f>IF($E91&gt;=H$2,VLOOKUP($E91-H$2,'data input'!$D$3:$E$130,2,FALSE),0)</f>
        <v>2.8029327681622362E-4</v>
      </c>
      <c r="I91" s="5">
        <f>IF($E91&gt;=I$2,VLOOKUP($E91-I$2,'data input'!$D$3:$E$130,2,FALSE),0)</f>
        <v>3.6907845427502917E-4</v>
      </c>
      <c r="J91" s="5">
        <f>IF($E91&gt;=J$2,VLOOKUP($E91-J$2,'data input'!$D$3:$E$130,2,FALSE),0)</f>
        <v>4.8342414238378151E-4</v>
      </c>
      <c r="K91" s="5">
        <f>IF($E91&gt;=K$2,VLOOKUP($E91-K$2,'data input'!$D$3:$E$130,2,FALSE),0)</f>
        <v>6.2986334399772748E-4</v>
      </c>
      <c r="L91" s="5">
        <f>IF($E91&gt;=L$2,VLOOKUP($E91-L$2,'data input'!$D$3:$E$130,2,FALSE),0)</f>
        <v>8.1635231282861653E-4</v>
      </c>
      <c r="M91" s="5">
        <f>IF($E91&gt;=M$2,VLOOKUP($E91-M$2,'data input'!$D$3:$E$130,2,FALSE),0)</f>
        <v>1.0525127683760349E-3</v>
      </c>
      <c r="N91" s="5">
        <f>IF($E91&gt;=N$2,VLOOKUP($E91-N$2,'data input'!$D$3:$E$130,2,FALSE),0)</f>
        <v>1.3498980316301035E-3</v>
      </c>
      <c r="O91" s="5">
        <f>IF($E91&gt;=O$2,VLOOKUP($E91-O$2,'data input'!$D$3:$E$130,2,FALSE),0)</f>
        <v>1.7222811158675855E-3</v>
      </c>
      <c r="P91" s="5">
        <f>IF($E91&gt;=P$2,VLOOKUP($E91-P$2,'data input'!$D$3:$E$130,2,FALSE),0)</f>
        <v>2.1859614549132322E-3</v>
      </c>
      <c r="Q91" s="5">
        <f>IF($E91&gt;=Q$2,VLOOKUP($E91-Q$2,'data input'!$D$3:$E$130,2,FALSE),0)</f>
        <v>2.7600853912624901E-3</v>
      </c>
      <c r="R91" s="5">
        <f>IF($E91&gt;=R$2,VLOOKUP($E91-R$2,'data input'!$D$3:$E$130,2,FALSE),0)</f>
        <v>3.4669738030406183E-3</v>
      </c>
      <c r="S91" s="5">
        <f>IF($E91&gt;=S$2,VLOOKUP($E91-S$2,'data input'!$D$3:$E$130,2,FALSE),0)</f>
        <v>4.3324483630126087E-3</v>
      </c>
      <c r="T91" s="5">
        <f>IF($E91&gt;=T$2,VLOOKUP($E91-T$2,'data input'!$D$3:$E$130,2,FALSE),0)</f>
        <v>5.3861459540667234E-3</v>
      </c>
      <c r="U91" s="5">
        <f>IF($E91&gt;=U$2,VLOOKUP($E91-U$2,'data input'!$D$3:$E$130,2,FALSE),0)</f>
        <v>6.6618087919827484E-3</v>
      </c>
      <c r="V91" s="5">
        <f>IF($E91&gt;=V$2,VLOOKUP($E91-V$2,'data input'!$D$3:$E$130,2,FALSE),0)</f>
        <v>8.1975359245961554E-3</v>
      </c>
      <c r="W91" s="5">
        <f>IF($E91&gt;=W$2,VLOOKUP($E91-W$2,'data input'!$D$3:$E$130,2,FALSE),0)</f>
        <v>1.0035980100274067E-2</v>
      </c>
      <c r="X91" s="5">
        <f>IF($E91&gt;=X$2,VLOOKUP($E91-X$2,'data input'!$D$3:$E$130,2,FALSE),0)</f>
        <v>1.2224472655044671E-2</v>
      </c>
      <c r="Y91" s="5">
        <f>IF($E91&gt;=Y$2,VLOOKUP($E91-Y$2,'data input'!$D$3:$E$130,2,FALSE),0)</f>
        <v>1.4815058192609865E-2</v>
      </c>
      <c r="Z91" s="5">
        <f>IF($E91&gt;=Z$2,VLOOKUP($E91-Z$2,'data input'!$D$3:$E$130,2,FALSE),0)</f>
        <v>1.7864420562816563E-2</v>
      </c>
      <c r="AA91" s="5">
        <f>IF($E91&gt;=AA$2,VLOOKUP($E91-AA$2,'data input'!$D$3:$E$130,2,FALSE),0)</f>
        <v>2.1433682114152974E-2</v>
      </c>
      <c r="AB91" s="5">
        <f>IF($E91&gt;=AB$2,VLOOKUP($E91-AB$2,'data input'!$D$3:$E$130,2,FALSE),0)</f>
        <v>2.5588059521638562E-2</v>
      </c>
      <c r="AC91" s="5">
        <f>IF($E91&gt;=AC$2,VLOOKUP($E91-AC$2,'data input'!$D$3:$E$130,2,FALSE),0)</f>
        <v>3.0396361765261393E-2</v>
      </c>
      <c r="AD91" s="5">
        <f>IF($E91&gt;=AD$2,VLOOKUP($E91-AD$2,'data input'!$D$3:$E$130,2,FALSE),0)</f>
        <v>3.5930319112925768E-2</v>
      </c>
      <c r="AE91" s="5">
        <f>IF($E91&gt;=AE$2,VLOOKUP($E91-AE$2,'data input'!$D$3:$E$130,2,FALSE),0)</f>
        <v>4.2263736257952433E-2</v>
      </c>
      <c r="AF91" s="5">
        <f>IF($E91&gt;=AF$2,VLOOKUP($E91-AF$2,'data input'!$D$3:$E$130,2,FALSE),0)</f>
        <v>4.9471468033648103E-2</v>
      </c>
      <c r="AG91" s="5">
        <f>IF($E91&gt;=AG$2,VLOOKUP($E91-AG$2,'data input'!$D$3:$E$130,2,FALSE),0)</f>
        <v>5.7628222276153163E-2</v>
      </c>
      <c r="AH91" s="5">
        <f>IF($E91&gt;=AH$2,VLOOKUP($E91-AH$2,'data input'!$D$3:$E$130,2,FALSE),0)</f>
        <v>6.6807201268858085E-2</v>
      </c>
      <c r="AI91" s="5">
        <f>IF($E91&gt;=AI$2,VLOOKUP($E91-AI$2,'data input'!$D$3:$E$130,2,FALSE),0)</f>
        <v>7.707860055207183E-2</v>
      </c>
      <c r="AJ91" s="5">
        <f>IF($E91&gt;=AJ$2,VLOOKUP($E91-AJ$2,'data input'!$D$3:$E$130,2,FALSE),0)</f>
        <v>8.8507991437402067E-2</v>
      </c>
      <c r="AK91" s="5">
        <f>IF($E91&gt;=AK$2,VLOOKUP($E91-AK$2,'data input'!$D$3:$E$130,2,FALSE),0)</f>
        <v>0.10115462099558592</v>
      </c>
      <c r="AL91" s="5">
        <f>IF($E91&gt;=AL$2,VLOOKUP($E91-AL$2,'data input'!$D$3:$E$130,2,FALSE),0)</f>
        <v>0.11506967022170822</v>
      </c>
      <c r="AM91" s="5">
        <f>IF($E91&gt;=AM$2,VLOOKUP($E91-AM$2,'data input'!$D$3:$E$130,2,FALSE),0)</f>
        <v>0.13029451713680884</v>
      </c>
      <c r="AN91" s="5">
        <f>IF($E91&gt;=AN$2,VLOOKUP($E91-AN$2,'data input'!$D$3:$E$130,2,FALSE),0)</f>
        <v>0.14685905637589591</v>
      </c>
      <c r="AO91" s="5">
        <f>IF($E91&gt;=AO$2,VLOOKUP($E91-AO$2,'data input'!$D$3:$E$130,2,FALSE),0)</f>
        <v>0.16478012998031033</v>
      </c>
      <c r="AP91" s="5">
        <f>IF($E91&gt;=AP$2,VLOOKUP($E91-AP$2,'data input'!$D$3:$E$130,2,FALSE),0)</f>
        <v>0.18406012534675953</v>
      </c>
      <c r="AQ91" s="5">
        <f>IF($E91&gt;=AQ$2,VLOOKUP($E91-AQ$2,'data input'!$D$3:$E$130,2,FALSE),0)</f>
        <v>0.20468579534725262</v>
      </c>
      <c r="AR91" s="5">
        <f>IF($E91&gt;=AR$2,VLOOKUP($E91-AR$2,'data input'!$D$3:$E$130,2,FALSE),0)</f>
        <v>0.22662735237686826</v>
      </c>
      <c r="AS91" s="5">
        <f>IF($E91&gt;=AS$2,VLOOKUP($E91-AS$2,'data input'!$D$3:$E$130,2,FALSE),0)</f>
        <v>0.24983788247177696</v>
      </c>
      <c r="AT91" s="5">
        <f>IF($E91&gt;=AT$2,VLOOKUP($E91-AT$2,'data input'!$D$3:$E$130,2,FALSE),0)</f>
        <v>0.27425311775007355</v>
      </c>
      <c r="AU91" s="5">
        <f>IF($E91&gt;=AU$2,VLOOKUP($E91-AU$2,'data input'!$D$3:$E$130,2,FALSE),0)</f>
        <v>0.29979159546869583</v>
      </c>
      <c r="AV91" s="5">
        <f>IF($E91&gt;=AV$2,VLOOKUP($E91-AV$2,'data input'!$D$3:$E$130,2,FALSE),0)</f>
        <v>0.32635522028792008</v>
      </c>
      <c r="AW91" s="5">
        <f>IF($E91&gt;=AW$2,VLOOKUP($E91-AW$2,'data input'!$D$3:$E$130,2,FALSE),0)</f>
        <v>0.35383023332727614</v>
      </c>
      <c r="AX91" s="5">
        <f>IF($E91&gt;=AX$2,VLOOKUP($E91-AX$2,'data input'!$D$3:$E$130,2,FALSE),0)</f>
        <v>0.38208857781104733</v>
      </c>
      <c r="AY91" s="5">
        <f>IF($E91&gt;=AY$2,VLOOKUP($E91-AY$2,'data input'!$D$3:$E$130,2,FALSE),0)</f>
        <v>0.41098963713127035</v>
      </c>
      <c r="AZ91" s="5">
        <f>IF($E91&gt;=AZ$2,VLOOKUP($E91-AZ$2,'data input'!$D$3:$E$130,2,FALSE),0)</f>
        <v>0.4403823076297575</v>
      </c>
      <c r="BA91" s="5">
        <f>IF($E91&gt;=BA$2,VLOOKUP($E91-BA$2,'data input'!$D$3:$E$130,2,FALSE),0)</f>
        <v>0.47010735594710518</v>
      </c>
      <c r="BB91" s="5">
        <f>IF($E91&gt;=BB$2,VLOOKUP($E91-BB$2,'data input'!$D$3:$E$130,2,FALSE),0)</f>
        <v>0.5</v>
      </c>
      <c r="BC91" s="5">
        <f>IF($E91&gt;=BC$2,VLOOKUP($E91-BC$2,'data input'!$D$3:$E$130,2,FALSE),0)</f>
        <v>0.52989264405289482</v>
      </c>
      <c r="BD91" s="5">
        <f>IF($E91&gt;=BD$2,VLOOKUP($E91-BD$2,'data input'!$D$3:$E$130,2,FALSE),0)</f>
        <v>0.5596176923702425</v>
      </c>
      <c r="BE91" s="5">
        <f>IF($E91&gt;=BE$2,VLOOKUP($E91-BE$2,'data input'!$D$3:$E$130,2,FALSE),0)</f>
        <v>0.58901036286872965</v>
      </c>
      <c r="BF91" s="5">
        <f>IF($E91&gt;=BF$2,VLOOKUP($E91-BF$2,'data input'!$D$3:$E$130,2,FALSE),0)</f>
        <v>0.61791142218895267</v>
      </c>
      <c r="BG91" s="5">
        <f>IF($E91&gt;=BG$2,VLOOKUP($E91-BG$2,'data input'!$D$3:$E$130,2,FALSE),0)</f>
        <v>0.64616976667272386</v>
      </c>
      <c r="BH91" s="5">
        <f>IF($E91&gt;=BH$2,VLOOKUP($E91-BH$2,'data input'!$D$3:$E$130,2,FALSE),0)</f>
        <v>0.67364477971207992</v>
      </c>
      <c r="BI91" s="5">
        <f>IF($E91&gt;=BI$2,VLOOKUP($E91-BI$2,'data input'!$D$3:$E$130,2,FALSE),0)</f>
        <v>0.70020840453130417</v>
      </c>
      <c r="BJ91" s="5">
        <f>IF($E91&gt;=BJ$2,VLOOKUP($E91-BJ$2,'data input'!$D$3:$E$130,2,FALSE),0)</f>
        <v>0.72574688224992645</v>
      </c>
      <c r="BK91" s="5">
        <f>IF($E91&gt;=BK$2,VLOOKUP($E91-BK$2,'data input'!$D$3:$E$130,2,FALSE),0)</f>
        <v>0.75016211752822304</v>
      </c>
      <c r="BL91" s="5">
        <f>IF($E91&gt;=BL$2,VLOOKUP($E91-BL$2,'data input'!$D$3:$E$130,2,FALSE),0)</f>
        <v>0.77337264762313174</v>
      </c>
      <c r="BM91" s="5">
        <f>IF($E91&gt;=BM$2,VLOOKUP($E91-BM$2,'data input'!$D$3:$E$130,2,FALSE),0)</f>
        <v>0.79531420465274738</v>
      </c>
      <c r="BN91" s="5">
        <f>IF($E91&gt;=BN$2,VLOOKUP($E91-BN$2,'data input'!$D$3:$E$130,2,FALSE),0)</f>
        <v>0.81593987465324047</v>
      </c>
      <c r="BO91" s="5">
        <f>IF($E91&gt;=BO$2,VLOOKUP($E91-BO$2,'data input'!$D$3:$E$130,2,FALSE),0)</f>
        <v>0.83521987001968967</v>
      </c>
      <c r="BP91" s="5">
        <f>IF($E91&gt;=BP$2,VLOOKUP($E91-BP$2,'data input'!$D$3:$E$130,2,FALSE),0)</f>
        <v>0.85314094362410409</v>
      </c>
      <c r="BQ91" s="5">
        <f>IF($E91&gt;=BQ$2,VLOOKUP($E91-BQ$2,'data input'!$D$3:$E$130,2,FALSE),0)</f>
        <v>0.86970548286319116</v>
      </c>
      <c r="BR91" s="5">
        <f>IF($E91&gt;=BR$2,VLOOKUP($E91-BR$2,'data input'!$D$3:$E$130,2,FALSE),0)</f>
        <v>0.88493032977829178</v>
      </c>
      <c r="BS91" s="5">
        <f>IF($E91&gt;=BS$2,VLOOKUP($E91-BS$2,'data input'!$D$3:$E$130,2,FALSE),0)</f>
        <v>0.89884537900441408</v>
      </c>
      <c r="BT91" s="5">
        <f>IF($E91&gt;=BT$2,VLOOKUP($E91-BT$2,'data input'!$D$3:$E$130,2,FALSE),0)</f>
        <v>0.91149200856259793</v>
      </c>
      <c r="BU91" s="5">
        <f>IF($E91&gt;=BU$2,VLOOKUP($E91-BU$2,'data input'!$D$3:$E$130,2,FALSE),0)</f>
        <v>0.92292139944792817</v>
      </c>
      <c r="BV91" s="5">
        <f>IF($E91&gt;=BV$2,VLOOKUP($E91-BV$2,'data input'!$D$3:$E$130,2,FALSE),0)</f>
        <v>0.93319279873114191</v>
      </c>
      <c r="BW91" s="5">
        <f>IF($E91&gt;=BW$2,VLOOKUP($E91-BW$2,'data input'!$D$3:$E$130,2,FALSE),0)</f>
        <v>0.94237177772384684</v>
      </c>
      <c r="BX91" s="5">
        <f>IF($E91&gt;=BX$2,VLOOKUP($E91-BX$2,'data input'!$D$3:$E$130,2,FALSE),0)</f>
        <v>0.9505285319663519</v>
      </c>
      <c r="BY91" s="5">
        <f>IF($E91&gt;=BY$2,VLOOKUP($E91-BY$2,'data input'!$D$3:$E$130,2,FALSE),0)</f>
        <v>0.95773626374204757</v>
      </c>
      <c r="BZ91" s="5">
        <f>IF($E91&gt;=BZ$2,VLOOKUP($E91-BZ$2,'data input'!$D$3:$E$130,2,FALSE),0)</f>
        <v>0.96406968088707423</v>
      </c>
      <c r="CA91" s="5">
        <f>IF($E91&gt;=CA$2,VLOOKUP($E91-CA$2,'data input'!$D$3:$E$130,2,FALSE),0)</f>
        <v>0.96960363823473861</v>
      </c>
      <c r="CB91" s="5">
        <f>IF($E91&gt;=CB$2,VLOOKUP($E91-CB$2,'data input'!$D$3:$E$130,2,FALSE),0)</f>
        <v>0.97441194047836144</v>
      </c>
      <c r="CC91" s="5">
        <f>IF($E91&gt;=CC$2,VLOOKUP($E91-CC$2,'data input'!$D$3:$E$130,2,FALSE),0)</f>
        <v>0.97856631788584703</v>
      </c>
      <c r="CD91" s="5">
        <f>IF($E91&gt;=CD$2,VLOOKUP($E91-CD$2,'data input'!$D$3:$E$130,2,FALSE),0)</f>
        <v>0.98213557943718344</v>
      </c>
      <c r="CE91" s="5">
        <f>IF($E91&gt;=CE$2,VLOOKUP($E91-CE$2,'data input'!$D$3:$E$130,2,FALSE),0)</f>
        <v>0.98518494180739014</v>
      </c>
      <c r="CF91" s="5">
        <f>IF($E91&gt;=CF$2,VLOOKUP($E91-CF$2,'data input'!$D$3:$E$130,2,FALSE),0)</f>
        <v>0.98777552734495533</v>
      </c>
      <c r="CG91" s="5">
        <f>IF($E91&gt;=CG$2,VLOOKUP($E91-CG$2,'data input'!$D$3:$E$130,2,FALSE),0)</f>
        <v>0.98996401989972593</v>
      </c>
      <c r="CH91" s="5">
        <f>IF($E91&gt;=CH$2,VLOOKUP($E91-CH$2,'data input'!$D$3:$E$130,2,FALSE),0)</f>
        <v>0.99180246407540384</v>
      </c>
      <c r="CI91" s="5">
        <f>IF($E91&gt;=CI$2,VLOOKUP($E91-CI$2,'data input'!$D$3:$E$130,2,FALSE),0)</f>
        <v>0.99333819120801725</v>
      </c>
      <c r="CJ91" s="5">
        <f>IF($E91&gt;=CJ$2,VLOOKUP($E91-CJ$2,'data input'!$D$3:$E$130,2,FALSE),0)</f>
        <v>0.99461385404593328</v>
      </c>
      <c r="CK91" s="5">
        <f>IF($E91&gt;=CK$2,VLOOKUP($E91-CK$2,'data input'!$D$3:$E$130,2,FALSE),0)</f>
        <v>0.99566755163698739</v>
      </c>
      <c r="CL91" s="5">
        <f>IF($E91&gt;=CL$2,VLOOKUP($E91-CL$2,'data input'!$D$3:$E$130,2,FALSE),0)</f>
        <v>0.99653302619695938</v>
      </c>
      <c r="CM91" s="5">
        <f>IF($E91&gt;=CM$2,VLOOKUP($E91-CM$2,'data input'!$D$3:$E$130,2,FALSE),0)</f>
        <v>0.99723991460873751</v>
      </c>
      <c r="CN91" s="5">
        <f>IF($E91&gt;=CN$2,VLOOKUP($E91-CN$2,'data input'!$D$3:$E$130,2,FALSE),0)</f>
        <v>0.99781403854508677</v>
      </c>
      <c r="CO91" s="5">
        <f>IF($E91&gt;=CO$2,VLOOKUP($E91-CO$2,'data input'!$D$3:$E$130,2,FALSE),0)</f>
        <v>0.99827771888413241</v>
      </c>
      <c r="CP91" s="5">
        <f>IF($E91&gt;=CP$2,VLOOKUP($E91-CP$2,'data input'!$D$3:$E$130,2,FALSE),0)</f>
        <v>0.9986501019683699</v>
      </c>
      <c r="CQ91" s="5">
        <f>IF($E91&gt;=CQ$2,VLOOKUP($E91-CQ$2,'data input'!$D$3:$E$130,2,FALSE),0)</f>
        <v>0</v>
      </c>
      <c r="CR91" s="5">
        <f>IF($E91&gt;=CR$2,VLOOKUP($E91-CR$2,'data input'!$D$3:$E$130,2,FALSE),0)</f>
        <v>0</v>
      </c>
      <c r="CS91" s="5">
        <f>IF($E91&gt;=CS$2,VLOOKUP($E91-CS$2,'data input'!$D$3:$E$130,2,FALSE),0)</f>
        <v>0</v>
      </c>
      <c r="CT91" s="5">
        <f>IF($E91&gt;=CT$2,VLOOKUP($E91-CT$2,'data input'!$D$3:$E$130,2,FALSE),0)</f>
        <v>0</v>
      </c>
      <c r="CU91" s="5">
        <f>IF($E91&gt;=CU$2,VLOOKUP($E91-CU$2,'data input'!$D$3:$E$130,2,FALSE),0)</f>
        <v>0</v>
      </c>
      <c r="CV91" s="5">
        <f>IF($E91&gt;=CV$2,VLOOKUP($E91-CV$2,'data input'!$D$3:$E$130,2,FALSE),0)</f>
        <v>0</v>
      </c>
      <c r="CW91" s="5">
        <f>IF($E91&gt;=CW$2,VLOOKUP($E91-CW$2,'data input'!$D$3:$E$130,2,FALSE),0)</f>
        <v>0</v>
      </c>
      <c r="CX91" s="5">
        <f>IF($E91&gt;=CX$2,VLOOKUP($E91-CX$2,'data input'!$D$3:$E$130,2,FALSE),0)</f>
        <v>0</v>
      </c>
      <c r="CY91" s="5">
        <f>IF($E91&gt;=CY$2,VLOOKUP($E91-CY$2,'data input'!$D$3:$E$130,2,FALSE),0)</f>
        <v>0</v>
      </c>
      <c r="CZ91" s="5">
        <f>IF($E91&gt;=CZ$2,VLOOKUP($E91-CZ$2,'data input'!$D$3:$E$130,2,FALSE),0)</f>
        <v>0</v>
      </c>
      <c r="DA91" s="5">
        <f>IF($E91&gt;=DA$2,VLOOKUP($E91-DA$2,'data input'!$D$3:$E$130,2,FALSE),0)</f>
        <v>0</v>
      </c>
      <c r="DB91" s="5">
        <f>IF($E91&gt;=DB$2,VLOOKUP($E91-DB$2,'data input'!$D$3:$E$130,2,FALSE),0)</f>
        <v>0</v>
      </c>
      <c r="DC91" s="5">
        <f>IF($E91&gt;=DC$2,VLOOKUP($E91-DC$2,'data input'!$D$3:$E$130,2,FALSE),0)</f>
        <v>0</v>
      </c>
      <c r="DD91" s="5">
        <f>IF($E91&gt;=DD$2,VLOOKUP($E91-DD$2,'data input'!$D$3:$E$130,2,FALSE),0)</f>
        <v>0</v>
      </c>
      <c r="DE91" s="5">
        <f>IF($E91&gt;=DE$2,VLOOKUP($E91-DE$2,'data input'!$D$3:$E$130,2,FALSE),0)</f>
        <v>0</v>
      </c>
      <c r="DF91" s="5">
        <f>IF($E91&gt;=DF$2,VLOOKUP($E91-DF$2,'data input'!$D$3:$E$130,2,FALSE),0)</f>
        <v>0</v>
      </c>
      <c r="DG91" s="5">
        <f>IF($E91&gt;=DG$2,VLOOKUP($E91-DG$2,'data input'!$D$3:$E$130,2,FALSE),0)</f>
        <v>0</v>
      </c>
      <c r="DH91" s="5">
        <f>IF($E91&gt;=DH$2,VLOOKUP($E91-DH$2,'data input'!$D$3:$E$130,2,FALSE),0)</f>
        <v>0</v>
      </c>
      <c r="DI91" s="5">
        <f>IF($E91&gt;=DI$2,VLOOKUP($E91-DI$2,'data input'!$D$3:$E$130,2,FALSE),0)</f>
        <v>0</v>
      </c>
      <c r="DJ91" s="5">
        <f>IF($E91&gt;=DJ$2,VLOOKUP($E91-DJ$2,'data input'!$D$3:$E$130,2,FALSE),0)</f>
        <v>0</v>
      </c>
      <c r="DK91" s="5">
        <f>IF($E91&gt;=DK$2,VLOOKUP($E91-DK$2,'data input'!$D$3:$E$130,2,FALSE),0)</f>
        <v>0</v>
      </c>
      <c r="DL91" s="5">
        <f>IF($E91&gt;=DL$2,VLOOKUP($E91-DL$2,'data input'!$D$3:$E$130,2,FALSE),0)</f>
        <v>0</v>
      </c>
      <c r="DM91" s="5">
        <f>IF($E91&gt;=DM$2,VLOOKUP($E91-DM$2,'data input'!$D$3:$E$130,2,FALSE),0)</f>
        <v>0</v>
      </c>
      <c r="DN91" s="5">
        <f>IF($E91&gt;=DN$2,VLOOKUP($E91-DN$2,'data input'!$D$3:$E$130,2,FALSE),0)</f>
        <v>0</v>
      </c>
      <c r="DO91" s="5">
        <f>IF($E91&gt;=DO$2,VLOOKUP($E91-DO$2,'data input'!$D$3:$E$130,2,FALSE),0)</f>
        <v>0</v>
      </c>
      <c r="DP91" s="5">
        <f>IF($E91&gt;=DP$2,VLOOKUP($E91-DP$2,'data input'!$D$3:$E$130,2,FALSE),0)</f>
        <v>0</v>
      </c>
      <c r="DQ91" s="5">
        <f>IF($E91&gt;=DQ$2,VLOOKUP($E91-DQ$2,'data input'!$D$3:$E$130,2,FALSE),0)</f>
        <v>0</v>
      </c>
      <c r="DR91" s="5">
        <f>IF($E91&gt;=DR$2,VLOOKUP($E91-DR$2,'data input'!$D$3:$E$130,2,FALSE),0)</f>
        <v>0</v>
      </c>
      <c r="DS91" s="5">
        <f>IF($E91&gt;=DS$2,VLOOKUP($E91-DS$2,'data input'!$D$3:$E$130,2,FALSE),0)</f>
        <v>0</v>
      </c>
      <c r="DT91" s="5">
        <f>IF($E91&gt;=DT$2,VLOOKUP($E91-DT$2,'data input'!$D$3:$E$130,2,FALSE),0)</f>
        <v>0</v>
      </c>
      <c r="DU91" s="5">
        <f>IF($E91&gt;=DU$2,VLOOKUP($E91-DU$2,'data input'!$D$3:$E$130,2,FALSE),0)</f>
        <v>0</v>
      </c>
      <c r="DV91" s="5">
        <f>IF($E91&gt;=DV$2,VLOOKUP($E91-DV$2,'data input'!$D$3:$E$130,2,FALSE),0)</f>
        <v>0</v>
      </c>
      <c r="DW91" s="5">
        <f>IF($E91&gt;=DW$2,VLOOKUP($E91-DW$2,'data input'!$D$3:$E$130,2,FALSE),0)</f>
        <v>0</v>
      </c>
      <c r="DX91" s="5">
        <f>IF($E91&gt;=DX$2,VLOOKUP($E91-DX$2,'data input'!$D$3:$E$130,2,FALSE),0)</f>
        <v>0</v>
      </c>
      <c r="DY91" s="5">
        <f>IF($E91&gt;=DY$2,VLOOKUP($E91-DY$2,'data input'!$D$3:$E$130,2,FALSE),0)</f>
        <v>0</v>
      </c>
      <c r="DZ91" s="5">
        <f>IF($E91&gt;=DZ$2,VLOOKUP($E91-DZ$2,'data input'!$D$3:$E$130,2,FALSE),0)</f>
        <v>0</v>
      </c>
      <c r="EA91" s="5">
        <f>IF($E91&gt;=EA$2,VLOOKUP($E91-EA$2,'data input'!$D$3:$E$130,2,FALSE),0)</f>
        <v>0</v>
      </c>
      <c r="EB91" s="5">
        <f>IF($E91&gt;=EB$2,VLOOKUP($E91-EB$2,'data input'!$D$3:$E$130,2,FALSE),0)</f>
        <v>0</v>
      </c>
      <c r="EC91" s="5">
        <f>IF($E91&gt;=EC$2,VLOOKUP($E91-EC$2,'data input'!$D$3:$E$130,2,FALSE),0)</f>
        <v>0</v>
      </c>
    </row>
    <row r="92" spans="5:133">
      <c r="E92" s="7">
        <f>'data input'!B92</f>
        <v>1967</v>
      </c>
      <c r="F92" s="5">
        <f>IF($E92&gt;=F$2,VLOOKUP($E92-F$2,'data input'!$D$3:$E$130,2,FALSE),0)</f>
        <v>1.1892470732677296E-4</v>
      </c>
      <c r="G92" s="5">
        <f>IF($E92&gt;=G$2,VLOOKUP($E92-G$2,'data input'!$D$3:$E$130,2,FALSE),0)</f>
        <v>1.5910859015755285E-4</v>
      </c>
      <c r="H92" s="5">
        <f>IF($E92&gt;=H$2,VLOOKUP($E92-H$2,'data input'!$D$3:$E$130,2,FALSE),0)</f>
        <v>2.1174139572344153E-4</v>
      </c>
      <c r="I92" s="5">
        <f>IF($E92&gt;=I$2,VLOOKUP($E92-I$2,'data input'!$D$3:$E$130,2,FALSE),0)</f>
        <v>2.8029327681622362E-4</v>
      </c>
      <c r="J92" s="5">
        <f>IF($E92&gt;=J$2,VLOOKUP($E92-J$2,'data input'!$D$3:$E$130,2,FALSE),0)</f>
        <v>3.6907845427502917E-4</v>
      </c>
      <c r="K92" s="5">
        <f>IF($E92&gt;=K$2,VLOOKUP($E92-K$2,'data input'!$D$3:$E$130,2,FALSE),0)</f>
        <v>4.8342414238378151E-4</v>
      </c>
      <c r="L92" s="5">
        <f>IF($E92&gt;=L$2,VLOOKUP($E92-L$2,'data input'!$D$3:$E$130,2,FALSE),0)</f>
        <v>6.2986334399772748E-4</v>
      </c>
      <c r="M92" s="5">
        <f>IF($E92&gt;=M$2,VLOOKUP($E92-M$2,'data input'!$D$3:$E$130,2,FALSE),0)</f>
        <v>8.1635231282861653E-4</v>
      </c>
      <c r="N92" s="5">
        <f>IF($E92&gt;=N$2,VLOOKUP($E92-N$2,'data input'!$D$3:$E$130,2,FALSE),0)</f>
        <v>1.0525127683760349E-3</v>
      </c>
      <c r="O92" s="5">
        <f>IF($E92&gt;=O$2,VLOOKUP($E92-O$2,'data input'!$D$3:$E$130,2,FALSE),0)</f>
        <v>1.3498980316301035E-3</v>
      </c>
      <c r="P92" s="5">
        <f>IF($E92&gt;=P$2,VLOOKUP($E92-P$2,'data input'!$D$3:$E$130,2,FALSE),0)</f>
        <v>1.7222811158675855E-3</v>
      </c>
      <c r="Q92" s="5">
        <f>IF($E92&gt;=Q$2,VLOOKUP($E92-Q$2,'data input'!$D$3:$E$130,2,FALSE),0)</f>
        <v>2.1859614549132322E-3</v>
      </c>
      <c r="R92" s="5">
        <f>IF($E92&gt;=R$2,VLOOKUP($E92-R$2,'data input'!$D$3:$E$130,2,FALSE),0)</f>
        <v>2.7600853912624901E-3</v>
      </c>
      <c r="S92" s="5">
        <f>IF($E92&gt;=S$2,VLOOKUP($E92-S$2,'data input'!$D$3:$E$130,2,FALSE),0)</f>
        <v>3.4669738030406183E-3</v>
      </c>
      <c r="T92" s="5">
        <f>IF($E92&gt;=T$2,VLOOKUP($E92-T$2,'data input'!$D$3:$E$130,2,FALSE),0)</f>
        <v>4.3324483630126087E-3</v>
      </c>
      <c r="U92" s="5">
        <f>IF($E92&gt;=U$2,VLOOKUP($E92-U$2,'data input'!$D$3:$E$130,2,FALSE),0)</f>
        <v>5.3861459540667234E-3</v>
      </c>
      <c r="V92" s="5">
        <f>IF($E92&gt;=V$2,VLOOKUP($E92-V$2,'data input'!$D$3:$E$130,2,FALSE),0)</f>
        <v>6.6618087919827484E-3</v>
      </c>
      <c r="W92" s="5">
        <f>IF($E92&gt;=W$2,VLOOKUP($E92-W$2,'data input'!$D$3:$E$130,2,FALSE),0)</f>
        <v>8.1975359245961554E-3</v>
      </c>
      <c r="X92" s="5">
        <f>IF($E92&gt;=X$2,VLOOKUP($E92-X$2,'data input'!$D$3:$E$130,2,FALSE),0)</f>
        <v>1.0035980100274067E-2</v>
      </c>
      <c r="Y92" s="5">
        <f>IF($E92&gt;=Y$2,VLOOKUP($E92-Y$2,'data input'!$D$3:$E$130,2,FALSE),0)</f>
        <v>1.2224472655044671E-2</v>
      </c>
      <c r="Z92" s="5">
        <f>IF($E92&gt;=Z$2,VLOOKUP($E92-Z$2,'data input'!$D$3:$E$130,2,FALSE),0)</f>
        <v>1.4815058192609865E-2</v>
      </c>
      <c r="AA92" s="5">
        <f>IF($E92&gt;=AA$2,VLOOKUP($E92-AA$2,'data input'!$D$3:$E$130,2,FALSE),0)</f>
        <v>1.7864420562816563E-2</v>
      </c>
      <c r="AB92" s="5">
        <f>IF($E92&gt;=AB$2,VLOOKUP($E92-AB$2,'data input'!$D$3:$E$130,2,FALSE),0)</f>
        <v>2.1433682114152974E-2</v>
      </c>
      <c r="AC92" s="5">
        <f>IF($E92&gt;=AC$2,VLOOKUP($E92-AC$2,'data input'!$D$3:$E$130,2,FALSE),0)</f>
        <v>2.5588059521638562E-2</v>
      </c>
      <c r="AD92" s="5">
        <f>IF($E92&gt;=AD$2,VLOOKUP($E92-AD$2,'data input'!$D$3:$E$130,2,FALSE),0)</f>
        <v>3.0396361765261393E-2</v>
      </c>
      <c r="AE92" s="5">
        <f>IF($E92&gt;=AE$2,VLOOKUP($E92-AE$2,'data input'!$D$3:$E$130,2,FALSE),0)</f>
        <v>3.5930319112925768E-2</v>
      </c>
      <c r="AF92" s="5">
        <f>IF($E92&gt;=AF$2,VLOOKUP($E92-AF$2,'data input'!$D$3:$E$130,2,FALSE),0)</f>
        <v>4.2263736257952433E-2</v>
      </c>
      <c r="AG92" s="5">
        <f>IF($E92&gt;=AG$2,VLOOKUP($E92-AG$2,'data input'!$D$3:$E$130,2,FALSE),0)</f>
        <v>4.9471468033648103E-2</v>
      </c>
      <c r="AH92" s="5">
        <f>IF($E92&gt;=AH$2,VLOOKUP($E92-AH$2,'data input'!$D$3:$E$130,2,FALSE),0)</f>
        <v>5.7628222276153163E-2</v>
      </c>
      <c r="AI92" s="5">
        <f>IF($E92&gt;=AI$2,VLOOKUP($E92-AI$2,'data input'!$D$3:$E$130,2,FALSE),0)</f>
        <v>6.6807201268858085E-2</v>
      </c>
      <c r="AJ92" s="5">
        <f>IF($E92&gt;=AJ$2,VLOOKUP($E92-AJ$2,'data input'!$D$3:$E$130,2,FALSE),0)</f>
        <v>7.707860055207183E-2</v>
      </c>
      <c r="AK92" s="5">
        <f>IF($E92&gt;=AK$2,VLOOKUP($E92-AK$2,'data input'!$D$3:$E$130,2,FALSE),0)</f>
        <v>8.8507991437402067E-2</v>
      </c>
      <c r="AL92" s="5">
        <f>IF($E92&gt;=AL$2,VLOOKUP($E92-AL$2,'data input'!$D$3:$E$130,2,FALSE),0)</f>
        <v>0.10115462099558592</v>
      </c>
      <c r="AM92" s="5">
        <f>IF($E92&gt;=AM$2,VLOOKUP($E92-AM$2,'data input'!$D$3:$E$130,2,FALSE),0)</f>
        <v>0.11506967022170822</v>
      </c>
      <c r="AN92" s="5">
        <f>IF($E92&gt;=AN$2,VLOOKUP($E92-AN$2,'data input'!$D$3:$E$130,2,FALSE),0)</f>
        <v>0.13029451713680884</v>
      </c>
      <c r="AO92" s="5">
        <f>IF($E92&gt;=AO$2,VLOOKUP($E92-AO$2,'data input'!$D$3:$E$130,2,FALSE),0)</f>
        <v>0.14685905637589591</v>
      </c>
      <c r="AP92" s="5">
        <f>IF($E92&gt;=AP$2,VLOOKUP($E92-AP$2,'data input'!$D$3:$E$130,2,FALSE),0)</f>
        <v>0.16478012998031033</v>
      </c>
      <c r="AQ92" s="5">
        <f>IF($E92&gt;=AQ$2,VLOOKUP($E92-AQ$2,'data input'!$D$3:$E$130,2,FALSE),0)</f>
        <v>0.18406012534675953</v>
      </c>
      <c r="AR92" s="5">
        <f>IF($E92&gt;=AR$2,VLOOKUP($E92-AR$2,'data input'!$D$3:$E$130,2,FALSE),0)</f>
        <v>0.20468579534725262</v>
      </c>
      <c r="AS92" s="5">
        <f>IF($E92&gt;=AS$2,VLOOKUP($E92-AS$2,'data input'!$D$3:$E$130,2,FALSE),0)</f>
        <v>0.22662735237686826</v>
      </c>
      <c r="AT92" s="5">
        <f>IF($E92&gt;=AT$2,VLOOKUP($E92-AT$2,'data input'!$D$3:$E$130,2,FALSE),0)</f>
        <v>0.24983788247177696</v>
      </c>
      <c r="AU92" s="5">
        <f>IF($E92&gt;=AU$2,VLOOKUP($E92-AU$2,'data input'!$D$3:$E$130,2,FALSE),0)</f>
        <v>0.27425311775007355</v>
      </c>
      <c r="AV92" s="5">
        <f>IF($E92&gt;=AV$2,VLOOKUP($E92-AV$2,'data input'!$D$3:$E$130,2,FALSE),0)</f>
        <v>0.29979159546869583</v>
      </c>
      <c r="AW92" s="5">
        <f>IF($E92&gt;=AW$2,VLOOKUP($E92-AW$2,'data input'!$D$3:$E$130,2,FALSE),0)</f>
        <v>0.32635522028792008</v>
      </c>
      <c r="AX92" s="5">
        <f>IF($E92&gt;=AX$2,VLOOKUP($E92-AX$2,'data input'!$D$3:$E$130,2,FALSE),0)</f>
        <v>0.35383023332727614</v>
      </c>
      <c r="AY92" s="5">
        <f>IF($E92&gt;=AY$2,VLOOKUP($E92-AY$2,'data input'!$D$3:$E$130,2,FALSE),0)</f>
        <v>0.38208857781104733</v>
      </c>
      <c r="AZ92" s="5">
        <f>IF($E92&gt;=AZ$2,VLOOKUP($E92-AZ$2,'data input'!$D$3:$E$130,2,FALSE),0)</f>
        <v>0.41098963713127035</v>
      </c>
      <c r="BA92" s="5">
        <f>IF($E92&gt;=BA$2,VLOOKUP($E92-BA$2,'data input'!$D$3:$E$130,2,FALSE),0)</f>
        <v>0.4403823076297575</v>
      </c>
      <c r="BB92" s="5">
        <f>IF($E92&gt;=BB$2,VLOOKUP($E92-BB$2,'data input'!$D$3:$E$130,2,FALSE),0)</f>
        <v>0.47010735594710518</v>
      </c>
      <c r="BC92" s="5">
        <f>IF($E92&gt;=BC$2,VLOOKUP($E92-BC$2,'data input'!$D$3:$E$130,2,FALSE),0)</f>
        <v>0.5</v>
      </c>
      <c r="BD92" s="5">
        <f>IF($E92&gt;=BD$2,VLOOKUP($E92-BD$2,'data input'!$D$3:$E$130,2,FALSE),0)</f>
        <v>0.52989264405289482</v>
      </c>
      <c r="BE92" s="5">
        <f>IF($E92&gt;=BE$2,VLOOKUP($E92-BE$2,'data input'!$D$3:$E$130,2,FALSE),0)</f>
        <v>0.5596176923702425</v>
      </c>
      <c r="BF92" s="5">
        <f>IF($E92&gt;=BF$2,VLOOKUP($E92-BF$2,'data input'!$D$3:$E$130,2,FALSE),0)</f>
        <v>0.58901036286872965</v>
      </c>
      <c r="BG92" s="5">
        <f>IF($E92&gt;=BG$2,VLOOKUP($E92-BG$2,'data input'!$D$3:$E$130,2,FALSE),0)</f>
        <v>0.61791142218895267</v>
      </c>
      <c r="BH92" s="5">
        <f>IF($E92&gt;=BH$2,VLOOKUP($E92-BH$2,'data input'!$D$3:$E$130,2,FALSE),0)</f>
        <v>0.64616976667272386</v>
      </c>
      <c r="BI92" s="5">
        <f>IF($E92&gt;=BI$2,VLOOKUP($E92-BI$2,'data input'!$D$3:$E$130,2,FALSE),0)</f>
        <v>0.67364477971207992</v>
      </c>
      <c r="BJ92" s="5">
        <f>IF($E92&gt;=BJ$2,VLOOKUP($E92-BJ$2,'data input'!$D$3:$E$130,2,FALSE),0)</f>
        <v>0.70020840453130417</v>
      </c>
      <c r="BK92" s="5">
        <f>IF($E92&gt;=BK$2,VLOOKUP($E92-BK$2,'data input'!$D$3:$E$130,2,FALSE),0)</f>
        <v>0.72574688224992645</v>
      </c>
      <c r="BL92" s="5">
        <f>IF($E92&gt;=BL$2,VLOOKUP($E92-BL$2,'data input'!$D$3:$E$130,2,FALSE),0)</f>
        <v>0.75016211752822304</v>
      </c>
      <c r="BM92" s="5">
        <f>IF($E92&gt;=BM$2,VLOOKUP($E92-BM$2,'data input'!$D$3:$E$130,2,FALSE),0)</f>
        <v>0.77337264762313174</v>
      </c>
      <c r="BN92" s="5">
        <f>IF($E92&gt;=BN$2,VLOOKUP($E92-BN$2,'data input'!$D$3:$E$130,2,FALSE),0)</f>
        <v>0.79531420465274738</v>
      </c>
      <c r="BO92" s="5">
        <f>IF($E92&gt;=BO$2,VLOOKUP($E92-BO$2,'data input'!$D$3:$E$130,2,FALSE),0)</f>
        <v>0.81593987465324047</v>
      </c>
      <c r="BP92" s="5">
        <f>IF($E92&gt;=BP$2,VLOOKUP($E92-BP$2,'data input'!$D$3:$E$130,2,FALSE),0)</f>
        <v>0.83521987001968967</v>
      </c>
      <c r="BQ92" s="5">
        <f>IF($E92&gt;=BQ$2,VLOOKUP($E92-BQ$2,'data input'!$D$3:$E$130,2,FALSE),0)</f>
        <v>0.85314094362410409</v>
      </c>
      <c r="BR92" s="5">
        <f>IF($E92&gt;=BR$2,VLOOKUP($E92-BR$2,'data input'!$D$3:$E$130,2,FALSE),0)</f>
        <v>0.86970548286319116</v>
      </c>
      <c r="BS92" s="5">
        <f>IF($E92&gt;=BS$2,VLOOKUP($E92-BS$2,'data input'!$D$3:$E$130,2,FALSE),0)</f>
        <v>0.88493032977829178</v>
      </c>
      <c r="BT92" s="5">
        <f>IF($E92&gt;=BT$2,VLOOKUP($E92-BT$2,'data input'!$D$3:$E$130,2,FALSE),0)</f>
        <v>0.89884537900441408</v>
      </c>
      <c r="BU92" s="5">
        <f>IF($E92&gt;=BU$2,VLOOKUP($E92-BU$2,'data input'!$D$3:$E$130,2,FALSE),0)</f>
        <v>0.91149200856259793</v>
      </c>
      <c r="BV92" s="5">
        <f>IF($E92&gt;=BV$2,VLOOKUP($E92-BV$2,'data input'!$D$3:$E$130,2,FALSE),0)</f>
        <v>0.92292139944792817</v>
      </c>
      <c r="BW92" s="5">
        <f>IF($E92&gt;=BW$2,VLOOKUP($E92-BW$2,'data input'!$D$3:$E$130,2,FALSE),0)</f>
        <v>0.93319279873114191</v>
      </c>
      <c r="BX92" s="5">
        <f>IF($E92&gt;=BX$2,VLOOKUP($E92-BX$2,'data input'!$D$3:$E$130,2,FALSE),0)</f>
        <v>0.94237177772384684</v>
      </c>
      <c r="BY92" s="5">
        <f>IF($E92&gt;=BY$2,VLOOKUP($E92-BY$2,'data input'!$D$3:$E$130,2,FALSE),0)</f>
        <v>0.9505285319663519</v>
      </c>
      <c r="BZ92" s="5">
        <f>IF($E92&gt;=BZ$2,VLOOKUP($E92-BZ$2,'data input'!$D$3:$E$130,2,FALSE),0)</f>
        <v>0.95773626374204757</v>
      </c>
      <c r="CA92" s="5">
        <f>IF($E92&gt;=CA$2,VLOOKUP($E92-CA$2,'data input'!$D$3:$E$130,2,FALSE),0)</f>
        <v>0.96406968088707423</v>
      </c>
      <c r="CB92" s="5">
        <f>IF($E92&gt;=CB$2,VLOOKUP($E92-CB$2,'data input'!$D$3:$E$130,2,FALSE),0)</f>
        <v>0.96960363823473861</v>
      </c>
      <c r="CC92" s="5">
        <f>IF($E92&gt;=CC$2,VLOOKUP($E92-CC$2,'data input'!$D$3:$E$130,2,FALSE),0)</f>
        <v>0.97441194047836144</v>
      </c>
      <c r="CD92" s="5">
        <f>IF($E92&gt;=CD$2,VLOOKUP($E92-CD$2,'data input'!$D$3:$E$130,2,FALSE),0)</f>
        <v>0.97856631788584703</v>
      </c>
      <c r="CE92" s="5">
        <f>IF($E92&gt;=CE$2,VLOOKUP($E92-CE$2,'data input'!$D$3:$E$130,2,FALSE),0)</f>
        <v>0.98213557943718344</v>
      </c>
      <c r="CF92" s="5">
        <f>IF($E92&gt;=CF$2,VLOOKUP($E92-CF$2,'data input'!$D$3:$E$130,2,FALSE),0)</f>
        <v>0.98518494180739014</v>
      </c>
      <c r="CG92" s="5">
        <f>IF($E92&gt;=CG$2,VLOOKUP($E92-CG$2,'data input'!$D$3:$E$130,2,FALSE),0)</f>
        <v>0.98777552734495533</v>
      </c>
      <c r="CH92" s="5">
        <f>IF($E92&gt;=CH$2,VLOOKUP($E92-CH$2,'data input'!$D$3:$E$130,2,FALSE),0)</f>
        <v>0.98996401989972593</v>
      </c>
      <c r="CI92" s="5">
        <f>IF($E92&gt;=CI$2,VLOOKUP($E92-CI$2,'data input'!$D$3:$E$130,2,FALSE),0)</f>
        <v>0.99180246407540384</v>
      </c>
      <c r="CJ92" s="5">
        <f>IF($E92&gt;=CJ$2,VLOOKUP($E92-CJ$2,'data input'!$D$3:$E$130,2,FALSE),0)</f>
        <v>0.99333819120801725</v>
      </c>
      <c r="CK92" s="5">
        <f>IF($E92&gt;=CK$2,VLOOKUP($E92-CK$2,'data input'!$D$3:$E$130,2,FALSE),0)</f>
        <v>0.99461385404593328</v>
      </c>
      <c r="CL92" s="5">
        <f>IF($E92&gt;=CL$2,VLOOKUP($E92-CL$2,'data input'!$D$3:$E$130,2,FALSE),0)</f>
        <v>0.99566755163698739</v>
      </c>
      <c r="CM92" s="5">
        <f>IF($E92&gt;=CM$2,VLOOKUP($E92-CM$2,'data input'!$D$3:$E$130,2,FALSE),0)</f>
        <v>0.99653302619695938</v>
      </c>
      <c r="CN92" s="5">
        <f>IF($E92&gt;=CN$2,VLOOKUP($E92-CN$2,'data input'!$D$3:$E$130,2,FALSE),0)</f>
        <v>0.99723991460873751</v>
      </c>
      <c r="CO92" s="5">
        <f>IF($E92&gt;=CO$2,VLOOKUP($E92-CO$2,'data input'!$D$3:$E$130,2,FALSE),0)</f>
        <v>0.99781403854508677</v>
      </c>
      <c r="CP92" s="5">
        <f>IF($E92&gt;=CP$2,VLOOKUP($E92-CP$2,'data input'!$D$3:$E$130,2,FALSE),0)</f>
        <v>0.99827771888413241</v>
      </c>
      <c r="CQ92" s="5">
        <f>IF($E92&gt;=CQ$2,VLOOKUP($E92-CQ$2,'data input'!$D$3:$E$130,2,FALSE),0)</f>
        <v>0.9986501019683699</v>
      </c>
      <c r="CR92" s="5">
        <f>IF($E92&gt;=CR$2,VLOOKUP($E92-CR$2,'data input'!$D$3:$E$130,2,FALSE),0)</f>
        <v>0</v>
      </c>
      <c r="CS92" s="5">
        <f>IF($E92&gt;=CS$2,VLOOKUP($E92-CS$2,'data input'!$D$3:$E$130,2,FALSE),0)</f>
        <v>0</v>
      </c>
      <c r="CT92" s="5">
        <f>IF($E92&gt;=CT$2,VLOOKUP($E92-CT$2,'data input'!$D$3:$E$130,2,FALSE),0)</f>
        <v>0</v>
      </c>
      <c r="CU92" s="5">
        <f>IF($E92&gt;=CU$2,VLOOKUP($E92-CU$2,'data input'!$D$3:$E$130,2,FALSE),0)</f>
        <v>0</v>
      </c>
      <c r="CV92" s="5">
        <f>IF($E92&gt;=CV$2,VLOOKUP($E92-CV$2,'data input'!$D$3:$E$130,2,FALSE),0)</f>
        <v>0</v>
      </c>
      <c r="CW92" s="5">
        <f>IF($E92&gt;=CW$2,VLOOKUP($E92-CW$2,'data input'!$D$3:$E$130,2,FALSE),0)</f>
        <v>0</v>
      </c>
      <c r="CX92" s="5">
        <f>IF($E92&gt;=CX$2,VLOOKUP($E92-CX$2,'data input'!$D$3:$E$130,2,FALSE),0)</f>
        <v>0</v>
      </c>
      <c r="CY92" s="5">
        <f>IF($E92&gt;=CY$2,VLOOKUP($E92-CY$2,'data input'!$D$3:$E$130,2,FALSE),0)</f>
        <v>0</v>
      </c>
      <c r="CZ92" s="5">
        <f>IF($E92&gt;=CZ$2,VLOOKUP($E92-CZ$2,'data input'!$D$3:$E$130,2,FALSE),0)</f>
        <v>0</v>
      </c>
      <c r="DA92" s="5">
        <f>IF($E92&gt;=DA$2,VLOOKUP($E92-DA$2,'data input'!$D$3:$E$130,2,FALSE),0)</f>
        <v>0</v>
      </c>
      <c r="DB92" s="5">
        <f>IF($E92&gt;=DB$2,VLOOKUP($E92-DB$2,'data input'!$D$3:$E$130,2,FALSE),0)</f>
        <v>0</v>
      </c>
      <c r="DC92" s="5">
        <f>IF($E92&gt;=DC$2,VLOOKUP($E92-DC$2,'data input'!$D$3:$E$130,2,FALSE),0)</f>
        <v>0</v>
      </c>
      <c r="DD92" s="5">
        <f>IF($E92&gt;=DD$2,VLOOKUP($E92-DD$2,'data input'!$D$3:$E$130,2,FALSE),0)</f>
        <v>0</v>
      </c>
      <c r="DE92" s="5">
        <f>IF($E92&gt;=DE$2,VLOOKUP($E92-DE$2,'data input'!$D$3:$E$130,2,FALSE),0)</f>
        <v>0</v>
      </c>
      <c r="DF92" s="5">
        <f>IF($E92&gt;=DF$2,VLOOKUP($E92-DF$2,'data input'!$D$3:$E$130,2,FALSE),0)</f>
        <v>0</v>
      </c>
      <c r="DG92" s="5">
        <f>IF($E92&gt;=DG$2,VLOOKUP($E92-DG$2,'data input'!$D$3:$E$130,2,FALSE),0)</f>
        <v>0</v>
      </c>
      <c r="DH92" s="5">
        <f>IF($E92&gt;=DH$2,VLOOKUP($E92-DH$2,'data input'!$D$3:$E$130,2,FALSE),0)</f>
        <v>0</v>
      </c>
      <c r="DI92" s="5">
        <f>IF($E92&gt;=DI$2,VLOOKUP($E92-DI$2,'data input'!$D$3:$E$130,2,FALSE),0)</f>
        <v>0</v>
      </c>
      <c r="DJ92" s="5">
        <f>IF($E92&gt;=DJ$2,VLOOKUP($E92-DJ$2,'data input'!$D$3:$E$130,2,FALSE),0)</f>
        <v>0</v>
      </c>
      <c r="DK92" s="5">
        <f>IF($E92&gt;=DK$2,VLOOKUP($E92-DK$2,'data input'!$D$3:$E$130,2,FALSE),0)</f>
        <v>0</v>
      </c>
      <c r="DL92" s="5">
        <f>IF($E92&gt;=DL$2,VLOOKUP($E92-DL$2,'data input'!$D$3:$E$130,2,FALSE),0)</f>
        <v>0</v>
      </c>
      <c r="DM92" s="5">
        <f>IF($E92&gt;=DM$2,VLOOKUP($E92-DM$2,'data input'!$D$3:$E$130,2,FALSE),0)</f>
        <v>0</v>
      </c>
      <c r="DN92" s="5">
        <f>IF($E92&gt;=DN$2,VLOOKUP($E92-DN$2,'data input'!$D$3:$E$130,2,FALSE),0)</f>
        <v>0</v>
      </c>
      <c r="DO92" s="5">
        <f>IF($E92&gt;=DO$2,VLOOKUP($E92-DO$2,'data input'!$D$3:$E$130,2,FALSE),0)</f>
        <v>0</v>
      </c>
      <c r="DP92" s="5">
        <f>IF($E92&gt;=DP$2,VLOOKUP($E92-DP$2,'data input'!$D$3:$E$130,2,FALSE),0)</f>
        <v>0</v>
      </c>
      <c r="DQ92" s="5">
        <f>IF($E92&gt;=DQ$2,VLOOKUP($E92-DQ$2,'data input'!$D$3:$E$130,2,FALSE),0)</f>
        <v>0</v>
      </c>
      <c r="DR92" s="5">
        <f>IF($E92&gt;=DR$2,VLOOKUP($E92-DR$2,'data input'!$D$3:$E$130,2,FALSE),0)</f>
        <v>0</v>
      </c>
      <c r="DS92" s="5">
        <f>IF($E92&gt;=DS$2,VLOOKUP($E92-DS$2,'data input'!$D$3:$E$130,2,FALSE),0)</f>
        <v>0</v>
      </c>
      <c r="DT92" s="5">
        <f>IF($E92&gt;=DT$2,VLOOKUP($E92-DT$2,'data input'!$D$3:$E$130,2,FALSE),0)</f>
        <v>0</v>
      </c>
      <c r="DU92" s="5">
        <f>IF($E92&gt;=DU$2,VLOOKUP($E92-DU$2,'data input'!$D$3:$E$130,2,FALSE),0)</f>
        <v>0</v>
      </c>
      <c r="DV92" s="5">
        <f>IF($E92&gt;=DV$2,VLOOKUP($E92-DV$2,'data input'!$D$3:$E$130,2,FALSE),0)</f>
        <v>0</v>
      </c>
      <c r="DW92" s="5">
        <f>IF($E92&gt;=DW$2,VLOOKUP($E92-DW$2,'data input'!$D$3:$E$130,2,FALSE),0)</f>
        <v>0</v>
      </c>
      <c r="DX92" s="5">
        <f>IF($E92&gt;=DX$2,VLOOKUP($E92-DX$2,'data input'!$D$3:$E$130,2,FALSE),0)</f>
        <v>0</v>
      </c>
      <c r="DY92" s="5">
        <f>IF($E92&gt;=DY$2,VLOOKUP($E92-DY$2,'data input'!$D$3:$E$130,2,FALSE),0)</f>
        <v>0</v>
      </c>
      <c r="DZ92" s="5">
        <f>IF($E92&gt;=DZ$2,VLOOKUP($E92-DZ$2,'data input'!$D$3:$E$130,2,FALSE),0)</f>
        <v>0</v>
      </c>
      <c r="EA92" s="5">
        <f>IF($E92&gt;=EA$2,VLOOKUP($E92-EA$2,'data input'!$D$3:$E$130,2,FALSE),0)</f>
        <v>0</v>
      </c>
      <c r="EB92" s="5">
        <f>IF($E92&gt;=EB$2,VLOOKUP($E92-EB$2,'data input'!$D$3:$E$130,2,FALSE),0)</f>
        <v>0</v>
      </c>
      <c r="EC92" s="5">
        <f>IF($E92&gt;=EC$2,VLOOKUP($E92-EC$2,'data input'!$D$3:$E$130,2,FALSE),0)</f>
        <v>0</v>
      </c>
    </row>
    <row r="93" spans="5:133">
      <c r="E93" s="7">
        <f>'data input'!B93</f>
        <v>1968</v>
      </c>
      <c r="F93" s="5">
        <f>IF($E93&gt;=F$2,VLOOKUP($E93-F$2,'data input'!$D$3:$E$130,2,FALSE),0)</f>
        <v>8.841728520081471E-5</v>
      </c>
      <c r="G93" s="5">
        <f>IF($E93&gt;=G$2,VLOOKUP($E93-G$2,'data input'!$D$3:$E$130,2,FALSE),0)</f>
        <v>1.1892470732677296E-4</v>
      </c>
      <c r="H93" s="5">
        <f>IF($E93&gt;=H$2,VLOOKUP($E93-H$2,'data input'!$D$3:$E$130,2,FALSE),0)</f>
        <v>1.5910859015755285E-4</v>
      </c>
      <c r="I93" s="5">
        <f>IF($E93&gt;=I$2,VLOOKUP($E93-I$2,'data input'!$D$3:$E$130,2,FALSE),0)</f>
        <v>2.1174139572344153E-4</v>
      </c>
      <c r="J93" s="5">
        <f>IF($E93&gt;=J$2,VLOOKUP($E93-J$2,'data input'!$D$3:$E$130,2,FALSE),0)</f>
        <v>2.8029327681622362E-4</v>
      </c>
      <c r="K93" s="5">
        <f>IF($E93&gt;=K$2,VLOOKUP($E93-K$2,'data input'!$D$3:$E$130,2,FALSE),0)</f>
        <v>3.6907845427502917E-4</v>
      </c>
      <c r="L93" s="5">
        <f>IF($E93&gt;=L$2,VLOOKUP($E93-L$2,'data input'!$D$3:$E$130,2,FALSE),0)</f>
        <v>4.8342414238378151E-4</v>
      </c>
      <c r="M93" s="5">
        <f>IF($E93&gt;=M$2,VLOOKUP($E93-M$2,'data input'!$D$3:$E$130,2,FALSE),0)</f>
        <v>6.2986334399772748E-4</v>
      </c>
      <c r="N93" s="5">
        <f>IF($E93&gt;=N$2,VLOOKUP($E93-N$2,'data input'!$D$3:$E$130,2,FALSE),0)</f>
        <v>8.1635231282861653E-4</v>
      </c>
      <c r="O93" s="5">
        <f>IF($E93&gt;=O$2,VLOOKUP($E93-O$2,'data input'!$D$3:$E$130,2,FALSE),0)</f>
        <v>1.0525127683760349E-3</v>
      </c>
      <c r="P93" s="5">
        <f>IF($E93&gt;=P$2,VLOOKUP($E93-P$2,'data input'!$D$3:$E$130,2,FALSE),0)</f>
        <v>1.3498980316301035E-3</v>
      </c>
      <c r="Q93" s="5">
        <f>IF($E93&gt;=Q$2,VLOOKUP($E93-Q$2,'data input'!$D$3:$E$130,2,FALSE),0)</f>
        <v>1.7222811158675855E-3</v>
      </c>
      <c r="R93" s="5">
        <f>IF($E93&gt;=R$2,VLOOKUP($E93-R$2,'data input'!$D$3:$E$130,2,FALSE),0)</f>
        <v>2.1859614549132322E-3</v>
      </c>
      <c r="S93" s="5">
        <f>IF($E93&gt;=S$2,VLOOKUP($E93-S$2,'data input'!$D$3:$E$130,2,FALSE),0)</f>
        <v>2.7600853912624901E-3</v>
      </c>
      <c r="T93" s="5">
        <f>IF($E93&gt;=T$2,VLOOKUP($E93-T$2,'data input'!$D$3:$E$130,2,FALSE),0)</f>
        <v>3.4669738030406183E-3</v>
      </c>
      <c r="U93" s="5">
        <f>IF($E93&gt;=U$2,VLOOKUP($E93-U$2,'data input'!$D$3:$E$130,2,FALSE),0)</f>
        <v>4.3324483630126087E-3</v>
      </c>
      <c r="V93" s="5">
        <f>IF($E93&gt;=V$2,VLOOKUP($E93-V$2,'data input'!$D$3:$E$130,2,FALSE),0)</f>
        <v>5.3861459540667234E-3</v>
      </c>
      <c r="W93" s="5">
        <f>IF($E93&gt;=W$2,VLOOKUP($E93-W$2,'data input'!$D$3:$E$130,2,FALSE),0)</f>
        <v>6.6618087919827484E-3</v>
      </c>
      <c r="X93" s="5">
        <f>IF($E93&gt;=X$2,VLOOKUP($E93-X$2,'data input'!$D$3:$E$130,2,FALSE),0)</f>
        <v>8.1975359245961554E-3</v>
      </c>
      <c r="Y93" s="5">
        <f>IF($E93&gt;=Y$2,VLOOKUP($E93-Y$2,'data input'!$D$3:$E$130,2,FALSE),0)</f>
        <v>1.0035980100274067E-2</v>
      </c>
      <c r="Z93" s="5">
        <f>IF($E93&gt;=Z$2,VLOOKUP($E93-Z$2,'data input'!$D$3:$E$130,2,FALSE),0)</f>
        <v>1.2224472655044671E-2</v>
      </c>
      <c r="AA93" s="5">
        <f>IF($E93&gt;=AA$2,VLOOKUP($E93-AA$2,'data input'!$D$3:$E$130,2,FALSE),0)</f>
        <v>1.4815058192609865E-2</v>
      </c>
      <c r="AB93" s="5">
        <f>IF($E93&gt;=AB$2,VLOOKUP($E93-AB$2,'data input'!$D$3:$E$130,2,FALSE),0)</f>
        <v>1.7864420562816563E-2</v>
      </c>
      <c r="AC93" s="5">
        <f>IF($E93&gt;=AC$2,VLOOKUP($E93-AC$2,'data input'!$D$3:$E$130,2,FALSE),0)</f>
        <v>2.1433682114152974E-2</v>
      </c>
      <c r="AD93" s="5">
        <f>IF($E93&gt;=AD$2,VLOOKUP($E93-AD$2,'data input'!$D$3:$E$130,2,FALSE),0)</f>
        <v>2.5588059521638562E-2</v>
      </c>
      <c r="AE93" s="5">
        <f>IF($E93&gt;=AE$2,VLOOKUP($E93-AE$2,'data input'!$D$3:$E$130,2,FALSE),0)</f>
        <v>3.0396361765261393E-2</v>
      </c>
      <c r="AF93" s="5">
        <f>IF($E93&gt;=AF$2,VLOOKUP($E93-AF$2,'data input'!$D$3:$E$130,2,FALSE),0)</f>
        <v>3.5930319112925768E-2</v>
      </c>
      <c r="AG93" s="5">
        <f>IF($E93&gt;=AG$2,VLOOKUP($E93-AG$2,'data input'!$D$3:$E$130,2,FALSE),0)</f>
        <v>4.2263736257952433E-2</v>
      </c>
      <c r="AH93" s="5">
        <f>IF($E93&gt;=AH$2,VLOOKUP($E93-AH$2,'data input'!$D$3:$E$130,2,FALSE),0)</f>
        <v>4.9471468033648103E-2</v>
      </c>
      <c r="AI93" s="5">
        <f>IF($E93&gt;=AI$2,VLOOKUP($E93-AI$2,'data input'!$D$3:$E$130,2,FALSE),0)</f>
        <v>5.7628222276153163E-2</v>
      </c>
      <c r="AJ93" s="5">
        <f>IF($E93&gt;=AJ$2,VLOOKUP($E93-AJ$2,'data input'!$D$3:$E$130,2,FALSE),0)</f>
        <v>6.6807201268858085E-2</v>
      </c>
      <c r="AK93" s="5">
        <f>IF($E93&gt;=AK$2,VLOOKUP($E93-AK$2,'data input'!$D$3:$E$130,2,FALSE),0)</f>
        <v>7.707860055207183E-2</v>
      </c>
      <c r="AL93" s="5">
        <f>IF($E93&gt;=AL$2,VLOOKUP($E93-AL$2,'data input'!$D$3:$E$130,2,FALSE),0)</f>
        <v>8.8507991437402067E-2</v>
      </c>
      <c r="AM93" s="5">
        <f>IF($E93&gt;=AM$2,VLOOKUP($E93-AM$2,'data input'!$D$3:$E$130,2,FALSE),0)</f>
        <v>0.10115462099558592</v>
      </c>
      <c r="AN93" s="5">
        <f>IF($E93&gt;=AN$2,VLOOKUP($E93-AN$2,'data input'!$D$3:$E$130,2,FALSE),0)</f>
        <v>0.11506967022170822</v>
      </c>
      <c r="AO93" s="5">
        <f>IF($E93&gt;=AO$2,VLOOKUP($E93-AO$2,'data input'!$D$3:$E$130,2,FALSE),0)</f>
        <v>0.13029451713680884</v>
      </c>
      <c r="AP93" s="5">
        <f>IF($E93&gt;=AP$2,VLOOKUP($E93-AP$2,'data input'!$D$3:$E$130,2,FALSE),0)</f>
        <v>0.14685905637589591</v>
      </c>
      <c r="AQ93" s="5">
        <f>IF($E93&gt;=AQ$2,VLOOKUP($E93-AQ$2,'data input'!$D$3:$E$130,2,FALSE),0)</f>
        <v>0.16478012998031033</v>
      </c>
      <c r="AR93" s="5">
        <f>IF($E93&gt;=AR$2,VLOOKUP($E93-AR$2,'data input'!$D$3:$E$130,2,FALSE),0)</f>
        <v>0.18406012534675953</v>
      </c>
      <c r="AS93" s="5">
        <f>IF($E93&gt;=AS$2,VLOOKUP($E93-AS$2,'data input'!$D$3:$E$130,2,FALSE),0)</f>
        <v>0.20468579534725262</v>
      </c>
      <c r="AT93" s="5">
        <f>IF($E93&gt;=AT$2,VLOOKUP($E93-AT$2,'data input'!$D$3:$E$130,2,FALSE),0)</f>
        <v>0.22662735237686826</v>
      </c>
      <c r="AU93" s="5">
        <f>IF($E93&gt;=AU$2,VLOOKUP($E93-AU$2,'data input'!$D$3:$E$130,2,FALSE),0)</f>
        <v>0.24983788247177696</v>
      </c>
      <c r="AV93" s="5">
        <f>IF($E93&gt;=AV$2,VLOOKUP($E93-AV$2,'data input'!$D$3:$E$130,2,FALSE),0)</f>
        <v>0.27425311775007355</v>
      </c>
      <c r="AW93" s="5">
        <f>IF($E93&gt;=AW$2,VLOOKUP($E93-AW$2,'data input'!$D$3:$E$130,2,FALSE),0)</f>
        <v>0.29979159546869583</v>
      </c>
      <c r="AX93" s="5">
        <f>IF($E93&gt;=AX$2,VLOOKUP($E93-AX$2,'data input'!$D$3:$E$130,2,FALSE),0)</f>
        <v>0.32635522028792008</v>
      </c>
      <c r="AY93" s="5">
        <f>IF($E93&gt;=AY$2,VLOOKUP($E93-AY$2,'data input'!$D$3:$E$130,2,FALSE),0)</f>
        <v>0.35383023332727614</v>
      </c>
      <c r="AZ93" s="5">
        <f>IF($E93&gt;=AZ$2,VLOOKUP($E93-AZ$2,'data input'!$D$3:$E$130,2,FALSE),0)</f>
        <v>0.38208857781104733</v>
      </c>
      <c r="BA93" s="5">
        <f>IF($E93&gt;=BA$2,VLOOKUP($E93-BA$2,'data input'!$D$3:$E$130,2,FALSE),0)</f>
        <v>0.41098963713127035</v>
      </c>
      <c r="BB93" s="5">
        <f>IF($E93&gt;=BB$2,VLOOKUP($E93-BB$2,'data input'!$D$3:$E$130,2,FALSE),0)</f>
        <v>0.4403823076297575</v>
      </c>
      <c r="BC93" s="5">
        <f>IF($E93&gt;=BC$2,VLOOKUP($E93-BC$2,'data input'!$D$3:$E$130,2,FALSE),0)</f>
        <v>0.47010735594710518</v>
      </c>
      <c r="BD93" s="5">
        <f>IF($E93&gt;=BD$2,VLOOKUP($E93-BD$2,'data input'!$D$3:$E$130,2,FALSE),0)</f>
        <v>0.5</v>
      </c>
      <c r="BE93" s="5">
        <f>IF($E93&gt;=BE$2,VLOOKUP($E93-BE$2,'data input'!$D$3:$E$130,2,FALSE),0)</f>
        <v>0.52989264405289482</v>
      </c>
      <c r="BF93" s="5">
        <f>IF($E93&gt;=BF$2,VLOOKUP($E93-BF$2,'data input'!$D$3:$E$130,2,FALSE),0)</f>
        <v>0.5596176923702425</v>
      </c>
      <c r="BG93" s="5">
        <f>IF($E93&gt;=BG$2,VLOOKUP($E93-BG$2,'data input'!$D$3:$E$130,2,FALSE),0)</f>
        <v>0.58901036286872965</v>
      </c>
      <c r="BH93" s="5">
        <f>IF($E93&gt;=BH$2,VLOOKUP($E93-BH$2,'data input'!$D$3:$E$130,2,FALSE),0)</f>
        <v>0.61791142218895267</v>
      </c>
      <c r="BI93" s="5">
        <f>IF($E93&gt;=BI$2,VLOOKUP($E93-BI$2,'data input'!$D$3:$E$130,2,FALSE),0)</f>
        <v>0.64616976667272386</v>
      </c>
      <c r="BJ93" s="5">
        <f>IF($E93&gt;=BJ$2,VLOOKUP($E93-BJ$2,'data input'!$D$3:$E$130,2,FALSE),0)</f>
        <v>0.67364477971207992</v>
      </c>
      <c r="BK93" s="5">
        <f>IF($E93&gt;=BK$2,VLOOKUP($E93-BK$2,'data input'!$D$3:$E$130,2,FALSE),0)</f>
        <v>0.70020840453130417</v>
      </c>
      <c r="BL93" s="5">
        <f>IF($E93&gt;=BL$2,VLOOKUP($E93-BL$2,'data input'!$D$3:$E$130,2,FALSE),0)</f>
        <v>0.72574688224992645</v>
      </c>
      <c r="BM93" s="5">
        <f>IF($E93&gt;=BM$2,VLOOKUP($E93-BM$2,'data input'!$D$3:$E$130,2,FALSE),0)</f>
        <v>0.75016211752822304</v>
      </c>
      <c r="BN93" s="5">
        <f>IF($E93&gt;=BN$2,VLOOKUP($E93-BN$2,'data input'!$D$3:$E$130,2,FALSE),0)</f>
        <v>0.77337264762313174</v>
      </c>
      <c r="BO93" s="5">
        <f>IF($E93&gt;=BO$2,VLOOKUP($E93-BO$2,'data input'!$D$3:$E$130,2,FALSE),0)</f>
        <v>0.79531420465274738</v>
      </c>
      <c r="BP93" s="5">
        <f>IF($E93&gt;=BP$2,VLOOKUP($E93-BP$2,'data input'!$D$3:$E$130,2,FALSE),0)</f>
        <v>0.81593987465324047</v>
      </c>
      <c r="BQ93" s="5">
        <f>IF($E93&gt;=BQ$2,VLOOKUP($E93-BQ$2,'data input'!$D$3:$E$130,2,FALSE),0)</f>
        <v>0.83521987001968967</v>
      </c>
      <c r="BR93" s="5">
        <f>IF($E93&gt;=BR$2,VLOOKUP($E93-BR$2,'data input'!$D$3:$E$130,2,FALSE),0)</f>
        <v>0.85314094362410409</v>
      </c>
      <c r="BS93" s="5">
        <f>IF($E93&gt;=BS$2,VLOOKUP($E93-BS$2,'data input'!$D$3:$E$130,2,FALSE),0)</f>
        <v>0.86970548286319116</v>
      </c>
      <c r="BT93" s="5">
        <f>IF($E93&gt;=BT$2,VLOOKUP($E93-BT$2,'data input'!$D$3:$E$130,2,FALSE),0)</f>
        <v>0.88493032977829178</v>
      </c>
      <c r="BU93" s="5">
        <f>IF($E93&gt;=BU$2,VLOOKUP($E93-BU$2,'data input'!$D$3:$E$130,2,FALSE),0)</f>
        <v>0.89884537900441408</v>
      </c>
      <c r="BV93" s="5">
        <f>IF($E93&gt;=BV$2,VLOOKUP($E93-BV$2,'data input'!$D$3:$E$130,2,FALSE),0)</f>
        <v>0.91149200856259793</v>
      </c>
      <c r="BW93" s="5">
        <f>IF($E93&gt;=BW$2,VLOOKUP($E93-BW$2,'data input'!$D$3:$E$130,2,FALSE),0)</f>
        <v>0.92292139944792817</v>
      </c>
      <c r="BX93" s="5">
        <f>IF($E93&gt;=BX$2,VLOOKUP($E93-BX$2,'data input'!$D$3:$E$130,2,FALSE),0)</f>
        <v>0.93319279873114191</v>
      </c>
      <c r="BY93" s="5">
        <f>IF($E93&gt;=BY$2,VLOOKUP($E93-BY$2,'data input'!$D$3:$E$130,2,FALSE),0)</f>
        <v>0.94237177772384684</v>
      </c>
      <c r="BZ93" s="5">
        <f>IF($E93&gt;=BZ$2,VLOOKUP($E93-BZ$2,'data input'!$D$3:$E$130,2,FALSE),0)</f>
        <v>0.9505285319663519</v>
      </c>
      <c r="CA93" s="5">
        <f>IF($E93&gt;=CA$2,VLOOKUP($E93-CA$2,'data input'!$D$3:$E$130,2,FALSE),0)</f>
        <v>0.95773626374204757</v>
      </c>
      <c r="CB93" s="5">
        <f>IF($E93&gt;=CB$2,VLOOKUP($E93-CB$2,'data input'!$D$3:$E$130,2,FALSE),0)</f>
        <v>0.96406968088707423</v>
      </c>
      <c r="CC93" s="5">
        <f>IF($E93&gt;=CC$2,VLOOKUP($E93-CC$2,'data input'!$D$3:$E$130,2,FALSE),0)</f>
        <v>0.96960363823473861</v>
      </c>
      <c r="CD93" s="5">
        <f>IF($E93&gt;=CD$2,VLOOKUP($E93-CD$2,'data input'!$D$3:$E$130,2,FALSE),0)</f>
        <v>0.97441194047836144</v>
      </c>
      <c r="CE93" s="5">
        <f>IF($E93&gt;=CE$2,VLOOKUP($E93-CE$2,'data input'!$D$3:$E$130,2,FALSE),0)</f>
        <v>0.97856631788584703</v>
      </c>
      <c r="CF93" s="5">
        <f>IF($E93&gt;=CF$2,VLOOKUP($E93-CF$2,'data input'!$D$3:$E$130,2,FALSE),0)</f>
        <v>0.98213557943718344</v>
      </c>
      <c r="CG93" s="5">
        <f>IF($E93&gt;=CG$2,VLOOKUP($E93-CG$2,'data input'!$D$3:$E$130,2,FALSE),0)</f>
        <v>0.98518494180739014</v>
      </c>
      <c r="CH93" s="5">
        <f>IF($E93&gt;=CH$2,VLOOKUP($E93-CH$2,'data input'!$D$3:$E$130,2,FALSE),0)</f>
        <v>0.98777552734495533</v>
      </c>
      <c r="CI93" s="5">
        <f>IF($E93&gt;=CI$2,VLOOKUP($E93-CI$2,'data input'!$D$3:$E$130,2,FALSE),0)</f>
        <v>0.98996401989972593</v>
      </c>
      <c r="CJ93" s="5">
        <f>IF($E93&gt;=CJ$2,VLOOKUP($E93-CJ$2,'data input'!$D$3:$E$130,2,FALSE),0)</f>
        <v>0.99180246407540384</v>
      </c>
      <c r="CK93" s="5">
        <f>IF($E93&gt;=CK$2,VLOOKUP($E93-CK$2,'data input'!$D$3:$E$130,2,FALSE),0)</f>
        <v>0.99333819120801725</v>
      </c>
      <c r="CL93" s="5">
        <f>IF($E93&gt;=CL$2,VLOOKUP($E93-CL$2,'data input'!$D$3:$E$130,2,FALSE),0)</f>
        <v>0.99461385404593328</v>
      </c>
      <c r="CM93" s="5">
        <f>IF($E93&gt;=CM$2,VLOOKUP($E93-CM$2,'data input'!$D$3:$E$130,2,FALSE),0)</f>
        <v>0.99566755163698739</v>
      </c>
      <c r="CN93" s="5">
        <f>IF($E93&gt;=CN$2,VLOOKUP($E93-CN$2,'data input'!$D$3:$E$130,2,FALSE),0)</f>
        <v>0.99653302619695938</v>
      </c>
      <c r="CO93" s="5">
        <f>IF($E93&gt;=CO$2,VLOOKUP($E93-CO$2,'data input'!$D$3:$E$130,2,FALSE),0)</f>
        <v>0.99723991460873751</v>
      </c>
      <c r="CP93" s="5">
        <f>IF($E93&gt;=CP$2,VLOOKUP($E93-CP$2,'data input'!$D$3:$E$130,2,FALSE),0)</f>
        <v>0.99781403854508677</v>
      </c>
      <c r="CQ93" s="5">
        <f>IF($E93&gt;=CQ$2,VLOOKUP($E93-CQ$2,'data input'!$D$3:$E$130,2,FALSE),0)</f>
        <v>0.99827771888413241</v>
      </c>
      <c r="CR93" s="5">
        <f>IF($E93&gt;=CR$2,VLOOKUP($E93-CR$2,'data input'!$D$3:$E$130,2,FALSE),0)</f>
        <v>0.9986501019683699</v>
      </c>
      <c r="CS93" s="5">
        <f>IF($E93&gt;=CS$2,VLOOKUP($E93-CS$2,'data input'!$D$3:$E$130,2,FALSE),0)</f>
        <v>0</v>
      </c>
      <c r="CT93" s="5">
        <f>IF($E93&gt;=CT$2,VLOOKUP($E93-CT$2,'data input'!$D$3:$E$130,2,FALSE),0)</f>
        <v>0</v>
      </c>
      <c r="CU93" s="5">
        <f>IF($E93&gt;=CU$2,VLOOKUP($E93-CU$2,'data input'!$D$3:$E$130,2,FALSE),0)</f>
        <v>0</v>
      </c>
      <c r="CV93" s="5">
        <f>IF($E93&gt;=CV$2,VLOOKUP($E93-CV$2,'data input'!$D$3:$E$130,2,FALSE),0)</f>
        <v>0</v>
      </c>
      <c r="CW93" s="5">
        <f>IF($E93&gt;=CW$2,VLOOKUP($E93-CW$2,'data input'!$D$3:$E$130,2,FALSE),0)</f>
        <v>0</v>
      </c>
      <c r="CX93" s="5">
        <f>IF($E93&gt;=CX$2,VLOOKUP($E93-CX$2,'data input'!$D$3:$E$130,2,FALSE),0)</f>
        <v>0</v>
      </c>
      <c r="CY93" s="5">
        <f>IF($E93&gt;=CY$2,VLOOKUP($E93-CY$2,'data input'!$D$3:$E$130,2,FALSE),0)</f>
        <v>0</v>
      </c>
      <c r="CZ93" s="5">
        <f>IF($E93&gt;=CZ$2,VLOOKUP($E93-CZ$2,'data input'!$D$3:$E$130,2,FALSE),0)</f>
        <v>0</v>
      </c>
      <c r="DA93" s="5">
        <f>IF($E93&gt;=DA$2,VLOOKUP($E93-DA$2,'data input'!$D$3:$E$130,2,FALSE),0)</f>
        <v>0</v>
      </c>
      <c r="DB93" s="5">
        <f>IF($E93&gt;=DB$2,VLOOKUP($E93-DB$2,'data input'!$D$3:$E$130,2,FALSE),0)</f>
        <v>0</v>
      </c>
      <c r="DC93" s="5">
        <f>IF($E93&gt;=DC$2,VLOOKUP($E93-DC$2,'data input'!$D$3:$E$130,2,FALSE),0)</f>
        <v>0</v>
      </c>
      <c r="DD93" s="5">
        <f>IF($E93&gt;=DD$2,VLOOKUP($E93-DD$2,'data input'!$D$3:$E$130,2,FALSE),0)</f>
        <v>0</v>
      </c>
      <c r="DE93" s="5">
        <f>IF($E93&gt;=DE$2,VLOOKUP($E93-DE$2,'data input'!$D$3:$E$130,2,FALSE),0)</f>
        <v>0</v>
      </c>
      <c r="DF93" s="5">
        <f>IF($E93&gt;=DF$2,VLOOKUP($E93-DF$2,'data input'!$D$3:$E$130,2,FALSE),0)</f>
        <v>0</v>
      </c>
      <c r="DG93" s="5">
        <f>IF($E93&gt;=DG$2,VLOOKUP($E93-DG$2,'data input'!$D$3:$E$130,2,FALSE),0)</f>
        <v>0</v>
      </c>
      <c r="DH93" s="5">
        <f>IF($E93&gt;=DH$2,VLOOKUP($E93-DH$2,'data input'!$D$3:$E$130,2,FALSE),0)</f>
        <v>0</v>
      </c>
      <c r="DI93" s="5">
        <f>IF($E93&gt;=DI$2,VLOOKUP($E93-DI$2,'data input'!$D$3:$E$130,2,FALSE),0)</f>
        <v>0</v>
      </c>
      <c r="DJ93" s="5">
        <f>IF($E93&gt;=DJ$2,VLOOKUP($E93-DJ$2,'data input'!$D$3:$E$130,2,FALSE),0)</f>
        <v>0</v>
      </c>
      <c r="DK93" s="5">
        <f>IF($E93&gt;=DK$2,VLOOKUP($E93-DK$2,'data input'!$D$3:$E$130,2,FALSE),0)</f>
        <v>0</v>
      </c>
      <c r="DL93" s="5">
        <f>IF($E93&gt;=DL$2,VLOOKUP($E93-DL$2,'data input'!$D$3:$E$130,2,FALSE),0)</f>
        <v>0</v>
      </c>
      <c r="DM93" s="5">
        <f>IF($E93&gt;=DM$2,VLOOKUP($E93-DM$2,'data input'!$D$3:$E$130,2,FALSE),0)</f>
        <v>0</v>
      </c>
      <c r="DN93" s="5">
        <f>IF($E93&gt;=DN$2,VLOOKUP($E93-DN$2,'data input'!$D$3:$E$130,2,FALSE),0)</f>
        <v>0</v>
      </c>
      <c r="DO93" s="5">
        <f>IF($E93&gt;=DO$2,VLOOKUP($E93-DO$2,'data input'!$D$3:$E$130,2,FALSE),0)</f>
        <v>0</v>
      </c>
      <c r="DP93" s="5">
        <f>IF($E93&gt;=DP$2,VLOOKUP($E93-DP$2,'data input'!$D$3:$E$130,2,FALSE),0)</f>
        <v>0</v>
      </c>
      <c r="DQ93" s="5">
        <f>IF($E93&gt;=DQ$2,VLOOKUP($E93-DQ$2,'data input'!$D$3:$E$130,2,FALSE),0)</f>
        <v>0</v>
      </c>
      <c r="DR93" s="5">
        <f>IF($E93&gt;=DR$2,VLOOKUP($E93-DR$2,'data input'!$D$3:$E$130,2,FALSE),0)</f>
        <v>0</v>
      </c>
      <c r="DS93" s="5">
        <f>IF($E93&gt;=DS$2,VLOOKUP($E93-DS$2,'data input'!$D$3:$E$130,2,FALSE),0)</f>
        <v>0</v>
      </c>
      <c r="DT93" s="5">
        <f>IF($E93&gt;=DT$2,VLOOKUP($E93-DT$2,'data input'!$D$3:$E$130,2,FALSE),0)</f>
        <v>0</v>
      </c>
      <c r="DU93" s="5">
        <f>IF($E93&gt;=DU$2,VLOOKUP($E93-DU$2,'data input'!$D$3:$E$130,2,FALSE),0)</f>
        <v>0</v>
      </c>
      <c r="DV93" s="5">
        <f>IF($E93&gt;=DV$2,VLOOKUP($E93-DV$2,'data input'!$D$3:$E$130,2,FALSE),0)</f>
        <v>0</v>
      </c>
      <c r="DW93" s="5">
        <f>IF($E93&gt;=DW$2,VLOOKUP($E93-DW$2,'data input'!$D$3:$E$130,2,FALSE),0)</f>
        <v>0</v>
      </c>
      <c r="DX93" s="5">
        <f>IF($E93&gt;=DX$2,VLOOKUP($E93-DX$2,'data input'!$D$3:$E$130,2,FALSE),0)</f>
        <v>0</v>
      </c>
      <c r="DY93" s="5">
        <f>IF($E93&gt;=DY$2,VLOOKUP($E93-DY$2,'data input'!$D$3:$E$130,2,FALSE),0)</f>
        <v>0</v>
      </c>
      <c r="DZ93" s="5">
        <f>IF($E93&gt;=DZ$2,VLOOKUP($E93-DZ$2,'data input'!$D$3:$E$130,2,FALSE),0)</f>
        <v>0</v>
      </c>
      <c r="EA93" s="5">
        <f>IF($E93&gt;=EA$2,VLOOKUP($E93-EA$2,'data input'!$D$3:$E$130,2,FALSE),0)</f>
        <v>0</v>
      </c>
      <c r="EB93" s="5">
        <f>IF($E93&gt;=EB$2,VLOOKUP($E93-EB$2,'data input'!$D$3:$E$130,2,FALSE),0)</f>
        <v>0</v>
      </c>
      <c r="EC93" s="5">
        <f>IF($E93&gt;=EC$2,VLOOKUP($E93-EC$2,'data input'!$D$3:$E$130,2,FALSE),0)</f>
        <v>0</v>
      </c>
    </row>
    <row r="94" spans="5:133">
      <c r="E94" s="7">
        <f>'data input'!B94</f>
        <v>1969</v>
      </c>
      <c r="F94" s="5">
        <f>IF($E94&gt;=F$2,VLOOKUP($E94-F$2,'data input'!$D$3:$E$130,2,FALSE),0)</f>
        <v>6.5386043242687819E-5</v>
      </c>
      <c r="G94" s="5">
        <f>IF($E94&gt;=G$2,VLOOKUP($E94-G$2,'data input'!$D$3:$E$130,2,FALSE),0)</f>
        <v>8.841728520081471E-5</v>
      </c>
      <c r="H94" s="5">
        <f>IF($E94&gt;=H$2,VLOOKUP($E94-H$2,'data input'!$D$3:$E$130,2,FALSE),0)</f>
        <v>1.1892470732677296E-4</v>
      </c>
      <c r="I94" s="5">
        <f>IF($E94&gt;=I$2,VLOOKUP($E94-I$2,'data input'!$D$3:$E$130,2,FALSE),0)</f>
        <v>1.5910859015755285E-4</v>
      </c>
      <c r="J94" s="5">
        <f>IF($E94&gt;=J$2,VLOOKUP($E94-J$2,'data input'!$D$3:$E$130,2,FALSE),0)</f>
        <v>2.1174139572344153E-4</v>
      </c>
      <c r="K94" s="5">
        <f>IF($E94&gt;=K$2,VLOOKUP($E94-K$2,'data input'!$D$3:$E$130,2,FALSE),0)</f>
        <v>2.8029327681622362E-4</v>
      </c>
      <c r="L94" s="5">
        <f>IF($E94&gt;=L$2,VLOOKUP($E94-L$2,'data input'!$D$3:$E$130,2,FALSE),0)</f>
        <v>3.6907845427502917E-4</v>
      </c>
      <c r="M94" s="5">
        <f>IF($E94&gt;=M$2,VLOOKUP($E94-M$2,'data input'!$D$3:$E$130,2,FALSE),0)</f>
        <v>4.8342414238378151E-4</v>
      </c>
      <c r="N94" s="5">
        <f>IF($E94&gt;=N$2,VLOOKUP($E94-N$2,'data input'!$D$3:$E$130,2,FALSE),0)</f>
        <v>6.2986334399772748E-4</v>
      </c>
      <c r="O94" s="5">
        <f>IF($E94&gt;=O$2,VLOOKUP($E94-O$2,'data input'!$D$3:$E$130,2,FALSE),0)</f>
        <v>8.1635231282861653E-4</v>
      </c>
      <c r="P94" s="5">
        <f>IF($E94&gt;=P$2,VLOOKUP($E94-P$2,'data input'!$D$3:$E$130,2,FALSE),0)</f>
        <v>1.0525127683760349E-3</v>
      </c>
      <c r="Q94" s="5">
        <f>IF($E94&gt;=Q$2,VLOOKUP($E94-Q$2,'data input'!$D$3:$E$130,2,FALSE),0)</f>
        <v>1.3498980316301035E-3</v>
      </c>
      <c r="R94" s="5">
        <f>IF($E94&gt;=R$2,VLOOKUP($E94-R$2,'data input'!$D$3:$E$130,2,FALSE),0)</f>
        <v>1.7222811158675855E-3</v>
      </c>
      <c r="S94" s="5">
        <f>IF($E94&gt;=S$2,VLOOKUP($E94-S$2,'data input'!$D$3:$E$130,2,FALSE),0)</f>
        <v>2.1859614549132322E-3</v>
      </c>
      <c r="T94" s="5">
        <f>IF($E94&gt;=T$2,VLOOKUP($E94-T$2,'data input'!$D$3:$E$130,2,FALSE),0)</f>
        <v>2.7600853912624901E-3</v>
      </c>
      <c r="U94" s="5">
        <f>IF($E94&gt;=U$2,VLOOKUP($E94-U$2,'data input'!$D$3:$E$130,2,FALSE),0)</f>
        <v>3.4669738030406183E-3</v>
      </c>
      <c r="V94" s="5">
        <f>IF($E94&gt;=V$2,VLOOKUP($E94-V$2,'data input'!$D$3:$E$130,2,FALSE),0)</f>
        <v>4.3324483630126087E-3</v>
      </c>
      <c r="W94" s="5">
        <f>IF($E94&gt;=W$2,VLOOKUP($E94-W$2,'data input'!$D$3:$E$130,2,FALSE),0)</f>
        <v>5.3861459540667234E-3</v>
      </c>
      <c r="X94" s="5">
        <f>IF($E94&gt;=X$2,VLOOKUP($E94-X$2,'data input'!$D$3:$E$130,2,FALSE),0)</f>
        <v>6.6618087919827484E-3</v>
      </c>
      <c r="Y94" s="5">
        <f>IF($E94&gt;=Y$2,VLOOKUP($E94-Y$2,'data input'!$D$3:$E$130,2,FALSE),0)</f>
        <v>8.1975359245961554E-3</v>
      </c>
      <c r="Z94" s="5">
        <f>IF($E94&gt;=Z$2,VLOOKUP($E94-Z$2,'data input'!$D$3:$E$130,2,FALSE),0)</f>
        <v>1.0035980100274067E-2</v>
      </c>
      <c r="AA94" s="5">
        <f>IF($E94&gt;=AA$2,VLOOKUP($E94-AA$2,'data input'!$D$3:$E$130,2,FALSE),0)</f>
        <v>1.2224472655044671E-2</v>
      </c>
      <c r="AB94" s="5">
        <f>IF($E94&gt;=AB$2,VLOOKUP($E94-AB$2,'data input'!$D$3:$E$130,2,FALSE),0)</f>
        <v>1.4815058192609865E-2</v>
      </c>
      <c r="AC94" s="5">
        <f>IF($E94&gt;=AC$2,VLOOKUP($E94-AC$2,'data input'!$D$3:$E$130,2,FALSE),0)</f>
        <v>1.7864420562816563E-2</v>
      </c>
      <c r="AD94" s="5">
        <f>IF($E94&gt;=AD$2,VLOOKUP($E94-AD$2,'data input'!$D$3:$E$130,2,FALSE),0)</f>
        <v>2.1433682114152974E-2</v>
      </c>
      <c r="AE94" s="5">
        <f>IF($E94&gt;=AE$2,VLOOKUP($E94-AE$2,'data input'!$D$3:$E$130,2,FALSE),0)</f>
        <v>2.5588059521638562E-2</v>
      </c>
      <c r="AF94" s="5">
        <f>IF($E94&gt;=AF$2,VLOOKUP($E94-AF$2,'data input'!$D$3:$E$130,2,FALSE),0)</f>
        <v>3.0396361765261393E-2</v>
      </c>
      <c r="AG94" s="5">
        <f>IF($E94&gt;=AG$2,VLOOKUP($E94-AG$2,'data input'!$D$3:$E$130,2,FALSE),0)</f>
        <v>3.5930319112925768E-2</v>
      </c>
      <c r="AH94" s="5">
        <f>IF($E94&gt;=AH$2,VLOOKUP($E94-AH$2,'data input'!$D$3:$E$130,2,FALSE),0)</f>
        <v>4.2263736257952433E-2</v>
      </c>
      <c r="AI94" s="5">
        <f>IF($E94&gt;=AI$2,VLOOKUP($E94-AI$2,'data input'!$D$3:$E$130,2,FALSE),0)</f>
        <v>4.9471468033648103E-2</v>
      </c>
      <c r="AJ94" s="5">
        <f>IF($E94&gt;=AJ$2,VLOOKUP($E94-AJ$2,'data input'!$D$3:$E$130,2,FALSE),0)</f>
        <v>5.7628222276153163E-2</v>
      </c>
      <c r="AK94" s="5">
        <f>IF($E94&gt;=AK$2,VLOOKUP($E94-AK$2,'data input'!$D$3:$E$130,2,FALSE),0)</f>
        <v>6.6807201268858085E-2</v>
      </c>
      <c r="AL94" s="5">
        <f>IF($E94&gt;=AL$2,VLOOKUP($E94-AL$2,'data input'!$D$3:$E$130,2,FALSE),0)</f>
        <v>7.707860055207183E-2</v>
      </c>
      <c r="AM94" s="5">
        <f>IF($E94&gt;=AM$2,VLOOKUP($E94-AM$2,'data input'!$D$3:$E$130,2,FALSE),0)</f>
        <v>8.8507991437402067E-2</v>
      </c>
      <c r="AN94" s="5">
        <f>IF($E94&gt;=AN$2,VLOOKUP($E94-AN$2,'data input'!$D$3:$E$130,2,FALSE),0)</f>
        <v>0.10115462099558592</v>
      </c>
      <c r="AO94" s="5">
        <f>IF($E94&gt;=AO$2,VLOOKUP($E94-AO$2,'data input'!$D$3:$E$130,2,FALSE),0)</f>
        <v>0.11506967022170822</v>
      </c>
      <c r="AP94" s="5">
        <f>IF($E94&gt;=AP$2,VLOOKUP($E94-AP$2,'data input'!$D$3:$E$130,2,FALSE),0)</f>
        <v>0.13029451713680884</v>
      </c>
      <c r="AQ94" s="5">
        <f>IF($E94&gt;=AQ$2,VLOOKUP($E94-AQ$2,'data input'!$D$3:$E$130,2,FALSE),0)</f>
        <v>0.14685905637589591</v>
      </c>
      <c r="AR94" s="5">
        <f>IF($E94&gt;=AR$2,VLOOKUP($E94-AR$2,'data input'!$D$3:$E$130,2,FALSE),0)</f>
        <v>0.16478012998031033</v>
      </c>
      <c r="AS94" s="5">
        <f>IF($E94&gt;=AS$2,VLOOKUP($E94-AS$2,'data input'!$D$3:$E$130,2,FALSE),0)</f>
        <v>0.18406012534675953</v>
      </c>
      <c r="AT94" s="5">
        <f>IF($E94&gt;=AT$2,VLOOKUP($E94-AT$2,'data input'!$D$3:$E$130,2,FALSE),0)</f>
        <v>0.20468579534725262</v>
      </c>
      <c r="AU94" s="5">
        <f>IF($E94&gt;=AU$2,VLOOKUP($E94-AU$2,'data input'!$D$3:$E$130,2,FALSE),0)</f>
        <v>0.22662735237686826</v>
      </c>
      <c r="AV94" s="5">
        <f>IF($E94&gt;=AV$2,VLOOKUP($E94-AV$2,'data input'!$D$3:$E$130,2,FALSE),0)</f>
        <v>0.24983788247177696</v>
      </c>
      <c r="AW94" s="5">
        <f>IF($E94&gt;=AW$2,VLOOKUP($E94-AW$2,'data input'!$D$3:$E$130,2,FALSE),0)</f>
        <v>0.27425311775007355</v>
      </c>
      <c r="AX94" s="5">
        <f>IF($E94&gt;=AX$2,VLOOKUP($E94-AX$2,'data input'!$D$3:$E$130,2,FALSE),0)</f>
        <v>0.29979159546869583</v>
      </c>
      <c r="AY94" s="5">
        <f>IF($E94&gt;=AY$2,VLOOKUP($E94-AY$2,'data input'!$D$3:$E$130,2,FALSE),0)</f>
        <v>0.32635522028792008</v>
      </c>
      <c r="AZ94" s="5">
        <f>IF($E94&gt;=AZ$2,VLOOKUP($E94-AZ$2,'data input'!$D$3:$E$130,2,FALSE),0)</f>
        <v>0.35383023332727614</v>
      </c>
      <c r="BA94" s="5">
        <f>IF($E94&gt;=BA$2,VLOOKUP($E94-BA$2,'data input'!$D$3:$E$130,2,FALSE),0)</f>
        <v>0.38208857781104733</v>
      </c>
      <c r="BB94" s="5">
        <f>IF($E94&gt;=BB$2,VLOOKUP($E94-BB$2,'data input'!$D$3:$E$130,2,FALSE),0)</f>
        <v>0.41098963713127035</v>
      </c>
      <c r="BC94" s="5">
        <f>IF($E94&gt;=BC$2,VLOOKUP($E94-BC$2,'data input'!$D$3:$E$130,2,FALSE),0)</f>
        <v>0.4403823076297575</v>
      </c>
      <c r="BD94" s="5">
        <f>IF($E94&gt;=BD$2,VLOOKUP($E94-BD$2,'data input'!$D$3:$E$130,2,FALSE),0)</f>
        <v>0.47010735594710518</v>
      </c>
      <c r="BE94" s="5">
        <f>IF($E94&gt;=BE$2,VLOOKUP($E94-BE$2,'data input'!$D$3:$E$130,2,FALSE),0)</f>
        <v>0.5</v>
      </c>
      <c r="BF94" s="5">
        <f>IF($E94&gt;=BF$2,VLOOKUP($E94-BF$2,'data input'!$D$3:$E$130,2,FALSE),0)</f>
        <v>0.52989264405289482</v>
      </c>
      <c r="BG94" s="5">
        <f>IF($E94&gt;=BG$2,VLOOKUP($E94-BG$2,'data input'!$D$3:$E$130,2,FALSE),0)</f>
        <v>0.5596176923702425</v>
      </c>
      <c r="BH94" s="5">
        <f>IF($E94&gt;=BH$2,VLOOKUP($E94-BH$2,'data input'!$D$3:$E$130,2,FALSE),0)</f>
        <v>0.58901036286872965</v>
      </c>
      <c r="BI94" s="5">
        <f>IF($E94&gt;=BI$2,VLOOKUP($E94-BI$2,'data input'!$D$3:$E$130,2,FALSE),0)</f>
        <v>0.61791142218895267</v>
      </c>
      <c r="BJ94" s="5">
        <f>IF($E94&gt;=BJ$2,VLOOKUP($E94-BJ$2,'data input'!$D$3:$E$130,2,FALSE),0)</f>
        <v>0.64616976667272386</v>
      </c>
      <c r="BK94" s="5">
        <f>IF($E94&gt;=BK$2,VLOOKUP($E94-BK$2,'data input'!$D$3:$E$130,2,FALSE),0)</f>
        <v>0.67364477971207992</v>
      </c>
      <c r="BL94" s="5">
        <f>IF($E94&gt;=BL$2,VLOOKUP($E94-BL$2,'data input'!$D$3:$E$130,2,FALSE),0)</f>
        <v>0.70020840453130417</v>
      </c>
      <c r="BM94" s="5">
        <f>IF($E94&gt;=BM$2,VLOOKUP($E94-BM$2,'data input'!$D$3:$E$130,2,FALSE),0)</f>
        <v>0.72574688224992645</v>
      </c>
      <c r="BN94" s="5">
        <f>IF($E94&gt;=BN$2,VLOOKUP($E94-BN$2,'data input'!$D$3:$E$130,2,FALSE),0)</f>
        <v>0.75016211752822304</v>
      </c>
      <c r="BO94" s="5">
        <f>IF($E94&gt;=BO$2,VLOOKUP($E94-BO$2,'data input'!$D$3:$E$130,2,FALSE),0)</f>
        <v>0.77337264762313174</v>
      </c>
      <c r="BP94" s="5">
        <f>IF($E94&gt;=BP$2,VLOOKUP($E94-BP$2,'data input'!$D$3:$E$130,2,FALSE),0)</f>
        <v>0.79531420465274738</v>
      </c>
      <c r="BQ94" s="5">
        <f>IF($E94&gt;=BQ$2,VLOOKUP($E94-BQ$2,'data input'!$D$3:$E$130,2,FALSE),0)</f>
        <v>0.81593987465324047</v>
      </c>
      <c r="BR94" s="5">
        <f>IF($E94&gt;=BR$2,VLOOKUP($E94-BR$2,'data input'!$D$3:$E$130,2,FALSE),0)</f>
        <v>0.83521987001968967</v>
      </c>
      <c r="BS94" s="5">
        <f>IF($E94&gt;=BS$2,VLOOKUP($E94-BS$2,'data input'!$D$3:$E$130,2,FALSE),0)</f>
        <v>0.85314094362410409</v>
      </c>
      <c r="BT94" s="5">
        <f>IF($E94&gt;=BT$2,VLOOKUP($E94-BT$2,'data input'!$D$3:$E$130,2,FALSE),0)</f>
        <v>0.86970548286319116</v>
      </c>
      <c r="BU94" s="5">
        <f>IF($E94&gt;=BU$2,VLOOKUP($E94-BU$2,'data input'!$D$3:$E$130,2,FALSE),0)</f>
        <v>0.88493032977829178</v>
      </c>
      <c r="BV94" s="5">
        <f>IF($E94&gt;=BV$2,VLOOKUP($E94-BV$2,'data input'!$D$3:$E$130,2,FALSE),0)</f>
        <v>0.89884537900441408</v>
      </c>
      <c r="BW94" s="5">
        <f>IF($E94&gt;=BW$2,VLOOKUP($E94-BW$2,'data input'!$D$3:$E$130,2,FALSE),0)</f>
        <v>0.91149200856259793</v>
      </c>
      <c r="BX94" s="5">
        <f>IF($E94&gt;=BX$2,VLOOKUP($E94-BX$2,'data input'!$D$3:$E$130,2,FALSE),0)</f>
        <v>0.92292139944792817</v>
      </c>
      <c r="BY94" s="5">
        <f>IF($E94&gt;=BY$2,VLOOKUP($E94-BY$2,'data input'!$D$3:$E$130,2,FALSE),0)</f>
        <v>0.93319279873114191</v>
      </c>
      <c r="BZ94" s="5">
        <f>IF($E94&gt;=BZ$2,VLOOKUP($E94-BZ$2,'data input'!$D$3:$E$130,2,FALSE),0)</f>
        <v>0.94237177772384684</v>
      </c>
      <c r="CA94" s="5">
        <f>IF($E94&gt;=CA$2,VLOOKUP($E94-CA$2,'data input'!$D$3:$E$130,2,FALSE),0)</f>
        <v>0.9505285319663519</v>
      </c>
      <c r="CB94" s="5">
        <f>IF($E94&gt;=CB$2,VLOOKUP($E94-CB$2,'data input'!$D$3:$E$130,2,FALSE),0)</f>
        <v>0.95773626374204757</v>
      </c>
      <c r="CC94" s="5">
        <f>IF($E94&gt;=CC$2,VLOOKUP($E94-CC$2,'data input'!$D$3:$E$130,2,FALSE),0)</f>
        <v>0.96406968088707423</v>
      </c>
      <c r="CD94" s="5">
        <f>IF($E94&gt;=CD$2,VLOOKUP($E94-CD$2,'data input'!$D$3:$E$130,2,FALSE),0)</f>
        <v>0.96960363823473861</v>
      </c>
      <c r="CE94" s="5">
        <f>IF($E94&gt;=CE$2,VLOOKUP($E94-CE$2,'data input'!$D$3:$E$130,2,FALSE),0)</f>
        <v>0.97441194047836144</v>
      </c>
      <c r="CF94" s="5">
        <f>IF($E94&gt;=CF$2,VLOOKUP($E94-CF$2,'data input'!$D$3:$E$130,2,FALSE),0)</f>
        <v>0.97856631788584703</v>
      </c>
      <c r="CG94" s="5">
        <f>IF($E94&gt;=CG$2,VLOOKUP($E94-CG$2,'data input'!$D$3:$E$130,2,FALSE),0)</f>
        <v>0.98213557943718344</v>
      </c>
      <c r="CH94" s="5">
        <f>IF($E94&gt;=CH$2,VLOOKUP($E94-CH$2,'data input'!$D$3:$E$130,2,FALSE),0)</f>
        <v>0.98518494180739014</v>
      </c>
      <c r="CI94" s="5">
        <f>IF($E94&gt;=CI$2,VLOOKUP($E94-CI$2,'data input'!$D$3:$E$130,2,FALSE),0)</f>
        <v>0.98777552734495533</v>
      </c>
      <c r="CJ94" s="5">
        <f>IF($E94&gt;=CJ$2,VLOOKUP($E94-CJ$2,'data input'!$D$3:$E$130,2,FALSE),0)</f>
        <v>0.98996401989972593</v>
      </c>
      <c r="CK94" s="5">
        <f>IF($E94&gt;=CK$2,VLOOKUP($E94-CK$2,'data input'!$D$3:$E$130,2,FALSE),0)</f>
        <v>0.99180246407540384</v>
      </c>
      <c r="CL94" s="5">
        <f>IF($E94&gt;=CL$2,VLOOKUP($E94-CL$2,'data input'!$D$3:$E$130,2,FALSE),0)</f>
        <v>0.99333819120801725</v>
      </c>
      <c r="CM94" s="5">
        <f>IF($E94&gt;=CM$2,VLOOKUP($E94-CM$2,'data input'!$D$3:$E$130,2,FALSE),0)</f>
        <v>0.99461385404593328</v>
      </c>
      <c r="CN94" s="5">
        <f>IF($E94&gt;=CN$2,VLOOKUP($E94-CN$2,'data input'!$D$3:$E$130,2,FALSE),0)</f>
        <v>0.99566755163698739</v>
      </c>
      <c r="CO94" s="5">
        <f>IF($E94&gt;=CO$2,VLOOKUP($E94-CO$2,'data input'!$D$3:$E$130,2,FALSE),0)</f>
        <v>0.99653302619695938</v>
      </c>
      <c r="CP94" s="5">
        <f>IF($E94&gt;=CP$2,VLOOKUP($E94-CP$2,'data input'!$D$3:$E$130,2,FALSE),0)</f>
        <v>0.99723991460873751</v>
      </c>
      <c r="CQ94" s="5">
        <f>IF($E94&gt;=CQ$2,VLOOKUP($E94-CQ$2,'data input'!$D$3:$E$130,2,FALSE),0)</f>
        <v>0.99781403854508677</v>
      </c>
      <c r="CR94" s="5">
        <f>IF($E94&gt;=CR$2,VLOOKUP($E94-CR$2,'data input'!$D$3:$E$130,2,FALSE),0)</f>
        <v>0.99827771888413241</v>
      </c>
      <c r="CS94" s="5">
        <f>IF($E94&gt;=CS$2,VLOOKUP($E94-CS$2,'data input'!$D$3:$E$130,2,FALSE),0)</f>
        <v>0.9986501019683699</v>
      </c>
      <c r="CT94" s="5">
        <f>IF($E94&gt;=CT$2,VLOOKUP($E94-CT$2,'data input'!$D$3:$E$130,2,FALSE),0)</f>
        <v>0</v>
      </c>
      <c r="CU94" s="5">
        <f>IF($E94&gt;=CU$2,VLOOKUP($E94-CU$2,'data input'!$D$3:$E$130,2,FALSE),0)</f>
        <v>0</v>
      </c>
      <c r="CV94" s="5">
        <f>IF($E94&gt;=CV$2,VLOOKUP($E94-CV$2,'data input'!$D$3:$E$130,2,FALSE),0)</f>
        <v>0</v>
      </c>
      <c r="CW94" s="5">
        <f>IF($E94&gt;=CW$2,VLOOKUP($E94-CW$2,'data input'!$D$3:$E$130,2,FALSE),0)</f>
        <v>0</v>
      </c>
      <c r="CX94" s="5">
        <f>IF($E94&gt;=CX$2,VLOOKUP($E94-CX$2,'data input'!$D$3:$E$130,2,FALSE),0)</f>
        <v>0</v>
      </c>
      <c r="CY94" s="5">
        <f>IF($E94&gt;=CY$2,VLOOKUP($E94-CY$2,'data input'!$D$3:$E$130,2,FALSE),0)</f>
        <v>0</v>
      </c>
      <c r="CZ94" s="5">
        <f>IF($E94&gt;=CZ$2,VLOOKUP($E94-CZ$2,'data input'!$D$3:$E$130,2,FALSE),0)</f>
        <v>0</v>
      </c>
      <c r="DA94" s="5">
        <f>IF($E94&gt;=DA$2,VLOOKUP($E94-DA$2,'data input'!$D$3:$E$130,2,FALSE),0)</f>
        <v>0</v>
      </c>
      <c r="DB94" s="5">
        <f>IF($E94&gt;=DB$2,VLOOKUP($E94-DB$2,'data input'!$D$3:$E$130,2,FALSE),0)</f>
        <v>0</v>
      </c>
      <c r="DC94" s="5">
        <f>IF($E94&gt;=DC$2,VLOOKUP($E94-DC$2,'data input'!$D$3:$E$130,2,FALSE),0)</f>
        <v>0</v>
      </c>
      <c r="DD94" s="5">
        <f>IF($E94&gt;=DD$2,VLOOKUP($E94-DD$2,'data input'!$D$3:$E$130,2,FALSE),0)</f>
        <v>0</v>
      </c>
      <c r="DE94" s="5">
        <f>IF($E94&gt;=DE$2,VLOOKUP($E94-DE$2,'data input'!$D$3:$E$130,2,FALSE),0)</f>
        <v>0</v>
      </c>
      <c r="DF94" s="5">
        <f>IF($E94&gt;=DF$2,VLOOKUP($E94-DF$2,'data input'!$D$3:$E$130,2,FALSE),0)</f>
        <v>0</v>
      </c>
      <c r="DG94" s="5">
        <f>IF($E94&gt;=DG$2,VLOOKUP($E94-DG$2,'data input'!$D$3:$E$130,2,FALSE),0)</f>
        <v>0</v>
      </c>
      <c r="DH94" s="5">
        <f>IF($E94&gt;=DH$2,VLOOKUP($E94-DH$2,'data input'!$D$3:$E$130,2,FALSE),0)</f>
        <v>0</v>
      </c>
      <c r="DI94" s="5">
        <f>IF($E94&gt;=DI$2,VLOOKUP($E94-DI$2,'data input'!$D$3:$E$130,2,FALSE),0)</f>
        <v>0</v>
      </c>
      <c r="DJ94" s="5">
        <f>IF($E94&gt;=DJ$2,VLOOKUP($E94-DJ$2,'data input'!$D$3:$E$130,2,FALSE),0)</f>
        <v>0</v>
      </c>
      <c r="DK94" s="5">
        <f>IF($E94&gt;=DK$2,VLOOKUP($E94-DK$2,'data input'!$D$3:$E$130,2,FALSE),0)</f>
        <v>0</v>
      </c>
      <c r="DL94" s="5">
        <f>IF($E94&gt;=DL$2,VLOOKUP($E94-DL$2,'data input'!$D$3:$E$130,2,FALSE),0)</f>
        <v>0</v>
      </c>
      <c r="DM94" s="5">
        <f>IF($E94&gt;=DM$2,VLOOKUP($E94-DM$2,'data input'!$D$3:$E$130,2,FALSE),0)</f>
        <v>0</v>
      </c>
      <c r="DN94" s="5">
        <f>IF($E94&gt;=DN$2,VLOOKUP($E94-DN$2,'data input'!$D$3:$E$130,2,FALSE),0)</f>
        <v>0</v>
      </c>
      <c r="DO94" s="5">
        <f>IF($E94&gt;=DO$2,VLOOKUP($E94-DO$2,'data input'!$D$3:$E$130,2,FALSE),0)</f>
        <v>0</v>
      </c>
      <c r="DP94" s="5">
        <f>IF($E94&gt;=DP$2,VLOOKUP($E94-DP$2,'data input'!$D$3:$E$130,2,FALSE),0)</f>
        <v>0</v>
      </c>
      <c r="DQ94" s="5">
        <f>IF($E94&gt;=DQ$2,VLOOKUP($E94-DQ$2,'data input'!$D$3:$E$130,2,FALSE),0)</f>
        <v>0</v>
      </c>
      <c r="DR94" s="5">
        <f>IF($E94&gt;=DR$2,VLOOKUP($E94-DR$2,'data input'!$D$3:$E$130,2,FALSE),0)</f>
        <v>0</v>
      </c>
      <c r="DS94" s="5">
        <f>IF($E94&gt;=DS$2,VLOOKUP($E94-DS$2,'data input'!$D$3:$E$130,2,FALSE),0)</f>
        <v>0</v>
      </c>
      <c r="DT94" s="5">
        <f>IF($E94&gt;=DT$2,VLOOKUP($E94-DT$2,'data input'!$D$3:$E$130,2,FALSE),0)</f>
        <v>0</v>
      </c>
      <c r="DU94" s="5">
        <f>IF($E94&gt;=DU$2,VLOOKUP($E94-DU$2,'data input'!$D$3:$E$130,2,FALSE),0)</f>
        <v>0</v>
      </c>
      <c r="DV94" s="5">
        <f>IF($E94&gt;=DV$2,VLOOKUP($E94-DV$2,'data input'!$D$3:$E$130,2,FALSE),0)</f>
        <v>0</v>
      </c>
      <c r="DW94" s="5">
        <f>IF($E94&gt;=DW$2,VLOOKUP($E94-DW$2,'data input'!$D$3:$E$130,2,FALSE),0)</f>
        <v>0</v>
      </c>
      <c r="DX94" s="5">
        <f>IF($E94&gt;=DX$2,VLOOKUP($E94-DX$2,'data input'!$D$3:$E$130,2,FALSE),0)</f>
        <v>0</v>
      </c>
      <c r="DY94" s="5">
        <f>IF($E94&gt;=DY$2,VLOOKUP($E94-DY$2,'data input'!$D$3:$E$130,2,FALSE),0)</f>
        <v>0</v>
      </c>
      <c r="DZ94" s="5">
        <f>IF($E94&gt;=DZ$2,VLOOKUP($E94-DZ$2,'data input'!$D$3:$E$130,2,FALSE),0)</f>
        <v>0</v>
      </c>
      <c r="EA94" s="5">
        <f>IF($E94&gt;=EA$2,VLOOKUP($E94-EA$2,'data input'!$D$3:$E$130,2,FALSE),0)</f>
        <v>0</v>
      </c>
      <c r="EB94" s="5">
        <f>IF($E94&gt;=EB$2,VLOOKUP($E94-EB$2,'data input'!$D$3:$E$130,2,FALSE),0)</f>
        <v>0</v>
      </c>
      <c r="EC94" s="5">
        <f>IF($E94&gt;=EC$2,VLOOKUP($E94-EC$2,'data input'!$D$3:$E$130,2,FALSE),0)</f>
        <v>0</v>
      </c>
    </row>
    <row r="95" spans="5:133">
      <c r="E95" s="7">
        <f>'data input'!B95</f>
        <v>1970</v>
      </c>
      <c r="F95" s="5">
        <f>IF($E95&gt;=F$2,VLOOKUP($E95-F$2,'data input'!$D$3:$E$130,2,FALSE),0)</f>
        <v>4.8096344017589665E-5</v>
      </c>
      <c r="G95" s="5">
        <f>IF($E95&gt;=G$2,VLOOKUP($E95-G$2,'data input'!$D$3:$E$130,2,FALSE),0)</f>
        <v>6.5386043242687819E-5</v>
      </c>
      <c r="H95" s="5">
        <f>IF($E95&gt;=H$2,VLOOKUP($E95-H$2,'data input'!$D$3:$E$130,2,FALSE),0)</f>
        <v>8.841728520081471E-5</v>
      </c>
      <c r="I95" s="5">
        <f>IF($E95&gt;=I$2,VLOOKUP($E95-I$2,'data input'!$D$3:$E$130,2,FALSE),0)</f>
        <v>1.1892470732677296E-4</v>
      </c>
      <c r="J95" s="5">
        <f>IF($E95&gt;=J$2,VLOOKUP($E95-J$2,'data input'!$D$3:$E$130,2,FALSE),0)</f>
        <v>1.5910859015755285E-4</v>
      </c>
      <c r="K95" s="5">
        <f>IF($E95&gt;=K$2,VLOOKUP($E95-K$2,'data input'!$D$3:$E$130,2,FALSE),0)</f>
        <v>2.1174139572344153E-4</v>
      </c>
      <c r="L95" s="5">
        <f>IF($E95&gt;=L$2,VLOOKUP($E95-L$2,'data input'!$D$3:$E$130,2,FALSE),0)</f>
        <v>2.8029327681622362E-4</v>
      </c>
      <c r="M95" s="5">
        <f>IF($E95&gt;=M$2,VLOOKUP($E95-M$2,'data input'!$D$3:$E$130,2,FALSE),0)</f>
        <v>3.6907845427502917E-4</v>
      </c>
      <c r="N95" s="5">
        <f>IF($E95&gt;=N$2,VLOOKUP($E95-N$2,'data input'!$D$3:$E$130,2,FALSE),0)</f>
        <v>4.8342414238378151E-4</v>
      </c>
      <c r="O95" s="5">
        <f>IF($E95&gt;=O$2,VLOOKUP($E95-O$2,'data input'!$D$3:$E$130,2,FALSE),0)</f>
        <v>6.2986334399772748E-4</v>
      </c>
      <c r="P95" s="5">
        <f>IF($E95&gt;=P$2,VLOOKUP($E95-P$2,'data input'!$D$3:$E$130,2,FALSE),0)</f>
        <v>8.1635231282861653E-4</v>
      </c>
      <c r="Q95" s="5">
        <f>IF($E95&gt;=Q$2,VLOOKUP($E95-Q$2,'data input'!$D$3:$E$130,2,FALSE),0)</f>
        <v>1.0525127683760349E-3</v>
      </c>
      <c r="R95" s="5">
        <f>IF($E95&gt;=R$2,VLOOKUP($E95-R$2,'data input'!$D$3:$E$130,2,FALSE),0)</f>
        <v>1.3498980316301035E-3</v>
      </c>
      <c r="S95" s="5">
        <f>IF($E95&gt;=S$2,VLOOKUP($E95-S$2,'data input'!$D$3:$E$130,2,FALSE),0)</f>
        <v>1.7222811158675855E-3</v>
      </c>
      <c r="T95" s="5">
        <f>IF($E95&gt;=T$2,VLOOKUP($E95-T$2,'data input'!$D$3:$E$130,2,FALSE),0)</f>
        <v>2.1859614549132322E-3</v>
      </c>
      <c r="U95" s="5">
        <f>IF($E95&gt;=U$2,VLOOKUP($E95-U$2,'data input'!$D$3:$E$130,2,FALSE),0)</f>
        <v>2.7600853912624901E-3</v>
      </c>
      <c r="V95" s="5">
        <f>IF($E95&gt;=V$2,VLOOKUP($E95-V$2,'data input'!$D$3:$E$130,2,FALSE),0)</f>
        <v>3.4669738030406183E-3</v>
      </c>
      <c r="W95" s="5">
        <f>IF($E95&gt;=W$2,VLOOKUP($E95-W$2,'data input'!$D$3:$E$130,2,FALSE),0)</f>
        <v>4.3324483630126087E-3</v>
      </c>
      <c r="X95" s="5">
        <f>IF($E95&gt;=X$2,VLOOKUP($E95-X$2,'data input'!$D$3:$E$130,2,FALSE),0)</f>
        <v>5.3861459540667234E-3</v>
      </c>
      <c r="Y95" s="5">
        <f>IF($E95&gt;=Y$2,VLOOKUP($E95-Y$2,'data input'!$D$3:$E$130,2,FALSE),0)</f>
        <v>6.6618087919827484E-3</v>
      </c>
      <c r="Z95" s="5">
        <f>IF($E95&gt;=Z$2,VLOOKUP($E95-Z$2,'data input'!$D$3:$E$130,2,FALSE),0)</f>
        <v>8.1975359245961554E-3</v>
      </c>
      <c r="AA95" s="5">
        <f>IF($E95&gt;=AA$2,VLOOKUP($E95-AA$2,'data input'!$D$3:$E$130,2,FALSE),0)</f>
        <v>1.0035980100274067E-2</v>
      </c>
      <c r="AB95" s="5">
        <f>IF($E95&gt;=AB$2,VLOOKUP($E95-AB$2,'data input'!$D$3:$E$130,2,FALSE),0)</f>
        <v>1.2224472655044671E-2</v>
      </c>
      <c r="AC95" s="5">
        <f>IF($E95&gt;=AC$2,VLOOKUP($E95-AC$2,'data input'!$D$3:$E$130,2,FALSE),0)</f>
        <v>1.4815058192609865E-2</v>
      </c>
      <c r="AD95" s="5">
        <f>IF($E95&gt;=AD$2,VLOOKUP($E95-AD$2,'data input'!$D$3:$E$130,2,FALSE),0)</f>
        <v>1.7864420562816563E-2</v>
      </c>
      <c r="AE95" s="5">
        <f>IF($E95&gt;=AE$2,VLOOKUP($E95-AE$2,'data input'!$D$3:$E$130,2,FALSE),0)</f>
        <v>2.1433682114152974E-2</v>
      </c>
      <c r="AF95" s="5">
        <f>IF($E95&gt;=AF$2,VLOOKUP($E95-AF$2,'data input'!$D$3:$E$130,2,FALSE),0)</f>
        <v>2.5588059521638562E-2</v>
      </c>
      <c r="AG95" s="5">
        <f>IF($E95&gt;=AG$2,VLOOKUP($E95-AG$2,'data input'!$D$3:$E$130,2,FALSE),0)</f>
        <v>3.0396361765261393E-2</v>
      </c>
      <c r="AH95" s="5">
        <f>IF($E95&gt;=AH$2,VLOOKUP($E95-AH$2,'data input'!$D$3:$E$130,2,FALSE),0)</f>
        <v>3.5930319112925768E-2</v>
      </c>
      <c r="AI95" s="5">
        <f>IF($E95&gt;=AI$2,VLOOKUP($E95-AI$2,'data input'!$D$3:$E$130,2,FALSE),0)</f>
        <v>4.2263736257952433E-2</v>
      </c>
      <c r="AJ95" s="5">
        <f>IF($E95&gt;=AJ$2,VLOOKUP($E95-AJ$2,'data input'!$D$3:$E$130,2,FALSE),0)</f>
        <v>4.9471468033648103E-2</v>
      </c>
      <c r="AK95" s="5">
        <f>IF($E95&gt;=AK$2,VLOOKUP($E95-AK$2,'data input'!$D$3:$E$130,2,FALSE),0)</f>
        <v>5.7628222276153163E-2</v>
      </c>
      <c r="AL95" s="5">
        <f>IF($E95&gt;=AL$2,VLOOKUP($E95-AL$2,'data input'!$D$3:$E$130,2,FALSE),0)</f>
        <v>6.6807201268858085E-2</v>
      </c>
      <c r="AM95" s="5">
        <f>IF($E95&gt;=AM$2,VLOOKUP($E95-AM$2,'data input'!$D$3:$E$130,2,FALSE),0)</f>
        <v>7.707860055207183E-2</v>
      </c>
      <c r="AN95" s="5">
        <f>IF($E95&gt;=AN$2,VLOOKUP($E95-AN$2,'data input'!$D$3:$E$130,2,FALSE),0)</f>
        <v>8.8507991437402067E-2</v>
      </c>
      <c r="AO95" s="5">
        <f>IF($E95&gt;=AO$2,VLOOKUP($E95-AO$2,'data input'!$D$3:$E$130,2,FALSE),0)</f>
        <v>0.10115462099558592</v>
      </c>
      <c r="AP95" s="5">
        <f>IF($E95&gt;=AP$2,VLOOKUP($E95-AP$2,'data input'!$D$3:$E$130,2,FALSE),0)</f>
        <v>0.11506967022170822</v>
      </c>
      <c r="AQ95" s="5">
        <f>IF($E95&gt;=AQ$2,VLOOKUP($E95-AQ$2,'data input'!$D$3:$E$130,2,FALSE),0)</f>
        <v>0.13029451713680884</v>
      </c>
      <c r="AR95" s="5">
        <f>IF($E95&gt;=AR$2,VLOOKUP($E95-AR$2,'data input'!$D$3:$E$130,2,FALSE),0)</f>
        <v>0.14685905637589591</v>
      </c>
      <c r="AS95" s="5">
        <f>IF($E95&gt;=AS$2,VLOOKUP($E95-AS$2,'data input'!$D$3:$E$130,2,FALSE),0)</f>
        <v>0.16478012998031033</v>
      </c>
      <c r="AT95" s="5">
        <f>IF($E95&gt;=AT$2,VLOOKUP($E95-AT$2,'data input'!$D$3:$E$130,2,FALSE),0)</f>
        <v>0.18406012534675953</v>
      </c>
      <c r="AU95" s="5">
        <f>IF($E95&gt;=AU$2,VLOOKUP($E95-AU$2,'data input'!$D$3:$E$130,2,FALSE),0)</f>
        <v>0.20468579534725262</v>
      </c>
      <c r="AV95" s="5">
        <f>IF($E95&gt;=AV$2,VLOOKUP($E95-AV$2,'data input'!$D$3:$E$130,2,FALSE),0)</f>
        <v>0.22662735237686826</v>
      </c>
      <c r="AW95" s="5">
        <f>IF($E95&gt;=AW$2,VLOOKUP($E95-AW$2,'data input'!$D$3:$E$130,2,FALSE),0)</f>
        <v>0.24983788247177696</v>
      </c>
      <c r="AX95" s="5">
        <f>IF($E95&gt;=AX$2,VLOOKUP($E95-AX$2,'data input'!$D$3:$E$130,2,FALSE),0)</f>
        <v>0.27425311775007355</v>
      </c>
      <c r="AY95" s="5">
        <f>IF($E95&gt;=AY$2,VLOOKUP($E95-AY$2,'data input'!$D$3:$E$130,2,FALSE),0)</f>
        <v>0.29979159546869583</v>
      </c>
      <c r="AZ95" s="5">
        <f>IF($E95&gt;=AZ$2,VLOOKUP($E95-AZ$2,'data input'!$D$3:$E$130,2,FALSE),0)</f>
        <v>0.32635522028792008</v>
      </c>
      <c r="BA95" s="5">
        <f>IF($E95&gt;=BA$2,VLOOKUP($E95-BA$2,'data input'!$D$3:$E$130,2,FALSE),0)</f>
        <v>0.35383023332727614</v>
      </c>
      <c r="BB95" s="5">
        <f>IF($E95&gt;=BB$2,VLOOKUP($E95-BB$2,'data input'!$D$3:$E$130,2,FALSE),0)</f>
        <v>0.38208857781104733</v>
      </c>
      <c r="BC95" s="5">
        <f>IF($E95&gt;=BC$2,VLOOKUP($E95-BC$2,'data input'!$D$3:$E$130,2,FALSE),0)</f>
        <v>0.41098963713127035</v>
      </c>
      <c r="BD95" s="5">
        <f>IF($E95&gt;=BD$2,VLOOKUP($E95-BD$2,'data input'!$D$3:$E$130,2,FALSE),0)</f>
        <v>0.4403823076297575</v>
      </c>
      <c r="BE95" s="5">
        <f>IF($E95&gt;=BE$2,VLOOKUP($E95-BE$2,'data input'!$D$3:$E$130,2,FALSE),0)</f>
        <v>0.47010735594710518</v>
      </c>
      <c r="BF95" s="5">
        <f>IF($E95&gt;=BF$2,VLOOKUP($E95-BF$2,'data input'!$D$3:$E$130,2,FALSE),0)</f>
        <v>0.5</v>
      </c>
      <c r="BG95" s="5">
        <f>IF($E95&gt;=BG$2,VLOOKUP($E95-BG$2,'data input'!$D$3:$E$130,2,FALSE),0)</f>
        <v>0.52989264405289482</v>
      </c>
      <c r="BH95" s="5">
        <f>IF($E95&gt;=BH$2,VLOOKUP($E95-BH$2,'data input'!$D$3:$E$130,2,FALSE),0)</f>
        <v>0.5596176923702425</v>
      </c>
      <c r="BI95" s="5">
        <f>IF($E95&gt;=BI$2,VLOOKUP($E95-BI$2,'data input'!$D$3:$E$130,2,FALSE),0)</f>
        <v>0.58901036286872965</v>
      </c>
      <c r="BJ95" s="5">
        <f>IF($E95&gt;=BJ$2,VLOOKUP($E95-BJ$2,'data input'!$D$3:$E$130,2,FALSE),0)</f>
        <v>0.61791142218895267</v>
      </c>
      <c r="BK95" s="5">
        <f>IF($E95&gt;=BK$2,VLOOKUP($E95-BK$2,'data input'!$D$3:$E$130,2,FALSE),0)</f>
        <v>0.64616976667272386</v>
      </c>
      <c r="BL95" s="5">
        <f>IF($E95&gt;=BL$2,VLOOKUP($E95-BL$2,'data input'!$D$3:$E$130,2,FALSE),0)</f>
        <v>0.67364477971207992</v>
      </c>
      <c r="BM95" s="5">
        <f>IF($E95&gt;=BM$2,VLOOKUP($E95-BM$2,'data input'!$D$3:$E$130,2,FALSE),0)</f>
        <v>0.70020840453130417</v>
      </c>
      <c r="BN95" s="5">
        <f>IF($E95&gt;=BN$2,VLOOKUP($E95-BN$2,'data input'!$D$3:$E$130,2,FALSE),0)</f>
        <v>0.72574688224992645</v>
      </c>
      <c r="BO95" s="5">
        <f>IF($E95&gt;=BO$2,VLOOKUP($E95-BO$2,'data input'!$D$3:$E$130,2,FALSE),0)</f>
        <v>0.75016211752822304</v>
      </c>
      <c r="BP95" s="5">
        <f>IF($E95&gt;=BP$2,VLOOKUP($E95-BP$2,'data input'!$D$3:$E$130,2,FALSE),0)</f>
        <v>0.77337264762313174</v>
      </c>
      <c r="BQ95" s="5">
        <f>IF($E95&gt;=BQ$2,VLOOKUP($E95-BQ$2,'data input'!$D$3:$E$130,2,FALSE),0)</f>
        <v>0.79531420465274738</v>
      </c>
      <c r="BR95" s="5">
        <f>IF($E95&gt;=BR$2,VLOOKUP($E95-BR$2,'data input'!$D$3:$E$130,2,FALSE),0)</f>
        <v>0.81593987465324047</v>
      </c>
      <c r="BS95" s="5">
        <f>IF($E95&gt;=BS$2,VLOOKUP($E95-BS$2,'data input'!$D$3:$E$130,2,FALSE),0)</f>
        <v>0.83521987001968967</v>
      </c>
      <c r="BT95" s="5">
        <f>IF($E95&gt;=BT$2,VLOOKUP($E95-BT$2,'data input'!$D$3:$E$130,2,FALSE),0)</f>
        <v>0.85314094362410409</v>
      </c>
      <c r="BU95" s="5">
        <f>IF($E95&gt;=BU$2,VLOOKUP($E95-BU$2,'data input'!$D$3:$E$130,2,FALSE),0)</f>
        <v>0.86970548286319116</v>
      </c>
      <c r="BV95" s="5">
        <f>IF($E95&gt;=BV$2,VLOOKUP($E95-BV$2,'data input'!$D$3:$E$130,2,FALSE),0)</f>
        <v>0.88493032977829178</v>
      </c>
      <c r="BW95" s="5">
        <f>IF($E95&gt;=BW$2,VLOOKUP($E95-BW$2,'data input'!$D$3:$E$130,2,FALSE),0)</f>
        <v>0.89884537900441408</v>
      </c>
      <c r="BX95" s="5">
        <f>IF($E95&gt;=BX$2,VLOOKUP($E95-BX$2,'data input'!$D$3:$E$130,2,FALSE),0)</f>
        <v>0.91149200856259793</v>
      </c>
      <c r="BY95" s="5">
        <f>IF($E95&gt;=BY$2,VLOOKUP($E95-BY$2,'data input'!$D$3:$E$130,2,FALSE),0)</f>
        <v>0.92292139944792817</v>
      </c>
      <c r="BZ95" s="5">
        <f>IF($E95&gt;=BZ$2,VLOOKUP($E95-BZ$2,'data input'!$D$3:$E$130,2,FALSE),0)</f>
        <v>0.93319279873114191</v>
      </c>
      <c r="CA95" s="5">
        <f>IF($E95&gt;=CA$2,VLOOKUP($E95-CA$2,'data input'!$D$3:$E$130,2,FALSE),0)</f>
        <v>0.94237177772384684</v>
      </c>
      <c r="CB95" s="5">
        <f>IF($E95&gt;=CB$2,VLOOKUP($E95-CB$2,'data input'!$D$3:$E$130,2,FALSE),0)</f>
        <v>0.9505285319663519</v>
      </c>
      <c r="CC95" s="5">
        <f>IF($E95&gt;=CC$2,VLOOKUP($E95-CC$2,'data input'!$D$3:$E$130,2,FALSE),0)</f>
        <v>0.95773626374204757</v>
      </c>
      <c r="CD95" s="5">
        <f>IF($E95&gt;=CD$2,VLOOKUP($E95-CD$2,'data input'!$D$3:$E$130,2,FALSE),0)</f>
        <v>0.96406968088707423</v>
      </c>
      <c r="CE95" s="5">
        <f>IF($E95&gt;=CE$2,VLOOKUP($E95-CE$2,'data input'!$D$3:$E$130,2,FALSE),0)</f>
        <v>0.96960363823473861</v>
      </c>
      <c r="CF95" s="5">
        <f>IF($E95&gt;=CF$2,VLOOKUP($E95-CF$2,'data input'!$D$3:$E$130,2,FALSE),0)</f>
        <v>0.97441194047836144</v>
      </c>
      <c r="CG95" s="5">
        <f>IF($E95&gt;=CG$2,VLOOKUP($E95-CG$2,'data input'!$D$3:$E$130,2,FALSE),0)</f>
        <v>0.97856631788584703</v>
      </c>
      <c r="CH95" s="5">
        <f>IF($E95&gt;=CH$2,VLOOKUP($E95-CH$2,'data input'!$D$3:$E$130,2,FALSE),0)</f>
        <v>0.98213557943718344</v>
      </c>
      <c r="CI95" s="5">
        <f>IF($E95&gt;=CI$2,VLOOKUP($E95-CI$2,'data input'!$D$3:$E$130,2,FALSE),0)</f>
        <v>0.98518494180739014</v>
      </c>
      <c r="CJ95" s="5">
        <f>IF($E95&gt;=CJ$2,VLOOKUP($E95-CJ$2,'data input'!$D$3:$E$130,2,FALSE),0)</f>
        <v>0.98777552734495533</v>
      </c>
      <c r="CK95" s="5">
        <f>IF($E95&gt;=CK$2,VLOOKUP($E95-CK$2,'data input'!$D$3:$E$130,2,FALSE),0)</f>
        <v>0.98996401989972593</v>
      </c>
      <c r="CL95" s="5">
        <f>IF($E95&gt;=CL$2,VLOOKUP($E95-CL$2,'data input'!$D$3:$E$130,2,FALSE),0)</f>
        <v>0.99180246407540384</v>
      </c>
      <c r="CM95" s="5">
        <f>IF($E95&gt;=CM$2,VLOOKUP($E95-CM$2,'data input'!$D$3:$E$130,2,FALSE),0)</f>
        <v>0.99333819120801725</v>
      </c>
      <c r="CN95" s="5">
        <f>IF($E95&gt;=CN$2,VLOOKUP($E95-CN$2,'data input'!$D$3:$E$130,2,FALSE),0)</f>
        <v>0.99461385404593328</v>
      </c>
      <c r="CO95" s="5">
        <f>IF($E95&gt;=CO$2,VLOOKUP($E95-CO$2,'data input'!$D$3:$E$130,2,FALSE),0)</f>
        <v>0.99566755163698739</v>
      </c>
      <c r="CP95" s="5">
        <f>IF($E95&gt;=CP$2,VLOOKUP($E95-CP$2,'data input'!$D$3:$E$130,2,FALSE),0)</f>
        <v>0.99653302619695938</v>
      </c>
      <c r="CQ95" s="5">
        <f>IF($E95&gt;=CQ$2,VLOOKUP($E95-CQ$2,'data input'!$D$3:$E$130,2,FALSE),0)</f>
        <v>0.99723991460873751</v>
      </c>
      <c r="CR95" s="5">
        <f>IF($E95&gt;=CR$2,VLOOKUP($E95-CR$2,'data input'!$D$3:$E$130,2,FALSE),0)</f>
        <v>0.99781403854508677</v>
      </c>
      <c r="CS95" s="5">
        <f>IF($E95&gt;=CS$2,VLOOKUP($E95-CS$2,'data input'!$D$3:$E$130,2,FALSE),0)</f>
        <v>0.99827771888413241</v>
      </c>
      <c r="CT95" s="5">
        <f>IF($E95&gt;=CT$2,VLOOKUP($E95-CT$2,'data input'!$D$3:$E$130,2,FALSE),0)</f>
        <v>0.9986501019683699</v>
      </c>
      <c r="CU95" s="5">
        <f>IF($E95&gt;=CU$2,VLOOKUP($E95-CU$2,'data input'!$D$3:$E$130,2,FALSE),0)</f>
        <v>0</v>
      </c>
      <c r="CV95" s="5">
        <f>IF($E95&gt;=CV$2,VLOOKUP($E95-CV$2,'data input'!$D$3:$E$130,2,FALSE),0)</f>
        <v>0</v>
      </c>
      <c r="CW95" s="5">
        <f>IF($E95&gt;=CW$2,VLOOKUP($E95-CW$2,'data input'!$D$3:$E$130,2,FALSE),0)</f>
        <v>0</v>
      </c>
      <c r="CX95" s="5">
        <f>IF($E95&gt;=CX$2,VLOOKUP($E95-CX$2,'data input'!$D$3:$E$130,2,FALSE),0)</f>
        <v>0</v>
      </c>
      <c r="CY95" s="5">
        <f>IF($E95&gt;=CY$2,VLOOKUP($E95-CY$2,'data input'!$D$3:$E$130,2,FALSE),0)</f>
        <v>0</v>
      </c>
      <c r="CZ95" s="5">
        <f>IF($E95&gt;=CZ$2,VLOOKUP($E95-CZ$2,'data input'!$D$3:$E$130,2,FALSE),0)</f>
        <v>0</v>
      </c>
      <c r="DA95" s="5">
        <f>IF($E95&gt;=DA$2,VLOOKUP($E95-DA$2,'data input'!$D$3:$E$130,2,FALSE),0)</f>
        <v>0</v>
      </c>
      <c r="DB95" s="5">
        <f>IF($E95&gt;=DB$2,VLOOKUP($E95-DB$2,'data input'!$D$3:$E$130,2,FALSE),0)</f>
        <v>0</v>
      </c>
      <c r="DC95" s="5">
        <f>IF($E95&gt;=DC$2,VLOOKUP($E95-DC$2,'data input'!$D$3:$E$130,2,FALSE),0)</f>
        <v>0</v>
      </c>
      <c r="DD95" s="5">
        <f>IF($E95&gt;=DD$2,VLOOKUP($E95-DD$2,'data input'!$D$3:$E$130,2,FALSE),0)</f>
        <v>0</v>
      </c>
      <c r="DE95" s="5">
        <f>IF($E95&gt;=DE$2,VLOOKUP($E95-DE$2,'data input'!$D$3:$E$130,2,FALSE),0)</f>
        <v>0</v>
      </c>
      <c r="DF95" s="5">
        <f>IF($E95&gt;=DF$2,VLOOKUP($E95-DF$2,'data input'!$D$3:$E$130,2,FALSE),0)</f>
        <v>0</v>
      </c>
      <c r="DG95" s="5">
        <f>IF($E95&gt;=DG$2,VLOOKUP($E95-DG$2,'data input'!$D$3:$E$130,2,FALSE),0)</f>
        <v>0</v>
      </c>
      <c r="DH95" s="5">
        <f>IF($E95&gt;=DH$2,VLOOKUP($E95-DH$2,'data input'!$D$3:$E$130,2,FALSE),0)</f>
        <v>0</v>
      </c>
      <c r="DI95" s="5">
        <f>IF($E95&gt;=DI$2,VLOOKUP($E95-DI$2,'data input'!$D$3:$E$130,2,FALSE),0)</f>
        <v>0</v>
      </c>
      <c r="DJ95" s="5">
        <f>IF($E95&gt;=DJ$2,VLOOKUP($E95-DJ$2,'data input'!$D$3:$E$130,2,FALSE),0)</f>
        <v>0</v>
      </c>
      <c r="DK95" s="5">
        <f>IF($E95&gt;=DK$2,VLOOKUP($E95-DK$2,'data input'!$D$3:$E$130,2,FALSE),0)</f>
        <v>0</v>
      </c>
      <c r="DL95" s="5">
        <f>IF($E95&gt;=DL$2,VLOOKUP($E95-DL$2,'data input'!$D$3:$E$130,2,FALSE),0)</f>
        <v>0</v>
      </c>
      <c r="DM95" s="5">
        <f>IF($E95&gt;=DM$2,VLOOKUP($E95-DM$2,'data input'!$D$3:$E$130,2,FALSE),0)</f>
        <v>0</v>
      </c>
      <c r="DN95" s="5">
        <f>IF($E95&gt;=DN$2,VLOOKUP($E95-DN$2,'data input'!$D$3:$E$130,2,FALSE),0)</f>
        <v>0</v>
      </c>
      <c r="DO95" s="5">
        <f>IF($E95&gt;=DO$2,VLOOKUP($E95-DO$2,'data input'!$D$3:$E$130,2,FALSE),0)</f>
        <v>0</v>
      </c>
      <c r="DP95" s="5">
        <f>IF($E95&gt;=DP$2,VLOOKUP($E95-DP$2,'data input'!$D$3:$E$130,2,FALSE),0)</f>
        <v>0</v>
      </c>
      <c r="DQ95" s="5">
        <f>IF($E95&gt;=DQ$2,VLOOKUP($E95-DQ$2,'data input'!$D$3:$E$130,2,FALSE),0)</f>
        <v>0</v>
      </c>
      <c r="DR95" s="5">
        <f>IF($E95&gt;=DR$2,VLOOKUP($E95-DR$2,'data input'!$D$3:$E$130,2,FALSE),0)</f>
        <v>0</v>
      </c>
      <c r="DS95" s="5">
        <f>IF($E95&gt;=DS$2,VLOOKUP($E95-DS$2,'data input'!$D$3:$E$130,2,FALSE),0)</f>
        <v>0</v>
      </c>
      <c r="DT95" s="5">
        <f>IF($E95&gt;=DT$2,VLOOKUP($E95-DT$2,'data input'!$D$3:$E$130,2,FALSE),0)</f>
        <v>0</v>
      </c>
      <c r="DU95" s="5">
        <f>IF($E95&gt;=DU$2,VLOOKUP($E95-DU$2,'data input'!$D$3:$E$130,2,FALSE),0)</f>
        <v>0</v>
      </c>
      <c r="DV95" s="5">
        <f>IF($E95&gt;=DV$2,VLOOKUP($E95-DV$2,'data input'!$D$3:$E$130,2,FALSE),0)</f>
        <v>0</v>
      </c>
      <c r="DW95" s="5">
        <f>IF($E95&gt;=DW$2,VLOOKUP($E95-DW$2,'data input'!$D$3:$E$130,2,FALSE),0)</f>
        <v>0</v>
      </c>
      <c r="DX95" s="5">
        <f>IF($E95&gt;=DX$2,VLOOKUP($E95-DX$2,'data input'!$D$3:$E$130,2,FALSE),0)</f>
        <v>0</v>
      </c>
      <c r="DY95" s="5">
        <f>IF($E95&gt;=DY$2,VLOOKUP($E95-DY$2,'data input'!$D$3:$E$130,2,FALSE),0)</f>
        <v>0</v>
      </c>
      <c r="DZ95" s="5">
        <f>IF($E95&gt;=DZ$2,VLOOKUP($E95-DZ$2,'data input'!$D$3:$E$130,2,FALSE),0)</f>
        <v>0</v>
      </c>
      <c r="EA95" s="5">
        <f>IF($E95&gt;=EA$2,VLOOKUP($E95-EA$2,'data input'!$D$3:$E$130,2,FALSE),0)</f>
        <v>0</v>
      </c>
      <c r="EB95" s="5">
        <f>IF($E95&gt;=EB$2,VLOOKUP($E95-EB$2,'data input'!$D$3:$E$130,2,FALSE),0)</f>
        <v>0</v>
      </c>
      <c r="EC95" s="5">
        <f>IF($E95&gt;=EC$2,VLOOKUP($E95-EC$2,'data input'!$D$3:$E$130,2,FALSE),0)</f>
        <v>0</v>
      </c>
    </row>
    <row r="96" spans="5:133">
      <c r="E96" s="7">
        <f>'data input'!B96</f>
        <v>1971</v>
      </c>
      <c r="F96" s="5">
        <f>IF($E96&gt;=F$2,VLOOKUP($E96-F$2,'data input'!$D$3:$E$130,2,FALSE),0)</f>
        <v>3.5189628065923628E-5</v>
      </c>
      <c r="G96" s="5">
        <f>IF($E96&gt;=G$2,VLOOKUP($E96-G$2,'data input'!$D$3:$E$130,2,FALSE),0)</f>
        <v>4.8096344017589665E-5</v>
      </c>
      <c r="H96" s="5">
        <f>IF($E96&gt;=H$2,VLOOKUP($E96-H$2,'data input'!$D$3:$E$130,2,FALSE),0)</f>
        <v>6.5386043242687819E-5</v>
      </c>
      <c r="I96" s="5">
        <f>IF($E96&gt;=I$2,VLOOKUP($E96-I$2,'data input'!$D$3:$E$130,2,FALSE),0)</f>
        <v>8.841728520081471E-5</v>
      </c>
      <c r="J96" s="5">
        <f>IF($E96&gt;=J$2,VLOOKUP($E96-J$2,'data input'!$D$3:$E$130,2,FALSE),0)</f>
        <v>1.1892470732677296E-4</v>
      </c>
      <c r="K96" s="5">
        <f>IF($E96&gt;=K$2,VLOOKUP($E96-K$2,'data input'!$D$3:$E$130,2,FALSE),0)</f>
        <v>1.5910859015755285E-4</v>
      </c>
      <c r="L96" s="5">
        <f>IF($E96&gt;=L$2,VLOOKUP($E96-L$2,'data input'!$D$3:$E$130,2,FALSE),0)</f>
        <v>2.1174139572344153E-4</v>
      </c>
      <c r="M96" s="5">
        <f>IF($E96&gt;=M$2,VLOOKUP($E96-M$2,'data input'!$D$3:$E$130,2,FALSE),0)</f>
        <v>2.8029327681622362E-4</v>
      </c>
      <c r="N96" s="5">
        <f>IF($E96&gt;=N$2,VLOOKUP($E96-N$2,'data input'!$D$3:$E$130,2,FALSE),0)</f>
        <v>3.6907845427502917E-4</v>
      </c>
      <c r="O96" s="5">
        <f>IF($E96&gt;=O$2,VLOOKUP($E96-O$2,'data input'!$D$3:$E$130,2,FALSE),0)</f>
        <v>4.8342414238378151E-4</v>
      </c>
      <c r="P96" s="5">
        <f>IF($E96&gt;=P$2,VLOOKUP($E96-P$2,'data input'!$D$3:$E$130,2,FALSE),0)</f>
        <v>6.2986334399772748E-4</v>
      </c>
      <c r="Q96" s="5">
        <f>IF($E96&gt;=Q$2,VLOOKUP($E96-Q$2,'data input'!$D$3:$E$130,2,FALSE),0)</f>
        <v>8.1635231282861653E-4</v>
      </c>
      <c r="R96" s="5">
        <f>IF($E96&gt;=R$2,VLOOKUP($E96-R$2,'data input'!$D$3:$E$130,2,FALSE),0)</f>
        <v>1.0525127683760349E-3</v>
      </c>
      <c r="S96" s="5">
        <f>IF($E96&gt;=S$2,VLOOKUP($E96-S$2,'data input'!$D$3:$E$130,2,FALSE),0)</f>
        <v>1.3498980316301035E-3</v>
      </c>
      <c r="T96" s="5">
        <f>IF($E96&gt;=T$2,VLOOKUP($E96-T$2,'data input'!$D$3:$E$130,2,FALSE),0)</f>
        <v>1.7222811158675855E-3</v>
      </c>
      <c r="U96" s="5">
        <f>IF($E96&gt;=U$2,VLOOKUP($E96-U$2,'data input'!$D$3:$E$130,2,FALSE),0)</f>
        <v>2.1859614549132322E-3</v>
      </c>
      <c r="V96" s="5">
        <f>IF($E96&gt;=V$2,VLOOKUP($E96-V$2,'data input'!$D$3:$E$130,2,FALSE),0)</f>
        <v>2.7600853912624901E-3</v>
      </c>
      <c r="W96" s="5">
        <f>IF($E96&gt;=W$2,VLOOKUP($E96-W$2,'data input'!$D$3:$E$130,2,FALSE),0)</f>
        <v>3.4669738030406183E-3</v>
      </c>
      <c r="X96" s="5">
        <f>IF($E96&gt;=X$2,VLOOKUP($E96-X$2,'data input'!$D$3:$E$130,2,FALSE),0)</f>
        <v>4.3324483630126087E-3</v>
      </c>
      <c r="Y96" s="5">
        <f>IF($E96&gt;=Y$2,VLOOKUP($E96-Y$2,'data input'!$D$3:$E$130,2,FALSE),0)</f>
        <v>5.3861459540667234E-3</v>
      </c>
      <c r="Z96" s="5">
        <f>IF($E96&gt;=Z$2,VLOOKUP($E96-Z$2,'data input'!$D$3:$E$130,2,FALSE),0)</f>
        <v>6.6618087919827484E-3</v>
      </c>
      <c r="AA96" s="5">
        <f>IF($E96&gt;=AA$2,VLOOKUP($E96-AA$2,'data input'!$D$3:$E$130,2,FALSE),0)</f>
        <v>8.1975359245961554E-3</v>
      </c>
      <c r="AB96" s="5">
        <f>IF($E96&gt;=AB$2,VLOOKUP($E96-AB$2,'data input'!$D$3:$E$130,2,FALSE),0)</f>
        <v>1.0035980100274067E-2</v>
      </c>
      <c r="AC96" s="5">
        <f>IF($E96&gt;=AC$2,VLOOKUP($E96-AC$2,'data input'!$D$3:$E$130,2,FALSE),0)</f>
        <v>1.2224472655044671E-2</v>
      </c>
      <c r="AD96" s="5">
        <f>IF($E96&gt;=AD$2,VLOOKUP($E96-AD$2,'data input'!$D$3:$E$130,2,FALSE),0)</f>
        <v>1.4815058192609865E-2</v>
      </c>
      <c r="AE96" s="5">
        <f>IF($E96&gt;=AE$2,VLOOKUP($E96-AE$2,'data input'!$D$3:$E$130,2,FALSE),0)</f>
        <v>1.7864420562816563E-2</v>
      </c>
      <c r="AF96" s="5">
        <f>IF($E96&gt;=AF$2,VLOOKUP($E96-AF$2,'data input'!$D$3:$E$130,2,FALSE),0)</f>
        <v>2.1433682114152974E-2</v>
      </c>
      <c r="AG96" s="5">
        <f>IF($E96&gt;=AG$2,VLOOKUP($E96-AG$2,'data input'!$D$3:$E$130,2,FALSE),0)</f>
        <v>2.5588059521638562E-2</v>
      </c>
      <c r="AH96" s="5">
        <f>IF($E96&gt;=AH$2,VLOOKUP($E96-AH$2,'data input'!$D$3:$E$130,2,FALSE),0)</f>
        <v>3.0396361765261393E-2</v>
      </c>
      <c r="AI96" s="5">
        <f>IF($E96&gt;=AI$2,VLOOKUP($E96-AI$2,'data input'!$D$3:$E$130,2,FALSE),0)</f>
        <v>3.5930319112925768E-2</v>
      </c>
      <c r="AJ96" s="5">
        <f>IF($E96&gt;=AJ$2,VLOOKUP($E96-AJ$2,'data input'!$D$3:$E$130,2,FALSE),0)</f>
        <v>4.2263736257952433E-2</v>
      </c>
      <c r="AK96" s="5">
        <f>IF($E96&gt;=AK$2,VLOOKUP($E96-AK$2,'data input'!$D$3:$E$130,2,FALSE),0)</f>
        <v>4.9471468033648103E-2</v>
      </c>
      <c r="AL96" s="5">
        <f>IF($E96&gt;=AL$2,VLOOKUP($E96-AL$2,'data input'!$D$3:$E$130,2,FALSE),0)</f>
        <v>5.7628222276153163E-2</v>
      </c>
      <c r="AM96" s="5">
        <f>IF($E96&gt;=AM$2,VLOOKUP($E96-AM$2,'data input'!$D$3:$E$130,2,FALSE),0)</f>
        <v>6.6807201268858085E-2</v>
      </c>
      <c r="AN96" s="5">
        <f>IF($E96&gt;=AN$2,VLOOKUP($E96-AN$2,'data input'!$D$3:$E$130,2,FALSE),0)</f>
        <v>7.707860055207183E-2</v>
      </c>
      <c r="AO96" s="5">
        <f>IF($E96&gt;=AO$2,VLOOKUP($E96-AO$2,'data input'!$D$3:$E$130,2,FALSE),0)</f>
        <v>8.8507991437402067E-2</v>
      </c>
      <c r="AP96" s="5">
        <f>IF($E96&gt;=AP$2,VLOOKUP($E96-AP$2,'data input'!$D$3:$E$130,2,FALSE),0)</f>
        <v>0.10115462099558592</v>
      </c>
      <c r="AQ96" s="5">
        <f>IF($E96&gt;=AQ$2,VLOOKUP($E96-AQ$2,'data input'!$D$3:$E$130,2,FALSE),0)</f>
        <v>0.11506967022170822</v>
      </c>
      <c r="AR96" s="5">
        <f>IF($E96&gt;=AR$2,VLOOKUP($E96-AR$2,'data input'!$D$3:$E$130,2,FALSE),0)</f>
        <v>0.13029451713680884</v>
      </c>
      <c r="AS96" s="5">
        <f>IF($E96&gt;=AS$2,VLOOKUP($E96-AS$2,'data input'!$D$3:$E$130,2,FALSE),0)</f>
        <v>0.14685905637589591</v>
      </c>
      <c r="AT96" s="5">
        <f>IF($E96&gt;=AT$2,VLOOKUP($E96-AT$2,'data input'!$D$3:$E$130,2,FALSE),0)</f>
        <v>0.16478012998031033</v>
      </c>
      <c r="AU96" s="5">
        <f>IF($E96&gt;=AU$2,VLOOKUP($E96-AU$2,'data input'!$D$3:$E$130,2,FALSE),0)</f>
        <v>0.18406012534675953</v>
      </c>
      <c r="AV96" s="5">
        <f>IF($E96&gt;=AV$2,VLOOKUP($E96-AV$2,'data input'!$D$3:$E$130,2,FALSE),0)</f>
        <v>0.20468579534725262</v>
      </c>
      <c r="AW96" s="5">
        <f>IF($E96&gt;=AW$2,VLOOKUP($E96-AW$2,'data input'!$D$3:$E$130,2,FALSE),0)</f>
        <v>0.22662735237686826</v>
      </c>
      <c r="AX96" s="5">
        <f>IF($E96&gt;=AX$2,VLOOKUP($E96-AX$2,'data input'!$D$3:$E$130,2,FALSE),0)</f>
        <v>0.24983788247177696</v>
      </c>
      <c r="AY96" s="5">
        <f>IF($E96&gt;=AY$2,VLOOKUP($E96-AY$2,'data input'!$D$3:$E$130,2,FALSE),0)</f>
        <v>0.27425311775007355</v>
      </c>
      <c r="AZ96" s="5">
        <f>IF($E96&gt;=AZ$2,VLOOKUP($E96-AZ$2,'data input'!$D$3:$E$130,2,FALSE),0)</f>
        <v>0.29979159546869583</v>
      </c>
      <c r="BA96" s="5">
        <f>IF($E96&gt;=BA$2,VLOOKUP($E96-BA$2,'data input'!$D$3:$E$130,2,FALSE),0)</f>
        <v>0.32635522028792008</v>
      </c>
      <c r="BB96" s="5">
        <f>IF($E96&gt;=BB$2,VLOOKUP($E96-BB$2,'data input'!$D$3:$E$130,2,FALSE),0)</f>
        <v>0.35383023332727614</v>
      </c>
      <c r="BC96" s="5">
        <f>IF($E96&gt;=BC$2,VLOOKUP($E96-BC$2,'data input'!$D$3:$E$130,2,FALSE),0)</f>
        <v>0.38208857781104733</v>
      </c>
      <c r="BD96" s="5">
        <f>IF($E96&gt;=BD$2,VLOOKUP($E96-BD$2,'data input'!$D$3:$E$130,2,FALSE),0)</f>
        <v>0.41098963713127035</v>
      </c>
      <c r="BE96" s="5">
        <f>IF($E96&gt;=BE$2,VLOOKUP($E96-BE$2,'data input'!$D$3:$E$130,2,FALSE),0)</f>
        <v>0.4403823076297575</v>
      </c>
      <c r="BF96" s="5">
        <f>IF($E96&gt;=BF$2,VLOOKUP($E96-BF$2,'data input'!$D$3:$E$130,2,FALSE),0)</f>
        <v>0.47010735594710518</v>
      </c>
      <c r="BG96" s="5">
        <f>IF($E96&gt;=BG$2,VLOOKUP($E96-BG$2,'data input'!$D$3:$E$130,2,FALSE),0)</f>
        <v>0.5</v>
      </c>
      <c r="BH96" s="5">
        <f>IF($E96&gt;=BH$2,VLOOKUP($E96-BH$2,'data input'!$D$3:$E$130,2,FALSE),0)</f>
        <v>0.52989264405289482</v>
      </c>
      <c r="BI96" s="5">
        <f>IF($E96&gt;=BI$2,VLOOKUP($E96-BI$2,'data input'!$D$3:$E$130,2,FALSE),0)</f>
        <v>0.5596176923702425</v>
      </c>
      <c r="BJ96" s="5">
        <f>IF($E96&gt;=BJ$2,VLOOKUP($E96-BJ$2,'data input'!$D$3:$E$130,2,FALSE),0)</f>
        <v>0.58901036286872965</v>
      </c>
      <c r="BK96" s="5">
        <f>IF($E96&gt;=BK$2,VLOOKUP($E96-BK$2,'data input'!$D$3:$E$130,2,FALSE),0)</f>
        <v>0.61791142218895267</v>
      </c>
      <c r="BL96" s="5">
        <f>IF($E96&gt;=BL$2,VLOOKUP($E96-BL$2,'data input'!$D$3:$E$130,2,FALSE),0)</f>
        <v>0.64616976667272386</v>
      </c>
      <c r="BM96" s="5">
        <f>IF($E96&gt;=BM$2,VLOOKUP($E96-BM$2,'data input'!$D$3:$E$130,2,FALSE),0)</f>
        <v>0.67364477971207992</v>
      </c>
      <c r="BN96" s="5">
        <f>IF($E96&gt;=BN$2,VLOOKUP($E96-BN$2,'data input'!$D$3:$E$130,2,FALSE),0)</f>
        <v>0.70020840453130417</v>
      </c>
      <c r="BO96" s="5">
        <f>IF($E96&gt;=BO$2,VLOOKUP($E96-BO$2,'data input'!$D$3:$E$130,2,FALSE),0)</f>
        <v>0.72574688224992645</v>
      </c>
      <c r="BP96" s="5">
        <f>IF($E96&gt;=BP$2,VLOOKUP($E96-BP$2,'data input'!$D$3:$E$130,2,FALSE),0)</f>
        <v>0.75016211752822304</v>
      </c>
      <c r="BQ96" s="5">
        <f>IF($E96&gt;=BQ$2,VLOOKUP($E96-BQ$2,'data input'!$D$3:$E$130,2,FALSE),0)</f>
        <v>0.77337264762313174</v>
      </c>
      <c r="BR96" s="5">
        <f>IF($E96&gt;=BR$2,VLOOKUP($E96-BR$2,'data input'!$D$3:$E$130,2,FALSE),0)</f>
        <v>0.79531420465274738</v>
      </c>
      <c r="BS96" s="5">
        <f>IF($E96&gt;=BS$2,VLOOKUP($E96-BS$2,'data input'!$D$3:$E$130,2,FALSE),0)</f>
        <v>0.81593987465324047</v>
      </c>
      <c r="BT96" s="5">
        <f>IF($E96&gt;=BT$2,VLOOKUP($E96-BT$2,'data input'!$D$3:$E$130,2,FALSE),0)</f>
        <v>0.83521987001968967</v>
      </c>
      <c r="BU96" s="5">
        <f>IF($E96&gt;=BU$2,VLOOKUP($E96-BU$2,'data input'!$D$3:$E$130,2,FALSE),0)</f>
        <v>0.85314094362410409</v>
      </c>
      <c r="BV96" s="5">
        <f>IF($E96&gt;=BV$2,VLOOKUP($E96-BV$2,'data input'!$D$3:$E$130,2,FALSE),0)</f>
        <v>0.86970548286319116</v>
      </c>
      <c r="BW96" s="5">
        <f>IF($E96&gt;=BW$2,VLOOKUP($E96-BW$2,'data input'!$D$3:$E$130,2,FALSE),0)</f>
        <v>0.88493032977829178</v>
      </c>
      <c r="BX96" s="5">
        <f>IF($E96&gt;=BX$2,VLOOKUP($E96-BX$2,'data input'!$D$3:$E$130,2,FALSE),0)</f>
        <v>0.89884537900441408</v>
      </c>
      <c r="BY96" s="5">
        <f>IF($E96&gt;=BY$2,VLOOKUP($E96-BY$2,'data input'!$D$3:$E$130,2,FALSE),0)</f>
        <v>0.91149200856259793</v>
      </c>
      <c r="BZ96" s="5">
        <f>IF($E96&gt;=BZ$2,VLOOKUP($E96-BZ$2,'data input'!$D$3:$E$130,2,FALSE),0)</f>
        <v>0.92292139944792817</v>
      </c>
      <c r="CA96" s="5">
        <f>IF($E96&gt;=CA$2,VLOOKUP($E96-CA$2,'data input'!$D$3:$E$130,2,FALSE),0)</f>
        <v>0.93319279873114191</v>
      </c>
      <c r="CB96" s="5">
        <f>IF($E96&gt;=CB$2,VLOOKUP($E96-CB$2,'data input'!$D$3:$E$130,2,FALSE),0)</f>
        <v>0.94237177772384684</v>
      </c>
      <c r="CC96" s="5">
        <f>IF($E96&gt;=CC$2,VLOOKUP($E96-CC$2,'data input'!$D$3:$E$130,2,FALSE),0)</f>
        <v>0.9505285319663519</v>
      </c>
      <c r="CD96" s="5">
        <f>IF($E96&gt;=CD$2,VLOOKUP($E96-CD$2,'data input'!$D$3:$E$130,2,FALSE),0)</f>
        <v>0.95773626374204757</v>
      </c>
      <c r="CE96" s="5">
        <f>IF($E96&gt;=CE$2,VLOOKUP($E96-CE$2,'data input'!$D$3:$E$130,2,FALSE),0)</f>
        <v>0.96406968088707423</v>
      </c>
      <c r="CF96" s="5">
        <f>IF($E96&gt;=CF$2,VLOOKUP($E96-CF$2,'data input'!$D$3:$E$130,2,FALSE),0)</f>
        <v>0.96960363823473861</v>
      </c>
      <c r="CG96" s="5">
        <f>IF($E96&gt;=CG$2,VLOOKUP($E96-CG$2,'data input'!$D$3:$E$130,2,FALSE),0)</f>
        <v>0.97441194047836144</v>
      </c>
      <c r="CH96" s="5">
        <f>IF($E96&gt;=CH$2,VLOOKUP($E96-CH$2,'data input'!$D$3:$E$130,2,FALSE),0)</f>
        <v>0.97856631788584703</v>
      </c>
      <c r="CI96" s="5">
        <f>IF($E96&gt;=CI$2,VLOOKUP($E96-CI$2,'data input'!$D$3:$E$130,2,FALSE),0)</f>
        <v>0.98213557943718344</v>
      </c>
      <c r="CJ96" s="5">
        <f>IF($E96&gt;=CJ$2,VLOOKUP($E96-CJ$2,'data input'!$D$3:$E$130,2,FALSE),0)</f>
        <v>0.98518494180739014</v>
      </c>
      <c r="CK96" s="5">
        <f>IF($E96&gt;=CK$2,VLOOKUP($E96-CK$2,'data input'!$D$3:$E$130,2,FALSE),0)</f>
        <v>0.98777552734495533</v>
      </c>
      <c r="CL96" s="5">
        <f>IF($E96&gt;=CL$2,VLOOKUP($E96-CL$2,'data input'!$D$3:$E$130,2,FALSE),0)</f>
        <v>0.98996401989972593</v>
      </c>
      <c r="CM96" s="5">
        <f>IF($E96&gt;=CM$2,VLOOKUP($E96-CM$2,'data input'!$D$3:$E$130,2,FALSE),0)</f>
        <v>0.99180246407540384</v>
      </c>
      <c r="CN96" s="5">
        <f>IF($E96&gt;=CN$2,VLOOKUP($E96-CN$2,'data input'!$D$3:$E$130,2,FALSE),0)</f>
        <v>0.99333819120801725</v>
      </c>
      <c r="CO96" s="5">
        <f>IF($E96&gt;=CO$2,VLOOKUP($E96-CO$2,'data input'!$D$3:$E$130,2,FALSE),0)</f>
        <v>0.99461385404593328</v>
      </c>
      <c r="CP96" s="5">
        <f>IF($E96&gt;=CP$2,VLOOKUP($E96-CP$2,'data input'!$D$3:$E$130,2,FALSE),0)</f>
        <v>0.99566755163698739</v>
      </c>
      <c r="CQ96" s="5">
        <f>IF($E96&gt;=CQ$2,VLOOKUP($E96-CQ$2,'data input'!$D$3:$E$130,2,FALSE),0)</f>
        <v>0.99653302619695938</v>
      </c>
      <c r="CR96" s="5">
        <f>IF($E96&gt;=CR$2,VLOOKUP($E96-CR$2,'data input'!$D$3:$E$130,2,FALSE),0)</f>
        <v>0.99723991460873751</v>
      </c>
      <c r="CS96" s="5">
        <f>IF($E96&gt;=CS$2,VLOOKUP($E96-CS$2,'data input'!$D$3:$E$130,2,FALSE),0)</f>
        <v>0.99781403854508677</v>
      </c>
      <c r="CT96" s="5">
        <f>IF($E96&gt;=CT$2,VLOOKUP($E96-CT$2,'data input'!$D$3:$E$130,2,FALSE),0)</f>
        <v>0.99827771888413241</v>
      </c>
      <c r="CU96" s="5">
        <f>IF($E96&gt;=CU$2,VLOOKUP($E96-CU$2,'data input'!$D$3:$E$130,2,FALSE),0)</f>
        <v>0.9986501019683699</v>
      </c>
      <c r="CV96" s="5">
        <f>IF($E96&gt;=CV$2,VLOOKUP($E96-CV$2,'data input'!$D$3:$E$130,2,FALSE),0)</f>
        <v>0</v>
      </c>
      <c r="CW96" s="5">
        <f>IF($E96&gt;=CW$2,VLOOKUP($E96-CW$2,'data input'!$D$3:$E$130,2,FALSE),0)</f>
        <v>0</v>
      </c>
      <c r="CX96" s="5">
        <f>IF($E96&gt;=CX$2,VLOOKUP($E96-CX$2,'data input'!$D$3:$E$130,2,FALSE),0)</f>
        <v>0</v>
      </c>
      <c r="CY96" s="5">
        <f>IF($E96&gt;=CY$2,VLOOKUP($E96-CY$2,'data input'!$D$3:$E$130,2,FALSE),0)</f>
        <v>0</v>
      </c>
      <c r="CZ96" s="5">
        <f>IF($E96&gt;=CZ$2,VLOOKUP($E96-CZ$2,'data input'!$D$3:$E$130,2,FALSE),0)</f>
        <v>0</v>
      </c>
      <c r="DA96" s="5">
        <f>IF($E96&gt;=DA$2,VLOOKUP($E96-DA$2,'data input'!$D$3:$E$130,2,FALSE),0)</f>
        <v>0</v>
      </c>
      <c r="DB96" s="5">
        <f>IF($E96&gt;=DB$2,VLOOKUP($E96-DB$2,'data input'!$D$3:$E$130,2,FALSE),0)</f>
        <v>0</v>
      </c>
      <c r="DC96" s="5">
        <f>IF($E96&gt;=DC$2,VLOOKUP($E96-DC$2,'data input'!$D$3:$E$130,2,FALSE),0)</f>
        <v>0</v>
      </c>
      <c r="DD96" s="5">
        <f>IF($E96&gt;=DD$2,VLOOKUP($E96-DD$2,'data input'!$D$3:$E$130,2,FALSE),0)</f>
        <v>0</v>
      </c>
      <c r="DE96" s="5">
        <f>IF($E96&gt;=DE$2,VLOOKUP($E96-DE$2,'data input'!$D$3:$E$130,2,FALSE),0)</f>
        <v>0</v>
      </c>
      <c r="DF96" s="5">
        <f>IF($E96&gt;=DF$2,VLOOKUP($E96-DF$2,'data input'!$D$3:$E$130,2,FALSE),0)</f>
        <v>0</v>
      </c>
      <c r="DG96" s="5">
        <f>IF($E96&gt;=DG$2,VLOOKUP($E96-DG$2,'data input'!$D$3:$E$130,2,FALSE),0)</f>
        <v>0</v>
      </c>
      <c r="DH96" s="5">
        <f>IF($E96&gt;=DH$2,VLOOKUP($E96-DH$2,'data input'!$D$3:$E$130,2,FALSE),0)</f>
        <v>0</v>
      </c>
      <c r="DI96" s="5">
        <f>IF($E96&gt;=DI$2,VLOOKUP($E96-DI$2,'data input'!$D$3:$E$130,2,FALSE),0)</f>
        <v>0</v>
      </c>
      <c r="DJ96" s="5">
        <f>IF($E96&gt;=DJ$2,VLOOKUP($E96-DJ$2,'data input'!$D$3:$E$130,2,FALSE),0)</f>
        <v>0</v>
      </c>
      <c r="DK96" s="5">
        <f>IF($E96&gt;=DK$2,VLOOKUP($E96-DK$2,'data input'!$D$3:$E$130,2,FALSE),0)</f>
        <v>0</v>
      </c>
      <c r="DL96" s="5">
        <f>IF($E96&gt;=DL$2,VLOOKUP($E96-DL$2,'data input'!$D$3:$E$130,2,FALSE),0)</f>
        <v>0</v>
      </c>
      <c r="DM96" s="5">
        <f>IF($E96&gt;=DM$2,VLOOKUP($E96-DM$2,'data input'!$D$3:$E$130,2,FALSE),0)</f>
        <v>0</v>
      </c>
      <c r="DN96" s="5">
        <f>IF($E96&gt;=DN$2,VLOOKUP($E96-DN$2,'data input'!$D$3:$E$130,2,FALSE),0)</f>
        <v>0</v>
      </c>
      <c r="DO96" s="5">
        <f>IF($E96&gt;=DO$2,VLOOKUP($E96-DO$2,'data input'!$D$3:$E$130,2,FALSE),0)</f>
        <v>0</v>
      </c>
      <c r="DP96" s="5">
        <f>IF($E96&gt;=DP$2,VLOOKUP($E96-DP$2,'data input'!$D$3:$E$130,2,FALSE),0)</f>
        <v>0</v>
      </c>
      <c r="DQ96" s="5">
        <f>IF($E96&gt;=DQ$2,VLOOKUP($E96-DQ$2,'data input'!$D$3:$E$130,2,FALSE),0)</f>
        <v>0</v>
      </c>
      <c r="DR96" s="5">
        <f>IF($E96&gt;=DR$2,VLOOKUP($E96-DR$2,'data input'!$D$3:$E$130,2,FALSE),0)</f>
        <v>0</v>
      </c>
      <c r="DS96" s="5">
        <f>IF($E96&gt;=DS$2,VLOOKUP($E96-DS$2,'data input'!$D$3:$E$130,2,FALSE),0)</f>
        <v>0</v>
      </c>
      <c r="DT96" s="5">
        <f>IF($E96&gt;=DT$2,VLOOKUP($E96-DT$2,'data input'!$D$3:$E$130,2,FALSE),0)</f>
        <v>0</v>
      </c>
      <c r="DU96" s="5">
        <f>IF($E96&gt;=DU$2,VLOOKUP($E96-DU$2,'data input'!$D$3:$E$130,2,FALSE),0)</f>
        <v>0</v>
      </c>
      <c r="DV96" s="5">
        <f>IF($E96&gt;=DV$2,VLOOKUP($E96-DV$2,'data input'!$D$3:$E$130,2,FALSE),0)</f>
        <v>0</v>
      </c>
      <c r="DW96" s="5">
        <f>IF($E96&gt;=DW$2,VLOOKUP($E96-DW$2,'data input'!$D$3:$E$130,2,FALSE),0)</f>
        <v>0</v>
      </c>
      <c r="DX96" s="5">
        <f>IF($E96&gt;=DX$2,VLOOKUP($E96-DX$2,'data input'!$D$3:$E$130,2,FALSE),0)</f>
        <v>0</v>
      </c>
      <c r="DY96" s="5">
        <f>IF($E96&gt;=DY$2,VLOOKUP($E96-DY$2,'data input'!$D$3:$E$130,2,FALSE),0)</f>
        <v>0</v>
      </c>
      <c r="DZ96" s="5">
        <f>IF($E96&gt;=DZ$2,VLOOKUP($E96-DZ$2,'data input'!$D$3:$E$130,2,FALSE),0)</f>
        <v>0</v>
      </c>
      <c r="EA96" s="5">
        <f>IF($E96&gt;=EA$2,VLOOKUP($E96-EA$2,'data input'!$D$3:$E$130,2,FALSE),0)</f>
        <v>0</v>
      </c>
      <c r="EB96" s="5">
        <f>IF($E96&gt;=EB$2,VLOOKUP($E96-EB$2,'data input'!$D$3:$E$130,2,FALSE),0)</f>
        <v>0</v>
      </c>
      <c r="EC96" s="5">
        <f>IF($E96&gt;=EC$2,VLOOKUP($E96-EC$2,'data input'!$D$3:$E$130,2,FALSE),0)</f>
        <v>0</v>
      </c>
    </row>
    <row r="97" spans="5:133">
      <c r="E97" s="7">
        <f>'data input'!B97</f>
        <v>1972</v>
      </c>
      <c r="F97" s="5">
        <f>IF($E97&gt;=F$2,VLOOKUP($E97-F$2,'data input'!$D$3:$E$130,2,FALSE),0)</f>
        <v>2.5608816474065321E-5</v>
      </c>
      <c r="G97" s="5">
        <f>IF($E97&gt;=G$2,VLOOKUP($E97-G$2,'data input'!$D$3:$E$130,2,FALSE),0)</f>
        <v>3.5189628065923628E-5</v>
      </c>
      <c r="H97" s="5">
        <f>IF($E97&gt;=H$2,VLOOKUP($E97-H$2,'data input'!$D$3:$E$130,2,FALSE),0)</f>
        <v>4.8096344017589665E-5</v>
      </c>
      <c r="I97" s="5">
        <f>IF($E97&gt;=I$2,VLOOKUP($E97-I$2,'data input'!$D$3:$E$130,2,FALSE),0)</f>
        <v>6.5386043242687819E-5</v>
      </c>
      <c r="J97" s="5">
        <f>IF($E97&gt;=J$2,VLOOKUP($E97-J$2,'data input'!$D$3:$E$130,2,FALSE),0)</f>
        <v>8.841728520081471E-5</v>
      </c>
      <c r="K97" s="5">
        <f>IF($E97&gt;=K$2,VLOOKUP($E97-K$2,'data input'!$D$3:$E$130,2,FALSE),0)</f>
        <v>1.1892470732677296E-4</v>
      </c>
      <c r="L97" s="5">
        <f>IF($E97&gt;=L$2,VLOOKUP($E97-L$2,'data input'!$D$3:$E$130,2,FALSE),0)</f>
        <v>1.5910859015755285E-4</v>
      </c>
      <c r="M97" s="5">
        <f>IF($E97&gt;=M$2,VLOOKUP($E97-M$2,'data input'!$D$3:$E$130,2,FALSE),0)</f>
        <v>2.1174139572344153E-4</v>
      </c>
      <c r="N97" s="5">
        <f>IF($E97&gt;=N$2,VLOOKUP($E97-N$2,'data input'!$D$3:$E$130,2,FALSE),0)</f>
        <v>2.8029327681622362E-4</v>
      </c>
      <c r="O97" s="5">
        <f>IF($E97&gt;=O$2,VLOOKUP($E97-O$2,'data input'!$D$3:$E$130,2,FALSE),0)</f>
        <v>3.6907845427502917E-4</v>
      </c>
      <c r="P97" s="5">
        <f>IF($E97&gt;=P$2,VLOOKUP($E97-P$2,'data input'!$D$3:$E$130,2,FALSE),0)</f>
        <v>4.8342414238378151E-4</v>
      </c>
      <c r="Q97" s="5">
        <f>IF($E97&gt;=Q$2,VLOOKUP($E97-Q$2,'data input'!$D$3:$E$130,2,FALSE),0)</f>
        <v>6.2986334399772748E-4</v>
      </c>
      <c r="R97" s="5">
        <f>IF($E97&gt;=R$2,VLOOKUP($E97-R$2,'data input'!$D$3:$E$130,2,FALSE),0)</f>
        <v>8.1635231282861653E-4</v>
      </c>
      <c r="S97" s="5">
        <f>IF($E97&gt;=S$2,VLOOKUP($E97-S$2,'data input'!$D$3:$E$130,2,FALSE),0)</f>
        <v>1.0525127683760349E-3</v>
      </c>
      <c r="T97" s="5">
        <f>IF($E97&gt;=T$2,VLOOKUP($E97-T$2,'data input'!$D$3:$E$130,2,FALSE),0)</f>
        <v>1.3498980316301035E-3</v>
      </c>
      <c r="U97" s="5">
        <f>IF($E97&gt;=U$2,VLOOKUP($E97-U$2,'data input'!$D$3:$E$130,2,FALSE),0)</f>
        <v>1.7222811158675855E-3</v>
      </c>
      <c r="V97" s="5">
        <f>IF($E97&gt;=V$2,VLOOKUP($E97-V$2,'data input'!$D$3:$E$130,2,FALSE),0)</f>
        <v>2.1859614549132322E-3</v>
      </c>
      <c r="W97" s="5">
        <f>IF($E97&gt;=W$2,VLOOKUP($E97-W$2,'data input'!$D$3:$E$130,2,FALSE),0)</f>
        <v>2.7600853912624901E-3</v>
      </c>
      <c r="X97" s="5">
        <f>IF($E97&gt;=X$2,VLOOKUP($E97-X$2,'data input'!$D$3:$E$130,2,FALSE),0)</f>
        <v>3.4669738030406183E-3</v>
      </c>
      <c r="Y97" s="5">
        <f>IF($E97&gt;=Y$2,VLOOKUP($E97-Y$2,'data input'!$D$3:$E$130,2,FALSE),0)</f>
        <v>4.3324483630126087E-3</v>
      </c>
      <c r="Z97" s="5">
        <f>IF($E97&gt;=Z$2,VLOOKUP($E97-Z$2,'data input'!$D$3:$E$130,2,FALSE),0)</f>
        <v>5.3861459540667234E-3</v>
      </c>
      <c r="AA97" s="5">
        <f>IF($E97&gt;=AA$2,VLOOKUP($E97-AA$2,'data input'!$D$3:$E$130,2,FALSE),0)</f>
        <v>6.6618087919827484E-3</v>
      </c>
      <c r="AB97" s="5">
        <f>IF($E97&gt;=AB$2,VLOOKUP($E97-AB$2,'data input'!$D$3:$E$130,2,FALSE),0)</f>
        <v>8.1975359245961554E-3</v>
      </c>
      <c r="AC97" s="5">
        <f>IF($E97&gt;=AC$2,VLOOKUP($E97-AC$2,'data input'!$D$3:$E$130,2,FALSE),0)</f>
        <v>1.0035980100274067E-2</v>
      </c>
      <c r="AD97" s="5">
        <f>IF($E97&gt;=AD$2,VLOOKUP($E97-AD$2,'data input'!$D$3:$E$130,2,FALSE),0)</f>
        <v>1.2224472655044671E-2</v>
      </c>
      <c r="AE97" s="5">
        <f>IF($E97&gt;=AE$2,VLOOKUP($E97-AE$2,'data input'!$D$3:$E$130,2,FALSE),0)</f>
        <v>1.4815058192609865E-2</v>
      </c>
      <c r="AF97" s="5">
        <f>IF($E97&gt;=AF$2,VLOOKUP($E97-AF$2,'data input'!$D$3:$E$130,2,FALSE),0)</f>
        <v>1.7864420562816563E-2</v>
      </c>
      <c r="AG97" s="5">
        <f>IF($E97&gt;=AG$2,VLOOKUP($E97-AG$2,'data input'!$D$3:$E$130,2,FALSE),0)</f>
        <v>2.1433682114152974E-2</v>
      </c>
      <c r="AH97" s="5">
        <f>IF($E97&gt;=AH$2,VLOOKUP($E97-AH$2,'data input'!$D$3:$E$130,2,FALSE),0)</f>
        <v>2.5588059521638562E-2</v>
      </c>
      <c r="AI97" s="5">
        <f>IF($E97&gt;=AI$2,VLOOKUP($E97-AI$2,'data input'!$D$3:$E$130,2,FALSE),0)</f>
        <v>3.0396361765261393E-2</v>
      </c>
      <c r="AJ97" s="5">
        <f>IF($E97&gt;=AJ$2,VLOOKUP($E97-AJ$2,'data input'!$D$3:$E$130,2,FALSE),0)</f>
        <v>3.5930319112925768E-2</v>
      </c>
      <c r="AK97" s="5">
        <f>IF($E97&gt;=AK$2,VLOOKUP($E97-AK$2,'data input'!$D$3:$E$130,2,FALSE),0)</f>
        <v>4.2263736257952433E-2</v>
      </c>
      <c r="AL97" s="5">
        <f>IF($E97&gt;=AL$2,VLOOKUP($E97-AL$2,'data input'!$D$3:$E$130,2,FALSE),0)</f>
        <v>4.9471468033648103E-2</v>
      </c>
      <c r="AM97" s="5">
        <f>IF($E97&gt;=AM$2,VLOOKUP($E97-AM$2,'data input'!$D$3:$E$130,2,FALSE),0)</f>
        <v>5.7628222276153163E-2</v>
      </c>
      <c r="AN97" s="5">
        <f>IF($E97&gt;=AN$2,VLOOKUP($E97-AN$2,'data input'!$D$3:$E$130,2,FALSE),0)</f>
        <v>6.6807201268858085E-2</v>
      </c>
      <c r="AO97" s="5">
        <f>IF($E97&gt;=AO$2,VLOOKUP($E97-AO$2,'data input'!$D$3:$E$130,2,FALSE),0)</f>
        <v>7.707860055207183E-2</v>
      </c>
      <c r="AP97" s="5">
        <f>IF($E97&gt;=AP$2,VLOOKUP($E97-AP$2,'data input'!$D$3:$E$130,2,FALSE),0)</f>
        <v>8.8507991437402067E-2</v>
      </c>
      <c r="AQ97" s="5">
        <f>IF($E97&gt;=AQ$2,VLOOKUP($E97-AQ$2,'data input'!$D$3:$E$130,2,FALSE),0)</f>
        <v>0.10115462099558592</v>
      </c>
      <c r="AR97" s="5">
        <f>IF($E97&gt;=AR$2,VLOOKUP($E97-AR$2,'data input'!$D$3:$E$130,2,FALSE),0)</f>
        <v>0.11506967022170822</v>
      </c>
      <c r="AS97" s="5">
        <f>IF($E97&gt;=AS$2,VLOOKUP($E97-AS$2,'data input'!$D$3:$E$130,2,FALSE),0)</f>
        <v>0.13029451713680884</v>
      </c>
      <c r="AT97" s="5">
        <f>IF($E97&gt;=AT$2,VLOOKUP($E97-AT$2,'data input'!$D$3:$E$130,2,FALSE),0)</f>
        <v>0.14685905637589591</v>
      </c>
      <c r="AU97" s="5">
        <f>IF($E97&gt;=AU$2,VLOOKUP($E97-AU$2,'data input'!$D$3:$E$130,2,FALSE),0)</f>
        <v>0.16478012998031033</v>
      </c>
      <c r="AV97" s="5">
        <f>IF($E97&gt;=AV$2,VLOOKUP($E97-AV$2,'data input'!$D$3:$E$130,2,FALSE),0)</f>
        <v>0.18406012534675953</v>
      </c>
      <c r="AW97" s="5">
        <f>IF($E97&gt;=AW$2,VLOOKUP($E97-AW$2,'data input'!$D$3:$E$130,2,FALSE),0)</f>
        <v>0.20468579534725262</v>
      </c>
      <c r="AX97" s="5">
        <f>IF($E97&gt;=AX$2,VLOOKUP($E97-AX$2,'data input'!$D$3:$E$130,2,FALSE),0)</f>
        <v>0.22662735237686826</v>
      </c>
      <c r="AY97" s="5">
        <f>IF($E97&gt;=AY$2,VLOOKUP($E97-AY$2,'data input'!$D$3:$E$130,2,FALSE),0)</f>
        <v>0.24983788247177696</v>
      </c>
      <c r="AZ97" s="5">
        <f>IF($E97&gt;=AZ$2,VLOOKUP($E97-AZ$2,'data input'!$D$3:$E$130,2,FALSE),0)</f>
        <v>0.27425311775007355</v>
      </c>
      <c r="BA97" s="5">
        <f>IF($E97&gt;=BA$2,VLOOKUP($E97-BA$2,'data input'!$D$3:$E$130,2,FALSE),0)</f>
        <v>0.29979159546869583</v>
      </c>
      <c r="BB97" s="5">
        <f>IF($E97&gt;=BB$2,VLOOKUP($E97-BB$2,'data input'!$D$3:$E$130,2,FALSE),0)</f>
        <v>0.32635522028792008</v>
      </c>
      <c r="BC97" s="5">
        <f>IF($E97&gt;=BC$2,VLOOKUP($E97-BC$2,'data input'!$D$3:$E$130,2,FALSE),0)</f>
        <v>0.35383023332727614</v>
      </c>
      <c r="BD97" s="5">
        <f>IF($E97&gt;=BD$2,VLOOKUP($E97-BD$2,'data input'!$D$3:$E$130,2,FALSE),0)</f>
        <v>0.38208857781104733</v>
      </c>
      <c r="BE97" s="5">
        <f>IF($E97&gt;=BE$2,VLOOKUP($E97-BE$2,'data input'!$D$3:$E$130,2,FALSE),0)</f>
        <v>0.41098963713127035</v>
      </c>
      <c r="BF97" s="5">
        <f>IF($E97&gt;=BF$2,VLOOKUP($E97-BF$2,'data input'!$D$3:$E$130,2,FALSE),0)</f>
        <v>0.4403823076297575</v>
      </c>
      <c r="BG97" s="5">
        <f>IF($E97&gt;=BG$2,VLOOKUP($E97-BG$2,'data input'!$D$3:$E$130,2,FALSE),0)</f>
        <v>0.47010735594710518</v>
      </c>
      <c r="BH97" s="5">
        <f>IF($E97&gt;=BH$2,VLOOKUP($E97-BH$2,'data input'!$D$3:$E$130,2,FALSE),0)</f>
        <v>0.5</v>
      </c>
      <c r="BI97" s="5">
        <f>IF($E97&gt;=BI$2,VLOOKUP($E97-BI$2,'data input'!$D$3:$E$130,2,FALSE),0)</f>
        <v>0.52989264405289482</v>
      </c>
      <c r="BJ97" s="5">
        <f>IF($E97&gt;=BJ$2,VLOOKUP($E97-BJ$2,'data input'!$D$3:$E$130,2,FALSE),0)</f>
        <v>0.5596176923702425</v>
      </c>
      <c r="BK97" s="5">
        <f>IF($E97&gt;=BK$2,VLOOKUP($E97-BK$2,'data input'!$D$3:$E$130,2,FALSE),0)</f>
        <v>0.58901036286872965</v>
      </c>
      <c r="BL97" s="5">
        <f>IF($E97&gt;=BL$2,VLOOKUP($E97-BL$2,'data input'!$D$3:$E$130,2,FALSE),0)</f>
        <v>0.61791142218895267</v>
      </c>
      <c r="BM97" s="5">
        <f>IF($E97&gt;=BM$2,VLOOKUP($E97-BM$2,'data input'!$D$3:$E$130,2,FALSE),0)</f>
        <v>0.64616976667272386</v>
      </c>
      <c r="BN97" s="5">
        <f>IF($E97&gt;=BN$2,VLOOKUP($E97-BN$2,'data input'!$D$3:$E$130,2,FALSE),0)</f>
        <v>0.67364477971207992</v>
      </c>
      <c r="BO97" s="5">
        <f>IF($E97&gt;=BO$2,VLOOKUP($E97-BO$2,'data input'!$D$3:$E$130,2,FALSE),0)</f>
        <v>0.70020840453130417</v>
      </c>
      <c r="BP97" s="5">
        <f>IF($E97&gt;=BP$2,VLOOKUP($E97-BP$2,'data input'!$D$3:$E$130,2,FALSE),0)</f>
        <v>0.72574688224992645</v>
      </c>
      <c r="BQ97" s="5">
        <f>IF($E97&gt;=BQ$2,VLOOKUP($E97-BQ$2,'data input'!$D$3:$E$130,2,FALSE),0)</f>
        <v>0.75016211752822304</v>
      </c>
      <c r="BR97" s="5">
        <f>IF($E97&gt;=BR$2,VLOOKUP($E97-BR$2,'data input'!$D$3:$E$130,2,FALSE),0)</f>
        <v>0.77337264762313174</v>
      </c>
      <c r="BS97" s="5">
        <f>IF($E97&gt;=BS$2,VLOOKUP($E97-BS$2,'data input'!$D$3:$E$130,2,FALSE),0)</f>
        <v>0.79531420465274738</v>
      </c>
      <c r="BT97" s="5">
        <f>IF($E97&gt;=BT$2,VLOOKUP($E97-BT$2,'data input'!$D$3:$E$130,2,FALSE),0)</f>
        <v>0.81593987465324047</v>
      </c>
      <c r="BU97" s="5">
        <f>IF($E97&gt;=BU$2,VLOOKUP($E97-BU$2,'data input'!$D$3:$E$130,2,FALSE),0)</f>
        <v>0.83521987001968967</v>
      </c>
      <c r="BV97" s="5">
        <f>IF($E97&gt;=BV$2,VLOOKUP($E97-BV$2,'data input'!$D$3:$E$130,2,FALSE),0)</f>
        <v>0.85314094362410409</v>
      </c>
      <c r="BW97" s="5">
        <f>IF($E97&gt;=BW$2,VLOOKUP($E97-BW$2,'data input'!$D$3:$E$130,2,FALSE),0)</f>
        <v>0.86970548286319116</v>
      </c>
      <c r="BX97" s="5">
        <f>IF($E97&gt;=BX$2,VLOOKUP($E97-BX$2,'data input'!$D$3:$E$130,2,FALSE),0)</f>
        <v>0.88493032977829178</v>
      </c>
      <c r="BY97" s="5">
        <f>IF($E97&gt;=BY$2,VLOOKUP($E97-BY$2,'data input'!$D$3:$E$130,2,FALSE),0)</f>
        <v>0.89884537900441408</v>
      </c>
      <c r="BZ97" s="5">
        <f>IF($E97&gt;=BZ$2,VLOOKUP($E97-BZ$2,'data input'!$D$3:$E$130,2,FALSE),0)</f>
        <v>0.91149200856259793</v>
      </c>
      <c r="CA97" s="5">
        <f>IF($E97&gt;=CA$2,VLOOKUP($E97-CA$2,'data input'!$D$3:$E$130,2,FALSE),0)</f>
        <v>0.92292139944792817</v>
      </c>
      <c r="CB97" s="5">
        <f>IF($E97&gt;=CB$2,VLOOKUP($E97-CB$2,'data input'!$D$3:$E$130,2,FALSE),0)</f>
        <v>0.93319279873114191</v>
      </c>
      <c r="CC97" s="5">
        <f>IF($E97&gt;=CC$2,VLOOKUP($E97-CC$2,'data input'!$D$3:$E$130,2,FALSE),0)</f>
        <v>0.94237177772384684</v>
      </c>
      <c r="CD97" s="5">
        <f>IF($E97&gt;=CD$2,VLOOKUP($E97-CD$2,'data input'!$D$3:$E$130,2,FALSE),0)</f>
        <v>0.9505285319663519</v>
      </c>
      <c r="CE97" s="5">
        <f>IF($E97&gt;=CE$2,VLOOKUP($E97-CE$2,'data input'!$D$3:$E$130,2,FALSE),0)</f>
        <v>0.95773626374204757</v>
      </c>
      <c r="CF97" s="5">
        <f>IF($E97&gt;=CF$2,VLOOKUP($E97-CF$2,'data input'!$D$3:$E$130,2,FALSE),0)</f>
        <v>0.96406968088707423</v>
      </c>
      <c r="CG97" s="5">
        <f>IF($E97&gt;=CG$2,VLOOKUP($E97-CG$2,'data input'!$D$3:$E$130,2,FALSE),0)</f>
        <v>0.96960363823473861</v>
      </c>
      <c r="CH97" s="5">
        <f>IF($E97&gt;=CH$2,VLOOKUP($E97-CH$2,'data input'!$D$3:$E$130,2,FALSE),0)</f>
        <v>0.97441194047836144</v>
      </c>
      <c r="CI97" s="5">
        <f>IF($E97&gt;=CI$2,VLOOKUP($E97-CI$2,'data input'!$D$3:$E$130,2,FALSE),0)</f>
        <v>0.97856631788584703</v>
      </c>
      <c r="CJ97" s="5">
        <f>IF($E97&gt;=CJ$2,VLOOKUP($E97-CJ$2,'data input'!$D$3:$E$130,2,FALSE),0)</f>
        <v>0.98213557943718344</v>
      </c>
      <c r="CK97" s="5">
        <f>IF($E97&gt;=CK$2,VLOOKUP($E97-CK$2,'data input'!$D$3:$E$130,2,FALSE),0)</f>
        <v>0.98518494180739014</v>
      </c>
      <c r="CL97" s="5">
        <f>IF($E97&gt;=CL$2,VLOOKUP($E97-CL$2,'data input'!$D$3:$E$130,2,FALSE),0)</f>
        <v>0.98777552734495533</v>
      </c>
      <c r="CM97" s="5">
        <f>IF($E97&gt;=CM$2,VLOOKUP($E97-CM$2,'data input'!$D$3:$E$130,2,FALSE),0)</f>
        <v>0.98996401989972593</v>
      </c>
      <c r="CN97" s="5">
        <f>IF($E97&gt;=CN$2,VLOOKUP($E97-CN$2,'data input'!$D$3:$E$130,2,FALSE),0)</f>
        <v>0.99180246407540384</v>
      </c>
      <c r="CO97" s="5">
        <f>IF($E97&gt;=CO$2,VLOOKUP($E97-CO$2,'data input'!$D$3:$E$130,2,FALSE),0)</f>
        <v>0.99333819120801725</v>
      </c>
      <c r="CP97" s="5">
        <f>IF($E97&gt;=CP$2,VLOOKUP($E97-CP$2,'data input'!$D$3:$E$130,2,FALSE),0)</f>
        <v>0.99461385404593328</v>
      </c>
      <c r="CQ97" s="5">
        <f>IF($E97&gt;=CQ$2,VLOOKUP($E97-CQ$2,'data input'!$D$3:$E$130,2,FALSE),0)</f>
        <v>0.99566755163698739</v>
      </c>
      <c r="CR97" s="5">
        <f>IF($E97&gt;=CR$2,VLOOKUP($E97-CR$2,'data input'!$D$3:$E$130,2,FALSE),0)</f>
        <v>0.99653302619695938</v>
      </c>
      <c r="CS97" s="5">
        <f>IF($E97&gt;=CS$2,VLOOKUP($E97-CS$2,'data input'!$D$3:$E$130,2,FALSE),0)</f>
        <v>0.99723991460873751</v>
      </c>
      <c r="CT97" s="5">
        <f>IF($E97&gt;=CT$2,VLOOKUP($E97-CT$2,'data input'!$D$3:$E$130,2,FALSE),0)</f>
        <v>0.99781403854508677</v>
      </c>
      <c r="CU97" s="5">
        <f>IF($E97&gt;=CU$2,VLOOKUP($E97-CU$2,'data input'!$D$3:$E$130,2,FALSE),0)</f>
        <v>0.99827771888413241</v>
      </c>
      <c r="CV97" s="5">
        <f>IF($E97&gt;=CV$2,VLOOKUP($E97-CV$2,'data input'!$D$3:$E$130,2,FALSE),0)</f>
        <v>0.9986501019683699</v>
      </c>
      <c r="CW97" s="5">
        <f>IF($E97&gt;=CW$2,VLOOKUP($E97-CW$2,'data input'!$D$3:$E$130,2,FALSE),0)</f>
        <v>0</v>
      </c>
      <c r="CX97" s="5">
        <f>IF($E97&gt;=CX$2,VLOOKUP($E97-CX$2,'data input'!$D$3:$E$130,2,FALSE),0)</f>
        <v>0</v>
      </c>
      <c r="CY97" s="5">
        <f>IF($E97&gt;=CY$2,VLOOKUP($E97-CY$2,'data input'!$D$3:$E$130,2,FALSE),0)</f>
        <v>0</v>
      </c>
      <c r="CZ97" s="5">
        <f>IF($E97&gt;=CZ$2,VLOOKUP($E97-CZ$2,'data input'!$D$3:$E$130,2,FALSE),0)</f>
        <v>0</v>
      </c>
      <c r="DA97" s="5">
        <f>IF($E97&gt;=DA$2,VLOOKUP($E97-DA$2,'data input'!$D$3:$E$130,2,FALSE),0)</f>
        <v>0</v>
      </c>
      <c r="DB97" s="5">
        <f>IF($E97&gt;=DB$2,VLOOKUP($E97-DB$2,'data input'!$D$3:$E$130,2,FALSE),0)</f>
        <v>0</v>
      </c>
      <c r="DC97" s="5">
        <f>IF($E97&gt;=DC$2,VLOOKUP($E97-DC$2,'data input'!$D$3:$E$130,2,FALSE),0)</f>
        <v>0</v>
      </c>
      <c r="DD97" s="5">
        <f>IF($E97&gt;=DD$2,VLOOKUP($E97-DD$2,'data input'!$D$3:$E$130,2,FALSE),0)</f>
        <v>0</v>
      </c>
      <c r="DE97" s="5">
        <f>IF($E97&gt;=DE$2,VLOOKUP($E97-DE$2,'data input'!$D$3:$E$130,2,FALSE),0)</f>
        <v>0</v>
      </c>
      <c r="DF97" s="5">
        <f>IF($E97&gt;=DF$2,VLOOKUP($E97-DF$2,'data input'!$D$3:$E$130,2,FALSE),0)</f>
        <v>0</v>
      </c>
      <c r="DG97" s="5">
        <f>IF($E97&gt;=DG$2,VLOOKUP($E97-DG$2,'data input'!$D$3:$E$130,2,FALSE),0)</f>
        <v>0</v>
      </c>
      <c r="DH97" s="5">
        <f>IF($E97&gt;=DH$2,VLOOKUP($E97-DH$2,'data input'!$D$3:$E$130,2,FALSE),0)</f>
        <v>0</v>
      </c>
      <c r="DI97" s="5">
        <f>IF($E97&gt;=DI$2,VLOOKUP($E97-DI$2,'data input'!$D$3:$E$130,2,FALSE),0)</f>
        <v>0</v>
      </c>
      <c r="DJ97" s="5">
        <f>IF($E97&gt;=DJ$2,VLOOKUP($E97-DJ$2,'data input'!$D$3:$E$130,2,FALSE),0)</f>
        <v>0</v>
      </c>
      <c r="DK97" s="5">
        <f>IF($E97&gt;=DK$2,VLOOKUP($E97-DK$2,'data input'!$D$3:$E$130,2,FALSE),0)</f>
        <v>0</v>
      </c>
      <c r="DL97" s="5">
        <f>IF($E97&gt;=DL$2,VLOOKUP($E97-DL$2,'data input'!$D$3:$E$130,2,FALSE),0)</f>
        <v>0</v>
      </c>
      <c r="DM97" s="5">
        <f>IF($E97&gt;=DM$2,VLOOKUP($E97-DM$2,'data input'!$D$3:$E$130,2,FALSE),0)</f>
        <v>0</v>
      </c>
      <c r="DN97" s="5">
        <f>IF($E97&gt;=DN$2,VLOOKUP($E97-DN$2,'data input'!$D$3:$E$130,2,FALSE),0)</f>
        <v>0</v>
      </c>
      <c r="DO97" s="5">
        <f>IF($E97&gt;=DO$2,VLOOKUP($E97-DO$2,'data input'!$D$3:$E$130,2,FALSE),0)</f>
        <v>0</v>
      </c>
      <c r="DP97" s="5">
        <f>IF($E97&gt;=DP$2,VLOOKUP($E97-DP$2,'data input'!$D$3:$E$130,2,FALSE),0)</f>
        <v>0</v>
      </c>
      <c r="DQ97" s="5">
        <f>IF($E97&gt;=DQ$2,VLOOKUP($E97-DQ$2,'data input'!$D$3:$E$130,2,FALSE),0)</f>
        <v>0</v>
      </c>
      <c r="DR97" s="5">
        <f>IF($E97&gt;=DR$2,VLOOKUP($E97-DR$2,'data input'!$D$3:$E$130,2,FALSE),0)</f>
        <v>0</v>
      </c>
      <c r="DS97" s="5">
        <f>IF($E97&gt;=DS$2,VLOOKUP($E97-DS$2,'data input'!$D$3:$E$130,2,FALSE),0)</f>
        <v>0</v>
      </c>
      <c r="DT97" s="5">
        <f>IF($E97&gt;=DT$2,VLOOKUP($E97-DT$2,'data input'!$D$3:$E$130,2,FALSE),0)</f>
        <v>0</v>
      </c>
      <c r="DU97" s="5">
        <f>IF($E97&gt;=DU$2,VLOOKUP($E97-DU$2,'data input'!$D$3:$E$130,2,FALSE),0)</f>
        <v>0</v>
      </c>
      <c r="DV97" s="5">
        <f>IF($E97&gt;=DV$2,VLOOKUP($E97-DV$2,'data input'!$D$3:$E$130,2,FALSE),0)</f>
        <v>0</v>
      </c>
      <c r="DW97" s="5">
        <f>IF($E97&gt;=DW$2,VLOOKUP($E97-DW$2,'data input'!$D$3:$E$130,2,FALSE),0)</f>
        <v>0</v>
      </c>
      <c r="DX97" s="5">
        <f>IF($E97&gt;=DX$2,VLOOKUP($E97-DX$2,'data input'!$D$3:$E$130,2,FALSE),0)</f>
        <v>0</v>
      </c>
      <c r="DY97" s="5">
        <f>IF($E97&gt;=DY$2,VLOOKUP($E97-DY$2,'data input'!$D$3:$E$130,2,FALSE),0)</f>
        <v>0</v>
      </c>
      <c r="DZ97" s="5">
        <f>IF($E97&gt;=DZ$2,VLOOKUP($E97-DZ$2,'data input'!$D$3:$E$130,2,FALSE),0)</f>
        <v>0</v>
      </c>
      <c r="EA97" s="5">
        <f>IF($E97&gt;=EA$2,VLOOKUP($E97-EA$2,'data input'!$D$3:$E$130,2,FALSE),0)</f>
        <v>0</v>
      </c>
      <c r="EB97" s="5">
        <f>IF($E97&gt;=EB$2,VLOOKUP($E97-EB$2,'data input'!$D$3:$E$130,2,FALSE),0)</f>
        <v>0</v>
      </c>
      <c r="EC97" s="5">
        <f>IF($E97&gt;=EC$2,VLOOKUP($E97-EC$2,'data input'!$D$3:$E$130,2,FALSE),0)</f>
        <v>0</v>
      </c>
    </row>
    <row r="98" spans="5:133">
      <c r="E98" s="7">
        <f>'data input'!B98</f>
        <v>1973</v>
      </c>
      <c r="F98" s="5">
        <f>IF($E98&gt;=F$2,VLOOKUP($E98-F$2,'data input'!$D$3:$E$130,2,FALSE),0)</f>
        <v>1.8536737846241991E-5</v>
      </c>
      <c r="G98" s="5">
        <f>IF($E98&gt;=G$2,VLOOKUP($E98-G$2,'data input'!$D$3:$E$130,2,FALSE),0)</f>
        <v>2.5608816474065321E-5</v>
      </c>
      <c r="H98" s="5">
        <f>IF($E98&gt;=H$2,VLOOKUP($E98-H$2,'data input'!$D$3:$E$130,2,FALSE),0)</f>
        <v>3.5189628065923628E-5</v>
      </c>
      <c r="I98" s="5">
        <f>IF($E98&gt;=I$2,VLOOKUP($E98-I$2,'data input'!$D$3:$E$130,2,FALSE),0)</f>
        <v>4.8096344017589665E-5</v>
      </c>
      <c r="J98" s="5">
        <f>IF($E98&gt;=J$2,VLOOKUP($E98-J$2,'data input'!$D$3:$E$130,2,FALSE),0)</f>
        <v>6.5386043242687819E-5</v>
      </c>
      <c r="K98" s="5">
        <f>IF($E98&gt;=K$2,VLOOKUP($E98-K$2,'data input'!$D$3:$E$130,2,FALSE),0)</f>
        <v>8.841728520081471E-5</v>
      </c>
      <c r="L98" s="5">
        <f>IF($E98&gt;=L$2,VLOOKUP($E98-L$2,'data input'!$D$3:$E$130,2,FALSE),0)</f>
        <v>1.1892470732677296E-4</v>
      </c>
      <c r="M98" s="5">
        <f>IF($E98&gt;=M$2,VLOOKUP($E98-M$2,'data input'!$D$3:$E$130,2,FALSE),0)</f>
        <v>1.5910859015755285E-4</v>
      </c>
      <c r="N98" s="5">
        <f>IF($E98&gt;=N$2,VLOOKUP($E98-N$2,'data input'!$D$3:$E$130,2,FALSE),0)</f>
        <v>2.1174139572344153E-4</v>
      </c>
      <c r="O98" s="5">
        <f>IF($E98&gt;=O$2,VLOOKUP($E98-O$2,'data input'!$D$3:$E$130,2,FALSE),0)</f>
        <v>2.8029327681622362E-4</v>
      </c>
      <c r="P98" s="5">
        <f>IF($E98&gt;=P$2,VLOOKUP($E98-P$2,'data input'!$D$3:$E$130,2,FALSE),0)</f>
        <v>3.6907845427502917E-4</v>
      </c>
      <c r="Q98" s="5">
        <f>IF($E98&gt;=Q$2,VLOOKUP($E98-Q$2,'data input'!$D$3:$E$130,2,FALSE),0)</f>
        <v>4.8342414238378151E-4</v>
      </c>
      <c r="R98" s="5">
        <f>IF($E98&gt;=R$2,VLOOKUP($E98-R$2,'data input'!$D$3:$E$130,2,FALSE),0)</f>
        <v>6.2986334399772748E-4</v>
      </c>
      <c r="S98" s="5">
        <f>IF($E98&gt;=S$2,VLOOKUP($E98-S$2,'data input'!$D$3:$E$130,2,FALSE),0)</f>
        <v>8.1635231282861653E-4</v>
      </c>
      <c r="T98" s="5">
        <f>IF($E98&gt;=T$2,VLOOKUP($E98-T$2,'data input'!$D$3:$E$130,2,FALSE),0)</f>
        <v>1.0525127683760349E-3</v>
      </c>
      <c r="U98" s="5">
        <f>IF($E98&gt;=U$2,VLOOKUP($E98-U$2,'data input'!$D$3:$E$130,2,FALSE),0)</f>
        <v>1.3498980316301035E-3</v>
      </c>
      <c r="V98" s="5">
        <f>IF($E98&gt;=V$2,VLOOKUP($E98-V$2,'data input'!$D$3:$E$130,2,FALSE),0)</f>
        <v>1.7222811158675855E-3</v>
      </c>
      <c r="W98" s="5">
        <f>IF($E98&gt;=W$2,VLOOKUP($E98-W$2,'data input'!$D$3:$E$130,2,FALSE),0)</f>
        <v>2.1859614549132322E-3</v>
      </c>
      <c r="X98" s="5">
        <f>IF($E98&gt;=X$2,VLOOKUP($E98-X$2,'data input'!$D$3:$E$130,2,FALSE),0)</f>
        <v>2.7600853912624901E-3</v>
      </c>
      <c r="Y98" s="5">
        <f>IF($E98&gt;=Y$2,VLOOKUP($E98-Y$2,'data input'!$D$3:$E$130,2,FALSE),0)</f>
        <v>3.4669738030406183E-3</v>
      </c>
      <c r="Z98" s="5">
        <f>IF($E98&gt;=Z$2,VLOOKUP($E98-Z$2,'data input'!$D$3:$E$130,2,FALSE),0)</f>
        <v>4.3324483630126087E-3</v>
      </c>
      <c r="AA98" s="5">
        <f>IF($E98&gt;=AA$2,VLOOKUP($E98-AA$2,'data input'!$D$3:$E$130,2,FALSE),0)</f>
        <v>5.3861459540667234E-3</v>
      </c>
      <c r="AB98" s="5">
        <f>IF($E98&gt;=AB$2,VLOOKUP($E98-AB$2,'data input'!$D$3:$E$130,2,FALSE),0)</f>
        <v>6.6618087919827484E-3</v>
      </c>
      <c r="AC98" s="5">
        <f>IF($E98&gt;=AC$2,VLOOKUP($E98-AC$2,'data input'!$D$3:$E$130,2,FALSE),0)</f>
        <v>8.1975359245961554E-3</v>
      </c>
      <c r="AD98" s="5">
        <f>IF($E98&gt;=AD$2,VLOOKUP($E98-AD$2,'data input'!$D$3:$E$130,2,FALSE),0)</f>
        <v>1.0035980100274067E-2</v>
      </c>
      <c r="AE98" s="5">
        <f>IF($E98&gt;=AE$2,VLOOKUP($E98-AE$2,'data input'!$D$3:$E$130,2,FALSE),0)</f>
        <v>1.2224472655044671E-2</v>
      </c>
      <c r="AF98" s="5">
        <f>IF($E98&gt;=AF$2,VLOOKUP($E98-AF$2,'data input'!$D$3:$E$130,2,FALSE),0)</f>
        <v>1.4815058192609865E-2</v>
      </c>
      <c r="AG98" s="5">
        <f>IF($E98&gt;=AG$2,VLOOKUP($E98-AG$2,'data input'!$D$3:$E$130,2,FALSE),0)</f>
        <v>1.7864420562816563E-2</v>
      </c>
      <c r="AH98" s="5">
        <f>IF($E98&gt;=AH$2,VLOOKUP($E98-AH$2,'data input'!$D$3:$E$130,2,FALSE),0)</f>
        <v>2.1433682114152974E-2</v>
      </c>
      <c r="AI98" s="5">
        <f>IF($E98&gt;=AI$2,VLOOKUP($E98-AI$2,'data input'!$D$3:$E$130,2,FALSE),0)</f>
        <v>2.5588059521638562E-2</v>
      </c>
      <c r="AJ98" s="5">
        <f>IF($E98&gt;=AJ$2,VLOOKUP($E98-AJ$2,'data input'!$D$3:$E$130,2,FALSE),0)</f>
        <v>3.0396361765261393E-2</v>
      </c>
      <c r="AK98" s="5">
        <f>IF($E98&gt;=AK$2,VLOOKUP($E98-AK$2,'data input'!$D$3:$E$130,2,FALSE),0)</f>
        <v>3.5930319112925768E-2</v>
      </c>
      <c r="AL98" s="5">
        <f>IF($E98&gt;=AL$2,VLOOKUP($E98-AL$2,'data input'!$D$3:$E$130,2,FALSE),0)</f>
        <v>4.2263736257952433E-2</v>
      </c>
      <c r="AM98" s="5">
        <f>IF($E98&gt;=AM$2,VLOOKUP($E98-AM$2,'data input'!$D$3:$E$130,2,FALSE),0)</f>
        <v>4.9471468033648103E-2</v>
      </c>
      <c r="AN98" s="5">
        <f>IF($E98&gt;=AN$2,VLOOKUP($E98-AN$2,'data input'!$D$3:$E$130,2,FALSE),0)</f>
        <v>5.7628222276153163E-2</v>
      </c>
      <c r="AO98" s="5">
        <f>IF($E98&gt;=AO$2,VLOOKUP($E98-AO$2,'data input'!$D$3:$E$130,2,FALSE),0)</f>
        <v>6.6807201268858085E-2</v>
      </c>
      <c r="AP98" s="5">
        <f>IF($E98&gt;=AP$2,VLOOKUP($E98-AP$2,'data input'!$D$3:$E$130,2,FALSE),0)</f>
        <v>7.707860055207183E-2</v>
      </c>
      <c r="AQ98" s="5">
        <f>IF($E98&gt;=AQ$2,VLOOKUP($E98-AQ$2,'data input'!$D$3:$E$130,2,FALSE),0)</f>
        <v>8.8507991437402067E-2</v>
      </c>
      <c r="AR98" s="5">
        <f>IF($E98&gt;=AR$2,VLOOKUP($E98-AR$2,'data input'!$D$3:$E$130,2,FALSE),0)</f>
        <v>0.10115462099558592</v>
      </c>
      <c r="AS98" s="5">
        <f>IF($E98&gt;=AS$2,VLOOKUP($E98-AS$2,'data input'!$D$3:$E$130,2,FALSE),0)</f>
        <v>0.11506967022170822</v>
      </c>
      <c r="AT98" s="5">
        <f>IF($E98&gt;=AT$2,VLOOKUP($E98-AT$2,'data input'!$D$3:$E$130,2,FALSE),0)</f>
        <v>0.13029451713680884</v>
      </c>
      <c r="AU98" s="5">
        <f>IF($E98&gt;=AU$2,VLOOKUP($E98-AU$2,'data input'!$D$3:$E$130,2,FALSE),0)</f>
        <v>0.14685905637589591</v>
      </c>
      <c r="AV98" s="5">
        <f>IF($E98&gt;=AV$2,VLOOKUP($E98-AV$2,'data input'!$D$3:$E$130,2,FALSE),0)</f>
        <v>0.16478012998031033</v>
      </c>
      <c r="AW98" s="5">
        <f>IF($E98&gt;=AW$2,VLOOKUP($E98-AW$2,'data input'!$D$3:$E$130,2,FALSE),0)</f>
        <v>0.18406012534675953</v>
      </c>
      <c r="AX98" s="5">
        <f>IF($E98&gt;=AX$2,VLOOKUP($E98-AX$2,'data input'!$D$3:$E$130,2,FALSE),0)</f>
        <v>0.20468579534725262</v>
      </c>
      <c r="AY98" s="5">
        <f>IF($E98&gt;=AY$2,VLOOKUP($E98-AY$2,'data input'!$D$3:$E$130,2,FALSE),0)</f>
        <v>0.22662735237686826</v>
      </c>
      <c r="AZ98" s="5">
        <f>IF($E98&gt;=AZ$2,VLOOKUP($E98-AZ$2,'data input'!$D$3:$E$130,2,FALSE),0)</f>
        <v>0.24983788247177696</v>
      </c>
      <c r="BA98" s="5">
        <f>IF($E98&gt;=BA$2,VLOOKUP($E98-BA$2,'data input'!$D$3:$E$130,2,FALSE),0)</f>
        <v>0.27425311775007355</v>
      </c>
      <c r="BB98" s="5">
        <f>IF($E98&gt;=BB$2,VLOOKUP($E98-BB$2,'data input'!$D$3:$E$130,2,FALSE),0)</f>
        <v>0.29979159546869583</v>
      </c>
      <c r="BC98" s="5">
        <f>IF($E98&gt;=BC$2,VLOOKUP($E98-BC$2,'data input'!$D$3:$E$130,2,FALSE),0)</f>
        <v>0.32635522028792008</v>
      </c>
      <c r="BD98" s="5">
        <f>IF($E98&gt;=BD$2,VLOOKUP($E98-BD$2,'data input'!$D$3:$E$130,2,FALSE),0)</f>
        <v>0.35383023332727614</v>
      </c>
      <c r="BE98" s="5">
        <f>IF($E98&gt;=BE$2,VLOOKUP($E98-BE$2,'data input'!$D$3:$E$130,2,FALSE),0)</f>
        <v>0.38208857781104733</v>
      </c>
      <c r="BF98" s="5">
        <f>IF($E98&gt;=BF$2,VLOOKUP($E98-BF$2,'data input'!$D$3:$E$130,2,FALSE),0)</f>
        <v>0.41098963713127035</v>
      </c>
      <c r="BG98" s="5">
        <f>IF($E98&gt;=BG$2,VLOOKUP($E98-BG$2,'data input'!$D$3:$E$130,2,FALSE),0)</f>
        <v>0.4403823076297575</v>
      </c>
      <c r="BH98" s="5">
        <f>IF($E98&gt;=BH$2,VLOOKUP($E98-BH$2,'data input'!$D$3:$E$130,2,FALSE),0)</f>
        <v>0.47010735594710518</v>
      </c>
      <c r="BI98" s="5">
        <f>IF($E98&gt;=BI$2,VLOOKUP($E98-BI$2,'data input'!$D$3:$E$130,2,FALSE),0)</f>
        <v>0.5</v>
      </c>
      <c r="BJ98" s="5">
        <f>IF($E98&gt;=BJ$2,VLOOKUP($E98-BJ$2,'data input'!$D$3:$E$130,2,FALSE),0)</f>
        <v>0.52989264405289482</v>
      </c>
      <c r="BK98" s="5">
        <f>IF($E98&gt;=BK$2,VLOOKUP($E98-BK$2,'data input'!$D$3:$E$130,2,FALSE),0)</f>
        <v>0.5596176923702425</v>
      </c>
      <c r="BL98" s="5">
        <f>IF($E98&gt;=BL$2,VLOOKUP($E98-BL$2,'data input'!$D$3:$E$130,2,FALSE),0)</f>
        <v>0.58901036286872965</v>
      </c>
      <c r="BM98" s="5">
        <f>IF($E98&gt;=BM$2,VLOOKUP($E98-BM$2,'data input'!$D$3:$E$130,2,FALSE),0)</f>
        <v>0.61791142218895267</v>
      </c>
      <c r="BN98" s="5">
        <f>IF($E98&gt;=BN$2,VLOOKUP($E98-BN$2,'data input'!$D$3:$E$130,2,FALSE),0)</f>
        <v>0.64616976667272386</v>
      </c>
      <c r="BO98" s="5">
        <f>IF($E98&gt;=BO$2,VLOOKUP($E98-BO$2,'data input'!$D$3:$E$130,2,FALSE),0)</f>
        <v>0.67364477971207992</v>
      </c>
      <c r="BP98" s="5">
        <f>IF($E98&gt;=BP$2,VLOOKUP($E98-BP$2,'data input'!$D$3:$E$130,2,FALSE),0)</f>
        <v>0.70020840453130417</v>
      </c>
      <c r="BQ98" s="5">
        <f>IF($E98&gt;=BQ$2,VLOOKUP($E98-BQ$2,'data input'!$D$3:$E$130,2,FALSE),0)</f>
        <v>0.72574688224992645</v>
      </c>
      <c r="BR98" s="5">
        <f>IF($E98&gt;=BR$2,VLOOKUP($E98-BR$2,'data input'!$D$3:$E$130,2,FALSE),0)</f>
        <v>0.75016211752822304</v>
      </c>
      <c r="BS98" s="5">
        <f>IF($E98&gt;=BS$2,VLOOKUP($E98-BS$2,'data input'!$D$3:$E$130,2,FALSE),0)</f>
        <v>0.77337264762313174</v>
      </c>
      <c r="BT98" s="5">
        <f>IF($E98&gt;=BT$2,VLOOKUP($E98-BT$2,'data input'!$D$3:$E$130,2,FALSE),0)</f>
        <v>0.79531420465274738</v>
      </c>
      <c r="BU98" s="5">
        <f>IF($E98&gt;=BU$2,VLOOKUP($E98-BU$2,'data input'!$D$3:$E$130,2,FALSE),0)</f>
        <v>0.81593987465324047</v>
      </c>
      <c r="BV98" s="5">
        <f>IF($E98&gt;=BV$2,VLOOKUP($E98-BV$2,'data input'!$D$3:$E$130,2,FALSE),0)</f>
        <v>0.83521987001968967</v>
      </c>
      <c r="BW98" s="5">
        <f>IF($E98&gt;=BW$2,VLOOKUP($E98-BW$2,'data input'!$D$3:$E$130,2,FALSE),0)</f>
        <v>0.85314094362410409</v>
      </c>
      <c r="BX98" s="5">
        <f>IF($E98&gt;=BX$2,VLOOKUP($E98-BX$2,'data input'!$D$3:$E$130,2,FALSE),0)</f>
        <v>0.86970548286319116</v>
      </c>
      <c r="BY98" s="5">
        <f>IF($E98&gt;=BY$2,VLOOKUP($E98-BY$2,'data input'!$D$3:$E$130,2,FALSE),0)</f>
        <v>0.88493032977829178</v>
      </c>
      <c r="BZ98" s="5">
        <f>IF($E98&gt;=BZ$2,VLOOKUP($E98-BZ$2,'data input'!$D$3:$E$130,2,FALSE),0)</f>
        <v>0.89884537900441408</v>
      </c>
      <c r="CA98" s="5">
        <f>IF($E98&gt;=CA$2,VLOOKUP($E98-CA$2,'data input'!$D$3:$E$130,2,FALSE),0)</f>
        <v>0.91149200856259793</v>
      </c>
      <c r="CB98" s="5">
        <f>IF($E98&gt;=CB$2,VLOOKUP($E98-CB$2,'data input'!$D$3:$E$130,2,FALSE),0)</f>
        <v>0.92292139944792817</v>
      </c>
      <c r="CC98" s="5">
        <f>IF($E98&gt;=CC$2,VLOOKUP($E98-CC$2,'data input'!$D$3:$E$130,2,FALSE),0)</f>
        <v>0.93319279873114191</v>
      </c>
      <c r="CD98" s="5">
        <f>IF($E98&gt;=CD$2,VLOOKUP($E98-CD$2,'data input'!$D$3:$E$130,2,FALSE),0)</f>
        <v>0.94237177772384684</v>
      </c>
      <c r="CE98" s="5">
        <f>IF($E98&gt;=CE$2,VLOOKUP($E98-CE$2,'data input'!$D$3:$E$130,2,FALSE),0)</f>
        <v>0.9505285319663519</v>
      </c>
      <c r="CF98" s="5">
        <f>IF($E98&gt;=CF$2,VLOOKUP($E98-CF$2,'data input'!$D$3:$E$130,2,FALSE),0)</f>
        <v>0.95773626374204757</v>
      </c>
      <c r="CG98" s="5">
        <f>IF($E98&gt;=CG$2,VLOOKUP($E98-CG$2,'data input'!$D$3:$E$130,2,FALSE),0)</f>
        <v>0.96406968088707423</v>
      </c>
      <c r="CH98" s="5">
        <f>IF($E98&gt;=CH$2,VLOOKUP($E98-CH$2,'data input'!$D$3:$E$130,2,FALSE),0)</f>
        <v>0.96960363823473861</v>
      </c>
      <c r="CI98" s="5">
        <f>IF($E98&gt;=CI$2,VLOOKUP($E98-CI$2,'data input'!$D$3:$E$130,2,FALSE),0)</f>
        <v>0.97441194047836144</v>
      </c>
      <c r="CJ98" s="5">
        <f>IF($E98&gt;=CJ$2,VLOOKUP($E98-CJ$2,'data input'!$D$3:$E$130,2,FALSE),0)</f>
        <v>0.97856631788584703</v>
      </c>
      <c r="CK98" s="5">
        <f>IF($E98&gt;=CK$2,VLOOKUP($E98-CK$2,'data input'!$D$3:$E$130,2,FALSE),0)</f>
        <v>0.98213557943718344</v>
      </c>
      <c r="CL98" s="5">
        <f>IF($E98&gt;=CL$2,VLOOKUP($E98-CL$2,'data input'!$D$3:$E$130,2,FALSE),0)</f>
        <v>0.98518494180739014</v>
      </c>
      <c r="CM98" s="5">
        <f>IF($E98&gt;=CM$2,VLOOKUP($E98-CM$2,'data input'!$D$3:$E$130,2,FALSE),0)</f>
        <v>0.98777552734495533</v>
      </c>
      <c r="CN98" s="5">
        <f>IF($E98&gt;=CN$2,VLOOKUP($E98-CN$2,'data input'!$D$3:$E$130,2,FALSE),0)</f>
        <v>0.98996401989972593</v>
      </c>
      <c r="CO98" s="5">
        <f>IF($E98&gt;=CO$2,VLOOKUP($E98-CO$2,'data input'!$D$3:$E$130,2,FALSE),0)</f>
        <v>0.99180246407540384</v>
      </c>
      <c r="CP98" s="5">
        <f>IF($E98&gt;=CP$2,VLOOKUP($E98-CP$2,'data input'!$D$3:$E$130,2,FALSE),0)</f>
        <v>0.99333819120801725</v>
      </c>
      <c r="CQ98" s="5">
        <f>IF($E98&gt;=CQ$2,VLOOKUP($E98-CQ$2,'data input'!$D$3:$E$130,2,FALSE),0)</f>
        <v>0.99461385404593328</v>
      </c>
      <c r="CR98" s="5">
        <f>IF($E98&gt;=CR$2,VLOOKUP($E98-CR$2,'data input'!$D$3:$E$130,2,FALSE),0)</f>
        <v>0.99566755163698739</v>
      </c>
      <c r="CS98" s="5">
        <f>IF($E98&gt;=CS$2,VLOOKUP($E98-CS$2,'data input'!$D$3:$E$130,2,FALSE),0)</f>
        <v>0.99653302619695938</v>
      </c>
      <c r="CT98" s="5">
        <f>IF($E98&gt;=CT$2,VLOOKUP($E98-CT$2,'data input'!$D$3:$E$130,2,FALSE),0)</f>
        <v>0.99723991460873751</v>
      </c>
      <c r="CU98" s="5">
        <f>IF($E98&gt;=CU$2,VLOOKUP($E98-CU$2,'data input'!$D$3:$E$130,2,FALSE),0)</f>
        <v>0.99781403854508677</v>
      </c>
      <c r="CV98" s="5">
        <f>IF($E98&gt;=CV$2,VLOOKUP($E98-CV$2,'data input'!$D$3:$E$130,2,FALSE),0)</f>
        <v>0.99827771888413241</v>
      </c>
      <c r="CW98" s="5">
        <f>IF($E98&gt;=CW$2,VLOOKUP($E98-CW$2,'data input'!$D$3:$E$130,2,FALSE),0)</f>
        <v>0.9986501019683699</v>
      </c>
      <c r="CX98" s="5">
        <f>IF($E98&gt;=CX$2,VLOOKUP($E98-CX$2,'data input'!$D$3:$E$130,2,FALSE),0)</f>
        <v>0</v>
      </c>
      <c r="CY98" s="5">
        <f>IF($E98&gt;=CY$2,VLOOKUP($E98-CY$2,'data input'!$D$3:$E$130,2,FALSE),0)</f>
        <v>0</v>
      </c>
      <c r="CZ98" s="5">
        <f>IF($E98&gt;=CZ$2,VLOOKUP($E98-CZ$2,'data input'!$D$3:$E$130,2,FALSE),0)</f>
        <v>0</v>
      </c>
      <c r="DA98" s="5">
        <f>IF($E98&gt;=DA$2,VLOOKUP($E98-DA$2,'data input'!$D$3:$E$130,2,FALSE),0)</f>
        <v>0</v>
      </c>
      <c r="DB98" s="5">
        <f>IF($E98&gt;=DB$2,VLOOKUP($E98-DB$2,'data input'!$D$3:$E$130,2,FALSE),0)</f>
        <v>0</v>
      </c>
      <c r="DC98" s="5">
        <f>IF($E98&gt;=DC$2,VLOOKUP($E98-DC$2,'data input'!$D$3:$E$130,2,FALSE),0)</f>
        <v>0</v>
      </c>
      <c r="DD98" s="5">
        <f>IF($E98&gt;=DD$2,VLOOKUP($E98-DD$2,'data input'!$D$3:$E$130,2,FALSE),0)</f>
        <v>0</v>
      </c>
      <c r="DE98" s="5">
        <f>IF($E98&gt;=DE$2,VLOOKUP($E98-DE$2,'data input'!$D$3:$E$130,2,FALSE),0)</f>
        <v>0</v>
      </c>
      <c r="DF98" s="5">
        <f>IF($E98&gt;=DF$2,VLOOKUP($E98-DF$2,'data input'!$D$3:$E$130,2,FALSE),0)</f>
        <v>0</v>
      </c>
      <c r="DG98" s="5">
        <f>IF($E98&gt;=DG$2,VLOOKUP($E98-DG$2,'data input'!$D$3:$E$130,2,FALSE),0)</f>
        <v>0</v>
      </c>
      <c r="DH98" s="5">
        <f>IF($E98&gt;=DH$2,VLOOKUP($E98-DH$2,'data input'!$D$3:$E$130,2,FALSE),0)</f>
        <v>0</v>
      </c>
      <c r="DI98" s="5">
        <f>IF($E98&gt;=DI$2,VLOOKUP($E98-DI$2,'data input'!$D$3:$E$130,2,FALSE),0)</f>
        <v>0</v>
      </c>
      <c r="DJ98" s="5">
        <f>IF($E98&gt;=DJ$2,VLOOKUP($E98-DJ$2,'data input'!$D$3:$E$130,2,FALSE),0)</f>
        <v>0</v>
      </c>
      <c r="DK98" s="5">
        <f>IF($E98&gt;=DK$2,VLOOKUP($E98-DK$2,'data input'!$D$3:$E$130,2,FALSE),0)</f>
        <v>0</v>
      </c>
      <c r="DL98" s="5">
        <f>IF($E98&gt;=DL$2,VLOOKUP($E98-DL$2,'data input'!$D$3:$E$130,2,FALSE),0)</f>
        <v>0</v>
      </c>
      <c r="DM98" s="5">
        <f>IF($E98&gt;=DM$2,VLOOKUP($E98-DM$2,'data input'!$D$3:$E$130,2,FALSE),0)</f>
        <v>0</v>
      </c>
      <c r="DN98" s="5">
        <f>IF($E98&gt;=DN$2,VLOOKUP($E98-DN$2,'data input'!$D$3:$E$130,2,FALSE),0)</f>
        <v>0</v>
      </c>
      <c r="DO98" s="5">
        <f>IF($E98&gt;=DO$2,VLOOKUP($E98-DO$2,'data input'!$D$3:$E$130,2,FALSE),0)</f>
        <v>0</v>
      </c>
      <c r="DP98" s="5">
        <f>IF($E98&gt;=DP$2,VLOOKUP($E98-DP$2,'data input'!$D$3:$E$130,2,FALSE),0)</f>
        <v>0</v>
      </c>
      <c r="DQ98" s="5">
        <f>IF($E98&gt;=DQ$2,VLOOKUP($E98-DQ$2,'data input'!$D$3:$E$130,2,FALSE),0)</f>
        <v>0</v>
      </c>
      <c r="DR98" s="5">
        <f>IF($E98&gt;=DR$2,VLOOKUP($E98-DR$2,'data input'!$D$3:$E$130,2,FALSE),0)</f>
        <v>0</v>
      </c>
      <c r="DS98" s="5">
        <f>IF($E98&gt;=DS$2,VLOOKUP($E98-DS$2,'data input'!$D$3:$E$130,2,FALSE),0)</f>
        <v>0</v>
      </c>
      <c r="DT98" s="5">
        <f>IF($E98&gt;=DT$2,VLOOKUP($E98-DT$2,'data input'!$D$3:$E$130,2,FALSE),0)</f>
        <v>0</v>
      </c>
      <c r="DU98" s="5">
        <f>IF($E98&gt;=DU$2,VLOOKUP($E98-DU$2,'data input'!$D$3:$E$130,2,FALSE),0)</f>
        <v>0</v>
      </c>
      <c r="DV98" s="5">
        <f>IF($E98&gt;=DV$2,VLOOKUP($E98-DV$2,'data input'!$D$3:$E$130,2,FALSE),0)</f>
        <v>0</v>
      </c>
      <c r="DW98" s="5">
        <f>IF($E98&gt;=DW$2,VLOOKUP($E98-DW$2,'data input'!$D$3:$E$130,2,FALSE),0)</f>
        <v>0</v>
      </c>
      <c r="DX98" s="5">
        <f>IF($E98&gt;=DX$2,VLOOKUP($E98-DX$2,'data input'!$D$3:$E$130,2,FALSE),0)</f>
        <v>0</v>
      </c>
      <c r="DY98" s="5">
        <f>IF($E98&gt;=DY$2,VLOOKUP($E98-DY$2,'data input'!$D$3:$E$130,2,FALSE),0)</f>
        <v>0</v>
      </c>
      <c r="DZ98" s="5">
        <f>IF($E98&gt;=DZ$2,VLOOKUP($E98-DZ$2,'data input'!$D$3:$E$130,2,FALSE),0)</f>
        <v>0</v>
      </c>
      <c r="EA98" s="5">
        <f>IF($E98&gt;=EA$2,VLOOKUP($E98-EA$2,'data input'!$D$3:$E$130,2,FALSE),0)</f>
        <v>0</v>
      </c>
      <c r="EB98" s="5">
        <f>IF($E98&gt;=EB$2,VLOOKUP($E98-EB$2,'data input'!$D$3:$E$130,2,FALSE),0)</f>
        <v>0</v>
      </c>
      <c r="EC98" s="5">
        <f>IF($E98&gt;=EC$2,VLOOKUP($E98-EC$2,'data input'!$D$3:$E$130,2,FALSE),0)</f>
        <v>0</v>
      </c>
    </row>
    <row r="99" spans="5:133">
      <c r="E99" s="7">
        <f>'data input'!B99</f>
        <v>1974</v>
      </c>
      <c r="F99" s="5">
        <f>IF($E99&gt;=F$2,VLOOKUP($E99-F$2,'data input'!$D$3:$E$130,2,FALSE),0)</f>
        <v>1.3345749015902797E-5</v>
      </c>
      <c r="G99" s="5">
        <f>IF($E99&gt;=G$2,VLOOKUP($E99-G$2,'data input'!$D$3:$E$130,2,FALSE),0)</f>
        <v>1.8536737846241991E-5</v>
      </c>
      <c r="H99" s="5">
        <f>IF($E99&gt;=H$2,VLOOKUP($E99-H$2,'data input'!$D$3:$E$130,2,FALSE),0)</f>
        <v>2.5608816474065321E-5</v>
      </c>
      <c r="I99" s="5">
        <f>IF($E99&gt;=I$2,VLOOKUP($E99-I$2,'data input'!$D$3:$E$130,2,FALSE),0)</f>
        <v>3.5189628065923628E-5</v>
      </c>
      <c r="J99" s="5">
        <f>IF($E99&gt;=J$2,VLOOKUP($E99-J$2,'data input'!$D$3:$E$130,2,FALSE),0)</f>
        <v>4.8096344017589665E-5</v>
      </c>
      <c r="K99" s="5">
        <f>IF($E99&gt;=K$2,VLOOKUP($E99-K$2,'data input'!$D$3:$E$130,2,FALSE),0)</f>
        <v>6.5386043242687819E-5</v>
      </c>
      <c r="L99" s="5">
        <f>IF($E99&gt;=L$2,VLOOKUP($E99-L$2,'data input'!$D$3:$E$130,2,FALSE),0)</f>
        <v>8.841728520081471E-5</v>
      </c>
      <c r="M99" s="5">
        <f>IF($E99&gt;=M$2,VLOOKUP($E99-M$2,'data input'!$D$3:$E$130,2,FALSE),0)</f>
        <v>1.1892470732677296E-4</v>
      </c>
      <c r="N99" s="5">
        <f>IF($E99&gt;=N$2,VLOOKUP($E99-N$2,'data input'!$D$3:$E$130,2,FALSE),0)</f>
        <v>1.5910859015755285E-4</v>
      </c>
      <c r="O99" s="5">
        <f>IF($E99&gt;=O$2,VLOOKUP($E99-O$2,'data input'!$D$3:$E$130,2,FALSE),0)</f>
        <v>2.1174139572344153E-4</v>
      </c>
      <c r="P99" s="5">
        <f>IF($E99&gt;=P$2,VLOOKUP($E99-P$2,'data input'!$D$3:$E$130,2,FALSE),0)</f>
        <v>2.8029327681622362E-4</v>
      </c>
      <c r="Q99" s="5">
        <f>IF($E99&gt;=Q$2,VLOOKUP($E99-Q$2,'data input'!$D$3:$E$130,2,FALSE),0)</f>
        <v>3.6907845427502917E-4</v>
      </c>
      <c r="R99" s="5">
        <f>IF($E99&gt;=R$2,VLOOKUP($E99-R$2,'data input'!$D$3:$E$130,2,FALSE),0)</f>
        <v>4.8342414238378151E-4</v>
      </c>
      <c r="S99" s="5">
        <f>IF($E99&gt;=S$2,VLOOKUP($E99-S$2,'data input'!$D$3:$E$130,2,FALSE),0)</f>
        <v>6.2986334399772748E-4</v>
      </c>
      <c r="T99" s="5">
        <f>IF($E99&gt;=T$2,VLOOKUP($E99-T$2,'data input'!$D$3:$E$130,2,FALSE),0)</f>
        <v>8.1635231282861653E-4</v>
      </c>
      <c r="U99" s="5">
        <f>IF($E99&gt;=U$2,VLOOKUP($E99-U$2,'data input'!$D$3:$E$130,2,FALSE),0)</f>
        <v>1.0525127683760349E-3</v>
      </c>
      <c r="V99" s="5">
        <f>IF($E99&gt;=V$2,VLOOKUP($E99-V$2,'data input'!$D$3:$E$130,2,FALSE),0)</f>
        <v>1.3498980316301035E-3</v>
      </c>
      <c r="W99" s="5">
        <f>IF($E99&gt;=W$2,VLOOKUP($E99-W$2,'data input'!$D$3:$E$130,2,FALSE),0)</f>
        <v>1.7222811158675855E-3</v>
      </c>
      <c r="X99" s="5">
        <f>IF($E99&gt;=X$2,VLOOKUP($E99-X$2,'data input'!$D$3:$E$130,2,FALSE),0)</f>
        <v>2.1859614549132322E-3</v>
      </c>
      <c r="Y99" s="5">
        <f>IF($E99&gt;=Y$2,VLOOKUP($E99-Y$2,'data input'!$D$3:$E$130,2,FALSE),0)</f>
        <v>2.7600853912624901E-3</v>
      </c>
      <c r="Z99" s="5">
        <f>IF($E99&gt;=Z$2,VLOOKUP($E99-Z$2,'data input'!$D$3:$E$130,2,FALSE),0)</f>
        <v>3.4669738030406183E-3</v>
      </c>
      <c r="AA99" s="5">
        <f>IF($E99&gt;=AA$2,VLOOKUP($E99-AA$2,'data input'!$D$3:$E$130,2,FALSE),0)</f>
        <v>4.3324483630126087E-3</v>
      </c>
      <c r="AB99" s="5">
        <f>IF($E99&gt;=AB$2,VLOOKUP($E99-AB$2,'data input'!$D$3:$E$130,2,FALSE),0)</f>
        <v>5.3861459540667234E-3</v>
      </c>
      <c r="AC99" s="5">
        <f>IF($E99&gt;=AC$2,VLOOKUP($E99-AC$2,'data input'!$D$3:$E$130,2,FALSE),0)</f>
        <v>6.6618087919827484E-3</v>
      </c>
      <c r="AD99" s="5">
        <f>IF($E99&gt;=AD$2,VLOOKUP($E99-AD$2,'data input'!$D$3:$E$130,2,FALSE),0)</f>
        <v>8.1975359245961554E-3</v>
      </c>
      <c r="AE99" s="5">
        <f>IF($E99&gt;=AE$2,VLOOKUP($E99-AE$2,'data input'!$D$3:$E$130,2,FALSE),0)</f>
        <v>1.0035980100274067E-2</v>
      </c>
      <c r="AF99" s="5">
        <f>IF($E99&gt;=AF$2,VLOOKUP($E99-AF$2,'data input'!$D$3:$E$130,2,FALSE),0)</f>
        <v>1.2224472655044671E-2</v>
      </c>
      <c r="AG99" s="5">
        <f>IF($E99&gt;=AG$2,VLOOKUP($E99-AG$2,'data input'!$D$3:$E$130,2,FALSE),0)</f>
        <v>1.4815058192609865E-2</v>
      </c>
      <c r="AH99" s="5">
        <f>IF($E99&gt;=AH$2,VLOOKUP($E99-AH$2,'data input'!$D$3:$E$130,2,FALSE),0)</f>
        <v>1.7864420562816563E-2</v>
      </c>
      <c r="AI99" s="5">
        <f>IF($E99&gt;=AI$2,VLOOKUP($E99-AI$2,'data input'!$D$3:$E$130,2,FALSE),0)</f>
        <v>2.1433682114152974E-2</v>
      </c>
      <c r="AJ99" s="5">
        <f>IF($E99&gt;=AJ$2,VLOOKUP($E99-AJ$2,'data input'!$D$3:$E$130,2,FALSE),0)</f>
        <v>2.5588059521638562E-2</v>
      </c>
      <c r="AK99" s="5">
        <f>IF($E99&gt;=AK$2,VLOOKUP($E99-AK$2,'data input'!$D$3:$E$130,2,FALSE),0)</f>
        <v>3.0396361765261393E-2</v>
      </c>
      <c r="AL99" s="5">
        <f>IF($E99&gt;=AL$2,VLOOKUP($E99-AL$2,'data input'!$D$3:$E$130,2,FALSE),0)</f>
        <v>3.5930319112925768E-2</v>
      </c>
      <c r="AM99" s="5">
        <f>IF($E99&gt;=AM$2,VLOOKUP($E99-AM$2,'data input'!$D$3:$E$130,2,FALSE),0)</f>
        <v>4.2263736257952433E-2</v>
      </c>
      <c r="AN99" s="5">
        <f>IF($E99&gt;=AN$2,VLOOKUP($E99-AN$2,'data input'!$D$3:$E$130,2,FALSE),0)</f>
        <v>4.9471468033648103E-2</v>
      </c>
      <c r="AO99" s="5">
        <f>IF($E99&gt;=AO$2,VLOOKUP($E99-AO$2,'data input'!$D$3:$E$130,2,FALSE),0)</f>
        <v>5.7628222276153163E-2</v>
      </c>
      <c r="AP99" s="5">
        <f>IF($E99&gt;=AP$2,VLOOKUP($E99-AP$2,'data input'!$D$3:$E$130,2,FALSE),0)</f>
        <v>6.6807201268858085E-2</v>
      </c>
      <c r="AQ99" s="5">
        <f>IF($E99&gt;=AQ$2,VLOOKUP($E99-AQ$2,'data input'!$D$3:$E$130,2,FALSE),0)</f>
        <v>7.707860055207183E-2</v>
      </c>
      <c r="AR99" s="5">
        <f>IF($E99&gt;=AR$2,VLOOKUP($E99-AR$2,'data input'!$D$3:$E$130,2,FALSE),0)</f>
        <v>8.8507991437402067E-2</v>
      </c>
      <c r="AS99" s="5">
        <f>IF($E99&gt;=AS$2,VLOOKUP($E99-AS$2,'data input'!$D$3:$E$130,2,FALSE),0)</f>
        <v>0.10115462099558592</v>
      </c>
      <c r="AT99" s="5">
        <f>IF($E99&gt;=AT$2,VLOOKUP($E99-AT$2,'data input'!$D$3:$E$130,2,FALSE),0)</f>
        <v>0.11506967022170822</v>
      </c>
      <c r="AU99" s="5">
        <f>IF($E99&gt;=AU$2,VLOOKUP($E99-AU$2,'data input'!$D$3:$E$130,2,FALSE),0)</f>
        <v>0.13029451713680884</v>
      </c>
      <c r="AV99" s="5">
        <f>IF($E99&gt;=AV$2,VLOOKUP($E99-AV$2,'data input'!$D$3:$E$130,2,FALSE),0)</f>
        <v>0.14685905637589591</v>
      </c>
      <c r="AW99" s="5">
        <f>IF($E99&gt;=AW$2,VLOOKUP($E99-AW$2,'data input'!$D$3:$E$130,2,FALSE),0)</f>
        <v>0.16478012998031033</v>
      </c>
      <c r="AX99" s="5">
        <f>IF($E99&gt;=AX$2,VLOOKUP($E99-AX$2,'data input'!$D$3:$E$130,2,FALSE),0)</f>
        <v>0.18406012534675953</v>
      </c>
      <c r="AY99" s="5">
        <f>IF($E99&gt;=AY$2,VLOOKUP($E99-AY$2,'data input'!$D$3:$E$130,2,FALSE),0)</f>
        <v>0.20468579534725262</v>
      </c>
      <c r="AZ99" s="5">
        <f>IF($E99&gt;=AZ$2,VLOOKUP($E99-AZ$2,'data input'!$D$3:$E$130,2,FALSE),0)</f>
        <v>0.22662735237686826</v>
      </c>
      <c r="BA99" s="5">
        <f>IF($E99&gt;=BA$2,VLOOKUP($E99-BA$2,'data input'!$D$3:$E$130,2,FALSE),0)</f>
        <v>0.24983788247177696</v>
      </c>
      <c r="BB99" s="5">
        <f>IF($E99&gt;=BB$2,VLOOKUP($E99-BB$2,'data input'!$D$3:$E$130,2,FALSE),0)</f>
        <v>0.27425311775007355</v>
      </c>
      <c r="BC99" s="5">
        <f>IF($E99&gt;=BC$2,VLOOKUP($E99-BC$2,'data input'!$D$3:$E$130,2,FALSE),0)</f>
        <v>0.29979159546869583</v>
      </c>
      <c r="BD99" s="5">
        <f>IF($E99&gt;=BD$2,VLOOKUP($E99-BD$2,'data input'!$D$3:$E$130,2,FALSE),0)</f>
        <v>0.32635522028792008</v>
      </c>
      <c r="BE99" s="5">
        <f>IF($E99&gt;=BE$2,VLOOKUP($E99-BE$2,'data input'!$D$3:$E$130,2,FALSE),0)</f>
        <v>0.35383023332727614</v>
      </c>
      <c r="BF99" s="5">
        <f>IF($E99&gt;=BF$2,VLOOKUP($E99-BF$2,'data input'!$D$3:$E$130,2,FALSE),0)</f>
        <v>0.38208857781104733</v>
      </c>
      <c r="BG99" s="5">
        <f>IF($E99&gt;=BG$2,VLOOKUP($E99-BG$2,'data input'!$D$3:$E$130,2,FALSE),0)</f>
        <v>0.41098963713127035</v>
      </c>
      <c r="BH99" s="5">
        <f>IF($E99&gt;=BH$2,VLOOKUP($E99-BH$2,'data input'!$D$3:$E$130,2,FALSE),0)</f>
        <v>0.4403823076297575</v>
      </c>
      <c r="BI99" s="5">
        <f>IF($E99&gt;=BI$2,VLOOKUP($E99-BI$2,'data input'!$D$3:$E$130,2,FALSE),0)</f>
        <v>0.47010735594710518</v>
      </c>
      <c r="BJ99" s="5">
        <f>IF($E99&gt;=BJ$2,VLOOKUP($E99-BJ$2,'data input'!$D$3:$E$130,2,FALSE),0)</f>
        <v>0.5</v>
      </c>
      <c r="BK99" s="5">
        <f>IF($E99&gt;=BK$2,VLOOKUP($E99-BK$2,'data input'!$D$3:$E$130,2,FALSE),0)</f>
        <v>0.52989264405289482</v>
      </c>
      <c r="BL99" s="5">
        <f>IF($E99&gt;=BL$2,VLOOKUP($E99-BL$2,'data input'!$D$3:$E$130,2,FALSE),0)</f>
        <v>0.5596176923702425</v>
      </c>
      <c r="BM99" s="5">
        <f>IF($E99&gt;=BM$2,VLOOKUP($E99-BM$2,'data input'!$D$3:$E$130,2,FALSE),0)</f>
        <v>0.58901036286872965</v>
      </c>
      <c r="BN99" s="5">
        <f>IF($E99&gt;=BN$2,VLOOKUP($E99-BN$2,'data input'!$D$3:$E$130,2,FALSE),0)</f>
        <v>0.61791142218895267</v>
      </c>
      <c r="BO99" s="5">
        <f>IF($E99&gt;=BO$2,VLOOKUP($E99-BO$2,'data input'!$D$3:$E$130,2,FALSE),0)</f>
        <v>0.64616976667272386</v>
      </c>
      <c r="BP99" s="5">
        <f>IF($E99&gt;=BP$2,VLOOKUP($E99-BP$2,'data input'!$D$3:$E$130,2,FALSE),0)</f>
        <v>0.67364477971207992</v>
      </c>
      <c r="BQ99" s="5">
        <f>IF($E99&gt;=BQ$2,VLOOKUP($E99-BQ$2,'data input'!$D$3:$E$130,2,FALSE),0)</f>
        <v>0.70020840453130417</v>
      </c>
      <c r="BR99" s="5">
        <f>IF($E99&gt;=BR$2,VLOOKUP($E99-BR$2,'data input'!$D$3:$E$130,2,FALSE),0)</f>
        <v>0.72574688224992645</v>
      </c>
      <c r="BS99" s="5">
        <f>IF($E99&gt;=BS$2,VLOOKUP($E99-BS$2,'data input'!$D$3:$E$130,2,FALSE),0)</f>
        <v>0.75016211752822304</v>
      </c>
      <c r="BT99" s="5">
        <f>IF($E99&gt;=BT$2,VLOOKUP($E99-BT$2,'data input'!$D$3:$E$130,2,FALSE),0)</f>
        <v>0.77337264762313174</v>
      </c>
      <c r="BU99" s="5">
        <f>IF($E99&gt;=BU$2,VLOOKUP($E99-BU$2,'data input'!$D$3:$E$130,2,FALSE),0)</f>
        <v>0.79531420465274738</v>
      </c>
      <c r="BV99" s="5">
        <f>IF($E99&gt;=BV$2,VLOOKUP($E99-BV$2,'data input'!$D$3:$E$130,2,FALSE),0)</f>
        <v>0.81593987465324047</v>
      </c>
      <c r="BW99" s="5">
        <f>IF($E99&gt;=BW$2,VLOOKUP($E99-BW$2,'data input'!$D$3:$E$130,2,FALSE),0)</f>
        <v>0.83521987001968967</v>
      </c>
      <c r="BX99" s="5">
        <f>IF($E99&gt;=BX$2,VLOOKUP($E99-BX$2,'data input'!$D$3:$E$130,2,FALSE),0)</f>
        <v>0.85314094362410409</v>
      </c>
      <c r="BY99" s="5">
        <f>IF($E99&gt;=BY$2,VLOOKUP($E99-BY$2,'data input'!$D$3:$E$130,2,FALSE),0)</f>
        <v>0.86970548286319116</v>
      </c>
      <c r="BZ99" s="5">
        <f>IF($E99&gt;=BZ$2,VLOOKUP($E99-BZ$2,'data input'!$D$3:$E$130,2,FALSE),0)</f>
        <v>0.88493032977829178</v>
      </c>
      <c r="CA99" s="5">
        <f>IF($E99&gt;=CA$2,VLOOKUP($E99-CA$2,'data input'!$D$3:$E$130,2,FALSE),0)</f>
        <v>0.89884537900441408</v>
      </c>
      <c r="CB99" s="5">
        <f>IF($E99&gt;=CB$2,VLOOKUP($E99-CB$2,'data input'!$D$3:$E$130,2,FALSE),0)</f>
        <v>0.91149200856259793</v>
      </c>
      <c r="CC99" s="5">
        <f>IF($E99&gt;=CC$2,VLOOKUP($E99-CC$2,'data input'!$D$3:$E$130,2,FALSE),0)</f>
        <v>0.92292139944792817</v>
      </c>
      <c r="CD99" s="5">
        <f>IF($E99&gt;=CD$2,VLOOKUP($E99-CD$2,'data input'!$D$3:$E$130,2,FALSE),0)</f>
        <v>0.93319279873114191</v>
      </c>
      <c r="CE99" s="5">
        <f>IF($E99&gt;=CE$2,VLOOKUP($E99-CE$2,'data input'!$D$3:$E$130,2,FALSE),0)</f>
        <v>0.94237177772384684</v>
      </c>
      <c r="CF99" s="5">
        <f>IF($E99&gt;=CF$2,VLOOKUP($E99-CF$2,'data input'!$D$3:$E$130,2,FALSE),0)</f>
        <v>0.9505285319663519</v>
      </c>
      <c r="CG99" s="5">
        <f>IF($E99&gt;=CG$2,VLOOKUP($E99-CG$2,'data input'!$D$3:$E$130,2,FALSE),0)</f>
        <v>0.95773626374204757</v>
      </c>
      <c r="CH99" s="5">
        <f>IF($E99&gt;=CH$2,VLOOKUP($E99-CH$2,'data input'!$D$3:$E$130,2,FALSE),0)</f>
        <v>0.96406968088707423</v>
      </c>
      <c r="CI99" s="5">
        <f>IF($E99&gt;=CI$2,VLOOKUP($E99-CI$2,'data input'!$D$3:$E$130,2,FALSE),0)</f>
        <v>0.96960363823473861</v>
      </c>
      <c r="CJ99" s="5">
        <f>IF($E99&gt;=CJ$2,VLOOKUP($E99-CJ$2,'data input'!$D$3:$E$130,2,FALSE),0)</f>
        <v>0.97441194047836144</v>
      </c>
      <c r="CK99" s="5">
        <f>IF($E99&gt;=CK$2,VLOOKUP($E99-CK$2,'data input'!$D$3:$E$130,2,FALSE),0)</f>
        <v>0.97856631788584703</v>
      </c>
      <c r="CL99" s="5">
        <f>IF($E99&gt;=CL$2,VLOOKUP($E99-CL$2,'data input'!$D$3:$E$130,2,FALSE),0)</f>
        <v>0.98213557943718344</v>
      </c>
      <c r="CM99" s="5">
        <f>IF($E99&gt;=CM$2,VLOOKUP($E99-CM$2,'data input'!$D$3:$E$130,2,FALSE),0)</f>
        <v>0.98518494180739014</v>
      </c>
      <c r="CN99" s="5">
        <f>IF($E99&gt;=CN$2,VLOOKUP($E99-CN$2,'data input'!$D$3:$E$130,2,FALSE),0)</f>
        <v>0.98777552734495533</v>
      </c>
      <c r="CO99" s="5">
        <f>IF($E99&gt;=CO$2,VLOOKUP($E99-CO$2,'data input'!$D$3:$E$130,2,FALSE),0)</f>
        <v>0.98996401989972593</v>
      </c>
      <c r="CP99" s="5">
        <f>IF($E99&gt;=CP$2,VLOOKUP($E99-CP$2,'data input'!$D$3:$E$130,2,FALSE),0)</f>
        <v>0.99180246407540384</v>
      </c>
      <c r="CQ99" s="5">
        <f>IF($E99&gt;=CQ$2,VLOOKUP($E99-CQ$2,'data input'!$D$3:$E$130,2,FALSE),0)</f>
        <v>0.99333819120801725</v>
      </c>
      <c r="CR99" s="5">
        <f>IF($E99&gt;=CR$2,VLOOKUP($E99-CR$2,'data input'!$D$3:$E$130,2,FALSE),0)</f>
        <v>0.99461385404593328</v>
      </c>
      <c r="CS99" s="5">
        <f>IF($E99&gt;=CS$2,VLOOKUP($E99-CS$2,'data input'!$D$3:$E$130,2,FALSE),0)</f>
        <v>0.99566755163698739</v>
      </c>
      <c r="CT99" s="5">
        <f>IF($E99&gt;=CT$2,VLOOKUP($E99-CT$2,'data input'!$D$3:$E$130,2,FALSE),0)</f>
        <v>0.99653302619695938</v>
      </c>
      <c r="CU99" s="5">
        <f>IF($E99&gt;=CU$2,VLOOKUP($E99-CU$2,'data input'!$D$3:$E$130,2,FALSE),0)</f>
        <v>0.99723991460873751</v>
      </c>
      <c r="CV99" s="5">
        <f>IF($E99&gt;=CV$2,VLOOKUP($E99-CV$2,'data input'!$D$3:$E$130,2,FALSE),0)</f>
        <v>0.99781403854508677</v>
      </c>
      <c r="CW99" s="5">
        <f>IF($E99&gt;=CW$2,VLOOKUP($E99-CW$2,'data input'!$D$3:$E$130,2,FALSE),0)</f>
        <v>0.99827771888413241</v>
      </c>
      <c r="CX99" s="5">
        <f>IF($E99&gt;=CX$2,VLOOKUP($E99-CX$2,'data input'!$D$3:$E$130,2,FALSE),0)</f>
        <v>0.9986501019683699</v>
      </c>
      <c r="CY99" s="5">
        <f>IF($E99&gt;=CY$2,VLOOKUP($E99-CY$2,'data input'!$D$3:$E$130,2,FALSE),0)</f>
        <v>0</v>
      </c>
      <c r="CZ99" s="5">
        <f>IF($E99&gt;=CZ$2,VLOOKUP($E99-CZ$2,'data input'!$D$3:$E$130,2,FALSE),0)</f>
        <v>0</v>
      </c>
      <c r="DA99" s="5">
        <f>IF($E99&gt;=DA$2,VLOOKUP($E99-DA$2,'data input'!$D$3:$E$130,2,FALSE),0)</f>
        <v>0</v>
      </c>
      <c r="DB99" s="5">
        <f>IF($E99&gt;=DB$2,VLOOKUP($E99-DB$2,'data input'!$D$3:$E$130,2,FALSE),0)</f>
        <v>0</v>
      </c>
      <c r="DC99" s="5">
        <f>IF($E99&gt;=DC$2,VLOOKUP($E99-DC$2,'data input'!$D$3:$E$130,2,FALSE),0)</f>
        <v>0</v>
      </c>
      <c r="DD99" s="5">
        <f>IF($E99&gt;=DD$2,VLOOKUP($E99-DD$2,'data input'!$D$3:$E$130,2,FALSE),0)</f>
        <v>0</v>
      </c>
      <c r="DE99" s="5">
        <f>IF($E99&gt;=DE$2,VLOOKUP($E99-DE$2,'data input'!$D$3:$E$130,2,FALSE),0)</f>
        <v>0</v>
      </c>
      <c r="DF99" s="5">
        <f>IF($E99&gt;=DF$2,VLOOKUP($E99-DF$2,'data input'!$D$3:$E$130,2,FALSE),0)</f>
        <v>0</v>
      </c>
      <c r="DG99" s="5">
        <f>IF($E99&gt;=DG$2,VLOOKUP($E99-DG$2,'data input'!$D$3:$E$130,2,FALSE),0)</f>
        <v>0</v>
      </c>
      <c r="DH99" s="5">
        <f>IF($E99&gt;=DH$2,VLOOKUP($E99-DH$2,'data input'!$D$3:$E$130,2,FALSE),0)</f>
        <v>0</v>
      </c>
      <c r="DI99" s="5">
        <f>IF($E99&gt;=DI$2,VLOOKUP($E99-DI$2,'data input'!$D$3:$E$130,2,FALSE),0)</f>
        <v>0</v>
      </c>
      <c r="DJ99" s="5">
        <f>IF($E99&gt;=DJ$2,VLOOKUP($E99-DJ$2,'data input'!$D$3:$E$130,2,FALSE),0)</f>
        <v>0</v>
      </c>
      <c r="DK99" s="5">
        <f>IF($E99&gt;=DK$2,VLOOKUP($E99-DK$2,'data input'!$D$3:$E$130,2,FALSE),0)</f>
        <v>0</v>
      </c>
      <c r="DL99" s="5">
        <f>IF($E99&gt;=DL$2,VLOOKUP($E99-DL$2,'data input'!$D$3:$E$130,2,FALSE),0)</f>
        <v>0</v>
      </c>
      <c r="DM99" s="5">
        <f>IF($E99&gt;=DM$2,VLOOKUP($E99-DM$2,'data input'!$D$3:$E$130,2,FALSE),0)</f>
        <v>0</v>
      </c>
      <c r="DN99" s="5">
        <f>IF($E99&gt;=DN$2,VLOOKUP($E99-DN$2,'data input'!$D$3:$E$130,2,FALSE),0)</f>
        <v>0</v>
      </c>
      <c r="DO99" s="5">
        <f>IF($E99&gt;=DO$2,VLOOKUP($E99-DO$2,'data input'!$D$3:$E$130,2,FALSE),0)</f>
        <v>0</v>
      </c>
      <c r="DP99" s="5">
        <f>IF($E99&gt;=DP$2,VLOOKUP($E99-DP$2,'data input'!$D$3:$E$130,2,FALSE),0)</f>
        <v>0</v>
      </c>
      <c r="DQ99" s="5">
        <f>IF($E99&gt;=DQ$2,VLOOKUP($E99-DQ$2,'data input'!$D$3:$E$130,2,FALSE),0)</f>
        <v>0</v>
      </c>
      <c r="DR99" s="5">
        <f>IF($E99&gt;=DR$2,VLOOKUP($E99-DR$2,'data input'!$D$3:$E$130,2,FALSE),0)</f>
        <v>0</v>
      </c>
      <c r="DS99" s="5">
        <f>IF($E99&gt;=DS$2,VLOOKUP($E99-DS$2,'data input'!$D$3:$E$130,2,FALSE),0)</f>
        <v>0</v>
      </c>
      <c r="DT99" s="5">
        <f>IF($E99&gt;=DT$2,VLOOKUP($E99-DT$2,'data input'!$D$3:$E$130,2,FALSE),0)</f>
        <v>0</v>
      </c>
      <c r="DU99" s="5">
        <f>IF($E99&gt;=DU$2,VLOOKUP($E99-DU$2,'data input'!$D$3:$E$130,2,FALSE),0)</f>
        <v>0</v>
      </c>
      <c r="DV99" s="5">
        <f>IF($E99&gt;=DV$2,VLOOKUP($E99-DV$2,'data input'!$D$3:$E$130,2,FALSE),0)</f>
        <v>0</v>
      </c>
      <c r="DW99" s="5">
        <f>IF($E99&gt;=DW$2,VLOOKUP($E99-DW$2,'data input'!$D$3:$E$130,2,FALSE),0)</f>
        <v>0</v>
      </c>
      <c r="DX99" s="5">
        <f>IF($E99&gt;=DX$2,VLOOKUP($E99-DX$2,'data input'!$D$3:$E$130,2,FALSE),0)</f>
        <v>0</v>
      </c>
      <c r="DY99" s="5">
        <f>IF($E99&gt;=DY$2,VLOOKUP($E99-DY$2,'data input'!$D$3:$E$130,2,FALSE),0)</f>
        <v>0</v>
      </c>
      <c r="DZ99" s="5">
        <f>IF($E99&gt;=DZ$2,VLOOKUP($E99-DZ$2,'data input'!$D$3:$E$130,2,FALSE),0)</f>
        <v>0</v>
      </c>
      <c r="EA99" s="5">
        <f>IF($E99&gt;=EA$2,VLOOKUP($E99-EA$2,'data input'!$D$3:$E$130,2,FALSE),0)</f>
        <v>0</v>
      </c>
      <c r="EB99" s="5">
        <f>IF($E99&gt;=EB$2,VLOOKUP($E99-EB$2,'data input'!$D$3:$E$130,2,FALSE),0)</f>
        <v>0</v>
      </c>
      <c r="EC99" s="5">
        <f>IF($E99&gt;=EC$2,VLOOKUP($E99-EC$2,'data input'!$D$3:$E$130,2,FALSE),0)</f>
        <v>0</v>
      </c>
    </row>
    <row r="100" spans="5:133">
      <c r="E100" s="7">
        <f>'data input'!B100</f>
        <v>1975</v>
      </c>
      <c r="F100" s="5">
        <f>IF($E100&gt;=F$2,VLOOKUP($E100-F$2,'data input'!$D$3:$E$130,2,FALSE),0)</f>
        <v>9.5568647372479276E-6</v>
      </c>
      <c r="G100" s="5">
        <f>IF($E100&gt;=G$2,VLOOKUP($E100-G$2,'data input'!$D$3:$E$130,2,FALSE),0)</f>
        <v>1.3345749015902797E-5</v>
      </c>
      <c r="H100" s="5">
        <f>IF($E100&gt;=H$2,VLOOKUP($E100-H$2,'data input'!$D$3:$E$130,2,FALSE),0)</f>
        <v>1.8536737846241991E-5</v>
      </c>
      <c r="I100" s="5">
        <f>IF($E100&gt;=I$2,VLOOKUP($E100-I$2,'data input'!$D$3:$E$130,2,FALSE),0)</f>
        <v>2.5608816474065321E-5</v>
      </c>
      <c r="J100" s="5">
        <f>IF($E100&gt;=J$2,VLOOKUP($E100-J$2,'data input'!$D$3:$E$130,2,FALSE),0)</f>
        <v>3.5189628065923628E-5</v>
      </c>
      <c r="K100" s="5">
        <f>IF($E100&gt;=K$2,VLOOKUP($E100-K$2,'data input'!$D$3:$E$130,2,FALSE),0)</f>
        <v>4.8096344017589665E-5</v>
      </c>
      <c r="L100" s="5">
        <f>IF($E100&gt;=L$2,VLOOKUP($E100-L$2,'data input'!$D$3:$E$130,2,FALSE),0)</f>
        <v>6.5386043242687819E-5</v>
      </c>
      <c r="M100" s="5">
        <f>IF($E100&gt;=M$2,VLOOKUP($E100-M$2,'data input'!$D$3:$E$130,2,FALSE),0)</f>
        <v>8.841728520081471E-5</v>
      </c>
      <c r="N100" s="5">
        <f>IF($E100&gt;=N$2,VLOOKUP($E100-N$2,'data input'!$D$3:$E$130,2,FALSE),0)</f>
        <v>1.1892470732677296E-4</v>
      </c>
      <c r="O100" s="5">
        <f>IF($E100&gt;=O$2,VLOOKUP($E100-O$2,'data input'!$D$3:$E$130,2,FALSE),0)</f>
        <v>1.5910859015755285E-4</v>
      </c>
      <c r="P100" s="5">
        <f>IF($E100&gt;=P$2,VLOOKUP($E100-P$2,'data input'!$D$3:$E$130,2,FALSE),0)</f>
        <v>2.1174139572344153E-4</v>
      </c>
      <c r="Q100" s="5">
        <f>IF($E100&gt;=Q$2,VLOOKUP($E100-Q$2,'data input'!$D$3:$E$130,2,FALSE),0)</f>
        <v>2.8029327681622362E-4</v>
      </c>
      <c r="R100" s="5">
        <f>IF($E100&gt;=R$2,VLOOKUP($E100-R$2,'data input'!$D$3:$E$130,2,FALSE),0)</f>
        <v>3.6907845427502917E-4</v>
      </c>
      <c r="S100" s="5">
        <f>IF($E100&gt;=S$2,VLOOKUP($E100-S$2,'data input'!$D$3:$E$130,2,FALSE),0)</f>
        <v>4.8342414238378151E-4</v>
      </c>
      <c r="T100" s="5">
        <f>IF($E100&gt;=T$2,VLOOKUP($E100-T$2,'data input'!$D$3:$E$130,2,FALSE),0)</f>
        <v>6.2986334399772748E-4</v>
      </c>
      <c r="U100" s="5">
        <f>IF($E100&gt;=U$2,VLOOKUP($E100-U$2,'data input'!$D$3:$E$130,2,FALSE),0)</f>
        <v>8.1635231282861653E-4</v>
      </c>
      <c r="V100" s="5">
        <f>IF($E100&gt;=V$2,VLOOKUP($E100-V$2,'data input'!$D$3:$E$130,2,FALSE),0)</f>
        <v>1.0525127683760349E-3</v>
      </c>
      <c r="W100" s="5">
        <f>IF($E100&gt;=W$2,VLOOKUP($E100-W$2,'data input'!$D$3:$E$130,2,FALSE),0)</f>
        <v>1.3498980316301035E-3</v>
      </c>
      <c r="X100" s="5">
        <f>IF($E100&gt;=X$2,VLOOKUP($E100-X$2,'data input'!$D$3:$E$130,2,FALSE),0)</f>
        <v>1.7222811158675855E-3</v>
      </c>
      <c r="Y100" s="5">
        <f>IF($E100&gt;=Y$2,VLOOKUP($E100-Y$2,'data input'!$D$3:$E$130,2,FALSE),0)</f>
        <v>2.1859614549132322E-3</v>
      </c>
      <c r="Z100" s="5">
        <f>IF($E100&gt;=Z$2,VLOOKUP($E100-Z$2,'data input'!$D$3:$E$130,2,FALSE),0)</f>
        <v>2.7600853912624901E-3</v>
      </c>
      <c r="AA100" s="5">
        <f>IF($E100&gt;=AA$2,VLOOKUP($E100-AA$2,'data input'!$D$3:$E$130,2,FALSE),0)</f>
        <v>3.4669738030406183E-3</v>
      </c>
      <c r="AB100" s="5">
        <f>IF($E100&gt;=AB$2,VLOOKUP($E100-AB$2,'data input'!$D$3:$E$130,2,FALSE),0)</f>
        <v>4.3324483630126087E-3</v>
      </c>
      <c r="AC100" s="5">
        <f>IF($E100&gt;=AC$2,VLOOKUP($E100-AC$2,'data input'!$D$3:$E$130,2,FALSE),0)</f>
        <v>5.3861459540667234E-3</v>
      </c>
      <c r="AD100" s="5">
        <f>IF($E100&gt;=AD$2,VLOOKUP($E100-AD$2,'data input'!$D$3:$E$130,2,FALSE),0)</f>
        <v>6.6618087919827484E-3</v>
      </c>
      <c r="AE100" s="5">
        <f>IF($E100&gt;=AE$2,VLOOKUP($E100-AE$2,'data input'!$D$3:$E$130,2,FALSE),0)</f>
        <v>8.1975359245961554E-3</v>
      </c>
      <c r="AF100" s="5">
        <f>IF($E100&gt;=AF$2,VLOOKUP($E100-AF$2,'data input'!$D$3:$E$130,2,FALSE),0)</f>
        <v>1.0035980100274067E-2</v>
      </c>
      <c r="AG100" s="5">
        <f>IF($E100&gt;=AG$2,VLOOKUP($E100-AG$2,'data input'!$D$3:$E$130,2,FALSE),0)</f>
        <v>1.2224472655044671E-2</v>
      </c>
      <c r="AH100" s="5">
        <f>IF($E100&gt;=AH$2,VLOOKUP($E100-AH$2,'data input'!$D$3:$E$130,2,FALSE),0)</f>
        <v>1.4815058192609865E-2</v>
      </c>
      <c r="AI100" s="5">
        <f>IF($E100&gt;=AI$2,VLOOKUP($E100-AI$2,'data input'!$D$3:$E$130,2,FALSE),0)</f>
        <v>1.7864420562816563E-2</v>
      </c>
      <c r="AJ100" s="5">
        <f>IF($E100&gt;=AJ$2,VLOOKUP($E100-AJ$2,'data input'!$D$3:$E$130,2,FALSE),0)</f>
        <v>2.1433682114152974E-2</v>
      </c>
      <c r="AK100" s="5">
        <f>IF($E100&gt;=AK$2,VLOOKUP($E100-AK$2,'data input'!$D$3:$E$130,2,FALSE),0)</f>
        <v>2.5588059521638562E-2</v>
      </c>
      <c r="AL100" s="5">
        <f>IF($E100&gt;=AL$2,VLOOKUP($E100-AL$2,'data input'!$D$3:$E$130,2,FALSE),0)</f>
        <v>3.0396361765261393E-2</v>
      </c>
      <c r="AM100" s="5">
        <f>IF($E100&gt;=AM$2,VLOOKUP($E100-AM$2,'data input'!$D$3:$E$130,2,FALSE),0)</f>
        <v>3.5930319112925768E-2</v>
      </c>
      <c r="AN100" s="5">
        <f>IF($E100&gt;=AN$2,VLOOKUP($E100-AN$2,'data input'!$D$3:$E$130,2,FALSE),0)</f>
        <v>4.2263736257952433E-2</v>
      </c>
      <c r="AO100" s="5">
        <f>IF($E100&gt;=AO$2,VLOOKUP($E100-AO$2,'data input'!$D$3:$E$130,2,FALSE),0)</f>
        <v>4.9471468033648103E-2</v>
      </c>
      <c r="AP100" s="5">
        <f>IF($E100&gt;=AP$2,VLOOKUP($E100-AP$2,'data input'!$D$3:$E$130,2,FALSE),0)</f>
        <v>5.7628222276153163E-2</v>
      </c>
      <c r="AQ100" s="5">
        <f>IF($E100&gt;=AQ$2,VLOOKUP($E100-AQ$2,'data input'!$D$3:$E$130,2,FALSE),0)</f>
        <v>6.6807201268858085E-2</v>
      </c>
      <c r="AR100" s="5">
        <f>IF($E100&gt;=AR$2,VLOOKUP($E100-AR$2,'data input'!$D$3:$E$130,2,FALSE),0)</f>
        <v>7.707860055207183E-2</v>
      </c>
      <c r="AS100" s="5">
        <f>IF($E100&gt;=AS$2,VLOOKUP($E100-AS$2,'data input'!$D$3:$E$130,2,FALSE),0)</f>
        <v>8.8507991437402067E-2</v>
      </c>
      <c r="AT100" s="5">
        <f>IF($E100&gt;=AT$2,VLOOKUP($E100-AT$2,'data input'!$D$3:$E$130,2,FALSE),0)</f>
        <v>0.10115462099558592</v>
      </c>
      <c r="AU100" s="5">
        <f>IF($E100&gt;=AU$2,VLOOKUP($E100-AU$2,'data input'!$D$3:$E$130,2,FALSE),0)</f>
        <v>0.11506967022170822</v>
      </c>
      <c r="AV100" s="5">
        <f>IF($E100&gt;=AV$2,VLOOKUP($E100-AV$2,'data input'!$D$3:$E$130,2,FALSE),0)</f>
        <v>0.13029451713680884</v>
      </c>
      <c r="AW100" s="5">
        <f>IF($E100&gt;=AW$2,VLOOKUP($E100-AW$2,'data input'!$D$3:$E$130,2,FALSE),0)</f>
        <v>0.14685905637589591</v>
      </c>
      <c r="AX100" s="5">
        <f>IF($E100&gt;=AX$2,VLOOKUP($E100-AX$2,'data input'!$D$3:$E$130,2,FALSE),0)</f>
        <v>0.16478012998031033</v>
      </c>
      <c r="AY100" s="5">
        <f>IF($E100&gt;=AY$2,VLOOKUP($E100-AY$2,'data input'!$D$3:$E$130,2,FALSE),0)</f>
        <v>0.18406012534675953</v>
      </c>
      <c r="AZ100" s="5">
        <f>IF($E100&gt;=AZ$2,VLOOKUP($E100-AZ$2,'data input'!$D$3:$E$130,2,FALSE),0)</f>
        <v>0.20468579534725262</v>
      </c>
      <c r="BA100" s="5">
        <f>IF($E100&gt;=BA$2,VLOOKUP($E100-BA$2,'data input'!$D$3:$E$130,2,FALSE),0)</f>
        <v>0.22662735237686826</v>
      </c>
      <c r="BB100" s="5">
        <f>IF($E100&gt;=BB$2,VLOOKUP($E100-BB$2,'data input'!$D$3:$E$130,2,FALSE),0)</f>
        <v>0.24983788247177696</v>
      </c>
      <c r="BC100" s="5">
        <f>IF($E100&gt;=BC$2,VLOOKUP($E100-BC$2,'data input'!$D$3:$E$130,2,FALSE),0)</f>
        <v>0.27425311775007355</v>
      </c>
      <c r="BD100" s="5">
        <f>IF($E100&gt;=BD$2,VLOOKUP($E100-BD$2,'data input'!$D$3:$E$130,2,FALSE),0)</f>
        <v>0.29979159546869583</v>
      </c>
      <c r="BE100" s="5">
        <f>IF($E100&gt;=BE$2,VLOOKUP($E100-BE$2,'data input'!$D$3:$E$130,2,FALSE),0)</f>
        <v>0.32635522028792008</v>
      </c>
      <c r="BF100" s="5">
        <f>IF($E100&gt;=BF$2,VLOOKUP($E100-BF$2,'data input'!$D$3:$E$130,2,FALSE),0)</f>
        <v>0.35383023332727614</v>
      </c>
      <c r="BG100" s="5">
        <f>IF($E100&gt;=BG$2,VLOOKUP($E100-BG$2,'data input'!$D$3:$E$130,2,FALSE),0)</f>
        <v>0.38208857781104733</v>
      </c>
      <c r="BH100" s="5">
        <f>IF($E100&gt;=BH$2,VLOOKUP($E100-BH$2,'data input'!$D$3:$E$130,2,FALSE),0)</f>
        <v>0.41098963713127035</v>
      </c>
      <c r="BI100" s="5">
        <f>IF($E100&gt;=BI$2,VLOOKUP($E100-BI$2,'data input'!$D$3:$E$130,2,FALSE),0)</f>
        <v>0.4403823076297575</v>
      </c>
      <c r="BJ100" s="5">
        <f>IF($E100&gt;=BJ$2,VLOOKUP($E100-BJ$2,'data input'!$D$3:$E$130,2,FALSE),0)</f>
        <v>0.47010735594710518</v>
      </c>
      <c r="BK100" s="5">
        <f>IF($E100&gt;=BK$2,VLOOKUP($E100-BK$2,'data input'!$D$3:$E$130,2,FALSE),0)</f>
        <v>0.5</v>
      </c>
      <c r="BL100" s="5">
        <f>IF($E100&gt;=BL$2,VLOOKUP($E100-BL$2,'data input'!$D$3:$E$130,2,FALSE),0)</f>
        <v>0.52989264405289482</v>
      </c>
      <c r="BM100" s="5">
        <f>IF($E100&gt;=BM$2,VLOOKUP($E100-BM$2,'data input'!$D$3:$E$130,2,FALSE),0)</f>
        <v>0.5596176923702425</v>
      </c>
      <c r="BN100" s="5">
        <f>IF($E100&gt;=BN$2,VLOOKUP($E100-BN$2,'data input'!$D$3:$E$130,2,FALSE),0)</f>
        <v>0.58901036286872965</v>
      </c>
      <c r="BO100" s="5">
        <f>IF($E100&gt;=BO$2,VLOOKUP($E100-BO$2,'data input'!$D$3:$E$130,2,FALSE),0)</f>
        <v>0.61791142218895267</v>
      </c>
      <c r="BP100" s="5">
        <f>IF($E100&gt;=BP$2,VLOOKUP($E100-BP$2,'data input'!$D$3:$E$130,2,FALSE),0)</f>
        <v>0.64616976667272386</v>
      </c>
      <c r="BQ100" s="5">
        <f>IF($E100&gt;=BQ$2,VLOOKUP($E100-BQ$2,'data input'!$D$3:$E$130,2,FALSE),0)</f>
        <v>0.67364477971207992</v>
      </c>
      <c r="BR100" s="5">
        <f>IF($E100&gt;=BR$2,VLOOKUP($E100-BR$2,'data input'!$D$3:$E$130,2,FALSE),0)</f>
        <v>0.70020840453130417</v>
      </c>
      <c r="BS100" s="5">
        <f>IF($E100&gt;=BS$2,VLOOKUP($E100-BS$2,'data input'!$D$3:$E$130,2,FALSE),0)</f>
        <v>0.72574688224992645</v>
      </c>
      <c r="BT100" s="5">
        <f>IF($E100&gt;=BT$2,VLOOKUP($E100-BT$2,'data input'!$D$3:$E$130,2,FALSE),0)</f>
        <v>0.75016211752822304</v>
      </c>
      <c r="BU100" s="5">
        <f>IF($E100&gt;=BU$2,VLOOKUP($E100-BU$2,'data input'!$D$3:$E$130,2,FALSE),0)</f>
        <v>0.77337264762313174</v>
      </c>
      <c r="BV100" s="5">
        <f>IF($E100&gt;=BV$2,VLOOKUP($E100-BV$2,'data input'!$D$3:$E$130,2,FALSE),0)</f>
        <v>0.79531420465274738</v>
      </c>
      <c r="BW100" s="5">
        <f>IF($E100&gt;=BW$2,VLOOKUP($E100-BW$2,'data input'!$D$3:$E$130,2,FALSE),0)</f>
        <v>0.81593987465324047</v>
      </c>
      <c r="BX100" s="5">
        <f>IF($E100&gt;=BX$2,VLOOKUP($E100-BX$2,'data input'!$D$3:$E$130,2,FALSE),0)</f>
        <v>0.83521987001968967</v>
      </c>
      <c r="BY100" s="5">
        <f>IF($E100&gt;=BY$2,VLOOKUP($E100-BY$2,'data input'!$D$3:$E$130,2,FALSE),0)</f>
        <v>0.85314094362410409</v>
      </c>
      <c r="BZ100" s="5">
        <f>IF($E100&gt;=BZ$2,VLOOKUP($E100-BZ$2,'data input'!$D$3:$E$130,2,FALSE),0)</f>
        <v>0.86970548286319116</v>
      </c>
      <c r="CA100" s="5">
        <f>IF($E100&gt;=CA$2,VLOOKUP($E100-CA$2,'data input'!$D$3:$E$130,2,FALSE),0)</f>
        <v>0.88493032977829178</v>
      </c>
      <c r="CB100" s="5">
        <f>IF($E100&gt;=CB$2,VLOOKUP($E100-CB$2,'data input'!$D$3:$E$130,2,FALSE),0)</f>
        <v>0.89884537900441408</v>
      </c>
      <c r="CC100" s="5">
        <f>IF($E100&gt;=CC$2,VLOOKUP($E100-CC$2,'data input'!$D$3:$E$130,2,FALSE),0)</f>
        <v>0.91149200856259793</v>
      </c>
      <c r="CD100" s="5">
        <f>IF($E100&gt;=CD$2,VLOOKUP($E100-CD$2,'data input'!$D$3:$E$130,2,FALSE),0)</f>
        <v>0.92292139944792817</v>
      </c>
      <c r="CE100" s="5">
        <f>IF($E100&gt;=CE$2,VLOOKUP($E100-CE$2,'data input'!$D$3:$E$130,2,FALSE),0)</f>
        <v>0.93319279873114191</v>
      </c>
      <c r="CF100" s="5">
        <f>IF($E100&gt;=CF$2,VLOOKUP($E100-CF$2,'data input'!$D$3:$E$130,2,FALSE),0)</f>
        <v>0.94237177772384684</v>
      </c>
      <c r="CG100" s="5">
        <f>IF($E100&gt;=CG$2,VLOOKUP($E100-CG$2,'data input'!$D$3:$E$130,2,FALSE),0)</f>
        <v>0.9505285319663519</v>
      </c>
      <c r="CH100" s="5">
        <f>IF($E100&gt;=CH$2,VLOOKUP($E100-CH$2,'data input'!$D$3:$E$130,2,FALSE),0)</f>
        <v>0.95773626374204757</v>
      </c>
      <c r="CI100" s="5">
        <f>IF($E100&gt;=CI$2,VLOOKUP($E100-CI$2,'data input'!$D$3:$E$130,2,FALSE),0)</f>
        <v>0.96406968088707423</v>
      </c>
      <c r="CJ100" s="5">
        <f>IF($E100&gt;=CJ$2,VLOOKUP($E100-CJ$2,'data input'!$D$3:$E$130,2,FALSE),0)</f>
        <v>0.96960363823473861</v>
      </c>
      <c r="CK100" s="5">
        <f>IF($E100&gt;=CK$2,VLOOKUP($E100-CK$2,'data input'!$D$3:$E$130,2,FALSE),0)</f>
        <v>0.97441194047836144</v>
      </c>
      <c r="CL100" s="5">
        <f>IF($E100&gt;=CL$2,VLOOKUP($E100-CL$2,'data input'!$D$3:$E$130,2,FALSE),0)</f>
        <v>0.97856631788584703</v>
      </c>
      <c r="CM100" s="5">
        <f>IF($E100&gt;=CM$2,VLOOKUP($E100-CM$2,'data input'!$D$3:$E$130,2,FALSE),0)</f>
        <v>0.98213557943718344</v>
      </c>
      <c r="CN100" s="5">
        <f>IF($E100&gt;=CN$2,VLOOKUP($E100-CN$2,'data input'!$D$3:$E$130,2,FALSE),0)</f>
        <v>0.98518494180739014</v>
      </c>
      <c r="CO100" s="5">
        <f>IF($E100&gt;=CO$2,VLOOKUP($E100-CO$2,'data input'!$D$3:$E$130,2,FALSE),0)</f>
        <v>0.98777552734495533</v>
      </c>
      <c r="CP100" s="5">
        <f>IF($E100&gt;=CP$2,VLOOKUP($E100-CP$2,'data input'!$D$3:$E$130,2,FALSE),0)</f>
        <v>0.98996401989972593</v>
      </c>
      <c r="CQ100" s="5">
        <f>IF($E100&gt;=CQ$2,VLOOKUP($E100-CQ$2,'data input'!$D$3:$E$130,2,FALSE),0)</f>
        <v>0.99180246407540384</v>
      </c>
      <c r="CR100" s="5">
        <f>IF($E100&gt;=CR$2,VLOOKUP($E100-CR$2,'data input'!$D$3:$E$130,2,FALSE),0)</f>
        <v>0.99333819120801725</v>
      </c>
      <c r="CS100" s="5">
        <f>IF($E100&gt;=CS$2,VLOOKUP($E100-CS$2,'data input'!$D$3:$E$130,2,FALSE),0)</f>
        <v>0.99461385404593328</v>
      </c>
      <c r="CT100" s="5">
        <f>IF($E100&gt;=CT$2,VLOOKUP($E100-CT$2,'data input'!$D$3:$E$130,2,FALSE),0)</f>
        <v>0.99566755163698739</v>
      </c>
      <c r="CU100" s="5">
        <f>IF($E100&gt;=CU$2,VLOOKUP($E100-CU$2,'data input'!$D$3:$E$130,2,FALSE),0)</f>
        <v>0.99653302619695938</v>
      </c>
      <c r="CV100" s="5">
        <f>IF($E100&gt;=CV$2,VLOOKUP($E100-CV$2,'data input'!$D$3:$E$130,2,FALSE),0)</f>
        <v>0.99723991460873751</v>
      </c>
      <c r="CW100" s="5">
        <f>IF($E100&gt;=CW$2,VLOOKUP($E100-CW$2,'data input'!$D$3:$E$130,2,FALSE),0)</f>
        <v>0.99781403854508677</v>
      </c>
      <c r="CX100" s="5">
        <f>IF($E100&gt;=CX$2,VLOOKUP($E100-CX$2,'data input'!$D$3:$E$130,2,FALSE),0)</f>
        <v>0.99827771888413241</v>
      </c>
      <c r="CY100" s="5">
        <f>IF($E100&gt;=CY$2,VLOOKUP($E100-CY$2,'data input'!$D$3:$E$130,2,FALSE),0)</f>
        <v>0.9986501019683699</v>
      </c>
      <c r="CZ100" s="5">
        <f>IF($E100&gt;=CZ$2,VLOOKUP($E100-CZ$2,'data input'!$D$3:$E$130,2,FALSE),0)</f>
        <v>0</v>
      </c>
      <c r="DA100" s="5">
        <f>IF($E100&gt;=DA$2,VLOOKUP($E100-DA$2,'data input'!$D$3:$E$130,2,FALSE),0)</f>
        <v>0</v>
      </c>
      <c r="DB100" s="5">
        <f>IF($E100&gt;=DB$2,VLOOKUP($E100-DB$2,'data input'!$D$3:$E$130,2,FALSE),0)</f>
        <v>0</v>
      </c>
      <c r="DC100" s="5">
        <f>IF($E100&gt;=DC$2,VLOOKUP($E100-DC$2,'data input'!$D$3:$E$130,2,FALSE),0)</f>
        <v>0</v>
      </c>
      <c r="DD100" s="5">
        <f>IF($E100&gt;=DD$2,VLOOKUP($E100-DD$2,'data input'!$D$3:$E$130,2,FALSE),0)</f>
        <v>0</v>
      </c>
      <c r="DE100" s="5">
        <f>IF($E100&gt;=DE$2,VLOOKUP($E100-DE$2,'data input'!$D$3:$E$130,2,FALSE),0)</f>
        <v>0</v>
      </c>
      <c r="DF100" s="5">
        <f>IF($E100&gt;=DF$2,VLOOKUP($E100-DF$2,'data input'!$D$3:$E$130,2,FALSE),0)</f>
        <v>0</v>
      </c>
      <c r="DG100" s="5">
        <f>IF($E100&gt;=DG$2,VLOOKUP($E100-DG$2,'data input'!$D$3:$E$130,2,FALSE),0)</f>
        <v>0</v>
      </c>
      <c r="DH100" s="5">
        <f>IF($E100&gt;=DH$2,VLOOKUP($E100-DH$2,'data input'!$D$3:$E$130,2,FALSE),0)</f>
        <v>0</v>
      </c>
      <c r="DI100" s="5">
        <f>IF($E100&gt;=DI$2,VLOOKUP($E100-DI$2,'data input'!$D$3:$E$130,2,FALSE),0)</f>
        <v>0</v>
      </c>
      <c r="DJ100" s="5">
        <f>IF($E100&gt;=DJ$2,VLOOKUP($E100-DJ$2,'data input'!$D$3:$E$130,2,FALSE),0)</f>
        <v>0</v>
      </c>
      <c r="DK100" s="5">
        <f>IF($E100&gt;=DK$2,VLOOKUP($E100-DK$2,'data input'!$D$3:$E$130,2,FALSE),0)</f>
        <v>0</v>
      </c>
      <c r="DL100" s="5">
        <f>IF($E100&gt;=DL$2,VLOOKUP($E100-DL$2,'data input'!$D$3:$E$130,2,FALSE),0)</f>
        <v>0</v>
      </c>
      <c r="DM100" s="5">
        <f>IF($E100&gt;=DM$2,VLOOKUP($E100-DM$2,'data input'!$D$3:$E$130,2,FALSE),0)</f>
        <v>0</v>
      </c>
      <c r="DN100" s="5">
        <f>IF($E100&gt;=DN$2,VLOOKUP($E100-DN$2,'data input'!$D$3:$E$130,2,FALSE),0)</f>
        <v>0</v>
      </c>
      <c r="DO100" s="5">
        <f>IF($E100&gt;=DO$2,VLOOKUP($E100-DO$2,'data input'!$D$3:$E$130,2,FALSE),0)</f>
        <v>0</v>
      </c>
      <c r="DP100" s="5">
        <f>IF($E100&gt;=DP$2,VLOOKUP($E100-DP$2,'data input'!$D$3:$E$130,2,FALSE),0)</f>
        <v>0</v>
      </c>
      <c r="DQ100" s="5">
        <f>IF($E100&gt;=DQ$2,VLOOKUP($E100-DQ$2,'data input'!$D$3:$E$130,2,FALSE),0)</f>
        <v>0</v>
      </c>
      <c r="DR100" s="5">
        <f>IF($E100&gt;=DR$2,VLOOKUP($E100-DR$2,'data input'!$D$3:$E$130,2,FALSE),0)</f>
        <v>0</v>
      </c>
      <c r="DS100" s="5">
        <f>IF($E100&gt;=DS$2,VLOOKUP($E100-DS$2,'data input'!$D$3:$E$130,2,FALSE),0)</f>
        <v>0</v>
      </c>
      <c r="DT100" s="5">
        <f>IF($E100&gt;=DT$2,VLOOKUP($E100-DT$2,'data input'!$D$3:$E$130,2,FALSE),0)</f>
        <v>0</v>
      </c>
      <c r="DU100" s="5">
        <f>IF($E100&gt;=DU$2,VLOOKUP($E100-DU$2,'data input'!$D$3:$E$130,2,FALSE),0)</f>
        <v>0</v>
      </c>
      <c r="DV100" s="5">
        <f>IF($E100&gt;=DV$2,VLOOKUP($E100-DV$2,'data input'!$D$3:$E$130,2,FALSE),0)</f>
        <v>0</v>
      </c>
      <c r="DW100" s="5">
        <f>IF($E100&gt;=DW$2,VLOOKUP($E100-DW$2,'data input'!$D$3:$E$130,2,FALSE),0)</f>
        <v>0</v>
      </c>
      <c r="DX100" s="5">
        <f>IF($E100&gt;=DX$2,VLOOKUP($E100-DX$2,'data input'!$D$3:$E$130,2,FALSE),0)</f>
        <v>0</v>
      </c>
      <c r="DY100" s="5">
        <f>IF($E100&gt;=DY$2,VLOOKUP($E100-DY$2,'data input'!$D$3:$E$130,2,FALSE),0)</f>
        <v>0</v>
      </c>
      <c r="DZ100" s="5">
        <f>IF($E100&gt;=DZ$2,VLOOKUP($E100-DZ$2,'data input'!$D$3:$E$130,2,FALSE),0)</f>
        <v>0</v>
      </c>
      <c r="EA100" s="5">
        <f>IF($E100&gt;=EA$2,VLOOKUP($E100-EA$2,'data input'!$D$3:$E$130,2,FALSE),0)</f>
        <v>0</v>
      </c>
      <c r="EB100" s="5">
        <f>IF($E100&gt;=EB$2,VLOOKUP($E100-EB$2,'data input'!$D$3:$E$130,2,FALSE),0)</f>
        <v>0</v>
      </c>
      <c r="EC100" s="5">
        <f>IF($E100&gt;=EC$2,VLOOKUP($E100-EC$2,'data input'!$D$3:$E$130,2,FALSE),0)</f>
        <v>0</v>
      </c>
    </row>
    <row r="101" spans="5:133">
      <c r="E101" s="7">
        <f>'data input'!B101</f>
        <v>1976</v>
      </c>
      <c r="F101" s="5">
        <f>IF($E101&gt;=F$2,VLOOKUP($E101-F$2,'data input'!$D$3:$E$130,2,FALSE),0)</f>
        <v>6.8068765993745117E-6</v>
      </c>
      <c r="G101" s="5">
        <f>IF($E101&gt;=G$2,VLOOKUP($E101-G$2,'data input'!$D$3:$E$130,2,FALSE),0)</f>
        <v>9.5568647372479276E-6</v>
      </c>
      <c r="H101" s="5">
        <f>IF($E101&gt;=H$2,VLOOKUP($E101-H$2,'data input'!$D$3:$E$130,2,FALSE),0)</f>
        <v>1.3345749015902797E-5</v>
      </c>
      <c r="I101" s="5">
        <f>IF($E101&gt;=I$2,VLOOKUP($E101-I$2,'data input'!$D$3:$E$130,2,FALSE),0)</f>
        <v>1.8536737846241991E-5</v>
      </c>
      <c r="J101" s="5">
        <f>IF($E101&gt;=J$2,VLOOKUP($E101-J$2,'data input'!$D$3:$E$130,2,FALSE),0)</f>
        <v>2.5608816474065321E-5</v>
      </c>
      <c r="K101" s="5">
        <f>IF($E101&gt;=K$2,VLOOKUP($E101-K$2,'data input'!$D$3:$E$130,2,FALSE),0)</f>
        <v>3.5189628065923628E-5</v>
      </c>
      <c r="L101" s="5">
        <f>IF($E101&gt;=L$2,VLOOKUP($E101-L$2,'data input'!$D$3:$E$130,2,FALSE),0)</f>
        <v>4.8096344017589665E-5</v>
      </c>
      <c r="M101" s="5">
        <f>IF($E101&gt;=M$2,VLOOKUP($E101-M$2,'data input'!$D$3:$E$130,2,FALSE),0)</f>
        <v>6.5386043242687819E-5</v>
      </c>
      <c r="N101" s="5">
        <f>IF($E101&gt;=N$2,VLOOKUP($E101-N$2,'data input'!$D$3:$E$130,2,FALSE),0)</f>
        <v>8.841728520081471E-5</v>
      </c>
      <c r="O101" s="5">
        <f>IF($E101&gt;=O$2,VLOOKUP($E101-O$2,'data input'!$D$3:$E$130,2,FALSE),0)</f>
        <v>1.1892470732677296E-4</v>
      </c>
      <c r="P101" s="5">
        <f>IF($E101&gt;=P$2,VLOOKUP($E101-P$2,'data input'!$D$3:$E$130,2,FALSE),0)</f>
        <v>1.5910859015755285E-4</v>
      </c>
      <c r="Q101" s="5">
        <f>IF($E101&gt;=Q$2,VLOOKUP($E101-Q$2,'data input'!$D$3:$E$130,2,FALSE),0)</f>
        <v>2.1174139572344153E-4</v>
      </c>
      <c r="R101" s="5">
        <f>IF($E101&gt;=R$2,VLOOKUP($E101-R$2,'data input'!$D$3:$E$130,2,FALSE),0)</f>
        <v>2.8029327681622362E-4</v>
      </c>
      <c r="S101" s="5">
        <f>IF($E101&gt;=S$2,VLOOKUP($E101-S$2,'data input'!$D$3:$E$130,2,FALSE),0)</f>
        <v>3.6907845427502917E-4</v>
      </c>
      <c r="T101" s="5">
        <f>IF($E101&gt;=T$2,VLOOKUP($E101-T$2,'data input'!$D$3:$E$130,2,FALSE),0)</f>
        <v>4.8342414238378151E-4</v>
      </c>
      <c r="U101" s="5">
        <f>IF($E101&gt;=U$2,VLOOKUP($E101-U$2,'data input'!$D$3:$E$130,2,FALSE),0)</f>
        <v>6.2986334399772748E-4</v>
      </c>
      <c r="V101" s="5">
        <f>IF($E101&gt;=V$2,VLOOKUP($E101-V$2,'data input'!$D$3:$E$130,2,FALSE),0)</f>
        <v>8.1635231282861653E-4</v>
      </c>
      <c r="W101" s="5">
        <f>IF($E101&gt;=W$2,VLOOKUP($E101-W$2,'data input'!$D$3:$E$130,2,FALSE),0)</f>
        <v>1.0525127683760349E-3</v>
      </c>
      <c r="X101" s="5">
        <f>IF($E101&gt;=X$2,VLOOKUP($E101-X$2,'data input'!$D$3:$E$130,2,FALSE),0)</f>
        <v>1.3498980316301035E-3</v>
      </c>
      <c r="Y101" s="5">
        <f>IF($E101&gt;=Y$2,VLOOKUP($E101-Y$2,'data input'!$D$3:$E$130,2,FALSE),0)</f>
        <v>1.7222811158675855E-3</v>
      </c>
      <c r="Z101" s="5">
        <f>IF($E101&gt;=Z$2,VLOOKUP($E101-Z$2,'data input'!$D$3:$E$130,2,FALSE),0)</f>
        <v>2.1859614549132322E-3</v>
      </c>
      <c r="AA101" s="5">
        <f>IF($E101&gt;=AA$2,VLOOKUP($E101-AA$2,'data input'!$D$3:$E$130,2,FALSE),0)</f>
        <v>2.7600853912624901E-3</v>
      </c>
      <c r="AB101" s="5">
        <f>IF($E101&gt;=AB$2,VLOOKUP($E101-AB$2,'data input'!$D$3:$E$130,2,FALSE),0)</f>
        <v>3.4669738030406183E-3</v>
      </c>
      <c r="AC101" s="5">
        <f>IF($E101&gt;=AC$2,VLOOKUP($E101-AC$2,'data input'!$D$3:$E$130,2,FALSE),0)</f>
        <v>4.3324483630126087E-3</v>
      </c>
      <c r="AD101" s="5">
        <f>IF($E101&gt;=AD$2,VLOOKUP($E101-AD$2,'data input'!$D$3:$E$130,2,FALSE),0)</f>
        <v>5.3861459540667234E-3</v>
      </c>
      <c r="AE101" s="5">
        <f>IF($E101&gt;=AE$2,VLOOKUP($E101-AE$2,'data input'!$D$3:$E$130,2,FALSE),0)</f>
        <v>6.6618087919827484E-3</v>
      </c>
      <c r="AF101" s="5">
        <f>IF($E101&gt;=AF$2,VLOOKUP($E101-AF$2,'data input'!$D$3:$E$130,2,FALSE),0)</f>
        <v>8.1975359245961554E-3</v>
      </c>
      <c r="AG101" s="5">
        <f>IF($E101&gt;=AG$2,VLOOKUP($E101-AG$2,'data input'!$D$3:$E$130,2,FALSE),0)</f>
        <v>1.0035980100274067E-2</v>
      </c>
      <c r="AH101" s="5">
        <f>IF($E101&gt;=AH$2,VLOOKUP($E101-AH$2,'data input'!$D$3:$E$130,2,FALSE),0)</f>
        <v>1.2224472655044671E-2</v>
      </c>
      <c r="AI101" s="5">
        <f>IF($E101&gt;=AI$2,VLOOKUP($E101-AI$2,'data input'!$D$3:$E$130,2,FALSE),0)</f>
        <v>1.4815058192609865E-2</v>
      </c>
      <c r="AJ101" s="5">
        <f>IF($E101&gt;=AJ$2,VLOOKUP($E101-AJ$2,'data input'!$D$3:$E$130,2,FALSE),0)</f>
        <v>1.7864420562816563E-2</v>
      </c>
      <c r="AK101" s="5">
        <f>IF($E101&gt;=AK$2,VLOOKUP($E101-AK$2,'data input'!$D$3:$E$130,2,FALSE),0)</f>
        <v>2.1433682114152974E-2</v>
      </c>
      <c r="AL101" s="5">
        <f>IF($E101&gt;=AL$2,VLOOKUP($E101-AL$2,'data input'!$D$3:$E$130,2,FALSE),0)</f>
        <v>2.5588059521638562E-2</v>
      </c>
      <c r="AM101" s="5">
        <f>IF($E101&gt;=AM$2,VLOOKUP($E101-AM$2,'data input'!$D$3:$E$130,2,FALSE),0)</f>
        <v>3.0396361765261393E-2</v>
      </c>
      <c r="AN101" s="5">
        <f>IF($E101&gt;=AN$2,VLOOKUP($E101-AN$2,'data input'!$D$3:$E$130,2,FALSE),0)</f>
        <v>3.5930319112925768E-2</v>
      </c>
      <c r="AO101" s="5">
        <f>IF($E101&gt;=AO$2,VLOOKUP($E101-AO$2,'data input'!$D$3:$E$130,2,FALSE),0)</f>
        <v>4.2263736257952433E-2</v>
      </c>
      <c r="AP101" s="5">
        <f>IF($E101&gt;=AP$2,VLOOKUP($E101-AP$2,'data input'!$D$3:$E$130,2,FALSE),0)</f>
        <v>4.9471468033648103E-2</v>
      </c>
      <c r="AQ101" s="5">
        <f>IF($E101&gt;=AQ$2,VLOOKUP($E101-AQ$2,'data input'!$D$3:$E$130,2,FALSE),0)</f>
        <v>5.7628222276153163E-2</v>
      </c>
      <c r="AR101" s="5">
        <f>IF($E101&gt;=AR$2,VLOOKUP($E101-AR$2,'data input'!$D$3:$E$130,2,FALSE),0)</f>
        <v>6.6807201268858085E-2</v>
      </c>
      <c r="AS101" s="5">
        <f>IF($E101&gt;=AS$2,VLOOKUP($E101-AS$2,'data input'!$D$3:$E$130,2,FALSE),0)</f>
        <v>7.707860055207183E-2</v>
      </c>
      <c r="AT101" s="5">
        <f>IF($E101&gt;=AT$2,VLOOKUP($E101-AT$2,'data input'!$D$3:$E$130,2,FALSE),0)</f>
        <v>8.8507991437402067E-2</v>
      </c>
      <c r="AU101" s="5">
        <f>IF($E101&gt;=AU$2,VLOOKUP($E101-AU$2,'data input'!$D$3:$E$130,2,FALSE),0)</f>
        <v>0.10115462099558592</v>
      </c>
      <c r="AV101" s="5">
        <f>IF($E101&gt;=AV$2,VLOOKUP($E101-AV$2,'data input'!$D$3:$E$130,2,FALSE),0)</f>
        <v>0.11506967022170822</v>
      </c>
      <c r="AW101" s="5">
        <f>IF($E101&gt;=AW$2,VLOOKUP($E101-AW$2,'data input'!$D$3:$E$130,2,FALSE),0)</f>
        <v>0.13029451713680884</v>
      </c>
      <c r="AX101" s="5">
        <f>IF($E101&gt;=AX$2,VLOOKUP($E101-AX$2,'data input'!$D$3:$E$130,2,FALSE),0)</f>
        <v>0.14685905637589591</v>
      </c>
      <c r="AY101" s="5">
        <f>IF($E101&gt;=AY$2,VLOOKUP($E101-AY$2,'data input'!$D$3:$E$130,2,FALSE),0)</f>
        <v>0.16478012998031033</v>
      </c>
      <c r="AZ101" s="5">
        <f>IF($E101&gt;=AZ$2,VLOOKUP($E101-AZ$2,'data input'!$D$3:$E$130,2,FALSE),0)</f>
        <v>0.18406012534675953</v>
      </c>
      <c r="BA101" s="5">
        <f>IF($E101&gt;=BA$2,VLOOKUP($E101-BA$2,'data input'!$D$3:$E$130,2,FALSE),0)</f>
        <v>0.20468579534725262</v>
      </c>
      <c r="BB101" s="5">
        <f>IF($E101&gt;=BB$2,VLOOKUP($E101-BB$2,'data input'!$D$3:$E$130,2,FALSE),0)</f>
        <v>0.22662735237686826</v>
      </c>
      <c r="BC101" s="5">
        <f>IF($E101&gt;=BC$2,VLOOKUP($E101-BC$2,'data input'!$D$3:$E$130,2,FALSE),0)</f>
        <v>0.24983788247177696</v>
      </c>
      <c r="BD101" s="5">
        <f>IF($E101&gt;=BD$2,VLOOKUP($E101-BD$2,'data input'!$D$3:$E$130,2,FALSE),0)</f>
        <v>0.27425311775007355</v>
      </c>
      <c r="BE101" s="5">
        <f>IF($E101&gt;=BE$2,VLOOKUP($E101-BE$2,'data input'!$D$3:$E$130,2,FALSE),0)</f>
        <v>0.29979159546869583</v>
      </c>
      <c r="BF101" s="5">
        <f>IF($E101&gt;=BF$2,VLOOKUP($E101-BF$2,'data input'!$D$3:$E$130,2,FALSE),0)</f>
        <v>0.32635522028792008</v>
      </c>
      <c r="BG101" s="5">
        <f>IF($E101&gt;=BG$2,VLOOKUP($E101-BG$2,'data input'!$D$3:$E$130,2,FALSE),0)</f>
        <v>0.35383023332727614</v>
      </c>
      <c r="BH101" s="5">
        <f>IF($E101&gt;=BH$2,VLOOKUP($E101-BH$2,'data input'!$D$3:$E$130,2,FALSE),0)</f>
        <v>0.38208857781104733</v>
      </c>
      <c r="BI101" s="5">
        <f>IF($E101&gt;=BI$2,VLOOKUP($E101-BI$2,'data input'!$D$3:$E$130,2,FALSE),0)</f>
        <v>0.41098963713127035</v>
      </c>
      <c r="BJ101" s="5">
        <f>IF($E101&gt;=BJ$2,VLOOKUP($E101-BJ$2,'data input'!$D$3:$E$130,2,FALSE),0)</f>
        <v>0.4403823076297575</v>
      </c>
      <c r="BK101" s="5">
        <f>IF($E101&gt;=BK$2,VLOOKUP($E101-BK$2,'data input'!$D$3:$E$130,2,FALSE),0)</f>
        <v>0.47010735594710518</v>
      </c>
      <c r="BL101" s="5">
        <f>IF($E101&gt;=BL$2,VLOOKUP($E101-BL$2,'data input'!$D$3:$E$130,2,FALSE),0)</f>
        <v>0.5</v>
      </c>
      <c r="BM101" s="5">
        <f>IF($E101&gt;=BM$2,VLOOKUP($E101-BM$2,'data input'!$D$3:$E$130,2,FALSE),0)</f>
        <v>0.52989264405289482</v>
      </c>
      <c r="BN101" s="5">
        <f>IF($E101&gt;=BN$2,VLOOKUP($E101-BN$2,'data input'!$D$3:$E$130,2,FALSE),0)</f>
        <v>0.5596176923702425</v>
      </c>
      <c r="BO101" s="5">
        <f>IF($E101&gt;=BO$2,VLOOKUP($E101-BO$2,'data input'!$D$3:$E$130,2,FALSE),0)</f>
        <v>0.58901036286872965</v>
      </c>
      <c r="BP101" s="5">
        <f>IF($E101&gt;=BP$2,VLOOKUP($E101-BP$2,'data input'!$D$3:$E$130,2,FALSE),0)</f>
        <v>0.61791142218895267</v>
      </c>
      <c r="BQ101" s="5">
        <f>IF($E101&gt;=BQ$2,VLOOKUP($E101-BQ$2,'data input'!$D$3:$E$130,2,FALSE),0)</f>
        <v>0.64616976667272386</v>
      </c>
      <c r="BR101" s="5">
        <f>IF($E101&gt;=BR$2,VLOOKUP($E101-BR$2,'data input'!$D$3:$E$130,2,FALSE),0)</f>
        <v>0.67364477971207992</v>
      </c>
      <c r="BS101" s="5">
        <f>IF($E101&gt;=BS$2,VLOOKUP($E101-BS$2,'data input'!$D$3:$E$130,2,FALSE),0)</f>
        <v>0.70020840453130417</v>
      </c>
      <c r="BT101" s="5">
        <f>IF($E101&gt;=BT$2,VLOOKUP($E101-BT$2,'data input'!$D$3:$E$130,2,FALSE),0)</f>
        <v>0.72574688224992645</v>
      </c>
      <c r="BU101" s="5">
        <f>IF($E101&gt;=BU$2,VLOOKUP($E101-BU$2,'data input'!$D$3:$E$130,2,FALSE),0)</f>
        <v>0.75016211752822304</v>
      </c>
      <c r="BV101" s="5">
        <f>IF($E101&gt;=BV$2,VLOOKUP($E101-BV$2,'data input'!$D$3:$E$130,2,FALSE),0)</f>
        <v>0.77337264762313174</v>
      </c>
      <c r="BW101" s="5">
        <f>IF($E101&gt;=BW$2,VLOOKUP($E101-BW$2,'data input'!$D$3:$E$130,2,FALSE),0)</f>
        <v>0.79531420465274738</v>
      </c>
      <c r="BX101" s="5">
        <f>IF($E101&gt;=BX$2,VLOOKUP($E101-BX$2,'data input'!$D$3:$E$130,2,FALSE),0)</f>
        <v>0.81593987465324047</v>
      </c>
      <c r="BY101" s="5">
        <f>IF($E101&gt;=BY$2,VLOOKUP($E101-BY$2,'data input'!$D$3:$E$130,2,FALSE),0)</f>
        <v>0.83521987001968967</v>
      </c>
      <c r="BZ101" s="5">
        <f>IF($E101&gt;=BZ$2,VLOOKUP($E101-BZ$2,'data input'!$D$3:$E$130,2,FALSE),0)</f>
        <v>0.85314094362410409</v>
      </c>
      <c r="CA101" s="5">
        <f>IF($E101&gt;=CA$2,VLOOKUP($E101-CA$2,'data input'!$D$3:$E$130,2,FALSE),0)</f>
        <v>0.86970548286319116</v>
      </c>
      <c r="CB101" s="5">
        <f>IF($E101&gt;=CB$2,VLOOKUP($E101-CB$2,'data input'!$D$3:$E$130,2,FALSE),0)</f>
        <v>0.88493032977829178</v>
      </c>
      <c r="CC101" s="5">
        <f>IF($E101&gt;=CC$2,VLOOKUP($E101-CC$2,'data input'!$D$3:$E$130,2,FALSE),0)</f>
        <v>0.89884537900441408</v>
      </c>
      <c r="CD101" s="5">
        <f>IF($E101&gt;=CD$2,VLOOKUP($E101-CD$2,'data input'!$D$3:$E$130,2,FALSE),0)</f>
        <v>0.91149200856259793</v>
      </c>
      <c r="CE101" s="5">
        <f>IF($E101&gt;=CE$2,VLOOKUP($E101-CE$2,'data input'!$D$3:$E$130,2,FALSE),0)</f>
        <v>0.92292139944792817</v>
      </c>
      <c r="CF101" s="5">
        <f>IF($E101&gt;=CF$2,VLOOKUP($E101-CF$2,'data input'!$D$3:$E$130,2,FALSE),0)</f>
        <v>0.93319279873114191</v>
      </c>
      <c r="CG101" s="5">
        <f>IF($E101&gt;=CG$2,VLOOKUP($E101-CG$2,'data input'!$D$3:$E$130,2,FALSE),0)</f>
        <v>0.94237177772384684</v>
      </c>
      <c r="CH101" s="5">
        <f>IF($E101&gt;=CH$2,VLOOKUP($E101-CH$2,'data input'!$D$3:$E$130,2,FALSE),0)</f>
        <v>0.9505285319663519</v>
      </c>
      <c r="CI101" s="5">
        <f>IF($E101&gt;=CI$2,VLOOKUP($E101-CI$2,'data input'!$D$3:$E$130,2,FALSE),0)</f>
        <v>0.95773626374204757</v>
      </c>
      <c r="CJ101" s="5">
        <f>IF($E101&gt;=CJ$2,VLOOKUP($E101-CJ$2,'data input'!$D$3:$E$130,2,FALSE),0)</f>
        <v>0.96406968088707423</v>
      </c>
      <c r="CK101" s="5">
        <f>IF($E101&gt;=CK$2,VLOOKUP($E101-CK$2,'data input'!$D$3:$E$130,2,FALSE),0)</f>
        <v>0.96960363823473861</v>
      </c>
      <c r="CL101" s="5">
        <f>IF($E101&gt;=CL$2,VLOOKUP($E101-CL$2,'data input'!$D$3:$E$130,2,FALSE),0)</f>
        <v>0.97441194047836144</v>
      </c>
      <c r="CM101" s="5">
        <f>IF($E101&gt;=CM$2,VLOOKUP($E101-CM$2,'data input'!$D$3:$E$130,2,FALSE),0)</f>
        <v>0.97856631788584703</v>
      </c>
      <c r="CN101" s="5">
        <f>IF($E101&gt;=CN$2,VLOOKUP($E101-CN$2,'data input'!$D$3:$E$130,2,FALSE),0)</f>
        <v>0.98213557943718344</v>
      </c>
      <c r="CO101" s="5">
        <f>IF($E101&gt;=CO$2,VLOOKUP($E101-CO$2,'data input'!$D$3:$E$130,2,FALSE),0)</f>
        <v>0.98518494180739014</v>
      </c>
      <c r="CP101" s="5">
        <f>IF($E101&gt;=CP$2,VLOOKUP($E101-CP$2,'data input'!$D$3:$E$130,2,FALSE),0)</f>
        <v>0.98777552734495533</v>
      </c>
      <c r="CQ101" s="5">
        <f>IF($E101&gt;=CQ$2,VLOOKUP($E101-CQ$2,'data input'!$D$3:$E$130,2,FALSE),0)</f>
        <v>0.98996401989972593</v>
      </c>
      <c r="CR101" s="5">
        <f>IF($E101&gt;=CR$2,VLOOKUP($E101-CR$2,'data input'!$D$3:$E$130,2,FALSE),0)</f>
        <v>0.99180246407540384</v>
      </c>
      <c r="CS101" s="5">
        <f>IF($E101&gt;=CS$2,VLOOKUP($E101-CS$2,'data input'!$D$3:$E$130,2,FALSE),0)</f>
        <v>0.99333819120801725</v>
      </c>
      <c r="CT101" s="5">
        <f>IF($E101&gt;=CT$2,VLOOKUP($E101-CT$2,'data input'!$D$3:$E$130,2,FALSE),0)</f>
        <v>0.99461385404593328</v>
      </c>
      <c r="CU101" s="5">
        <f>IF($E101&gt;=CU$2,VLOOKUP($E101-CU$2,'data input'!$D$3:$E$130,2,FALSE),0)</f>
        <v>0.99566755163698739</v>
      </c>
      <c r="CV101" s="5">
        <f>IF($E101&gt;=CV$2,VLOOKUP($E101-CV$2,'data input'!$D$3:$E$130,2,FALSE),0)</f>
        <v>0.99653302619695938</v>
      </c>
      <c r="CW101" s="5">
        <f>IF($E101&gt;=CW$2,VLOOKUP($E101-CW$2,'data input'!$D$3:$E$130,2,FALSE),0)</f>
        <v>0.99723991460873751</v>
      </c>
      <c r="CX101" s="5">
        <f>IF($E101&gt;=CX$2,VLOOKUP($E101-CX$2,'data input'!$D$3:$E$130,2,FALSE),0)</f>
        <v>0.99781403854508677</v>
      </c>
      <c r="CY101" s="5">
        <f>IF($E101&gt;=CY$2,VLOOKUP($E101-CY$2,'data input'!$D$3:$E$130,2,FALSE),0)</f>
        <v>0.99827771888413241</v>
      </c>
      <c r="CZ101" s="5">
        <f>IF($E101&gt;=CZ$2,VLOOKUP($E101-CZ$2,'data input'!$D$3:$E$130,2,FALSE),0)</f>
        <v>0.9986501019683699</v>
      </c>
      <c r="DA101" s="5">
        <f>IF($E101&gt;=DA$2,VLOOKUP($E101-DA$2,'data input'!$D$3:$E$130,2,FALSE),0)</f>
        <v>0</v>
      </c>
      <c r="DB101" s="5">
        <f>IF($E101&gt;=DB$2,VLOOKUP($E101-DB$2,'data input'!$D$3:$E$130,2,FALSE),0)</f>
        <v>0</v>
      </c>
      <c r="DC101" s="5">
        <f>IF($E101&gt;=DC$2,VLOOKUP($E101-DC$2,'data input'!$D$3:$E$130,2,FALSE),0)</f>
        <v>0</v>
      </c>
      <c r="DD101" s="5">
        <f>IF($E101&gt;=DD$2,VLOOKUP($E101-DD$2,'data input'!$D$3:$E$130,2,FALSE),0)</f>
        <v>0</v>
      </c>
      <c r="DE101" s="5">
        <f>IF($E101&gt;=DE$2,VLOOKUP($E101-DE$2,'data input'!$D$3:$E$130,2,FALSE),0)</f>
        <v>0</v>
      </c>
      <c r="DF101" s="5">
        <f>IF($E101&gt;=DF$2,VLOOKUP($E101-DF$2,'data input'!$D$3:$E$130,2,FALSE),0)</f>
        <v>0</v>
      </c>
      <c r="DG101" s="5">
        <f>IF($E101&gt;=DG$2,VLOOKUP($E101-DG$2,'data input'!$D$3:$E$130,2,FALSE),0)</f>
        <v>0</v>
      </c>
      <c r="DH101" s="5">
        <f>IF($E101&gt;=DH$2,VLOOKUP($E101-DH$2,'data input'!$D$3:$E$130,2,FALSE),0)</f>
        <v>0</v>
      </c>
      <c r="DI101" s="5">
        <f>IF($E101&gt;=DI$2,VLOOKUP($E101-DI$2,'data input'!$D$3:$E$130,2,FALSE),0)</f>
        <v>0</v>
      </c>
      <c r="DJ101" s="5">
        <f>IF($E101&gt;=DJ$2,VLOOKUP($E101-DJ$2,'data input'!$D$3:$E$130,2,FALSE),0)</f>
        <v>0</v>
      </c>
      <c r="DK101" s="5">
        <f>IF($E101&gt;=DK$2,VLOOKUP($E101-DK$2,'data input'!$D$3:$E$130,2,FALSE),0)</f>
        <v>0</v>
      </c>
      <c r="DL101" s="5">
        <f>IF($E101&gt;=DL$2,VLOOKUP($E101-DL$2,'data input'!$D$3:$E$130,2,FALSE),0)</f>
        <v>0</v>
      </c>
      <c r="DM101" s="5">
        <f>IF($E101&gt;=DM$2,VLOOKUP($E101-DM$2,'data input'!$D$3:$E$130,2,FALSE),0)</f>
        <v>0</v>
      </c>
      <c r="DN101" s="5">
        <f>IF($E101&gt;=DN$2,VLOOKUP($E101-DN$2,'data input'!$D$3:$E$130,2,FALSE),0)</f>
        <v>0</v>
      </c>
      <c r="DO101" s="5">
        <f>IF($E101&gt;=DO$2,VLOOKUP($E101-DO$2,'data input'!$D$3:$E$130,2,FALSE),0)</f>
        <v>0</v>
      </c>
      <c r="DP101" s="5">
        <f>IF($E101&gt;=DP$2,VLOOKUP($E101-DP$2,'data input'!$D$3:$E$130,2,FALSE),0)</f>
        <v>0</v>
      </c>
      <c r="DQ101" s="5">
        <f>IF($E101&gt;=DQ$2,VLOOKUP($E101-DQ$2,'data input'!$D$3:$E$130,2,FALSE),0)</f>
        <v>0</v>
      </c>
      <c r="DR101" s="5">
        <f>IF($E101&gt;=DR$2,VLOOKUP($E101-DR$2,'data input'!$D$3:$E$130,2,FALSE),0)</f>
        <v>0</v>
      </c>
      <c r="DS101" s="5">
        <f>IF($E101&gt;=DS$2,VLOOKUP($E101-DS$2,'data input'!$D$3:$E$130,2,FALSE),0)</f>
        <v>0</v>
      </c>
      <c r="DT101" s="5">
        <f>IF($E101&gt;=DT$2,VLOOKUP($E101-DT$2,'data input'!$D$3:$E$130,2,FALSE),0)</f>
        <v>0</v>
      </c>
      <c r="DU101" s="5">
        <f>IF($E101&gt;=DU$2,VLOOKUP($E101-DU$2,'data input'!$D$3:$E$130,2,FALSE),0)</f>
        <v>0</v>
      </c>
      <c r="DV101" s="5">
        <f>IF($E101&gt;=DV$2,VLOOKUP($E101-DV$2,'data input'!$D$3:$E$130,2,FALSE),0)</f>
        <v>0</v>
      </c>
      <c r="DW101" s="5">
        <f>IF($E101&gt;=DW$2,VLOOKUP($E101-DW$2,'data input'!$D$3:$E$130,2,FALSE),0)</f>
        <v>0</v>
      </c>
      <c r="DX101" s="5">
        <f>IF($E101&gt;=DX$2,VLOOKUP($E101-DX$2,'data input'!$D$3:$E$130,2,FALSE),0)</f>
        <v>0</v>
      </c>
      <c r="DY101" s="5">
        <f>IF($E101&gt;=DY$2,VLOOKUP($E101-DY$2,'data input'!$D$3:$E$130,2,FALSE),0)</f>
        <v>0</v>
      </c>
      <c r="DZ101" s="5">
        <f>IF($E101&gt;=DZ$2,VLOOKUP($E101-DZ$2,'data input'!$D$3:$E$130,2,FALSE),0)</f>
        <v>0</v>
      </c>
      <c r="EA101" s="5">
        <f>IF($E101&gt;=EA$2,VLOOKUP($E101-EA$2,'data input'!$D$3:$E$130,2,FALSE),0)</f>
        <v>0</v>
      </c>
      <c r="EB101" s="5">
        <f>IF($E101&gt;=EB$2,VLOOKUP($E101-EB$2,'data input'!$D$3:$E$130,2,FALSE),0)</f>
        <v>0</v>
      </c>
      <c r="EC101" s="5">
        <f>IF($E101&gt;=EC$2,VLOOKUP($E101-EC$2,'data input'!$D$3:$E$130,2,FALSE),0)</f>
        <v>0</v>
      </c>
    </row>
    <row r="102" spans="5:133">
      <c r="E102" s="7">
        <f>'data input'!B102</f>
        <v>1977</v>
      </c>
      <c r="F102" s="5">
        <f>IF($E102&gt;=F$2,VLOOKUP($E102-F$2,'data input'!$D$3:$E$130,2,FALSE),0)</f>
        <v>4.8221141606408224E-6</v>
      </c>
      <c r="G102" s="5">
        <f>IF($E102&gt;=G$2,VLOOKUP($E102-G$2,'data input'!$D$3:$E$130,2,FALSE),0)</f>
        <v>6.8068765993745117E-6</v>
      </c>
      <c r="H102" s="5">
        <f>IF($E102&gt;=H$2,VLOOKUP($E102-H$2,'data input'!$D$3:$E$130,2,FALSE),0)</f>
        <v>9.5568647372479276E-6</v>
      </c>
      <c r="I102" s="5">
        <f>IF($E102&gt;=I$2,VLOOKUP($E102-I$2,'data input'!$D$3:$E$130,2,FALSE),0)</f>
        <v>1.3345749015902797E-5</v>
      </c>
      <c r="J102" s="5">
        <f>IF($E102&gt;=J$2,VLOOKUP($E102-J$2,'data input'!$D$3:$E$130,2,FALSE),0)</f>
        <v>1.8536737846241991E-5</v>
      </c>
      <c r="K102" s="5">
        <f>IF($E102&gt;=K$2,VLOOKUP($E102-K$2,'data input'!$D$3:$E$130,2,FALSE),0)</f>
        <v>2.5608816474065321E-5</v>
      </c>
      <c r="L102" s="5">
        <f>IF($E102&gt;=L$2,VLOOKUP($E102-L$2,'data input'!$D$3:$E$130,2,FALSE),0)</f>
        <v>3.5189628065923628E-5</v>
      </c>
      <c r="M102" s="5">
        <f>IF($E102&gt;=M$2,VLOOKUP($E102-M$2,'data input'!$D$3:$E$130,2,FALSE),0)</f>
        <v>4.8096344017589665E-5</v>
      </c>
      <c r="N102" s="5">
        <f>IF($E102&gt;=N$2,VLOOKUP($E102-N$2,'data input'!$D$3:$E$130,2,FALSE),0)</f>
        <v>6.5386043242687819E-5</v>
      </c>
      <c r="O102" s="5">
        <f>IF($E102&gt;=O$2,VLOOKUP($E102-O$2,'data input'!$D$3:$E$130,2,FALSE),0)</f>
        <v>8.841728520081471E-5</v>
      </c>
      <c r="P102" s="5">
        <f>IF($E102&gt;=P$2,VLOOKUP($E102-P$2,'data input'!$D$3:$E$130,2,FALSE),0)</f>
        <v>1.1892470732677296E-4</v>
      </c>
      <c r="Q102" s="5">
        <f>IF($E102&gt;=Q$2,VLOOKUP($E102-Q$2,'data input'!$D$3:$E$130,2,FALSE),0)</f>
        <v>1.5910859015755285E-4</v>
      </c>
      <c r="R102" s="5">
        <f>IF($E102&gt;=R$2,VLOOKUP($E102-R$2,'data input'!$D$3:$E$130,2,FALSE),0)</f>
        <v>2.1174139572344153E-4</v>
      </c>
      <c r="S102" s="5">
        <f>IF($E102&gt;=S$2,VLOOKUP($E102-S$2,'data input'!$D$3:$E$130,2,FALSE),0)</f>
        <v>2.8029327681622362E-4</v>
      </c>
      <c r="T102" s="5">
        <f>IF($E102&gt;=T$2,VLOOKUP($E102-T$2,'data input'!$D$3:$E$130,2,FALSE),0)</f>
        <v>3.6907845427502917E-4</v>
      </c>
      <c r="U102" s="5">
        <f>IF($E102&gt;=U$2,VLOOKUP($E102-U$2,'data input'!$D$3:$E$130,2,FALSE),0)</f>
        <v>4.8342414238378151E-4</v>
      </c>
      <c r="V102" s="5">
        <f>IF($E102&gt;=V$2,VLOOKUP($E102-V$2,'data input'!$D$3:$E$130,2,FALSE),0)</f>
        <v>6.2986334399772748E-4</v>
      </c>
      <c r="W102" s="5">
        <f>IF($E102&gt;=W$2,VLOOKUP($E102-W$2,'data input'!$D$3:$E$130,2,FALSE),0)</f>
        <v>8.1635231282861653E-4</v>
      </c>
      <c r="X102" s="5">
        <f>IF($E102&gt;=X$2,VLOOKUP($E102-X$2,'data input'!$D$3:$E$130,2,FALSE),0)</f>
        <v>1.0525127683760349E-3</v>
      </c>
      <c r="Y102" s="5">
        <f>IF($E102&gt;=Y$2,VLOOKUP($E102-Y$2,'data input'!$D$3:$E$130,2,FALSE),0)</f>
        <v>1.3498980316301035E-3</v>
      </c>
      <c r="Z102" s="5">
        <f>IF($E102&gt;=Z$2,VLOOKUP($E102-Z$2,'data input'!$D$3:$E$130,2,FALSE),0)</f>
        <v>1.7222811158675855E-3</v>
      </c>
      <c r="AA102" s="5">
        <f>IF($E102&gt;=AA$2,VLOOKUP($E102-AA$2,'data input'!$D$3:$E$130,2,FALSE),0)</f>
        <v>2.1859614549132322E-3</v>
      </c>
      <c r="AB102" s="5">
        <f>IF($E102&gt;=AB$2,VLOOKUP($E102-AB$2,'data input'!$D$3:$E$130,2,FALSE),0)</f>
        <v>2.7600853912624901E-3</v>
      </c>
      <c r="AC102" s="5">
        <f>IF($E102&gt;=AC$2,VLOOKUP($E102-AC$2,'data input'!$D$3:$E$130,2,FALSE),0)</f>
        <v>3.4669738030406183E-3</v>
      </c>
      <c r="AD102" s="5">
        <f>IF($E102&gt;=AD$2,VLOOKUP($E102-AD$2,'data input'!$D$3:$E$130,2,FALSE),0)</f>
        <v>4.3324483630126087E-3</v>
      </c>
      <c r="AE102" s="5">
        <f>IF($E102&gt;=AE$2,VLOOKUP($E102-AE$2,'data input'!$D$3:$E$130,2,FALSE),0)</f>
        <v>5.3861459540667234E-3</v>
      </c>
      <c r="AF102" s="5">
        <f>IF($E102&gt;=AF$2,VLOOKUP($E102-AF$2,'data input'!$D$3:$E$130,2,FALSE),0)</f>
        <v>6.6618087919827484E-3</v>
      </c>
      <c r="AG102" s="5">
        <f>IF($E102&gt;=AG$2,VLOOKUP($E102-AG$2,'data input'!$D$3:$E$130,2,FALSE),0)</f>
        <v>8.1975359245961554E-3</v>
      </c>
      <c r="AH102" s="5">
        <f>IF($E102&gt;=AH$2,VLOOKUP($E102-AH$2,'data input'!$D$3:$E$130,2,FALSE),0)</f>
        <v>1.0035980100274067E-2</v>
      </c>
      <c r="AI102" s="5">
        <f>IF($E102&gt;=AI$2,VLOOKUP($E102-AI$2,'data input'!$D$3:$E$130,2,FALSE),0)</f>
        <v>1.2224472655044671E-2</v>
      </c>
      <c r="AJ102" s="5">
        <f>IF($E102&gt;=AJ$2,VLOOKUP($E102-AJ$2,'data input'!$D$3:$E$130,2,FALSE),0)</f>
        <v>1.4815058192609865E-2</v>
      </c>
      <c r="AK102" s="5">
        <f>IF($E102&gt;=AK$2,VLOOKUP($E102-AK$2,'data input'!$D$3:$E$130,2,FALSE),0)</f>
        <v>1.7864420562816563E-2</v>
      </c>
      <c r="AL102" s="5">
        <f>IF($E102&gt;=AL$2,VLOOKUP($E102-AL$2,'data input'!$D$3:$E$130,2,FALSE),0)</f>
        <v>2.1433682114152974E-2</v>
      </c>
      <c r="AM102" s="5">
        <f>IF($E102&gt;=AM$2,VLOOKUP($E102-AM$2,'data input'!$D$3:$E$130,2,FALSE),0)</f>
        <v>2.5588059521638562E-2</v>
      </c>
      <c r="AN102" s="5">
        <f>IF($E102&gt;=AN$2,VLOOKUP($E102-AN$2,'data input'!$D$3:$E$130,2,FALSE),0)</f>
        <v>3.0396361765261393E-2</v>
      </c>
      <c r="AO102" s="5">
        <f>IF($E102&gt;=AO$2,VLOOKUP($E102-AO$2,'data input'!$D$3:$E$130,2,FALSE),0)</f>
        <v>3.5930319112925768E-2</v>
      </c>
      <c r="AP102" s="5">
        <f>IF($E102&gt;=AP$2,VLOOKUP($E102-AP$2,'data input'!$D$3:$E$130,2,FALSE),0)</f>
        <v>4.2263736257952433E-2</v>
      </c>
      <c r="AQ102" s="5">
        <f>IF($E102&gt;=AQ$2,VLOOKUP($E102-AQ$2,'data input'!$D$3:$E$130,2,FALSE),0)</f>
        <v>4.9471468033648103E-2</v>
      </c>
      <c r="AR102" s="5">
        <f>IF($E102&gt;=AR$2,VLOOKUP($E102-AR$2,'data input'!$D$3:$E$130,2,FALSE),0)</f>
        <v>5.7628222276153163E-2</v>
      </c>
      <c r="AS102" s="5">
        <f>IF($E102&gt;=AS$2,VLOOKUP($E102-AS$2,'data input'!$D$3:$E$130,2,FALSE),0)</f>
        <v>6.6807201268858085E-2</v>
      </c>
      <c r="AT102" s="5">
        <f>IF($E102&gt;=AT$2,VLOOKUP($E102-AT$2,'data input'!$D$3:$E$130,2,FALSE),0)</f>
        <v>7.707860055207183E-2</v>
      </c>
      <c r="AU102" s="5">
        <f>IF($E102&gt;=AU$2,VLOOKUP($E102-AU$2,'data input'!$D$3:$E$130,2,FALSE),0)</f>
        <v>8.8507991437402067E-2</v>
      </c>
      <c r="AV102" s="5">
        <f>IF($E102&gt;=AV$2,VLOOKUP($E102-AV$2,'data input'!$D$3:$E$130,2,FALSE),0)</f>
        <v>0.10115462099558592</v>
      </c>
      <c r="AW102" s="5">
        <f>IF($E102&gt;=AW$2,VLOOKUP($E102-AW$2,'data input'!$D$3:$E$130,2,FALSE),0)</f>
        <v>0.11506967022170822</v>
      </c>
      <c r="AX102" s="5">
        <f>IF($E102&gt;=AX$2,VLOOKUP($E102-AX$2,'data input'!$D$3:$E$130,2,FALSE),0)</f>
        <v>0.13029451713680884</v>
      </c>
      <c r="AY102" s="5">
        <f>IF($E102&gt;=AY$2,VLOOKUP($E102-AY$2,'data input'!$D$3:$E$130,2,FALSE),0)</f>
        <v>0.14685905637589591</v>
      </c>
      <c r="AZ102" s="5">
        <f>IF($E102&gt;=AZ$2,VLOOKUP($E102-AZ$2,'data input'!$D$3:$E$130,2,FALSE),0)</f>
        <v>0.16478012998031033</v>
      </c>
      <c r="BA102" s="5">
        <f>IF($E102&gt;=BA$2,VLOOKUP($E102-BA$2,'data input'!$D$3:$E$130,2,FALSE),0)</f>
        <v>0.18406012534675953</v>
      </c>
      <c r="BB102" s="5">
        <f>IF($E102&gt;=BB$2,VLOOKUP($E102-BB$2,'data input'!$D$3:$E$130,2,FALSE),0)</f>
        <v>0.20468579534725262</v>
      </c>
      <c r="BC102" s="5">
        <f>IF($E102&gt;=BC$2,VLOOKUP($E102-BC$2,'data input'!$D$3:$E$130,2,FALSE),0)</f>
        <v>0.22662735237686826</v>
      </c>
      <c r="BD102" s="5">
        <f>IF($E102&gt;=BD$2,VLOOKUP($E102-BD$2,'data input'!$D$3:$E$130,2,FALSE),0)</f>
        <v>0.24983788247177696</v>
      </c>
      <c r="BE102" s="5">
        <f>IF($E102&gt;=BE$2,VLOOKUP($E102-BE$2,'data input'!$D$3:$E$130,2,FALSE),0)</f>
        <v>0.27425311775007355</v>
      </c>
      <c r="BF102" s="5">
        <f>IF($E102&gt;=BF$2,VLOOKUP($E102-BF$2,'data input'!$D$3:$E$130,2,FALSE),0)</f>
        <v>0.29979159546869583</v>
      </c>
      <c r="BG102" s="5">
        <f>IF($E102&gt;=BG$2,VLOOKUP($E102-BG$2,'data input'!$D$3:$E$130,2,FALSE),0)</f>
        <v>0.32635522028792008</v>
      </c>
      <c r="BH102" s="5">
        <f>IF($E102&gt;=BH$2,VLOOKUP($E102-BH$2,'data input'!$D$3:$E$130,2,FALSE),0)</f>
        <v>0.35383023332727614</v>
      </c>
      <c r="BI102" s="5">
        <f>IF($E102&gt;=BI$2,VLOOKUP($E102-BI$2,'data input'!$D$3:$E$130,2,FALSE),0)</f>
        <v>0.38208857781104733</v>
      </c>
      <c r="BJ102" s="5">
        <f>IF($E102&gt;=BJ$2,VLOOKUP($E102-BJ$2,'data input'!$D$3:$E$130,2,FALSE),0)</f>
        <v>0.41098963713127035</v>
      </c>
      <c r="BK102" s="5">
        <f>IF($E102&gt;=BK$2,VLOOKUP($E102-BK$2,'data input'!$D$3:$E$130,2,FALSE),0)</f>
        <v>0.4403823076297575</v>
      </c>
      <c r="BL102" s="5">
        <f>IF($E102&gt;=BL$2,VLOOKUP($E102-BL$2,'data input'!$D$3:$E$130,2,FALSE),0)</f>
        <v>0.47010735594710518</v>
      </c>
      <c r="BM102" s="5">
        <f>IF($E102&gt;=BM$2,VLOOKUP($E102-BM$2,'data input'!$D$3:$E$130,2,FALSE),0)</f>
        <v>0.5</v>
      </c>
      <c r="BN102" s="5">
        <f>IF($E102&gt;=BN$2,VLOOKUP($E102-BN$2,'data input'!$D$3:$E$130,2,FALSE),0)</f>
        <v>0.52989264405289482</v>
      </c>
      <c r="BO102" s="5">
        <f>IF($E102&gt;=BO$2,VLOOKUP($E102-BO$2,'data input'!$D$3:$E$130,2,FALSE),0)</f>
        <v>0.5596176923702425</v>
      </c>
      <c r="BP102" s="5">
        <f>IF($E102&gt;=BP$2,VLOOKUP($E102-BP$2,'data input'!$D$3:$E$130,2,FALSE),0)</f>
        <v>0.58901036286872965</v>
      </c>
      <c r="BQ102" s="5">
        <f>IF($E102&gt;=BQ$2,VLOOKUP($E102-BQ$2,'data input'!$D$3:$E$130,2,FALSE),0)</f>
        <v>0.61791142218895267</v>
      </c>
      <c r="BR102" s="5">
        <f>IF($E102&gt;=BR$2,VLOOKUP($E102-BR$2,'data input'!$D$3:$E$130,2,FALSE),0)</f>
        <v>0.64616976667272386</v>
      </c>
      <c r="BS102" s="5">
        <f>IF($E102&gt;=BS$2,VLOOKUP($E102-BS$2,'data input'!$D$3:$E$130,2,FALSE),0)</f>
        <v>0.67364477971207992</v>
      </c>
      <c r="BT102" s="5">
        <f>IF($E102&gt;=BT$2,VLOOKUP($E102-BT$2,'data input'!$D$3:$E$130,2,FALSE),0)</f>
        <v>0.70020840453130417</v>
      </c>
      <c r="BU102" s="5">
        <f>IF($E102&gt;=BU$2,VLOOKUP($E102-BU$2,'data input'!$D$3:$E$130,2,FALSE),0)</f>
        <v>0.72574688224992645</v>
      </c>
      <c r="BV102" s="5">
        <f>IF($E102&gt;=BV$2,VLOOKUP($E102-BV$2,'data input'!$D$3:$E$130,2,FALSE),0)</f>
        <v>0.75016211752822304</v>
      </c>
      <c r="BW102" s="5">
        <f>IF($E102&gt;=BW$2,VLOOKUP($E102-BW$2,'data input'!$D$3:$E$130,2,FALSE),0)</f>
        <v>0.77337264762313174</v>
      </c>
      <c r="BX102" s="5">
        <f>IF($E102&gt;=BX$2,VLOOKUP($E102-BX$2,'data input'!$D$3:$E$130,2,FALSE),0)</f>
        <v>0.79531420465274738</v>
      </c>
      <c r="BY102" s="5">
        <f>IF($E102&gt;=BY$2,VLOOKUP($E102-BY$2,'data input'!$D$3:$E$130,2,FALSE),0)</f>
        <v>0.81593987465324047</v>
      </c>
      <c r="BZ102" s="5">
        <f>IF($E102&gt;=BZ$2,VLOOKUP($E102-BZ$2,'data input'!$D$3:$E$130,2,FALSE),0)</f>
        <v>0.83521987001968967</v>
      </c>
      <c r="CA102" s="5">
        <f>IF($E102&gt;=CA$2,VLOOKUP($E102-CA$2,'data input'!$D$3:$E$130,2,FALSE),0)</f>
        <v>0.85314094362410409</v>
      </c>
      <c r="CB102" s="5">
        <f>IF($E102&gt;=CB$2,VLOOKUP($E102-CB$2,'data input'!$D$3:$E$130,2,FALSE),0)</f>
        <v>0.86970548286319116</v>
      </c>
      <c r="CC102" s="5">
        <f>IF($E102&gt;=CC$2,VLOOKUP($E102-CC$2,'data input'!$D$3:$E$130,2,FALSE),0)</f>
        <v>0.88493032977829178</v>
      </c>
      <c r="CD102" s="5">
        <f>IF($E102&gt;=CD$2,VLOOKUP($E102-CD$2,'data input'!$D$3:$E$130,2,FALSE),0)</f>
        <v>0.89884537900441408</v>
      </c>
      <c r="CE102" s="5">
        <f>IF($E102&gt;=CE$2,VLOOKUP($E102-CE$2,'data input'!$D$3:$E$130,2,FALSE),0)</f>
        <v>0.91149200856259793</v>
      </c>
      <c r="CF102" s="5">
        <f>IF($E102&gt;=CF$2,VLOOKUP($E102-CF$2,'data input'!$D$3:$E$130,2,FALSE),0)</f>
        <v>0.92292139944792817</v>
      </c>
      <c r="CG102" s="5">
        <f>IF($E102&gt;=CG$2,VLOOKUP($E102-CG$2,'data input'!$D$3:$E$130,2,FALSE),0)</f>
        <v>0.93319279873114191</v>
      </c>
      <c r="CH102" s="5">
        <f>IF($E102&gt;=CH$2,VLOOKUP($E102-CH$2,'data input'!$D$3:$E$130,2,FALSE),0)</f>
        <v>0.94237177772384684</v>
      </c>
      <c r="CI102" s="5">
        <f>IF($E102&gt;=CI$2,VLOOKUP($E102-CI$2,'data input'!$D$3:$E$130,2,FALSE),0)</f>
        <v>0.9505285319663519</v>
      </c>
      <c r="CJ102" s="5">
        <f>IF($E102&gt;=CJ$2,VLOOKUP($E102-CJ$2,'data input'!$D$3:$E$130,2,FALSE),0)</f>
        <v>0.95773626374204757</v>
      </c>
      <c r="CK102" s="5">
        <f>IF($E102&gt;=CK$2,VLOOKUP($E102-CK$2,'data input'!$D$3:$E$130,2,FALSE),0)</f>
        <v>0.96406968088707423</v>
      </c>
      <c r="CL102" s="5">
        <f>IF($E102&gt;=CL$2,VLOOKUP($E102-CL$2,'data input'!$D$3:$E$130,2,FALSE),0)</f>
        <v>0.96960363823473861</v>
      </c>
      <c r="CM102" s="5">
        <f>IF($E102&gt;=CM$2,VLOOKUP($E102-CM$2,'data input'!$D$3:$E$130,2,FALSE),0)</f>
        <v>0.97441194047836144</v>
      </c>
      <c r="CN102" s="5">
        <f>IF($E102&gt;=CN$2,VLOOKUP($E102-CN$2,'data input'!$D$3:$E$130,2,FALSE),0)</f>
        <v>0.97856631788584703</v>
      </c>
      <c r="CO102" s="5">
        <f>IF($E102&gt;=CO$2,VLOOKUP($E102-CO$2,'data input'!$D$3:$E$130,2,FALSE),0)</f>
        <v>0.98213557943718344</v>
      </c>
      <c r="CP102" s="5">
        <f>IF($E102&gt;=CP$2,VLOOKUP($E102-CP$2,'data input'!$D$3:$E$130,2,FALSE),0)</f>
        <v>0.98518494180739014</v>
      </c>
      <c r="CQ102" s="5">
        <f>IF($E102&gt;=CQ$2,VLOOKUP($E102-CQ$2,'data input'!$D$3:$E$130,2,FALSE),0)</f>
        <v>0.98777552734495533</v>
      </c>
      <c r="CR102" s="5">
        <f>IF($E102&gt;=CR$2,VLOOKUP($E102-CR$2,'data input'!$D$3:$E$130,2,FALSE),0)</f>
        <v>0.98996401989972593</v>
      </c>
      <c r="CS102" s="5">
        <f>IF($E102&gt;=CS$2,VLOOKUP($E102-CS$2,'data input'!$D$3:$E$130,2,FALSE),0)</f>
        <v>0.99180246407540384</v>
      </c>
      <c r="CT102" s="5">
        <f>IF($E102&gt;=CT$2,VLOOKUP($E102-CT$2,'data input'!$D$3:$E$130,2,FALSE),0)</f>
        <v>0.99333819120801725</v>
      </c>
      <c r="CU102" s="5">
        <f>IF($E102&gt;=CU$2,VLOOKUP($E102-CU$2,'data input'!$D$3:$E$130,2,FALSE),0)</f>
        <v>0.99461385404593328</v>
      </c>
      <c r="CV102" s="5">
        <f>IF($E102&gt;=CV$2,VLOOKUP($E102-CV$2,'data input'!$D$3:$E$130,2,FALSE),0)</f>
        <v>0.99566755163698739</v>
      </c>
      <c r="CW102" s="5">
        <f>IF($E102&gt;=CW$2,VLOOKUP($E102-CW$2,'data input'!$D$3:$E$130,2,FALSE),0)</f>
        <v>0.99653302619695938</v>
      </c>
      <c r="CX102" s="5">
        <f>IF($E102&gt;=CX$2,VLOOKUP($E102-CX$2,'data input'!$D$3:$E$130,2,FALSE),0)</f>
        <v>0.99723991460873751</v>
      </c>
      <c r="CY102" s="5">
        <f>IF($E102&gt;=CY$2,VLOOKUP($E102-CY$2,'data input'!$D$3:$E$130,2,FALSE),0)</f>
        <v>0.99781403854508677</v>
      </c>
      <c r="CZ102" s="5">
        <f>IF($E102&gt;=CZ$2,VLOOKUP($E102-CZ$2,'data input'!$D$3:$E$130,2,FALSE),0)</f>
        <v>0.99827771888413241</v>
      </c>
      <c r="DA102" s="5">
        <f>IF($E102&gt;=DA$2,VLOOKUP($E102-DA$2,'data input'!$D$3:$E$130,2,FALSE),0)</f>
        <v>0.9986501019683699</v>
      </c>
      <c r="DB102" s="5">
        <f>IF($E102&gt;=DB$2,VLOOKUP($E102-DB$2,'data input'!$D$3:$E$130,2,FALSE),0)</f>
        <v>0</v>
      </c>
      <c r="DC102" s="5">
        <f>IF($E102&gt;=DC$2,VLOOKUP($E102-DC$2,'data input'!$D$3:$E$130,2,FALSE),0)</f>
        <v>0</v>
      </c>
      <c r="DD102" s="5">
        <f>IF($E102&gt;=DD$2,VLOOKUP($E102-DD$2,'data input'!$D$3:$E$130,2,FALSE),0)</f>
        <v>0</v>
      </c>
      <c r="DE102" s="5">
        <f>IF($E102&gt;=DE$2,VLOOKUP($E102-DE$2,'data input'!$D$3:$E$130,2,FALSE),0)</f>
        <v>0</v>
      </c>
      <c r="DF102" s="5">
        <f>IF($E102&gt;=DF$2,VLOOKUP($E102-DF$2,'data input'!$D$3:$E$130,2,FALSE),0)</f>
        <v>0</v>
      </c>
      <c r="DG102" s="5">
        <f>IF($E102&gt;=DG$2,VLOOKUP($E102-DG$2,'data input'!$D$3:$E$130,2,FALSE),0)</f>
        <v>0</v>
      </c>
      <c r="DH102" s="5">
        <f>IF($E102&gt;=DH$2,VLOOKUP($E102-DH$2,'data input'!$D$3:$E$130,2,FALSE),0)</f>
        <v>0</v>
      </c>
      <c r="DI102" s="5">
        <f>IF($E102&gt;=DI$2,VLOOKUP($E102-DI$2,'data input'!$D$3:$E$130,2,FALSE),0)</f>
        <v>0</v>
      </c>
      <c r="DJ102" s="5">
        <f>IF($E102&gt;=DJ$2,VLOOKUP($E102-DJ$2,'data input'!$D$3:$E$130,2,FALSE),0)</f>
        <v>0</v>
      </c>
      <c r="DK102" s="5">
        <f>IF($E102&gt;=DK$2,VLOOKUP($E102-DK$2,'data input'!$D$3:$E$130,2,FALSE),0)</f>
        <v>0</v>
      </c>
      <c r="DL102" s="5">
        <f>IF($E102&gt;=DL$2,VLOOKUP($E102-DL$2,'data input'!$D$3:$E$130,2,FALSE),0)</f>
        <v>0</v>
      </c>
      <c r="DM102" s="5">
        <f>IF($E102&gt;=DM$2,VLOOKUP($E102-DM$2,'data input'!$D$3:$E$130,2,FALSE),0)</f>
        <v>0</v>
      </c>
      <c r="DN102" s="5">
        <f>IF($E102&gt;=DN$2,VLOOKUP($E102-DN$2,'data input'!$D$3:$E$130,2,FALSE),0)</f>
        <v>0</v>
      </c>
      <c r="DO102" s="5">
        <f>IF($E102&gt;=DO$2,VLOOKUP($E102-DO$2,'data input'!$D$3:$E$130,2,FALSE),0)</f>
        <v>0</v>
      </c>
      <c r="DP102" s="5">
        <f>IF($E102&gt;=DP$2,VLOOKUP($E102-DP$2,'data input'!$D$3:$E$130,2,FALSE),0)</f>
        <v>0</v>
      </c>
      <c r="DQ102" s="5">
        <f>IF($E102&gt;=DQ$2,VLOOKUP($E102-DQ$2,'data input'!$D$3:$E$130,2,FALSE),0)</f>
        <v>0</v>
      </c>
      <c r="DR102" s="5">
        <f>IF($E102&gt;=DR$2,VLOOKUP($E102-DR$2,'data input'!$D$3:$E$130,2,FALSE),0)</f>
        <v>0</v>
      </c>
      <c r="DS102" s="5">
        <f>IF($E102&gt;=DS$2,VLOOKUP($E102-DS$2,'data input'!$D$3:$E$130,2,FALSE),0)</f>
        <v>0</v>
      </c>
      <c r="DT102" s="5">
        <f>IF($E102&gt;=DT$2,VLOOKUP($E102-DT$2,'data input'!$D$3:$E$130,2,FALSE),0)</f>
        <v>0</v>
      </c>
      <c r="DU102" s="5">
        <f>IF($E102&gt;=DU$2,VLOOKUP($E102-DU$2,'data input'!$D$3:$E$130,2,FALSE),0)</f>
        <v>0</v>
      </c>
      <c r="DV102" s="5">
        <f>IF($E102&gt;=DV$2,VLOOKUP($E102-DV$2,'data input'!$D$3:$E$130,2,FALSE),0)</f>
        <v>0</v>
      </c>
      <c r="DW102" s="5">
        <f>IF($E102&gt;=DW$2,VLOOKUP($E102-DW$2,'data input'!$D$3:$E$130,2,FALSE),0)</f>
        <v>0</v>
      </c>
      <c r="DX102" s="5">
        <f>IF($E102&gt;=DX$2,VLOOKUP($E102-DX$2,'data input'!$D$3:$E$130,2,FALSE),0)</f>
        <v>0</v>
      </c>
      <c r="DY102" s="5">
        <f>IF($E102&gt;=DY$2,VLOOKUP($E102-DY$2,'data input'!$D$3:$E$130,2,FALSE),0)</f>
        <v>0</v>
      </c>
      <c r="DZ102" s="5">
        <f>IF($E102&gt;=DZ$2,VLOOKUP($E102-DZ$2,'data input'!$D$3:$E$130,2,FALSE),0)</f>
        <v>0</v>
      </c>
      <c r="EA102" s="5">
        <f>IF($E102&gt;=EA$2,VLOOKUP($E102-EA$2,'data input'!$D$3:$E$130,2,FALSE),0)</f>
        <v>0</v>
      </c>
      <c r="EB102" s="5">
        <f>IF($E102&gt;=EB$2,VLOOKUP($E102-EB$2,'data input'!$D$3:$E$130,2,FALSE),0)</f>
        <v>0</v>
      </c>
      <c r="EC102" s="5">
        <f>IF($E102&gt;=EC$2,VLOOKUP($E102-EC$2,'data input'!$D$3:$E$130,2,FALSE),0)</f>
        <v>0</v>
      </c>
    </row>
    <row r="103" spans="5:133">
      <c r="E103" s="7">
        <f>'data input'!B103</f>
        <v>1978</v>
      </c>
      <c r="F103" s="5">
        <f>IF($E103&gt;=F$2,VLOOKUP($E103-F$2,'data input'!$D$3:$E$130,2,FALSE),0)</f>
        <v>3.3976731247387093E-6</v>
      </c>
      <c r="G103" s="5">
        <f>IF($E103&gt;=G$2,VLOOKUP($E103-G$2,'data input'!$D$3:$E$130,2,FALSE),0)</f>
        <v>4.8221141606408224E-6</v>
      </c>
      <c r="H103" s="5">
        <f>IF($E103&gt;=H$2,VLOOKUP($E103-H$2,'data input'!$D$3:$E$130,2,FALSE),0)</f>
        <v>6.8068765993745117E-6</v>
      </c>
      <c r="I103" s="5">
        <f>IF($E103&gt;=I$2,VLOOKUP($E103-I$2,'data input'!$D$3:$E$130,2,FALSE),0)</f>
        <v>9.5568647372479276E-6</v>
      </c>
      <c r="J103" s="5">
        <f>IF($E103&gt;=J$2,VLOOKUP($E103-J$2,'data input'!$D$3:$E$130,2,FALSE),0)</f>
        <v>1.3345749015902797E-5</v>
      </c>
      <c r="K103" s="5">
        <f>IF($E103&gt;=K$2,VLOOKUP($E103-K$2,'data input'!$D$3:$E$130,2,FALSE),0)</f>
        <v>1.8536737846241991E-5</v>
      </c>
      <c r="L103" s="5">
        <f>IF($E103&gt;=L$2,VLOOKUP($E103-L$2,'data input'!$D$3:$E$130,2,FALSE),0)</f>
        <v>2.5608816474065321E-5</v>
      </c>
      <c r="M103" s="5">
        <f>IF($E103&gt;=M$2,VLOOKUP($E103-M$2,'data input'!$D$3:$E$130,2,FALSE),0)</f>
        <v>3.5189628065923628E-5</v>
      </c>
      <c r="N103" s="5">
        <f>IF($E103&gt;=N$2,VLOOKUP($E103-N$2,'data input'!$D$3:$E$130,2,FALSE),0)</f>
        <v>4.8096344017589665E-5</v>
      </c>
      <c r="O103" s="5">
        <f>IF($E103&gt;=O$2,VLOOKUP($E103-O$2,'data input'!$D$3:$E$130,2,FALSE),0)</f>
        <v>6.5386043242687819E-5</v>
      </c>
      <c r="P103" s="5">
        <f>IF($E103&gt;=P$2,VLOOKUP($E103-P$2,'data input'!$D$3:$E$130,2,FALSE),0)</f>
        <v>8.841728520081471E-5</v>
      </c>
      <c r="Q103" s="5">
        <f>IF($E103&gt;=Q$2,VLOOKUP($E103-Q$2,'data input'!$D$3:$E$130,2,FALSE),0)</f>
        <v>1.1892470732677296E-4</v>
      </c>
      <c r="R103" s="5">
        <f>IF($E103&gt;=R$2,VLOOKUP($E103-R$2,'data input'!$D$3:$E$130,2,FALSE),0)</f>
        <v>1.5910859015755285E-4</v>
      </c>
      <c r="S103" s="5">
        <f>IF($E103&gt;=S$2,VLOOKUP($E103-S$2,'data input'!$D$3:$E$130,2,FALSE),0)</f>
        <v>2.1174139572344153E-4</v>
      </c>
      <c r="T103" s="5">
        <f>IF($E103&gt;=T$2,VLOOKUP($E103-T$2,'data input'!$D$3:$E$130,2,FALSE),0)</f>
        <v>2.8029327681622362E-4</v>
      </c>
      <c r="U103" s="5">
        <f>IF($E103&gt;=U$2,VLOOKUP($E103-U$2,'data input'!$D$3:$E$130,2,FALSE),0)</f>
        <v>3.6907845427502917E-4</v>
      </c>
      <c r="V103" s="5">
        <f>IF($E103&gt;=V$2,VLOOKUP($E103-V$2,'data input'!$D$3:$E$130,2,FALSE),0)</f>
        <v>4.8342414238378151E-4</v>
      </c>
      <c r="W103" s="5">
        <f>IF($E103&gt;=W$2,VLOOKUP($E103-W$2,'data input'!$D$3:$E$130,2,FALSE),0)</f>
        <v>6.2986334399772748E-4</v>
      </c>
      <c r="X103" s="5">
        <f>IF($E103&gt;=X$2,VLOOKUP($E103-X$2,'data input'!$D$3:$E$130,2,FALSE),0)</f>
        <v>8.1635231282861653E-4</v>
      </c>
      <c r="Y103" s="5">
        <f>IF($E103&gt;=Y$2,VLOOKUP($E103-Y$2,'data input'!$D$3:$E$130,2,FALSE),0)</f>
        <v>1.0525127683760349E-3</v>
      </c>
      <c r="Z103" s="5">
        <f>IF($E103&gt;=Z$2,VLOOKUP($E103-Z$2,'data input'!$D$3:$E$130,2,FALSE),0)</f>
        <v>1.3498980316301035E-3</v>
      </c>
      <c r="AA103" s="5">
        <f>IF($E103&gt;=AA$2,VLOOKUP($E103-AA$2,'data input'!$D$3:$E$130,2,FALSE),0)</f>
        <v>1.7222811158675855E-3</v>
      </c>
      <c r="AB103" s="5">
        <f>IF($E103&gt;=AB$2,VLOOKUP($E103-AB$2,'data input'!$D$3:$E$130,2,FALSE),0)</f>
        <v>2.1859614549132322E-3</v>
      </c>
      <c r="AC103" s="5">
        <f>IF($E103&gt;=AC$2,VLOOKUP($E103-AC$2,'data input'!$D$3:$E$130,2,FALSE),0)</f>
        <v>2.7600853912624901E-3</v>
      </c>
      <c r="AD103" s="5">
        <f>IF($E103&gt;=AD$2,VLOOKUP($E103-AD$2,'data input'!$D$3:$E$130,2,FALSE),0)</f>
        <v>3.4669738030406183E-3</v>
      </c>
      <c r="AE103" s="5">
        <f>IF($E103&gt;=AE$2,VLOOKUP($E103-AE$2,'data input'!$D$3:$E$130,2,FALSE),0)</f>
        <v>4.3324483630126087E-3</v>
      </c>
      <c r="AF103" s="5">
        <f>IF($E103&gt;=AF$2,VLOOKUP($E103-AF$2,'data input'!$D$3:$E$130,2,FALSE),0)</f>
        <v>5.3861459540667234E-3</v>
      </c>
      <c r="AG103" s="5">
        <f>IF($E103&gt;=AG$2,VLOOKUP($E103-AG$2,'data input'!$D$3:$E$130,2,FALSE),0)</f>
        <v>6.6618087919827484E-3</v>
      </c>
      <c r="AH103" s="5">
        <f>IF($E103&gt;=AH$2,VLOOKUP($E103-AH$2,'data input'!$D$3:$E$130,2,FALSE),0)</f>
        <v>8.1975359245961554E-3</v>
      </c>
      <c r="AI103" s="5">
        <f>IF($E103&gt;=AI$2,VLOOKUP($E103-AI$2,'data input'!$D$3:$E$130,2,FALSE),0)</f>
        <v>1.0035980100274067E-2</v>
      </c>
      <c r="AJ103" s="5">
        <f>IF($E103&gt;=AJ$2,VLOOKUP($E103-AJ$2,'data input'!$D$3:$E$130,2,FALSE),0)</f>
        <v>1.2224472655044671E-2</v>
      </c>
      <c r="AK103" s="5">
        <f>IF($E103&gt;=AK$2,VLOOKUP($E103-AK$2,'data input'!$D$3:$E$130,2,FALSE),0)</f>
        <v>1.4815058192609865E-2</v>
      </c>
      <c r="AL103" s="5">
        <f>IF($E103&gt;=AL$2,VLOOKUP($E103-AL$2,'data input'!$D$3:$E$130,2,FALSE),0)</f>
        <v>1.7864420562816563E-2</v>
      </c>
      <c r="AM103" s="5">
        <f>IF($E103&gt;=AM$2,VLOOKUP($E103-AM$2,'data input'!$D$3:$E$130,2,FALSE),0)</f>
        <v>2.1433682114152974E-2</v>
      </c>
      <c r="AN103" s="5">
        <f>IF($E103&gt;=AN$2,VLOOKUP($E103-AN$2,'data input'!$D$3:$E$130,2,FALSE),0)</f>
        <v>2.5588059521638562E-2</v>
      </c>
      <c r="AO103" s="5">
        <f>IF($E103&gt;=AO$2,VLOOKUP($E103-AO$2,'data input'!$D$3:$E$130,2,FALSE),0)</f>
        <v>3.0396361765261393E-2</v>
      </c>
      <c r="AP103" s="5">
        <f>IF($E103&gt;=AP$2,VLOOKUP($E103-AP$2,'data input'!$D$3:$E$130,2,FALSE),0)</f>
        <v>3.5930319112925768E-2</v>
      </c>
      <c r="AQ103" s="5">
        <f>IF($E103&gt;=AQ$2,VLOOKUP($E103-AQ$2,'data input'!$D$3:$E$130,2,FALSE),0)</f>
        <v>4.2263736257952433E-2</v>
      </c>
      <c r="AR103" s="5">
        <f>IF($E103&gt;=AR$2,VLOOKUP($E103-AR$2,'data input'!$D$3:$E$130,2,FALSE),0)</f>
        <v>4.9471468033648103E-2</v>
      </c>
      <c r="AS103" s="5">
        <f>IF($E103&gt;=AS$2,VLOOKUP($E103-AS$2,'data input'!$D$3:$E$130,2,FALSE),0)</f>
        <v>5.7628222276153163E-2</v>
      </c>
      <c r="AT103" s="5">
        <f>IF($E103&gt;=AT$2,VLOOKUP($E103-AT$2,'data input'!$D$3:$E$130,2,FALSE),0)</f>
        <v>6.6807201268858085E-2</v>
      </c>
      <c r="AU103" s="5">
        <f>IF($E103&gt;=AU$2,VLOOKUP($E103-AU$2,'data input'!$D$3:$E$130,2,FALSE),0)</f>
        <v>7.707860055207183E-2</v>
      </c>
      <c r="AV103" s="5">
        <f>IF($E103&gt;=AV$2,VLOOKUP($E103-AV$2,'data input'!$D$3:$E$130,2,FALSE),0)</f>
        <v>8.8507991437402067E-2</v>
      </c>
      <c r="AW103" s="5">
        <f>IF($E103&gt;=AW$2,VLOOKUP($E103-AW$2,'data input'!$D$3:$E$130,2,FALSE),0)</f>
        <v>0.10115462099558592</v>
      </c>
      <c r="AX103" s="5">
        <f>IF($E103&gt;=AX$2,VLOOKUP($E103-AX$2,'data input'!$D$3:$E$130,2,FALSE),0)</f>
        <v>0.11506967022170822</v>
      </c>
      <c r="AY103" s="5">
        <f>IF($E103&gt;=AY$2,VLOOKUP($E103-AY$2,'data input'!$D$3:$E$130,2,FALSE),0)</f>
        <v>0.13029451713680884</v>
      </c>
      <c r="AZ103" s="5">
        <f>IF($E103&gt;=AZ$2,VLOOKUP($E103-AZ$2,'data input'!$D$3:$E$130,2,FALSE),0)</f>
        <v>0.14685905637589591</v>
      </c>
      <c r="BA103" s="5">
        <f>IF($E103&gt;=BA$2,VLOOKUP($E103-BA$2,'data input'!$D$3:$E$130,2,FALSE),0)</f>
        <v>0.16478012998031033</v>
      </c>
      <c r="BB103" s="5">
        <f>IF($E103&gt;=BB$2,VLOOKUP($E103-BB$2,'data input'!$D$3:$E$130,2,FALSE),0)</f>
        <v>0.18406012534675953</v>
      </c>
      <c r="BC103" s="5">
        <f>IF($E103&gt;=BC$2,VLOOKUP($E103-BC$2,'data input'!$D$3:$E$130,2,FALSE),0)</f>
        <v>0.20468579534725262</v>
      </c>
      <c r="BD103" s="5">
        <f>IF($E103&gt;=BD$2,VLOOKUP($E103-BD$2,'data input'!$D$3:$E$130,2,FALSE),0)</f>
        <v>0.22662735237686826</v>
      </c>
      <c r="BE103" s="5">
        <f>IF($E103&gt;=BE$2,VLOOKUP($E103-BE$2,'data input'!$D$3:$E$130,2,FALSE),0)</f>
        <v>0.24983788247177696</v>
      </c>
      <c r="BF103" s="5">
        <f>IF($E103&gt;=BF$2,VLOOKUP($E103-BF$2,'data input'!$D$3:$E$130,2,FALSE),0)</f>
        <v>0.27425311775007355</v>
      </c>
      <c r="BG103" s="5">
        <f>IF($E103&gt;=BG$2,VLOOKUP($E103-BG$2,'data input'!$D$3:$E$130,2,FALSE),0)</f>
        <v>0.29979159546869583</v>
      </c>
      <c r="BH103" s="5">
        <f>IF($E103&gt;=BH$2,VLOOKUP($E103-BH$2,'data input'!$D$3:$E$130,2,FALSE),0)</f>
        <v>0.32635522028792008</v>
      </c>
      <c r="BI103" s="5">
        <f>IF($E103&gt;=BI$2,VLOOKUP($E103-BI$2,'data input'!$D$3:$E$130,2,FALSE),0)</f>
        <v>0.35383023332727614</v>
      </c>
      <c r="BJ103" s="5">
        <f>IF($E103&gt;=BJ$2,VLOOKUP($E103-BJ$2,'data input'!$D$3:$E$130,2,FALSE),0)</f>
        <v>0.38208857781104733</v>
      </c>
      <c r="BK103" s="5">
        <f>IF($E103&gt;=BK$2,VLOOKUP($E103-BK$2,'data input'!$D$3:$E$130,2,FALSE),0)</f>
        <v>0.41098963713127035</v>
      </c>
      <c r="BL103" s="5">
        <f>IF($E103&gt;=BL$2,VLOOKUP($E103-BL$2,'data input'!$D$3:$E$130,2,FALSE),0)</f>
        <v>0.4403823076297575</v>
      </c>
      <c r="BM103" s="5">
        <f>IF($E103&gt;=BM$2,VLOOKUP($E103-BM$2,'data input'!$D$3:$E$130,2,FALSE),0)</f>
        <v>0.47010735594710518</v>
      </c>
      <c r="BN103" s="5">
        <f>IF($E103&gt;=BN$2,VLOOKUP($E103-BN$2,'data input'!$D$3:$E$130,2,FALSE),0)</f>
        <v>0.5</v>
      </c>
      <c r="BO103" s="5">
        <f>IF($E103&gt;=BO$2,VLOOKUP($E103-BO$2,'data input'!$D$3:$E$130,2,FALSE),0)</f>
        <v>0.52989264405289482</v>
      </c>
      <c r="BP103" s="5">
        <f>IF($E103&gt;=BP$2,VLOOKUP($E103-BP$2,'data input'!$D$3:$E$130,2,FALSE),0)</f>
        <v>0.5596176923702425</v>
      </c>
      <c r="BQ103" s="5">
        <f>IF($E103&gt;=BQ$2,VLOOKUP($E103-BQ$2,'data input'!$D$3:$E$130,2,FALSE),0)</f>
        <v>0.58901036286872965</v>
      </c>
      <c r="BR103" s="5">
        <f>IF($E103&gt;=BR$2,VLOOKUP($E103-BR$2,'data input'!$D$3:$E$130,2,FALSE),0)</f>
        <v>0.61791142218895267</v>
      </c>
      <c r="BS103" s="5">
        <f>IF($E103&gt;=BS$2,VLOOKUP($E103-BS$2,'data input'!$D$3:$E$130,2,FALSE),0)</f>
        <v>0.64616976667272386</v>
      </c>
      <c r="BT103" s="5">
        <f>IF($E103&gt;=BT$2,VLOOKUP($E103-BT$2,'data input'!$D$3:$E$130,2,FALSE),0)</f>
        <v>0.67364477971207992</v>
      </c>
      <c r="BU103" s="5">
        <f>IF($E103&gt;=BU$2,VLOOKUP($E103-BU$2,'data input'!$D$3:$E$130,2,FALSE),0)</f>
        <v>0.70020840453130417</v>
      </c>
      <c r="BV103" s="5">
        <f>IF($E103&gt;=BV$2,VLOOKUP($E103-BV$2,'data input'!$D$3:$E$130,2,FALSE),0)</f>
        <v>0.72574688224992645</v>
      </c>
      <c r="BW103" s="5">
        <f>IF($E103&gt;=BW$2,VLOOKUP($E103-BW$2,'data input'!$D$3:$E$130,2,FALSE),0)</f>
        <v>0.75016211752822304</v>
      </c>
      <c r="BX103" s="5">
        <f>IF($E103&gt;=BX$2,VLOOKUP($E103-BX$2,'data input'!$D$3:$E$130,2,FALSE),0)</f>
        <v>0.77337264762313174</v>
      </c>
      <c r="BY103" s="5">
        <f>IF($E103&gt;=BY$2,VLOOKUP($E103-BY$2,'data input'!$D$3:$E$130,2,FALSE),0)</f>
        <v>0.79531420465274738</v>
      </c>
      <c r="BZ103" s="5">
        <f>IF($E103&gt;=BZ$2,VLOOKUP($E103-BZ$2,'data input'!$D$3:$E$130,2,FALSE),0)</f>
        <v>0.81593987465324047</v>
      </c>
      <c r="CA103" s="5">
        <f>IF($E103&gt;=CA$2,VLOOKUP($E103-CA$2,'data input'!$D$3:$E$130,2,FALSE),0)</f>
        <v>0.83521987001968967</v>
      </c>
      <c r="CB103" s="5">
        <f>IF($E103&gt;=CB$2,VLOOKUP($E103-CB$2,'data input'!$D$3:$E$130,2,FALSE),0)</f>
        <v>0.85314094362410409</v>
      </c>
      <c r="CC103" s="5">
        <f>IF($E103&gt;=CC$2,VLOOKUP($E103-CC$2,'data input'!$D$3:$E$130,2,FALSE),0)</f>
        <v>0.86970548286319116</v>
      </c>
      <c r="CD103" s="5">
        <f>IF($E103&gt;=CD$2,VLOOKUP($E103-CD$2,'data input'!$D$3:$E$130,2,FALSE),0)</f>
        <v>0.88493032977829178</v>
      </c>
      <c r="CE103" s="5">
        <f>IF($E103&gt;=CE$2,VLOOKUP($E103-CE$2,'data input'!$D$3:$E$130,2,FALSE),0)</f>
        <v>0.89884537900441408</v>
      </c>
      <c r="CF103" s="5">
        <f>IF($E103&gt;=CF$2,VLOOKUP($E103-CF$2,'data input'!$D$3:$E$130,2,FALSE),0)</f>
        <v>0.91149200856259793</v>
      </c>
      <c r="CG103" s="5">
        <f>IF($E103&gt;=CG$2,VLOOKUP($E103-CG$2,'data input'!$D$3:$E$130,2,FALSE),0)</f>
        <v>0.92292139944792817</v>
      </c>
      <c r="CH103" s="5">
        <f>IF($E103&gt;=CH$2,VLOOKUP($E103-CH$2,'data input'!$D$3:$E$130,2,FALSE),0)</f>
        <v>0.93319279873114191</v>
      </c>
      <c r="CI103" s="5">
        <f>IF($E103&gt;=CI$2,VLOOKUP($E103-CI$2,'data input'!$D$3:$E$130,2,FALSE),0)</f>
        <v>0.94237177772384684</v>
      </c>
      <c r="CJ103" s="5">
        <f>IF($E103&gt;=CJ$2,VLOOKUP($E103-CJ$2,'data input'!$D$3:$E$130,2,FALSE),0)</f>
        <v>0.9505285319663519</v>
      </c>
      <c r="CK103" s="5">
        <f>IF($E103&gt;=CK$2,VLOOKUP($E103-CK$2,'data input'!$D$3:$E$130,2,FALSE),0)</f>
        <v>0.95773626374204757</v>
      </c>
      <c r="CL103" s="5">
        <f>IF($E103&gt;=CL$2,VLOOKUP($E103-CL$2,'data input'!$D$3:$E$130,2,FALSE),0)</f>
        <v>0.96406968088707423</v>
      </c>
      <c r="CM103" s="5">
        <f>IF($E103&gt;=CM$2,VLOOKUP($E103-CM$2,'data input'!$D$3:$E$130,2,FALSE),0)</f>
        <v>0.96960363823473861</v>
      </c>
      <c r="CN103" s="5">
        <f>IF($E103&gt;=CN$2,VLOOKUP($E103-CN$2,'data input'!$D$3:$E$130,2,FALSE),0)</f>
        <v>0.97441194047836144</v>
      </c>
      <c r="CO103" s="5">
        <f>IF($E103&gt;=CO$2,VLOOKUP($E103-CO$2,'data input'!$D$3:$E$130,2,FALSE),0)</f>
        <v>0.97856631788584703</v>
      </c>
      <c r="CP103" s="5">
        <f>IF($E103&gt;=CP$2,VLOOKUP($E103-CP$2,'data input'!$D$3:$E$130,2,FALSE),0)</f>
        <v>0.98213557943718344</v>
      </c>
      <c r="CQ103" s="5">
        <f>IF($E103&gt;=CQ$2,VLOOKUP($E103-CQ$2,'data input'!$D$3:$E$130,2,FALSE),0)</f>
        <v>0.98518494180739014</v>
      </c>
      <c r="CR103" s="5">
        <f>IF($E103&gt;=CR$2,VLOOKUP($E103-CR$2,'data input'!$D$3:$E$130,2,FALSE),0)</f>
        <v>0.98777552734495533</v>
      </c>
      <c r="CS103" s="5">
        <f>IF($E103&gt;=CS$2,VLOOKUP($E103-CS$2,'data input'!$D$3:$E$130,2,FALSE),0)</f>
        <v>0.98996401989972593</v>
      </c>
      <c r="CT103" s="5">
        <f>IF($E103&gt;=CT$2,VLOOKUP($E103-CT$2,'data input'!$D$3:$E$130,2,FALSE),0)</f>
        <v>0.99180246407540384</v>
      </c>
      <c r="CU103" s="5">
        <f>IF($E103&gt;=CU$2,VLOOKUP($E103-CU$2,'data input'!$D$3:$E$130,2,FALSE),0)</f>
        <v>0.99333819120801725</v>
      </c>
      <c r="CV103" s="5">
        <f>IF($E103&gt;=CV$2,VLOOKUP($E103-CV$2,'data input'!$D$3:$E$130,2,FALSE),0)</f>
        <v>0.99461385404593328</v>
      </c>
      <c r="CW103" s="5">
        <f>IF($E103&gt;=CW$2,VLOOKUP($E103-CW$2,'data input'!$D$3:$E$130,2,FALSE),0)</f>
        <v>0.99566755163698739</v>
      </c>
      <c r="CX103" s="5">
        <f>IF($E103&gt;=CX$2,VLOOKUP($E103-CX$2,'data input'!$D$3:$E$130,2,FALSE),0)</f>
        <v>0.99653302619695938</v>
      </c>
      <c r="CY103" s="5">
        <f>IF($E103&gt;=CY$2,VLOOKUP($E103-CY$2,'data input'!$D$3:$E$130,2,FALSE),0)</f>
        <v>0.99723991460873751</v>
      </c>
      <c r="CZ103" s="5">
        <f>IF($E103&gt;=CZ$2,VLOOKUP($E103-CZ$2,'data input'!$D$3:$E$130,2,FALSE),0)</f>
        <v>0.99781403854508677</v>
      </c>
      <c r="DA103" s="5">
        <f>IF($E103&gt;=DA$2,VLOOKUP($E103-DA$2,'data input'!$D$3:$E$130,2,FALSE),0)</f>
        <v>0.99827771888413241</v>
      </c>
      <c r="DB103" s="5">
        <f>IF($E103&gt;=DB$2,VLOOKUP($E103-DB$2,'data input'!$D$3:$E$130,2,FALSE),0)</f>
        <v>0.9986501019683699</v>
      </c>
      <c r="DC103" s="5">
        <f>IF($E103&gt;=DC$2,VLOOKUP($E103-DC$2,'data input'!$D$3:$E$130,2,FALSE),0)</f>
        <v>0</v>
      </c>
      <c r="DD103" s="5">
        <f>IF($E103&gt;=DD$2,VLOOKUP($E103-DD$2,'data input'!$D$3:$E$130,2,FALSE),0)</f>
        <v>0</v>
      </c>
      <c r="DE103" s="5">
        <f>IF($E103&gt;=DE$2,VLOOKUP($E103-DE$2,'data input'!$D$3:$E$130,2,FALSE),0)</f>
        <v>0</v>
      </c>
      <c r="DF103" s="5">
        <f>IF($E103&gt;=DF$2,VLOOKUP($E103-DF$2,'data input'!$D$3:$E$130,2,FALSE),0)</f>
        <v>0</v>
      </c>
      <c r="DG103" s="5">
        <f>IF($E103&gt;=DG$2,VLOOKUP($E103-DG$2,'data input'!$D$3:$E$130,2,FALSE),0)</f>
        <v>0</v>
      </c>
      <c r="DH103" s="5">
        <f>IF($E103&gt;=DH$2,VLOOKUP($E103-DH$2,'data input'!$D$3:$E$130,2,FALSE),0)</f>
        <v>0</v>
      </c>
      <c r="DI103" s="5">
        <f>IF($E103&gt;=DI$2,VLOOKUP($E103-DI$2,'data input'!$D$3:$E$130,2,FALSE),0)</f>
        <v>0</v>
      </c>
      <c r="DJ103" s="5">
        <f>IF($E103&gt;=DJ$2,VLOOKUP($E103-DJ$2,'data input'!$D$3:$E$130,2,FALSE),0)</f>
        <v>0</v>
      </c>
      <c r="DK103" s="5">
        <f>IF($E103&gt;=DK$2,VLOOKUP($E103-DK$2,'data input'!$D$3:$E$130,2,FALSE),0)</f>
        <v>0</v>
      </c>
      <c r="DL103" s="5">
        <f>IF($E103&gt;=DL$2,VLOOKUP($E103-DL$2,'data input'!$D$3:$E$130,2,FALSE),0)</f>
        <v>0</v>
      </c>
      <c r="DM103" s="5">
        <f>IF($E103&gt;=DM$2,VLOOKUP($E103-DM$2,'data input'!$D$3:$E$130,2,FALSE),0)</f>
        <v>0</v>
      </c>
      <c r="DN103" s="5">
        <f>IF($E103&gt;=DN$2,VLOOKUP($E103-DN$2,'data input'!$D$3:$E$130,2,FALSE),0)</f>
        <v>0</v>
      </c>
      <c r="DO103" s="5">
        <f>IF($E103&gt;=DO$2,VLOOKUP($E103-DO$2,'data input'!$D$3:$E$130,2,FALSE),0)</f>
        <v>0</v>
      </c>
      <c r="DP103" s="5">
        <f>IF($E103&gt;=DP$2,VLOOKUP($E103-DP$2,'data input'!$D$3:$E$130,2,FALSE),0)</f>
        <v>0</v>
      </c>
      <c r="DQ103" s="5">
        <f>IF($E103&gt;=DQ$2,VLOOKUP($E103-DQ$2,'data input'!$D$3:$E$130,2,FALSE),0)</f>
        <v>0</v>
      </c>
      <c r="DR103" s="5">
        <f>IF($E103&gt;=DR$2,VLOOKUP($E103-DR$2,'data input'!$D$3:$E$130,2,FALSE),0)</f>
        <v>0</v>
      </c>
      <c r="DS103" s="5">
        <f>IF($E103&gt;=DS$2,VLOOKUP($E103-DS$2,'data input'!$D$3:$E$130,2,FALSE),0)</f>
        <v>0</v>
      </c>
      <c r="DT103" s="5">
        <f>IF($E103&gt;=DT$2,VLOOKUP($E103-DT$2,'data input'!$D$3:$E$130,2,FALSE),0)</f>
        <v>0</v>
      </c>
      <c r="DU103" s="5">
        <f>IF($E103&gt;=DU$2,VLOOKUP($E103-DU$2,'data input'!$D$3:$E$130,2,FALSE),0)</f>
        <v>0</v>
      </c>
      <c r="DV103" s="5">
        <f>IF($E103&gt;=DV$2,VLOOKUP($E103-DV$2,'data input'!$D$3:$E$130,2,FALSE),0)</f>
        <v>0</v>
      </c>
      <c r="DW103" s="5">
        <f>IF($E103&gt;=DW$2,VLOOKUP($E103-DW$2,'data input'!$D$3:$E$130,2,FALSE),0)</f>
        <v>0</v>
      </c>
      <c r="DX103" s="5">
        <f>IF($E103&gt;=DX$2,VLOOKUP($E103-DX$2,'data input'!$D$3:$E$130,2,FALSE),0)</f>
        <v>0</v>
      </c>
      <c r="DY103" s="5">
        <f>IF($E103&gt;=DY$2,VLOOKUP($E103-DY$2,'data input'!$D$3:$E$130,2,FALSE),0)</f>
        <v>0</v>
      </c>
      <c r="DZ103" s="5">
        <f>IF($E103&gt;=DZ$2,VLOOKUP($E103-DZ$2,'data input'!$D$3:$E$130,2,FALSE),0)</f>
        <v>0</v>
      </c>
      <c r="EA103" s="5">
        <f>IF($E103&gt;=EA$2,VLOOKUP($E103-EA$2,'data input'!$D$3:$E$130,2,FALSE),0)</f>
        <v>0</v>
      </c>
      <c r="EB103" s="5">
        <f>IF($E103&gt;=EB$2,VLOOKUP($E103-EB$2,'data input'!$D$3:$E$130,2,FALSE),0)</f>
        <v>0</v>
      </c>
      <c r="EC103" s="5">
        <f>IF($E103&gt;=EC$2,VLOOKUP($E103-EC$2,'data input'!$D$3:$E$130,2,FALSE),0)</f>
        <v>0</v>
      </c>
    </row>
    <row r="104" spans="5:133">
      <c r="E104" s="7">
        <f>'data input'!B104</f>
        <v>1979</v>
      </c>
      <c r="F104" s="5">
        <f>IF($E104&gt;=F$2,VLOOKUP($E104-F$2,'data input'!$D$3:$E$130,2,FALSE),0)</f>
        <v>2.3810999327800175E-6</v>
      </c>
      <c r="G104" s="5">
        <f>IF($E104&gt;=G$2,VLOOKUP($E104-G$2,'data input'!$D$3:$E$130,2,FALSE),0)</f>
        <v>3.3976731247387093E-6</v>
      </c>
      <c r="H104" s="5">
        <f>IF($E104&gt;=H$2,VLOOKUP($E104-H$2,'data input'!$D$3:$E$130,2,FALSE),0)</f>
        <v>4.8221141606408224E-6</v>
      </c>
      <c r="I104" s="5">
        <f>IF($E104&gt;=I$2,VLOOKUP($E104-I$2,'data input'!$D$3:$E$130,2,FALSE),0)</f>
        <v>6.8068765993745117E-6</v>
      </c>
      <c r="J104" s="5">
        <f>IF($E104&gt;=J$2,VLOOKUP($E104-J$2,'data input'!$D$3:$E$130,2,FALSE),0)</f>
        <v>9.5568647372479276E-6</v>
      </c>
      <c r="K104" s="5">
        <f>IF($E104&gt;=K$2,VLOOKUP($E104-K$2,'data input'!$D$3:$E$130,2,FALSE),0)</f>
        <v>1.3345749015902797E-5</v>
      </c>
      <c r="L104" s="5">
        <f>IF($E104&gt;=L$2,VLOOKUP($E104-L$2,'data input'!$D$3:$E$130,2,FALSE),0)</f>
        <v>1.8536737846241991E-5</v>
      </c>
      <c r="M104" s="5">
        <f>IF($E104&gt;=M$2,VLOOKUP($E104-M$2,'data input'!$D$3:$E$130,2,FALSE),0)</f>
        <v>2.5608816474065321E-5</v>
      </c>
      <c r="N104" s="5">
        <f>IF($E104&gt;=N$2,VLOOKUP($E104-N$2,'data input'!$D$3:$E$130,2,FALSE),0)</f>
        <v>3.5189628065923628E-5</v>
      </c>
      <c r="O104" s="5">
        <f>IF($E104&gt;=O$2,VLOOKUP($E104-O$2,'data input'!$D$3:$E$130,2,FALSE),0)</f>
        <v>4.8096344017589665E-5</v>
      </c>
      <c r="P104" s="5">
        <f>IF($E104&gt;=P$2,VLOOKUP($E104-P$2,'data input'!$D$3:$E$130,2,FALSE),0)</f>
        <v>6.5386043242687819E-5</v>
      </c>
      <c r="Q104" s="5">
        <f>IF($E104&gt;=Q$2,VLOOKUP($E104-Q$2,'data input'!$D$3:$E$130,2,FALSE),0)</f>
        <v>8.841728520081471E-5</v>
      </c>
      <c r="R104" s="5">
        <f>IF($E104&gt;=R$2,VLOOKUP($E104-R$2,'data input'!$D$3:$E$130,2,FALSE),0)</f>
        <v>1.1892470732677296E-4</v>
      </c>
      <c r="S104" s="5">
        <f>IF($E104&gt;=S$2,VLOOKUP($E104-S$2,'data input'!$D$3:$E$130,2,FALSE),0)</f>
        <v>1.5910859015755285E-4</v>
      </c>
      <c r="T104" s="5">
        <f>IF($E104&gt;=T$2,VLOOKUP($E104-T$2,'data input'!$D$3:$E$130,2,FALSE),0)</f>
        <v>2.1174139572344153E-4</v>
      </c>
      <c r="U104" s="5">
        <f>IF($E104&gt;=U$2,VLOOKUP($E104-U$2,'data input'!$D$3:$E$130,2,FALSE),0)</f>
        <v>2.8029327681622362E-4</v>
      </c>
      <c r="V104" s="5">
        <f>IF($E104&gt;=V$2,VLOOKUP($E104-V$2,'data input'!$D$3:$E$130,2,FALSE),0)</f>
        <v>3.6907845427502917E-4</v>
      </c>
      <c r="W104" s="5">
        <f>IF($E104&gt;=W$2,VLOOKUP($E104-W$2,'data input'!$D$3:$E$130,2,FALSE),0)</f>
        <v>4.8342414238378151E-4</v>
      </c>
      <c r="X104" s="5">
        <f>IF($E104&gt;=X$2,VLOOKUP($E104-X$2,'data input'!$D$3:$E$130,2,FALSE),0)</f>
        <v>6.2986334399772748E-4</v>
      </c>
      <c r="Y104" s="5">
        <f>IF($E104&gt;=Y$2,VLOOKUP($E104-Y$2,'data input'!$D$3:$E$130,2,FALSE),0)</f>
        <v>8.1635231282861653E-4</v>
      </c>
      <c r="Z104" s="5">
        <f>IF($E104&gt;=Z$2,VLOOKUP($E104-Z$2,'data input'!$D$3:$E$130,2,FALSE),0)</f>
        <v>1.0525127683760349E-3</v>
      </c>
      <c r="AA104" s="5">
        <f>IF($E104&gt;=AA$2,VLOOKUP($E104-AA$2,'data input'!$D$3:$E$130,2,FALSE),0)</f>
        <v>1.3498980316301035E-3</v>
      </c>
      <c r="AB104" s="5">
        <f>IF($E104&gt;=AB$2,VLOOKUP($E104-AB$2,'data input'!$D$3:$E$130,2,FALSE),0)</f>
        <v>1.7222811158675855E-3</v>
      </c>
      <c r="AC104" s="5">
        <f>IF($E104&gt;=AC$2,VLOOKUP($E104-AC$2,'data input'!$D$3:$E$130,2,FALSE),0)</f>
        <v>2.1859614549132322E-3</v>
      </c>
      <c r="AD104" s="5">
        <f>IF($E104&gt;=AD$2,VLOOKUP($E104-AD$2,'data input'!$D$3:$E$130,2,FALSE),0)</f>
        <v>2.7600853912624901E-3</v>
      </c>
      <c r="AE104" s="5">
        <f>IF($E104&gt;=AE$2,VLOOKUP($E104-AE$2,'data input'!$D$3:$E$130,2,FALSE),0)</f>
        <v>3.4669738030406183E-3</v>
      </c>
      <c r="AF104" s="5">
        <f>IF($E104&gt;=AF$2,VLOOKUP($E104-AF$2,'data input'!$D$3:$E$130,2,FALSE),0)</f>
        <v>4.3324483630126087E-3</v>
      </c>
      <c r="AG104" s="5">
        <f>IF($E104&gt;=AG$2,VLOOKUP($E104-AG$2,'data input'!$D$3:$E$130,2,FALSE),0)</f>
        <v>5.3861459540667234E-3</v>
      </c>
      <c r="AH104" s="5">
        <f>IF($E104&gt;=AH$2,VLOOKUP($E104-AH$2,'data input'!$D$3:$E$130,2,FALSE),0)</f>
        <v>6.6618087919827484E-3</v>
      </c>
      <c r="AI104" s="5">
        <f>IF($E104&gt;=AI$2,VLOOKUP($E104-AI$2,'data input'!$D$3:$E$130,2,FALSE),0)</f>
        <v>8.1975359245961554E-3</v>
      </c>
      <c r="AJ104" s="5">
        <f>IF($E104&gt;=AJ$2,VLOOKUP($E104-AJ$2,'data input'!$D$3:$E$130,2,FALSE),0)</f>
        <v>1.0035980100274067E-2</v>
      </c>
      <c r="AK104" s="5">
        <f>IF($E104&gt;=AK$2,VLOOKUP($E104-AK$2,'data input'!$D$3:$E$130,2,FALSE),0)</f>
        <v>1.2224472655044671E-2</v>
      </c>
      <c r="AL104" s="5">
        <f>IF($E104&gt;=AL$2,VLOOKUP($E104-AL$2,'data input'!$D$3:$E$130,2,FALSE),0)</f>
        <v>1.4815058192609865E-2</v>
      </c>
      <c r="AM104" s="5">
        <f>IF($E104&gt;=AM$2,VLOOKUP($E104-AM$2,'data input'!$D$3:$E$130,2,FALSE),0)</f>
        <v>1.7864420562816563E-2</v>
      </c>
      <c r="AN104" s="5">
        <f>IF($E104&gt;=AN$2,VLOOKUP($E104-AN$2,'data input'!$D$3:$E$130,2,FALSE),0)</f>
        <v>2.1433682114152974E-2</v>
      </c>
      <c r="AO104" s="5">
        <f>IF($E104&gt;=AO$2,VLOOKUP($E104-AO$2,'data input'!$D$3:$E$130,2,FALSE),0)</f>
        <v>2.5588059521638562E-2</v>
      </c>
      <c r="AP104" s="5">
        <f>IF($E104&gt;=AP$2,VLOOKUP($E104-AP$2,'data input'!$D$3:$E$130,2,FALSE),0)</f>
        <v>3.0396361765261393E-2</v>
      </c>
      <c r="AQ104" s="5">
        <f>IF($E104&gt;=AQ$2,VLOOKUP($E104-AQ$2,'data input'!$D$3:$E$130,2,FALSE),0)</f>
        <v>3.5930319112925768E-2</v>
      </c>
      <c r="AR104" s="5">
        <f>IF($E104&gt;=AR$2,VLOOKUP($E104-AR$2,'data input'!$D$3:$E$130,2,FALSE),0)</f>
        <v>4.2263736257952433E-2</v>
      </c>
      <c r="AS104" s="5">
        <f>IF($E104&gt;=AS$2,VLOOKUP($E104-AS$2,'data input'!$D$3:$E$130,2,FALSE),0)</f>
        <v>4.9471468033648103E-2</v>
      </c>
      <c r="AT104" s="5">
        <f>IF($E104&gt;=AT$2,VLOOKUP($E104-AT$2,'data input'!$D$3:$E$130,2,FALSE),0)</f>
        <v>5.7628222276153163E-2</v>
      </c>
      <c r="AU104" s="5">
        <f>IF($E104&gt;=AU$2,VLOOKUP($E104-AU$2,'data input'!$D$3:$E$130,2,FALSE),0)</f>
        <v>6.6807201268858085E-2</v>
      </c>
      <c r="AV104" s="5">
        <f>IF($E104&gt;=AV$2,VLOOKUP($E104-AV$2,'data input'!$D$3:$E$130,2,FALSE),0)</f>
        <v>7.707860055207183E-2</v>
      </c>
      <c r="AW104" s="5">
        <f>IF($E104&gt;=AW$2,VLOOKUP($E104-AW$2,'data input'!$D$3:$E$130,2,FALSE),0)</f>
        <v>8.8507991437402067E-2</v>
      </c>
      <c r="AX104" s="5">
        <f>IF($E104&gt;=AX$2,VLOOKUP($E104-AX$2,'data input'!$D$3:$E$130,2,FALSE),0)</f>
        <v>0.10115462099558592</v>
      </c>
      <c r="AY104" s="5">
        <f>IF($E104&gt;=AY$2,VLOOKUP($E104-AY$2,'data input'!$D$3:$E$130,2,FALSE),0)</f>
        <v>0.11506967022170822</v>
      </c>
      <c r="AZ104" s="5">
        <f>IF($E104&gt;=AZ$2,VLOOKUP($E104-AZ$2,'data input'!$D$3:$E$130,2,FALSE),0)</f>
        <v>0.13029451713680884</v>
      </c>
      <c r="BA104" s="5">
        <f>IF($E104&gt;=BA$2,VLOOKUP($E104-BA$2,'data input'!$D$3:$E$130,2,FALSE),0)</f>
        <v>0.14685905637589591</v>
      </c>
      <c r="BB104" s="5">
        <f>IF($E104&gt;=BB$2,VLOOKUP($E104-BB$2,'data input'!$D$3:$E$130,2,FALSE),0)</f>
        <v>0.16478012998031033</v>
      </c>
      <c r="BC104" s="5">
        <f>IF($E104&gt;=BC$2,VLOOKUP($E104-BC$2,'data input'!$D$3:$E$130,2,FALSE),0)</f>
        <v>0.18406012534675953</v>
      </c>
      <c r="BD104" s="5">
        <f>IF($E104&gt;=BD$2,VLOOKUP($E104-BD$2,'data input'!$D$3:$E$130,2,FALSE),0)</f>
        <v>0.20468579534725262</v>
      </c>
      <c r="BE104" s="5">
        <f>IF($E104&gt;=BE$2,VLOOKUP($E104-BE$2,'data input'!$D$3:$E$130,2,FALSE),0)</f>
        <v>0.22662735237686826</v>
      </c>
      <c r="BF104" s="5">
        <f>IF($E104&gt;=BF$2,VLOOKUP($E104-BF$2,'data input'!$D$3:$E$130,2,FALSE),0)</f>
        <v>0.24983788247177696</v>
      </c>
      <c r="BG104" s="5">
        <f>IF($E104&gt;=BG$2,VLOOKUP($E104-BG$2,'data input'!$D$3:$E$130,2,FALSE),0)</f>
        <v>0.27425311775007355</v>
      </c>
      <c r="BH104" s="5">
        <f>IF($E104&gt;=BH$2,VLOOKUP($E104-BH$2,'data input'!$D$3:$E$130,2,FALSE),0)</f>
        <v>0.29979159546869583</v>
      </c>
      <c r="BI104" s="5">
        <f>IF($E104&gt;=BI$2,VLOOKUP($E104-BI$2,'data input'!$D$3:$E$130,2,FALSE),0)</f>
        <v>0.32635522028792008</v>
      </c>
      <c r="BJ104" s="5">
        <f>IF($E104&gt;=BJ$2,VLOOKUP($E104-BJ$2,'data input'!$D$3:$E$130,2,FALSE),0)</f>
        <v>0.35383023332727614</v>
      </c>
      <c r="BK104" s="5">
        <f>IF($E104&gt;=BK$2,VLOOKUP($E104-BK$2,'data input'!$D$3:$E$130,2,FALSE),0)</f>
        <v>0.38208857781104733</v>
      </c>
      <c r="BL104" s="5">
        <f>IF($E104&gt;=BL$2,VLOOKUP($E104-BL$2,'data input'!$D$3:$E$130,2,FALSE),0)</f>
        <v>0.41098963713127035</v>
      </c>
      <c r="BM104" s="5">
        <f>IF($E104&gt;=BM$2,VLOOKUP($E104-BM$2,'data input'!$D$3:$E$130,2,FALSE),0)</f>
        <v>0.4403823076297575</v>
      </c>
      <c r="BN104" s="5">
        <f>IF($E104&gt;=BN$2,VLOOKUP($E104-BN$2,'data input'!$D$3:$E$130,2,FALSE),0)</f>
        <v>0.47010735594710518</v>
      </c>
      <c r="BO104" s="5">
        <f>IF($E104&gt;=BO$2,VLOOKUP($E104-BO$2,'data input'!$D$3:$E$130,2,FALSE),0)</f>
        <v>0.5</v>
      </c>
      <c r="BP104" s="5">
        <f>IF($E104&gt;=BP$2,VLOOKUP($E104-BP$2,'data input'!$D$3:$E$130,2,FALSE),0)</f>
        <v>0.52989264405289482</v>
      </c>
      <c r="BQ104" s="5">
        <f>IF($E104&gt;=BQ$2,VLOOKUP($E104-BQ$2,'data input'!$D$3:$E$130,2,FALSE),0)</f>
        <v>0.5596176923702425</v>
      </c>
      <c r="BR104" s="5">
        <f>IF($E104&gt;=BR$2,VLOOKUP($E104-BR$2,'data input'!$D$3:$E$130,2,FALSE),0)</f>
        <v>0.58901036286872965</v>
      </c>
      <c r="BS104" s="5">
        <f>IF($E104&gt;=BS$2,VLOOKUP($E104-BS$2,'data input'!$D$3:$E$130,2,FALSE),0)</f>
        <v>0.61791142218895267</v>
      </c>
      <c r="BT104" s="5">
        <f>IF($E104&gt;=BT$2,VLOOKUP($E104-BT$2,'data input'!$D$3:$E$130,2,FALSE),0)</f>
        <v>0.64616976667272386</v>
      </c>
      <c r="BU104" s="5">
        <f>IF($E104&gt;=BU$2,VLOOKUP($E104-BU$2,'data input'!$D$3:$E$130,2,FALSE),0)</f>
        <v>0.67364477971207992</v>
      </c>
      <c r="BV104" s="5">
        <f>IF($E104&gt;=BV$2,VLOOKUP($E104-BV$2,'data input'!$D$3:$E$130,2,FALSE),0)</f>
        <v>0.70020840453130417</v>
      </c>
      <c r="BW104" s="5">
        <f>IF($E104&gt;=BW$2,VLOOKUP($E104-BW$2,'data input'!$D$3:$E$130,2,FALSE),0)</f>
        <v>0.72574688224992645</v>
      </c>
      <c r="BX104" s="5">
        <f>IF($E104&gt;=BX$2,VLOOKUP($E104-BX$2,'data input'!$D$3:$E$130,2,FALSE),0)</f>
        <v>0.75016211752822304</v>
      </c>
      <c r="BY104" s="5">
        <f>IF($E104&gt;=BY$2,VLOOKUP($E104-BY$2,'data input'!$D$3:$E$130,2,FALSE),0)</f>
        <v>0.77337264762313174</v>
      </c>
      <c r="BZ104" s="5">
        <f>IF($E104&gt;=BZ$2,VLOOKUP($E104-BZ$2,'data input'!$D$3:$E$130,2,FALSE),0)</f>
        <v>0.79531420465274738</v>
      </c>
      <c r="CA104" s="5">
        <f>IF($E104&gt;=CA$2,VLOOKUP($E104-CA$2,'data input'!$D$3:$E$130,2,FALSE),0)</f>
        <v>0.81593987465324047</v>
      </c>
      <c r="CB104" s="5">
        <f>IF($E104&gt;=CB$2,VLOOKUP($E104-CB$2,'data input'!$D$3:$E$130,2,FALSE),0)</f>
        <v>0.83521987001968967</v>
      </c>
      <c r="CC104" s="5">
        <f>IF($E104&gt;=CC$2,VLOOKUP($E104-CC$2,'data input'!$D$3:$E$130,2,FALSE),0)</f>
        <v>0.85314094362410409</v>
      </c>
      <c r="CD104" s="5">
        <f>IF($E104&gt;=CD$2,VLOOKUP($E104-CD$2,'data input'!$D$3:$E$130,2,FALSE),0)</f>
        <v>0.86970548286319116</v>
      </c>
      <c r="CE104" s="5">
        <f>IF($E104&gt;=CE$2,VLOOKUP($E104-CE$2,'data input'!$D$3:$E$130,2,FALSE),0)</f>
        <v>0.88493032977829178</v>
      </c>
      <c r="CF104" s="5">
        <f>IF($E104&gt;=CF$2,VLOOKUP($E104-CF$2,'data input'!$D$3:$E$130,2,FALSE),0)</f>
        <v>0.89884537900441408</v>
      </c>
      <c r="CG104" s="5">
        <f>IF($E104&gt;=CG$2,VLOOKUP($E104-CG$2,'data input'!$D$3:$E$130,2,FALSE),0)</f>
        <v>0.91149200856259793</v>
      </c>
      <c r="CH104" s="5">
        <f>IF($E104&gt;=CH$2,VLOOKUP($E104-CH$2,'data input'!$D$3:$E$130,2,FALSE),0)</f>
        <v>0.92292139944792817</v>
      </c>
      <c r="CI104" s="5">
        <f>IF($E104&gt;=CI$2,VLOOKUP($E104-CI$2,'data input'!$D$3:$E$130,2,FALSE),0)</f>
        <v>0.93319279873114191</v>
      </c>
      <c r="CJ104" s="5">
        <f>IF($E104&gt;=CJ$2,VLOOKUP($E104-CJ$2,'data input'!$D$3:$E$130,2,FALSE),0)</f>
        <v>0.94237177772384684</v>
      </c>
      <c r="CK104" s="5">
        <f>IF($E104&gt;=CK$2,VLOOKUP($E104-CK$2,'data input'!$D$3:$E$130,2,FALSE),0)</f>
        <v>0.9505285319663519</v>
      </c>
      <c r="CL104" s="5">
        <f>IF($E104&gt;=CL$2,VLOOKUP($E104-CL$2,'data input'!$D$3:$E$130,2,FALSE),0)</f>
        <v>0.95773626374204757</v>
      </c>
      <c r="CM104" s="5">
        <f>IF($E104&gt;=CM$2,VLOOKUP($E104-CM$2,'data input'!$D$3:$E$130,2,FALSE),0)</f>
        <v>0.96406968088707423</v>
      </c>
      <c r="CN104" s="5">
        <f>IF($E104&gt;=CN$2,VLOOKUP($E104-CN$2,'data input'!$D$3:$E$130,2,FALSE),0)</f>
        <v>0.96960363823473861</v>
      </c>
      <c r="CO104" s="5">
        <f>IF($E104&gt;=CO$2,VLOOKUP($E104-CO$2,'data input'!$D$3:$E$130,2,FALSE),0)</f>
        <v>0.97441194047836144</v>
      </c>
      <c r="CP104" s="5">
        <f>IF($E104&gt;=CP$2,VLOOKUP($E104-CP$2,'data input'!$D$3:$E$130,2,FALSE),0)</f>
        <v>0.97856631788584703</v>
      </c>
      <c r="CQ104" s="5">
        <f>IF($E104&gt;=CQ$2,VLOOKUP($E104-CQ$2,'data input'!$D$3:$E$130,2,FALSE),0)</f>
        <v>0.98213557943718344</v>
      </c>
      <c r="CR104" s="5">
        <f>IF($E104&gt;=CR$2,VLOOKUP($E104-CR$2,'data input'!$D$3:$E$130,2,FALSE),0)</f>
        <v>0.98518494180739014</v>
      </c>
      <c r="CS104" s="5">
        <f>IF($E104&gt;=CS$2,VLOOKUP($E104-CS$2,'data input'!$D$3:$E$130,2,FALSE),0)</f>
        <v>0.98777552734495533</v>
      </c>
      <c r="CT104" s="5">
        <f>IF($E104&gt;=CT$2,VLOOKUP($E104-CT$2,'data input'!$D$3:$E$130,2,FALSE),0)</f>
        <v>0.98996401989972593</v>
      </c>
      <c r="CU104" s="5">
        <f>IF($E104&gt;=CU$2,VLOOKUP($E104-CU$2,'data input'!$D$3:$E$130,2,FALSE),0)</f>
        <v>0.99180246407540384</v>
      </c>
      <c r="CV104" s="5">
        <f>IF($E104&gt;=CV$2,VLOOKUP($E104-CV$2,'data input'!$D$3:$E$130,2,FALSE),0)</f>
        <v>0.99333819120801725</v>
      </c>
      <c r="CW104" s="5">
        <f>IF($E104&gt;=CW$2,VLOOKUP($E104-CW$2,'data input'!$D$3:$E$130,2,FALSE),0)</f>
        <v>0.99461385404593328</v>
      </c>
      <c r="CX104" s="5">
        <f>IF($E104&gt;=CX$2,VLOOKUP($E104-CX$2,'data input'!$D$3:$E$130,2,FALSE),0)</f>
        <v>0.99566755163698739</v>
      </c>
      <c r="CY104" s="5">
        <f>IF($E104&gt;=CY$2,VLOOKUP($E104-CY$2,'data input'!$D$3:$E$130,2,FALSE),0)</f>
        <v>0.99653302619695938</v>
      </c>
      <c r="CZ104" s="5">
        <f>IF($E104&gt;=CZ$2,VLOOKUP($E104-CZ$2,'data input'!$D$3:$E$130,2,FALSE),0)</f>
        <v>0.99723991460873751</v>
      </c>
      <c r="DA104" s="5">
        <f>IF($E104&gt;=DA$2,VLOOKUP($E104-DA$2,'data input'!$D$3:$E$130,2,FALSE),0)</f>
        <v>0.99781403854508677</v>
      </c>
      <c r="DB104" s="5">
        <f>IF($E104&gt;=DB$2,VLOOKUP($E104-DB$2,'data input'!$D$3:$E$130,2,FALSE),0)</f>
        <v>0.99827771888413241</v>
      </c>
      <c r="DC104" s="5">
        <f>IF($E104&gt;=DC$2,VLOOKUP($E104-DC$2,'data input'!$D$3:$E$130,2,FALSE),0)</f>
        <v>0.9986501019683699</v>
      </c>
      <c r="DD104" s="5">
        <f>IF($E104&gt;=DD$2,VLOOKUP($E104-DD$2,'data input'!$D$3:$E$130,2,FALSE),0)</f>
        <v>0</v>
      </c>
      <c r="DE104" s="5">
        <f>IF($E104&gt;=DE$2,VLOOKUP($E104-DE$2,'data input'!$D$3:$E$130,2,FALSE),0)</f>
        <v>0</v>
      </c>
      <c r="DF104" s="5">
        <f>IF($E104&gt;=DF$2,VLOOKUP($E104-DF$2,'data input'!$D$3:$E$130,2,FALSE),0)</f>
        <v>0</v>
      </c>
      <c r="DG104" s="5">
        <f>IF($E104&gt;=DG$2,VLOOKUP($E104-DG$2,'data input'!$D$3:$E$130,2,FALSE),0)</f>
        <v>0</v>
      </c>
      <c r="DH104" s="5">
        <f>IF($E104&gt;=DH$2,VLOOKUP($E104-DH$2,'data input'!$D$3:$E$130,2,FALSE),0)</f>
        <v>0</v>
      </c>
      <c r="DI104" s="5">
        <f>IF($E104&gt;=DI$2,VLOOKUP($E104-DI$2,'data input'!$D$3:$E$130,2,FALSE),0)</f>
        <v>0</v>
      </c>
      <c r="DJ104" s="5">
        <f>IF($E104&gt;=DJ$2,VLOOKUP($E104-DJ$2,'data input'!$D$3:$E$130,2,FALSE),0)</f>
        <v>0</v>
      </c>
      <c r="DK104" s="5">
        <f>IF($E104&gt;=DK$2,VLOOKUP($E104-DK$2,'data input'!$D$3:$E$130,2,FALSE),0)</f>
        <v>0</v>
      </c>
      <c r="DL104" s="5">
        <f>IF($E104&gt;=DL$2,VLOOKUP($E104-DL$2,'data input'!$D$3:$E$130,2,FALSE),0)</f>
        <v>0</v>
      </c>
      <c r="DM104" s="5">
        <f>IF($E104&gt;=DM$2,VLOOKUP($E104-DM$2,'data input'!$D$3:$E$130,2,FALSE),0)</f>
        <v>0</v>
      </c>
      <c r="DN104" s="5">
        <f>IF($E104&gt;=DN$2,VLOOKUP($E104-DN$2,'data input'!$D$3:$E$130,2,FALSE),0)</f>
        <v>0</v>
      </c>
      <c r="DO104" s="5">
        <f>IF($E104&gt;=DO$2,VLOOKUP($E104-DO$2,'data input'!$D$3:$E$130,2,FALSE),0)</f>
        <v>0</v>
      </c>
      <c r="DP104" s="5">
        <f>IF($E104&gt;=DP$2,VLOOKUP($E104-DP$2,'data input'!$D$3:$E$130,2,FALSE),0)</f>
        <v>0</v>
      </c>
      <c r="DQ104" s="5">
        <f>IF($E104&gt;=DQ$2,VLOOKUP($E104-DQ$2,'data input'!$D$3:$E$130,2,FALSE),0)</f>
        <v>0</v>
      </c>
      <c r="DR104" s="5">
        <f>IF($E104&gt;=DR$2,VLOOKUP($E104-DR$2,'data input'!$D$3:$E$130,2,FALSE),0)</f>
        <v>0</v>
      </c>
      <c r="DS104" s="5">
        <f>IF($E104&gt;=DS$2,VLOOKUP($E104-DS$2,'data input'!$D$3:$E$130,2,FALSE),0)</f>
        <v>0</v>
      </c>
      <c r="DT104" s="5">
        <f>IF($E104&gt;=DT$2,VLOOKUP($E104-DT$2,'data input'!$D$3:$E$130,2,FALSE),0)</f>
        <v>0</v>
      </c>
      <c r="DU104" s="5">
        <f>IF($E104&gt;=DU$2,VLOOKUP($E104-DU$2,'data input'!$D$3:$E$130,2,FALSE),0)</f>
        <v>0</v>
      </c>
      <c r="DV104" s="5">
        <f>IF($E104&gt;=DV$2,VLOOKUP($E104-DV$2,'data input'!$D$3:$E$130,2,FALSE),0)</f>
        <v>0</v>
      </c>
      <c r="DW104" s="5">
        <f>IF($E104&gt;=DW$2,VLOOKUP($E104-DW$2,'data input'!$D$3:$E$130,2,FALSE),0)</f>
        <v>0</v>
      </c>
      <c r="DX104" s="5">
        <f>IF($E104&gt;=DX$2,VLOOKUP($E104-DX$2,'data input'!$D$3:$E$130,2,FALSE),0)</f>
        <v>0</v>
      </c>
      <c r="DY104" s="5">
        <f>IF($E104&gt;=DY$2,VLOOKUP($E104-DY$2,'data input'!$D$3:$E$130,2,FALSE),0)</f>
        <v>0</v>
      </c>
      <c r="DZ104" s="5">
        <f>IF($E104&gt;=DZ$2,VLOOKUP($E104-DZ$2,'data input'!$D$3:$E$130,2,FALSE),0)</f>
        <v>0</v>
      </c>
      <c r="EA104" s="5">
        <f>IF($E104&gt;=EA$2,VLOOKUP($E104-EA$2,'data input'!$D$3:$E$130,2,FALSE),0)</f>
        <v>0</v>
      </c>
      <c r="EB104" s="5">
        <f>IF($E104&gt;=EB$2,VLOOKUP($E104-EB$2,'data input'!$D$3:$E$130,2,FALSE),0)</f>
        <v>0</v>
      </c>
      <c r="EC104" s="5">
        <f>IF($E104&gt;=EC$2,VLOOKUP($E104-EC$2,'data input'!$D$3:$E$130,2,FALSE),0)</f>
        <v>0</v>
      </c>
    </row>
    <row r="105" spans="5:133">
      <c r="E105" s="7">
        <f>'data input'!B105</f>
        <v>1980</v>
      </c>
      <c r="F105" s="5">
        <f>IF($E105&gt;=F$2,VLOOKUP($E105-F$2,'data input'!$D$3:$E$130,2,FALSE),0)</f>
        <v>1.6596751443165303E-6</v>
      </c>
      <c r="G105" s="5">
        <f>IF($E105&gt;=G$2,VLOOKUP($E105-G$2,'data input'!$D$3:$E$130,2,FALSE),0)</f>
        <v>2.3810999327800175E-6</v>
      </c>
      <c r="H105" s="5">
        <f>IF($E105&gt;=H$2,VLOOKUP($E105-H$2,'data input'!$D$3:$E$130,2,FALSE),0)</f>
        <v>3.3976731247387093E-6</v>
      </c>
      <c r="I105" s="5">
        <f>IF($E105&gt;=I$2,VLOOKUP($E105-I$2,'data input'!$D$3:$E$130,2,FALSE),0)</f>
        <v>4.8221141606408224E-6</v>
      </c>
      <c r="J105" s="5">
        <f>IF($E105&gt;=J$2,VLOOKUP($E105-J$2,'data input'!$D$3:$E$130,2,FALSE),0)</f>
        <v>6.8068765993745117E-6</v>
      </c>
      <c r="K105" s="5">
        <f>IF($E105&gt;=K$2,VLOOKUP($E105-K$2,'data input'!$D$3:$E$130,2,FALSE),0)</f>
        <v>9.5568647372479276E-6</v>
      </c>
      <c r="L105" s="5">
        <f>IF($E105&gt;=L$2,VLOOKUP($E105-L$2,'data input'!$D$3:$E$130,2,FALSE),0)</f>
        <v>1.3345749015902797E-5</v>
      </c>
      <c r="M105" s="5">
        <f>IF($E105&gt;=M$2,VLOOKUP($E105-M$2,'data input'!$D$3:$E$130,2,FALSE),0)</f>
        <v>1.8536737846241991E-5</v>
      </c>
      <c r="N105" s="5">
        <f>IF($E105&gt;=N$2,VLOOKUP($E105-N$2,'data input'!$D$3:$E$130,2,FALSE),0)</f>
        <v>2.5608816474065321E-5</v>
      </c>
      <c r="O105" s="5">
        <f>IF($E105&gt;=O$2,VLOOKUP($E105-O$2,'data input'!$D$3:$E$130,2,FALSE),0)</f>
        <v>3.5189628065923628E-5</v>
      </c>
      <c r="P105" s="5">
        <f>IF($E105&gt;=P$2,VLOOKUP($E105-P$2,'data input'!$D$3:$E$130,2,FALSE),0)</f>
        <v>4.8096344017589665E-5</v>
      </c>
      <c r="Q105" s="5">
        <f>IF($E105&gt;=Q$2,VLOOKUP($E105-Q$2,'data input'!$D$3:$E$130,2,FALSE),0)</f>
        <v>6.5386043242687819E-5</v>
      </c>
      <c r="R105" s="5">
        <f>IF($E105&gt;=R$2,VLOOKUP($E105-R$2,'data input'!$D$3:$E$130,2,FALSE),0)</f>
        <v>8.841728520081471E-5</v>
      </c>
      <c r="S105" s="5">
        <f>IF($E105&gt;=S$2,VLOOKUP($E105-S$2,'data input'!$D$3:$E$130,2,FALSE),0)</f>
        <v>1.1892470732677296E-4</v>
      </c>
      <c r="T105" s="5">
        <f>IF($E105&gt;=T$2,VLOOKUP($E105-T$2,'data input'!$D$3:$E$130,2,FALSE),0)</f>
        <v>1.5910859015755285E-4</v>
      </c>
      <c r="U105" s="5">
        <f>IF($E105&gt;=U$2,VLOOKUP($E105-U$2,'data input'!$D$3:$E$130,2,FALSE),0)</f>
        <v>2.1174139572344153E-4</v>
      </c>
      <c r="V105" s="5">
        <f>IF($E105&gt;=V$2,VLOOKUP($E105-V$2,'data input'!$D$3:$E$130,2,FALSE),0)</f>
        <v>2.8029327681622362E-4</v>
      </c>
      <c r="W105" s="5">
        <f>IF($E105&gt;=W$2,VLOOKUP($E105-W$2,'data input'!$D$3:$E$130,2,FALSE),0)</f>
        <v>3.6907845427502917E-4</v>
      </c>
      <c r="X105" s="5">
        <f>IF($E105&gt;=X$2,VLOOKUP($E105-X$2,'data input'!$D$3:$E$130,2,FALSE),0)</f>
        <v>4.8342414238378151E-4</v>
      </c>
      <c r="Y105" s="5">
        <f>IF($E105&gt;=Y$2,VLOOKUP($E105-Y$2,'data input'!$D$3:$E$130,2,FALSE),0)</f>
        <v>6.2986334399772748E-4</v>
      </c>
      <c r="Z105" s="5">
        <f>IF($E105&gt;=Z$2,VLOOKUP($E105-Z$2,'data input'!$D$3:$E$130,2,FALSE),0)</f>
        <v>8.1635231282861653E-4</v>
      </c>
      <c r="AA105" s="5">
        <f>IF($E105&gt;=AA$2,VLOOKUP($E105-AA$2,'data input'!$D$3:$E$130,2,FALSE),0)</f>
        <v>1.0525127683760349E-3</v>
      </c>
      <c r="AB105" s="5">
        <f>IF($E105&gt;=AB$2,VLOOKUP($E105-AB$2,'data input'!$D$3:$E$130,2,FALSE),0)</f>
        <v>1.3498980316301035E-3</v>
      </c>
      <c r="AC105" s="5">
        <f>IF($E105&gt;=AC$2,VLOOKUP($E105-AC$2,'data input'!$D$3:$E$130,2,FALSE),0)</f>
        <v>1.7222811158675855E-3</v>
      </c>
      <c r="AD105" s="5">
        <f>IF($E105&gt;=AD$2,VLOOKUP($E105-AD$2,'data input'!$D$3:$E$130,2,FALSE),0)</f>
        <v>2.1859614549132322E-3</v>
      </c>
      <c r="AE105" s="5">
        <f>IF($E105&gt;=AE$2,VLOOKUP($E105-AE$2,'data input'!$D$3:$E$130,2,FALSE),0)</f>
        <v>2.7600853912624901E-3</v>
      </c>
      <c r="AF105" s="5">
        <f>IF($E105&gt;=AF$2,VLOOKUP($E105-AF$2,'data input'!$D$3:$E$130,2,FALSE),0)</f>
        <v>3.4669738030406183E-3</v>
      </c>
      <c r="AG105" s="5">
        <f>IF($E105&gt;=AG$2,VLOOKUP($E105-AG$2,'data input'!$D$3:$E$130,2,FALSE),0)</f>
        <v>4.3324483630126087E-3</v>
      </c>
      <c r="AH105" s="5">
        <f>IF($E105&gt;=AH$2,VLOOKUP($E105-AH$2,'data input'!$D$3:$E$130,2,FALSE),0)</f>
        <v>5.3861459540667234E-3</v>
      </c>
      <c r="AI105" s="5">
        <f>IF($E105&gt;=AI$2,VLOOKUP($E105-AI$2,'data input'!$D$3:$E$130,2,FALSE),0)</f>
        <v>6.6618087919827484E-3</v>
      </c>
      <c r="AJ105" s="5">
        <f>IF($E105&gt;=AJ$2,VLOOKUP($E105-AJ$2,'data input'!$D$3:$E$130,2,FALSE),0)</f>
        <v>8.1975359245961554E-3</v>
      </c>
      <c r="AK105" s="5">
        <f>IF($E105&gt;=AK$2,VLOOKUP($E105-AK$2,'data input'!$D$3:$E$130,2,FALSE),0)</f>
        <v>1.0035980100274067E-2</v>
      </c>
      <c r="AL105" s="5">
        <f>IF($E105&gt;=AL$2,VLOOKUP($E105-AL$2,'data input'!$D$3:$E$130,2,FALSE),0)</f>
        <v>1.2224472655044671E-2</v>
      </c>
      <c r="AM105" s="5">
        <f>IF($E105&gt;=AM$2,VLOOKUP($E105-AM$2,'data input'!$D$3:$E$130,2,FALSE),0)</f>
        <v>1.4815058192609865E-2</v>
      </c>
      <c r="AN105" s="5">
        <f>IF($E105&gt;=AN$2,VLOOKUP($E105-AN$2,'data input'!$D$3:$E$130,2,FALSE),0)</f>
        <v>1.7864420562816563E-2</v>
      </c>
      <c r="AO105" s="5">
        <f>IF($E105&gt;=AO$2,VLOOKUP($E105-AO$2,'data input'!$D$3:$E$130,2,FALSE),0)</f>
        <v>2.1433682114152974E-2</v>
      </c>
      <c r="AP105" s="5">
        <f>IF($E105&gt;=AP$2,VLOOKUP($E105-AP$2,'data input'!$D$3:$E$130,2,FALSE),0)</f>
        <v>2.5588059521638562E-2</v>
      </c>
      <c r="AQ105" s="5">
        <f>IF($E105&gt;=AQ$2,VLOOKUP($E105-AQ$2,'data input'!$D$3:$E$130,2,FALSE),0)</f>
        <v>3.0396361765261393E-2</v>
      </c>
      <c r="AR105" s="5">
        <f>IF($E105&gt;=AR$2,VLOOKUP($E105-AR$2,'data input'!$D$3:$E$130,2,FALSE),0)</f>
        <v>3.5930319112925768E-2</v>
      </c>
      <c r="AS105" s="5">
        <f>IF($E105&gt;=AS$2,VLOOKUP($E105-AS$2,'data input'!$D$3:$E$130,2,FALSE),0)</f>
        <v>4.2263736257952433E-2</v>
      </c>
      <c r="AT105" s="5">
        <f>IF($E105&gt;=AT$2,VLOOKUP($E105-AT$2,'data input'!$D$3:$E$130,2,FALSE),0)</f>
        <v>4.9471468033648103E-2</v>
      </c>
      <c r="AU105" s="5">
        <f>IF($E105&gt;=AU$2,VLOOKUP($E105-AU$2,'data input'!$D$3:$E$130,2,FALSE),0)</f>
        <v>5.7628222276153163E-2</v>
      </c>
      <c r="AV105" s="5">
        <f>IF($E105&gt;=AV$2,VLOOKUP($E105-AV$2,'data input'!$D$3:$E$130,2,FALSE),0)</f>
        <v>6.6807201268858085E-2</v>
      </c>
      <c r="AW105" s="5">
        <f>IF($E105&gt;=AW$2,VLOOKUP($E105-AW$2,'data input'!$D$3:$E$130,2,FALSE),0)</f>
        <v>7.707860055207183E-2</v>
      </c>
      <c r="AX105" s="5">
        <f>IF($E105&gt;=AX$2,VLOOKUP($E105-AX$2,'data input'!$D$3:$E$130,2,FALSE),0)</f>
        <v>8.8507991437402067E-2</v>
      </c>
      <c r="AY105" s="5">
        <f>IF($E105&gt;=AY$2,VLOOKUP($E105-AY$2,'data input'!$D$3:$E$130,2,FALSE),0)</f>
        <v>0.10115462099558592</v>
      </c>
      <c r="AZ105" s="5">
        <f>IF($E105&gt;=AZ$2,VLOOKUP($E105-AZ$2,'data input'!$D$3:$E$130,2,FALSE),0)</f>
        <v>0.11506967022170822</v>
      </c>
      <c r="BA105" s="5">
        <f>IF($E105&gt;=BA$2,VLOOKUP($E105-BA$2,'data input'!$D$3:$E$130,2,FALSE),0)</f>
        <v>0.13029451713680884</v>
      </c>
      <c r="BB105" s="5">
        <f>IF($E105&gt;=BB$2,VLOOKUP($E105-BB$2,'data input'!$D$3:$E$130,2,FALSE),0)</f>
        <v>0.14685905637589591</v>
      </c>
      <c r="BC105" s="5">
        <f>IF($E105&gt;=BC$2,VLOOKUP($E105-BC$2,'data input'!$D$3:$E$130,2,FALSE),0)</f>
        <v>0.16478012998031033</v>
      </c>
      <c r="BD105" s="5">
        <f>IF($E105&gt;=BD$2,VLOOKUP($E105-BD$2,'data input'!$D$3:$E$130,2,FALSE),0)</f>
        <v>0.18406012534675953</v>
      </c>
      <c r="BE105" s="5">
        <f>IF($E105&gt;=BE$2,VLOOKUP($E105-BE$2,'data input'!$D$3:$E$130,2,FALSE),0)</f>
        <v>0.20468579534725262</v>
      </c>
      <c r="BF105" s="5">
        <f>IF($E105&gt;=BF$2,VLOOKUP($E105-BF$2,'data input'!$D$3:$E$130,2,FALSE),0)</f>
        <v>0.22662735237686826</v>
      </c>
      <c r="BG105" s="5">
        <f>IF($E105&gt;=BG$2,VLOOKUP($E105-BG$2,'data input'!$D$3:$E$130,2,FALSE),0)</f>
        <v>0.24983788247177696</v>
      </c>
      <c r="BH105" s="5">
        <f>IF($E105&gt;=BH$2,VLOOKUP($E105-BH$2,'data input'!$D$3:$E$130,2,FALSE),0)</f>
        <v>0.27425311775007355</v>
      </c>
      <c r="BI105" s="5">
        <f>IF($E105&gt;=BI$2,VLOOKUP($E105-BI$2,'data input'!$D$3:$E$130,2,FALSE),0)</f>
        <v>0.29979159546869583</v>
      </c>
      <c r="BJ105" s="5">
        <f>IF($E105&gt;=BJ$2,VLOOKUP($E105-BJ$2,'data input'!$D$3:$E$130,2,FALSE),0)</f>
        <v>0.32635522028792008</v>
      </c>
      <c r="BK105" s="5">
        <f>IF($E105&gt;=BK$2,VLOOKUP($E105-BK$2,'data input'!$D$3:$E$130,2,FALSE),0)</f>
        <v>0.35383023332727614</v>
      </c>
      <c r="BL105" s="5">
        <f>IF($E105&gt;=BL$2,VLOOKUP($E105-BL$2,'data input'!$D$3:$E$130,2,FALSE),0)</f>
        <v>0.38208857781104733</v>
      </c>
      <c r="BM105" s="5">
        <f>IF($E105&gt;=BM$2,VLOOKUP($E105-BM$2,'data input'!$D$3:$E$130,2,FALSE),0)</f>
        <v>0.41098963713127035</v>
      </c>
      <c r="BN105" s="5">
        <f>IF($E105&gt;=BN$2,VLOOKUP($E105-BN$2,'data input'!$D$3:$E$130,2,FALSE),0)</f>
        <v>0.4403823076297575</v>
      </c>
      <c r="BO105" s="5">
        <f>IF($E105&gt;=BO$2,VLOOKUP($E105-BO$2,'data input'!$D$3:$E$130,2,FALSE),0)</f>
        <v>0.47010735594710518</v>
      </c>
      <c r="BP105" s="5">
        <f>IF($E105&gt;=BP$2,VLOOKUP($E105-BP$2,'data input'!$D$3:$E$130,2,FALSE),0)</f>
        <v>0.5</v>
      </c>
      <c r="BQ105" s="5">
        <f>IF($E105&gt;=BQ$2,VLOOKUP($E105-BQ$2,'data input'!$D$3:$E$130,2,FALSE),0)</f>
        <v>0.52989264405289482</v>
      </c>
      <c r="BR105" s="5">
        <f>IF($E105&gt;=BR$2,VLOOKUP($E105-BR$2,'data input'!$D$3:$E$130,2,FALSE),0)</f>
        <v>0.5596176923702425</v>
      </c>
      <c r="BS105" s="5">
        <f>IF($E105&gt;=BS$2,VLOOKUP($E105-BS$2,'data input'!$D$3:$E$130,2,FALSE),0)</f>
        <v>0.58901036286872965</v>
      </c>
      <c r="BT105" s="5">
        <f>IF($E105&gt;=BT$2,VLOOKUP($E105-BT$2,'data input'!$D$3:$E$130,2,FALSE),0)</f>
        <v>0.61791142218895267</v>
      </c>
      <c r="BU105" s="5">
        <f>IF($E105&gt;=BU$2,VLOOKUP($E105-BU$2,'data input'!$D$3:$E$130,2,FALSE),0)</f>
        <v>0.64616976667272386</v>
      </c>
      <c r="BV105" s="5">
        <f>IF($E105&gt;=BV$2,VLOOKUP($E105-BV$2,'data input'!$D$3:$E$130,2,FALSE),0)</f>
        <v>0.67364477971207992</v>
      </c>
      <c r="BW105" s="5">
        <f>IF($E105&gt;=BW$2,VLOOKUP($E105-BW$2,'data input'!$D$3:$E$130,2,FALSE),0)</f>
        <v>0.70020840453130417</v>
      </c>
      <c r="BX105" s="5">
        <f>IF($E105&gt;=BX$2,VLOOKUP($E105-BX$2,'data input'!$D$3:$E$130,2,FALSE),0)</f>
        <v>0.72574688224992645</v>
      </c>
      <c r="BY105" s="5">
        <f>IF($E105&gt;=BY$2,VLOOKUP($E105-BY$2,'data input'!$D$3:$E$130,2,FALSE),0)</f>
        <v>0.75016211752822304</v>
      </c>
      <c r="BZ105" s="5">
        <f>IF($E105&gt;=BZ$2,VLOOKUP($E105-BZ$2,'data input'!$D$3:$E$130,2,FALSE),0)</f>
        <v>0.77337264762313174</v>
      </c>
      <c r="CA105" s="5">
        <f>IF($E105&gt;=CA$2,VLOOKUP($E105-CA$2,'data input'!$D$3:$E$130,2,FALSE),0)</f>
        <v>0.79531420465274738</v>
      </c>
      <c r="CB105" s="5">
        <f>IF($E105&gt;=CB$2,VLOOKUP($E105-CB$2,'data input'!$D$3:$E$130,2,FALSE),0)</f>
        <v>0.81593987465324047</v>
      </c>
      <c r="CC105" s="5">
        <f>IF($E105&gt;=CC$2,VLOOKUP($E105-CC$2,'data input'!$D$3:$E$130,2,FALSE),0)</f>
        <v>0.83521987001968967</v>
      </c>
      <c r="CD105" s="5">
        <f>IF($E105&gt;=CD$2,VLOOKUP($E105-CD$2,'data input'!$D$3:$E$130,2,FALSE),0)</f>
        <v>0.85314094362410409</v>
      </c>
      <c r="CE105" s="5">
        <f>IF($E105&gt;=CE$2,VLOOKUP($E105-CE$2,'data input'!$D$3:$E$130,2,FALSE),0)</f>
        <v>0.86970548286319116</v>
      </c>
      <c r="CF105" s="5">
        <f>IF($E105&gt;=CF$2,VLOOKUP($E105-CF$2,'data input'!$D$3:$E$130,2,FALSE),0)</f>
        <v>0.88493032977829178</v>
      </c>
      <c r="CG105" s="5">
        <f>IF($E105&gt;=CG$2,VLOOKUP($E105-CG$2,'data input'!$D$3:$E$130,2,FALSE),0)</f>
        <v>0.89884537900441408</v>
      </c>
      <c r="CH105" s="5">
        <f>IF($E105&gt;=CH$2,VLOOKUP($E105-CH$2,'data input'!$D$3:$E$130,2,FALSE),0)</f>
        <v>0.91149200856259793</v>
      </c>
      <c r="CI105" s="5">
        <f>IF($E105&gt;=CI$2,VLOOKUP($E105-CI$2,'data input'!$D$3:$E$130,2,FALSE),0)</f>
        <v>0.92292139944792817</v>
      </c>
      <c r="CJ105" s="5">
        <f>IF($E105&gt;=CJ$2,VLOOKUP($E105-CJ$2,'data input'!$D$3:$E$130,2,FALSE),0)</f>
        <v>0.93319279873114191</v>
      </c>
      <c r="CK105" s="5">
        <f>IF($E105&gt;=CK$2,VLOOKUP($E105-CK$2,'data input'!$D$3:$E$130,2,FALSE),0)</f>
        <v>0.94237177772384684</v>
      </c>
      <c r="CL105" s="5">
        <f>IF($E105&gt;=CL$2,VLOOKUP($E105-CL$2,'data input'!$D$3:$E$130,2,FALSE),0)</f>
        <v>0.9505285319663519</v>
      </c>
      <c r="CM105" s="5">
        <f>IF($E105&gt;=CM$2,VLOOKUP($E105-CM$2,'data input'!$D$3:$E$130,2,FALSE),0)</f>
        <v>0.95773626374204757</v>
      </c>
      <c r="CN105" s="5">
        <f>IF($E105&gt;=CN$2,VLOOKUP($E105-CN$2,'data input'!$D$3:$E$130,2,FALSE),0)</f>
        <v>0.96406968088707423</v>
      </c>
      <c r="CO105" s="5">
        <f>IF($E105&gt;=CO$2,VLOOKUP($E105-CO$2,'data input'!$D$3:$E$130,2,FALSE),0)</f>
        <v>0.96960363823473861</v>
      </c>
      <c r="CP105" s="5">
        <f>IF($E105&gt;=CP$2,VLOOKUP($E105-CP$2,'data input'!$D$3:$E$130,2,FALSE),0)</f>
        <v>0.97441194047836144</v>
      </c>
      <c r="CQ105" s="5">
        <f>IF($E105&gt;=CQ$2,VLOOKUP($E105-CQ$2,'data input'!$D$3:$E$130,2,FALSE),0)</f>
        <v>0.97856631788584703</v>
      </c>
      <c r="CR105" s="5">
        <f>IF($E105&gt;=CR$2,VLOOKUP($E105-CR$2,'data input'!$D$3:$E$130,2,FALSE),0)</f>
        <v>0.98213557943718344</v>
      </c>
      <c r="CS105" s="5">
        <f>IF($E105&gt;=CS$2,VLOOKUP($E105-CS$2,'data input'!$D$3:$E$130,2,FALSE),0)</f>
        <v>0.98518494180739014</v>
      </c>
      <c r="CT105" s="5">
        <f>IF($E105&gt;=CT$2,VLOOKUP($E105-CT$2,'data input'!$D$3:$E$130,2,FALSE),0)</f>
        <v>0.98777552734495533</v>
      </c>
      <c r="CU105" s="5">
        <f>IF($E105&gt;=CU$2,VLOOKUP($E105-CU$2,'data input'!$D$3:$E$130,2,FALSE),0)</f>
        <v>0.98996401989972593</v>
      </c>
      <c r="CV105" s="5">
        <f>IF($E105&gt;=CV$2,VLOOKUP($E105-CV$2,'data input'!$D$3:$E$130,2,FALSE),0)</f>
        <v>0.99180246407540384</v>
      </c>
      <c r="CW105" s="5">
        <f>IF($E105&gt;=CW$2,VLOOKUP($E105-CW$2,'data input'!$D$3:$E$130,2,FALSE),0)</f>
        <v>0.99333819120801725</v>
      </c>
      <c r="CX105" s="5">
        <f>IF($E105&gt;=CX$2,VLOOKUP($E105-CX$2,'data input'!$D$3:$E$130,2,FALSE),0)</f>
        <v>0.99461385404593328</v>
      </c>
      <c r="CY105" s="5">
        <f>IF($E105&gt;=CY$2,VLOOKUP($E105-CY$2,'data input'!$D$3:$E$130,2,FALSE),0)</f>
        <v>0.99566755163698739</v>
      </c>
      <c r="CZ105" s="5">
        <f>IF($E105&gt;=CZ$2,VLOOKUP($E105-CZ$2,'data input'!$D$3:$E$130,2,FALSE),0)</f>
        <v>0.99653302619695938</v>
      </c>
      <c r="DA105" s="5">
        <f>IF($E105&gt;=DA$2,VLOOKUP($E105-DA$2,'data input'!$D$3:$E$130,2,FALSE),0)</f>
        <v>0.99723991460873751</v>
      </c>
      <c r="DB105" s="5">
        <f>IF($E105&gt;=DB$2,VLOOKUP($E105-DB$2,'data input'!$D$3:$E$130,2,FALSE),0)</f>
        <v>0.99781403854508677</v>
      </c>
      <c r="DC105" s="5">
        <f>IF($E105&gt;=DC$2,VLOOKUP($E105-DC$2,'data input'!$D$3:$E$130,2,FALSE),0)</f>
        <v>0.99827771888413241</v>
      </c>
      <c r="DD105" s="5">
        <f>IF($E105&gt;=DD$2,VLOOKUP($E105-DD$2,'data input'!$D$3:$E$130,2,FALSE),0)</f>
        <v>0.9986501019683699</v>
      </c>
      <c r="DE105" s="5">
        <f>IF($E105&gt;=DE$2,VLOOKUP($E105-DE$2,'data input'!$D$3:$E$130,2,FALSE),0)</f>
        <v>0</v>
      </c>
      <c r="DF105" s="5">
        <f>IF($E105&gt;=DF$2,VLOOKUP($E105-DF$2,'data input'!$D$3:$E$130,2,FALSE),0)</f>
        <v>0</v>
      </c>
      <c r="DG105" s="5">
        <f>IF($E105&gt;=DG$2,VLOOKUP($E105-DG$2,'data input'!$D$3:$E$130,2,FALSE),0)</f>
        <v>0</v>
      </c>
      <c r="DH105" s="5">
        <f>IF($E105&gt;=DH$2,VLOOKUP($E105-DH$2,'data input'!$D$3:$E$130,2,FALSE),0)</f>
        <v>0</v>
      </c>
      <c r="DI105" s="5">
        <f>IF($E105&gt;=DI$2,VLOOKUP($E105-DI$2,'data input'!$D$3:$E$130,2,FALSE),0)</f>
        <v>0</v>
      </c>
      <c r="DJ105" s="5">
        <f>IF($E105&gt;=DJ$2,VLOOKUP($E105-DJ$2,'data input'!$D$3:$E$130,2,FALSE),0)</f>
        <v>0</v>
      </c>
      <c r="DK105" s="5">
        <f>IF($E105&gt;=DK$2,VLOOKUP($E105-DK$2,'data input'!$D$3:$E$130,2,FALSE),0)</f>
        <v>0</v>
      </c>
      <c r="DL105" s="5">
        <f>IF($E105&gt;=DL$2,VLOOKUP($E105-DL$2,'data input'!$D$3:$E$130,2,FALSE),0)</f>
        <v>0</v>
      </c>
      <c r="DM105" s="5">
        <f>IF($E105&gt;=DM$2,VLOOKUP($E105-DM$2,'data input'!$D$3:$E$130,2,FALSE),0)</f>
        <v>0</v>
      </c>
      <c r="DN105" s="5">
        <f>IF($E105&gt;=DN$2,VLOOKUP($E105-DN$2,'data input'!$D$3:$E$130,2,FALSE),0)</f>
        <v>0</v>
      </c>
      <c r="DO105" s="5">
        <f>IF($E105&gt;=DO$2,VLOOKUP($E105-DO$2,'data input'!$D$3:$E$130,2,FALSE),0)</f>
        <v>0</v>
      </c>
      <c r="DP105" s="5">
        <f>IF($E105&gt;=DP$2,VLOOKUP($E105-DP$2,'data input'!$D$3:$E$130,2,FALSE),0)</f>
        <v>0</v>
      </c>
      <c r="DQ105" s="5">
        <f>IF($E105&gt;=DQ$2,VLOOKUP($E105-DQ$2,'data input'!$D$3:$E$130,2,FALSE),0)</f>
        <v>0</v>
      </c>
      <c r="DR105" s="5">
        <f>IF($E105&gt;=DR$2,VLOOKUP($E105-DR$2,'data input'!$D$3:$E$130,2,FALSE),0)</f>
        <v>0</v>
      </c>
      <c r="DS105" s="5">
        <f>IF($E105&gt;=DS$2,VLOOKUP($E105-DS$2,'data input'!$D$3:$E$130,2,FALSE),0)</f>
        <v>0</v>
      </c>
      <c r="DT105" s="5">
        <f>IF($E105&gt;=DT$2,VLOOKUP($E105-DT$2,'data input'!$D$3:$E$130,2,FALSE),0)</f>
        <v>0</v>
      </c>
      <c r="DU105" s="5">
        <f>IF($E105&gt;=DU$2,VLOOKUP($E105-DU$2,'data input'!$D$3:$E$130,2,FALSE),0)</f>
        <v>0</v>
      </c>
      <c r="DV105" s="5">
        <f>IF($E105&gt;=DV$2,VLOOKUP($E105-DV$2,'data input'!$D$3:$E$130,2,FALSE),0)</f>
        <v>0</v>
      </c>
      <c r="DW105" s="5">
        <f>IF($E105&gt;=DW$2,VLOOKUP($E105-DW$2,'data input'!$D$3:$E$130,2,FALSE),0)</f>
        <v>0</v>
      </c>
      <c r="DX105" s="5">
        <f>IF($E105&gt;=DX$2,VLOOKUP($E105-DX$2,'data input'!$D$3:$E$130,2,FALSE),0)</f>
        <v>0</v>
      </c>
      <c r="DY105" s="5">
        <f>IF($E105&gt;=DY$2,VLOOKUP($E105-DY$2,'data input'!$D$3:$E$130,2,FALSE),0)</f>
        <v>0</v>
      </c>
      <c r="DZ105" s="5">
        <f>IF($E105&gt;=DZ$2,VLOOKUP($E105-DZ$2,'data input'!$D$3:$E$130,2,FALSE),0)</f>
        <v>0</v>
      </c>
      <c r="EA105" s="5">
        <f>IF($E105&gt;=EA$2,VLOOKUP($E105-EA$2,'data input'!$D$3:$E$130,2,FALSE),0)</f>
        <v>0</v>
      </c>
      <c r="EB105" s="5">
        <f>IF($E105&gt;=EB$2,VLOOKUP($E105-EB$2,'data input'!$D$3:$E$130,2,FALSE),0)</f>
        <v>0</v>
      </c>
      <c r="EC105" s="5">
        <f>IF($E105&gt;=EC$2,VLOOKUP($E105-EC$2,'data input'!$D$3:$E$130,2,FALSE),0)</f>
        <v>0</v>
      </c>
    </row>
    <row r="106" spans="5:133">
      <c r="E106" s="7">
        <f>'data input'!B106</f>
        <v>1981</v>
      </c>
      <c r="F106" s="5">
        <f>IF($E106&gt;=F$2,VLOOKUP($E106-F$2,'data input'!$D$3:$E$130,2,FALSE),0)</f>
        <v>1.1505767815167545E-6</v>
      </c>
      <c r="G106" s="5">
        <f>IF($E106&gt;=G$2,VLOOKUP($E106-G$2,'data input'!$D$3:$E$130,2,FALSE),0)</f>
        <v>1.6596751443165303E-6</v>
      </c>
      <c r="H106" s="5">
        <f>IF($E106&gt;=H$2,VLOOKUP($E106-H$2,'data input'!$D$3:$E$130,2,FALSE),0)</f>
        <v>2.3810999327800175E-6</v>
      </c>
      <c r="I106" s="5">
        <f>IF($E106&gt;=I$2,VLOOKUP($E106-I$2,'data input'!$D$3:$E$130,2,FALSE),0)</f>
        <v>3.3976731247387093E-6</v>
      </c>
      <c r="J106" s="5">
        <f>IF($E106&gt;=J$2,VLOOKUP($E106-J$2,'data input'!$D$3:$E$130,2,FALSE),0)</f>
        <v>4.8221141606408224E-6</v>
      </c>
      <c r="K106" s="5">
        <f>IF($E106&gt;=K$2,VLOOKUP($E106-K$2,'data input'!$D$3:$E$130,2,FALSE),0)</f>
        <v>6.8068765993745117E-6</v>
      </c>
      <c r="L106" s="5">
        <f>IF($E106&gt;=L$2,VLOOKUP($E106-L$2,'data input'!$D$3:$E$130,2,FALSE),0)</f>
        <v>9.5568647372479276E-6</v>
      </c>
      <c r="M106" s="5">
        <f>IF($E106&gt;=M$2,VLOOKUP($E106-M$2,'data input'!$D$3:$E$130,2,FALSE),0)</f>
        <v>1.3345749015902797E-5</v>
      </c>
      <c r="N106" s="5">
        <f>IF($E106&gt;=N$2,VLOOKUP($E106-N$2,'data input'!$D$3:$E$130,2,FALSE),0)</f>
        <v>1.8536737846241991E-5</v>
      </c>
      <c r="O106" s="5">
        <f>IF($E106&gt;=O$2,VLOOKUP($E106-O$2,'data input'!$D$3:$E$130,2,FALSE),0)</f>
        <v>2.5608816474065321E-5</v>
      </c>
      <c r="P106" s="5">
        <f>IF($E106&gt;=P$2,VLOOKUP($E106-P$2,'data input'!$D$3:$E$130,2,FALSE),0)</f>
        <v>3.5189628065923628E-5</v>
      </c>
      <c r="Q106" s="5">
        <f>IF($E106&gt;=Q$2,VLOOKUP($E106-Q$2,'data input'!$D$3:$E$130,2,FALSE),0)</f>
        <v>4.8096344017589665E-5</v>
      </c>
      <c r="R106" s="5">
        <f>IF($E106&gt;=R$2,VLOOKUP($E106-R$2,'data input'!$D$3:$E$130,2,FALSE),0)</f>
        <v>6.5386043242687819E-5</v>
      </c>
      <c r="S106" s="5">
        <f>IF($E106&gt;=S$2,VLOOKUP($E106-S$2,'data input'!$D$3:$E$130,2,FALSE),0)</f>
        <v>8.841728520081471E-5</v>
      </c>
      <c r="T106" s="5">
        <f>IF($E106&gt;=T$2,VLOOKUP($E106-T$2,'data input'!$D$3:$E$130,2,FALSE),0)</f>
        <v>1.1892470732677296E-4</v>
      </c>
      <c r="U106" s="5">
        <f>IF($E106&gt;=U$2,VLOOKUP($E106-U$2,'data input'!$D$3:$E$130,2,FALSE),0)</f>
        <v>1.5910859015755285E-4</v>
      </c>
      <c r="V106" s="5">
        <f>IF($E106&gt;=V$2,VLOOKUP($E106-V$2,'data input'!$D$3:$E$130,2,FALSE),0)</f>
        <v>2.1174139572344153E-4</v>
      </c>
      <c r="W106" s="5">
        <f>IF($E106&gt;=W$2,VLOOKUP($E106-W$2,'data input'!$D$3:$E$130,2,FALSE),0)</f>
        <v>2.8029327681622362E-4</v>
      </c>
      <c r="X106" s="5">
        <f>IF($E106&gt;=X$2,VLOOKUP($E106-X$2,'data input'!$D$3:$E$130,2,FALSE),0)</f>
        <v>3.6907845427502917E-4</v>
      </c>
      <c r="Y106" s="5">
        <f>IF($E106&gt;=Y$2,VLOOKUP($E106-Y$2,'data input'!$D$3:$E$130,2,FALSE),0)</f>
        <v>4.8342414238378151E-4</v>
      </c>
      <c r="Z106" s="5">
        <f>IF($E106&gt;=Z$2,VLOOKUP($E106-Z$2,'data input'!$D$3:$E$130,2,FALSE),0)</f>
        <v>6.2986334399772748E-4</v>
      </c>
      <c r="AA106" s="5">
        <f>IF($E106&gt;=AA$2,VLOOKUP($E106-AA$2,'data input'!$D$3:$E$130,2,FALSE),0)</f>
        <v>8.1635231282861653E-4</v>
      </c>
      <c r="AB106" s="5">
        <f>IF($E106&gt;=AB$2,VLOOKUP($E106-AB$2,'data input'!$D$3:$E$130,2,FALSE),0)</f>
        <v>1.0525127683760349E-3</v>
      </c>
      <c r="AC106" s="5">
        <f>IF($E106&gt;=AC$2,VLOOKUP($E106-AC$2,'data input'!$D$3:$E$130,2,FALSE),0)</f>
        <v>1.3498980316301035E-3</v>
      </c>
      <c r="AD106" s="5">
        <f>IF($E106&gt;=AD$2,VLOOKUP($E106-AD$2,'data input'!$D$3:$E$130,2,FALSE),0)</f>
        <v>1.7222811158675855E-3</v>
      </c>
      <c r="AE106" s="5">
        <f>IF($E106&gt;=AE$2,VLOOKUP($E106-AE$2,'data input'!$D$3:$E$130,2,FALSE),0)</f>
        <v>2.1859614549132322E-3</v>
      </c>
      <c r="AF106" s="5">
        <f>IF($E106&gt;=AF$2,VLOOKUP($E106-AF$2,'data input'!$D$3:$E$130,2,FALSE),0)</f>
        <v>2.7600853912624901E-3</v>
      </c>
      <c r="AG106" s="5">
        <f>IF($E106&gt;=AG$2,VLOOKUP($E106-AG$2,'data input'!$D$3:$E$130,2,FALSE),0)</f>
        <v>3.4669738030406183E-3</v>
      </c>
      <c r="AH106" s="5">
        <f>IF($E106&gt;=AH$2,VLOOKUP($E106-AH$2,'data input'!$D$3:$E$130,2,FALSE),0)</f>
        <v>4.3324483630126087E-3</v>
      </c>
      <c r="AI106" s="5">
        <f>IF($E106&gt;=AI$2,VLOOKUP($E106-AI$2,'data input'!$D$3:$E$130,2,FALSE),0)</f>
        <v>5.3861459540667234E-3</v>
      </c>
      <c r="AJ106" s="5">
        <f>IF($E106&gt;=AJ$2,VLOOKUP($E106-AJ$2,'data input'!$D$3:$E$130,2,FALSE),0)</f>
        <v>6.6618087919827484E-3</v>
      </c>
      <c r="AK106" s="5">
        <f>IF($E106&gt;=AK$2,VLOOKUP($E106-AK$2,'data input'!$D$3:$E$130,2,FALSE),0)</f>
        <v>8.1975359245961554E-3</v>
      </c>
      <c r="AL106" s="5">
        <f>IF($E106&gt;=AL$2,VLOOKUP($E106-AL$2,'data input'!$D$3:$E$130,2,FALSE),0)</f>
        <v>1.0035980100274067E-2</v>
      </c>
      <c r="AM106" s="5">
        <f>IF($E106&gt;=AM$2,VLOOKUP($E106-AM$2,'data input'!$D$3:$E$130,2,FALSE),0)</f>
        <v>1.2224472655044671E-2</v>
      </c>
      <c r="AN106" s="5">
        <f>IF($E106&gt;=AN$2,VLOOKUP($E106-AN$2,'data input'!$D$3:$E$130,2,FALSE),0)</f>
        <v>1.4815058192609865E-2</v>
      </c>
      <c r="AO106" s="5">
        <f>IF($E106&gt;=AO$2,VLOOKUP($E106-AO$2,'data input'!$D$3:$E$130,2,FALSE),0)</f>
        <v>1.7864420562816563E-2</v>
      </c>
      <c r="AP106" s="5">
        <f>IF($E106&gt;=AP$2,VLOOKUP($E106-AP$2,'data input'!$D$3:$E$130,2,FALSE),0)</f>
        <v>2.1433682114152974E-2</v>
      </c>
      <c r="AQ106" s="5">
        <f>IF($E106&gt;=AQ$2,VLOOKUP($E106-AQ$2,'data input'!$D$3:$E$130,2,FALSE),0)</f>
        <v>2.5588059521638562E-2</v>
      </c>
      <c r="AR106" s="5">
        <f>IF($E106&gt;=AR$2,VLOOKUP($E106-AR$2,'data input'!$D$3:$E$130,2,FALSE),0)</f>
        <v>3.0396361765261393E-2</v>
      </c>
      <c r="AS106" s="5">
        <f>IF($E106&gt;=AS$2,VLOOKUP($E106-AS$2,'data input'!$D$3:$E$130,2,FALSE),0)</f>
        <v>3.5930319112925768E-2</v>
      </c>
      <c r="AT106" s="5">
        <f>IF($E106&gt;=AT$2,VLOOKUP($E106-AT$2,'data input'!$D$3:$E$130,2,FALSE),0)</f>
        <v>4.2263736257952433E-2</v>
      </c>
      <c r="AU106" s="5">
        <f>IF($E106&gt;=AU$2,VLOOKUP($E106-AU$2,'data input'!$D$3:$E$130,2,FALSE),0)</f>
        <v>4.9471468033648103E-2</v>
      </c>
      <c r="AV106" s="5">
        <f>IF($E106&gt;=AV$2,VLOOKUP($E106-AV$2,'data input'!$D$3:$E$130,2,FALSE),0)</f>
        <v>5.7628222276153163E-2</v>
      </c>
      <c r="AW106" s="5">
        <f>IF($E106&gt;=AW$2,VLOOKUP($E106-AW$2,'data input'!$D$3:$E$130,2,FALSE),0)</f>
        <v>6.6807201268858085E-2</v>
      </c>
      <c r="AX106" s="5">
        <f>IF($E106&gt;=AX$2,VLOOKUP($E106-AX$2,'data input'!$D$3:$E$130,2,FALSE),0)</f>
        <v>7.707860055207183E-2</v>
      </c>
      <c r="AY106" s="5">
        <f>IF($E106&gt;=AY$2,VLOOKUP($E106-AY$2,'data input'!$D$3:$E$130,2,FALSE),0)</f>
        <v>8.8507991437402067E-2</v>
      </c>
      <c r="AZ106" s="5">
        <f>IF($E106&gt;=AZ$2,VLOOKUP($E106-AZ$2,'data input'!$D$3:$E$130,2,FALSE),0)</f>
        <v>0.10115462099558592</v>
      </c>
      <c r="BA106" s="5">
        <f>IF($E106&gt;=BA$2,VLOOKUP($E106-BA$2,'data input'!$D$3:$E$130,2,FALSE),0)</f>
        <v>0.11506967022170822</v>
      </c>
      <c r="BB106" s="5">
        <f>IF($E106&gt;=BB$2,VLOOKUP($E106-BB$2,'data input'!$D$3:$E$130,2,FALSE),0)</f>
        <v>0.13029451713680884</v>
      </c>
      <c r="BC106" s="5">
        <f>IF($E106&gt;=BC$2,VLOOKUP($E106-BC$2,'data input'!$D$3:$E$130,2,FALSE),0)</f>
        <v>0.14685905637589591</v>
      </c>
      <c r="BD106" s="5">
        <f>IF($E106&gt;=BD$2,VLOOKUP($E106-BD$2,'data input'!$D$3:$E$130,2,FALSE),0)</f>
        <v>0.16478012998031033</v>
      </c>
      <c r="BE106" s="5">
        <f>IF($E106&gt;=BE$2,VLOOKUP($E106-BE$2,'data input'!$D$3:$E$130,2,FALSE),0)</f>
        <v>0.18406012534675953</v>
      </c>
      <c r="BF106" s="5">
        <f>IF($E106&gt;=BF$2,VLOOKUP($E106-BF$2,'data input'!$D$3:$E$130,2,FALSE),0)</f>
        <v>0.20468579534725262</v>
      </c>
      <c r="BG106" s="5">
        <f>IF($E106&gt;=BG$2,VLOOKUP($E106-BG$2,'data input'!$D$3:$E$130,2,FALSE),0)</f>
        <v>0.22662735237686826</v>
      </c>
      <c r="BH106" s="5">
        <f>IF($E106&gt;=BH$2,VLOOKUP($E106-BH$2,'data input'!$D$3:$E$130,2,FALSE),0)</f>
        <v>0.24983788247177696</v>
      </c>
      <c r="BI106" s="5">
        <f>IF($E106&gt;=BI$2,VLOOKUP($E106-BI$2,'data input'!$D$3:$E$130,2,FALSE),0)</f>
        <v>0.27425311775007355</v>
      </c>
      <c r="BJ106" s="5">
        <f>IF($E106&gt;=BJ$2,VLOOKUP($E106-BJ$2,'data input'!$D$3:$E$130,2,FALSE),0)</f>
        <v>0.29979159546869583</v>
      </c>
      <c r="BK106" s="5">
        <f>IF($E106&gt;=BK$2,VLOOKUP($E106-BK$2,'data input'!$D$3:$E$130,2,FALSE),0)</f>
        <v>0.32635522028792008</v>
      </c>
      <c r="BL106" s="5">
        <f>IF($E106&gt;=BL$2,VLOOKUP($E106-BL$2,'data input'!$D$3:$E$130,2,FALSE),0)</f>
        <v>0.35383023332727614</v>
      </c>
      <c r="BM106" s="5">
        <f>IF($E106&gt;=BM$2,VLOOKUP($E106-BM$2,'data input'!$D$3:$E$130,2,FALSE),0)</f>
        <v>0.38208857781104733</v>
      </c>
      <c r="BN106" s="5">
        <f>IF($E106&gt;=BN$2,VLOOKUP($E106-BN$2,'data input'!$D$3:$E$130,2,FALSE),0)</f>
        <v>0.41098963713127035</v>
      </c>
      <c r="BO106" s="5">
        <f>IF($E106&gt;=BO$2,VLOOKUP($E106-BO$2,'data input'!$D$3:$E$130,2,FALSE),0)</f>
        <v>0.4403823076297575</v>
      </c>
      <c r="BP106" s="5">
        <f>IF($E106&gt;=BP$2,VLOOKUP($E106-BP$2,'data input'!$D$3:$E$130,2,FALSE),0)</f>
        <v>0.47010735594710518</v>
      </c>
      <c r="BQ106" s="5">
        <f>IF($E106&gt;=BQ$2,VLOOKUP($E106-BQ$2,'data input'!$D$3:$E$130,2,FALSE),0)</f>
        <v>0.5</v>
      </c>
      <c r="BR106" s="5">
        <f>IF($E106&gt;=BR$2,VLOOKUP($E106-BR$2,'data input'!$D$3:$E$130,2,FALSE),0)</f>
        <v>0.52989264405289482</v>
      </c>
      <c r="BS106" s="5">
        <f>IF($E106&gt;=BS$2,VLOOKUP($E106-BS$2,'data input'!$D$3:$E$130,2,FALSE),0)</f>
        <v>0.5596176923702425</v>
      </c>
      <c r="BT106" s="5">
        <f>IF($E106&gt;=BT$2,VLOOKUP($E106-BT$2,'data input'!$D$3:$E$130,2,FALSE),0)</f>
        <v>0.58901036286872965</v>
      </c>
      <c r="BU106" s="5">
        <f>IF($E106&gt;=BU$2,VLOOKUP($E106-BU$2,'data input'!$D$3:$E$130,2,FALSE),0)</f>
        <v>0.61791142218895267</v>
      </c>
      <c r="BV106" s="5">
        <f>IF($E106&gt;=BV$2,VLOOKUP($E106-BV$2,'data input'!$D$3:$E$130,2,FALSE),0)</f>
        <v>0.64616976667272386</v>
      </c>
      <c r="BW106" s="5">
        <f>IF($E106&gt;=BW$2,VLOOKUP($E106-BW$2,'data input'!$D$3:$E$130,2,FALSE),0)</f>
        <v>0.67364477971207992</v>
      </c>
      <c r="BX106" s="5">
        <f>IF($E106&gt;=BX$2,VLOOKUP($E106-BX$2,'data input'!$D$3:$E$130,2,FALSE),0)</f>
        <v>0.70020840453130417</v>
      </c>
      <c r="BY106" s="5">
        <f>IF($E106&gt;=BY$2,VLOOKUP($E106-BY$2,'data input'!$D$3:$E$130,2,FALSE),0)</f>
        <v>0.72574688224992645</v>
      </c>
      <c r="BZ106" s="5">
        <f>IF($E106&gt;=BZ$2,VLOOKUP($E106-BZ$2,'data input'!$D$3:$E$130,2,FALSE),0)</f>
        <v>0.75016211752822304</v>
      </c>
      <c r="CA106" s="5">
        <f>IF($E106&gt;=CA$2,VLOOKUP($E106-CA$2,'data input'!$D$3:$E$130,2,FALSE),0)</f>
        <v>0.77337264762313174</v>
      </c>
      <c r="CB106" s="5">
        <f>IF($E106&gt;=CB$2,VLOOKUP($E106-CB$2,'data input'!$D$3:$E$130,2,FALSE),0)</f>
        <v>0.79531420465274738</v>
      </c>
      <c r="CC106" s="5">
        <f>IF($E106&gt;=CC$2,VLOOKUP($E106-CC$2,'data input'!$D$3:$E$130,2,FALSE),0)</f>
        <v>0.81593987465324047</v>
      </c>
      <c r="CD106" s="5">
        <f>IF($E106&gt;=CD$2,VLOOKUP($E106-CD$2,'data input'!$D$3:$E$130,2,FALSE),0)</f>
        <v>0.83521987001968967</v>
      </c>
      <c r="CE106" s="5">
        <f>IF($E106&gt;=CE$2,VLOOKUP($E106-CE$2,'data input'!$D$3:$E$130,2,FALSE),0)</f>
        <v>0.85314094362410409</v>
      </c>
      <c r="CF106" s="5">
        <f>IF($E106&gt;=CF$2,VLOOKUP($E106-CF$2,'data input'!$D$3:$E$130,2,FALSE),0)</f>
        <v>0.86970548286319116</v>
      </c>
      <c r="CG106" s="5">
        <f>IF($E106&gt;=CG$2,VLOOKUP($E106-CG$2,'data input'!$D$3:$E$130,2,FALSE),0)</f>
        <v>0.88493032977829178</v>
      </c>
      <c r="CH106" s="5">
        <f>IF($E106&gt;=CH$2,VLOOKUP($E106-CH$2,'data input'!$D$3:$E$130,2,FALSE),0)</f>
        <v>0.89884537900441408</v>
      </c>
      <c r="CI106" s="5">
        <f>IF($E106&gt;=CI$2,VLOOKUP($E106-CI$2,'data input'!$D$3:$E$130,2,FALSE),0)</f>
        <v>0.91149200856259793</v>
      </c>
      <c r="CJ106" s="5">
        <f>IF($E106&gt;=CJ$2,VLOOKUP($E106-CJ$2,'data input'!$D$3:$E$130,2,FALSE),0)</f>
        <v>0.92292139944792817</v>
      </c>
      <c r="CK106" s="5">
        <f>IF($E106&gt;=CK$2,VLOOKUP($E106-CK$2,'data input'!$D$3:$E$130,2,FALSE),0)</f>
        <v>0.93319279873114191</v>
      </c>
      <c r="CL106" s="5">
        <f>IF($E106&gt;=CL$2,VLOOKUP($E106-CL$2,'data input'!$D$3:$E$130,2,FALSE),0)</f>
        <v>0.94237177772384684</v>
      </c>
      <c r="CM106" s="5">
        <f>IF($E106&gt;=CM$2,VLOOKUP($E106-CM$2,'data input'!$D$3:$E$130,2,FALSE),0)</f>
        <v>0.9505285319663519</v>
      </c>
      <c r="CN106" s="5">
        <f>IF($E106&gt;=CN$2,VLOOKUP($E106-CN$2,'data input'!$D$3:$E$130,2,FALSE),0)</f>
        <v>0.95773626374204757</v>
      </c>
      <c r="CO106" s="5">
        <f>IF($E106&gt;=CO$2,VLOOKUP($E106-CO$2,'data input'!$D$3:$E$130,2,FALSE),0)</f>
        <v>0.96406968088707423</v>
      </c>
      <c r="CP106" s="5">
        <f>IF($E106&gt;=CP$2,VLOOKUP($E106-CP$2,'data input'!$D$3:$E$130,2,FALSE),0)</f>
        <v>0.96960363823473861</v>
      </c>
      <c r="CQ106" s="5">
        <f>IF($E106&gt;=CQ$2,VLOOKUP($E106-CQ$2,'data input'!$D$3:$E$130,2,FALSE),0)</f>
        <v>0.97441194047836144</v>
      </c>
      <c r="CR106" s="5">
        <f>IF($E106&gt;=CR$2,VLOOKUP($E106-CR$2,'data input'!$D$3:$E$130,2,FALSE),0)</f>
        <v>0.97856631788584703</v>
      </c>
      <c r="CS106" s="5">
        <f>IF($E106&gt;=CS$2,VLOOKUP($E106-CS$2,'data input'!$D$3:$E$130,2,FALSE),0)</f>
        <v>0.98213557943718344</v>
      </c>
      <c r="CT106" s="5">
        <f>IF($E106&gt;=CT$2,VLOOKUP($E106-CT$2,'data input'!$D$3:$E$130,2,FALSE),0)</f>
        <v>0.98518494180739014</v>
      </c>
      <c r="CU106" s="5">
        <f>IF($E106&gt;=CU$2,VLOOKUP($E106-CU$2,'data input'!$D$3:$E$130,2,FALSE),0)</f>
        <v>0.98777552734495533</v>
      </c>
      <c r="CV106" s="5">
        <f>IF($E106&gt;=CV$2,VLOOKUP($E106-CV$2,'data input'!$D$3:$E$130,2,FALSE),0)</f>
        <v>0.98996401989972593</v>
      </c>
      <c r="CW106" s="5">
        <f>IF($E106&gt;=CW$2,VLOOKUP($E106-CW$2,'data input'!$D$3:$E$130,2,FALSE),0)</f>
        <v>0.99180246407540384</v>
      </c>
      <c r="CX106" s="5">
        <f>IF($E106&gt;=CX$2,VLOOKUP($E106-CX$2,'data input'!$D$3:$E$130,2,FALSE),0)</f>
        <v>0.99333819120801725</v>
      </c>
      <c r="CY106" s="5">
        <f>IF($E106&gt;=CY$2,VLOOKUP($E106-CY$2,'data input'!$D$3:$E$130,2,FALSE),0)</f>
        <v>0.99461385404593328</v>
      </c>
      <c r="CZ106" s="5">
        <f>IF($E106&gt;=CZ$2,VLOOKUP($E106-CZ$2,'data input'!$D$3:$E$130,2,FALSE),0)</f>
        <v>0.99566755163698739</v>
      </c>
      <c r="DA106" s="5">
        <f>IF($E106&gt;=DA$2,VLOOKUP($E106-DA$2,'data input'!$D$3:$E$130,2,FALSE),0)</f>
        <v>0.99653302619695938</v>
      </c>
      <c r="DB106" s="5">
        <f>IF($E106&gt;=DB$2,VLOOKUP($E106-DB$2,'data input'!$D$3:$E$130,2,FALSE),0)</f>
        <v>0.99723991460873751</v>
      </c>
      <c r="DC106" s="5">
        <f>IF($E106&gt;=DC$2,VLOOKUP($E106-DC$2,'data input'!$D$3:$E$130,2,FALSE),0)</f>
        <v>0.99781403854508677</v>
      </c>
      <c r="DD106" s="5">
        <f>IF($E106&gt;=DD$2,VLOOKUP($E106-DD$2,'data input'!$D$3:$E$130,2,FALSE),0)</f>
        <v>0.99827771888413241</v>
      </c>
      <c r="DE106" s="5">
        <f>IF($E106&gt;=DE$2,VLOOKUP($E106-DE$2,'data input'!$D$3:$E$130,2,FALSE),0)</f>
        <v>0.9986501019683699</v>
      </c>
      <c r="DF106" s="5">
        <f>IF($E106&gt;=DF$2,VLOOKUP($E106-DF$2,'data input'!$D$3:$E$130,2,FALSE),0)</f>
        <v>0</v>
      </c>
      <c r="DG106" s="5">
        <f>IF($E106&gt;=DG$2,VLOOKUP($E106-DG$2,'data input'!$D$3:$E$130,2,FALSE),0)</f>
        <v>0</v>
      </c>
      <c r="DH106" s="5">
        <f>IF($E106&gt;=DH$2,VLOOKUP($E106-DH$2,'data input'!$D$3:$E$130,2,FALSE),0)</f>
        <v>0</v>
      </c>
      <c r="DI106" s="5">
        <f>IF($E106&gt;=DI$2,VLOOKUP($E106-DI$2,'data input'!$D$3:$E$130,2,FALSE),0)</f>
        <v>0</v>
      </c>
      <c r="DJ106" s="5">
        <f>IF($E106&gt;=DJ$2,VLOOKUP($E106-DJ$2,'data input'!$D$3:$E$130,2,FALSE),0)</f>
        <v>0</v>
      </c>
      <c r="DK106" s="5">
        <f>IF($E106&gt;=DK$2,VLOOKUP($E106-DK$2,'data input'!$D$3:$E$130,2,FALSE),0)</f>
        <v>0</v>
      </c>
      <c r="DL106" s="5">
        <f>IF($E106&gt;=DL$2,VLOOKUP($E106-DL$2,'data input'!$D$3:$E$130,2,FALSE),0)</f>
        <v>0</v>
      </c>
      <c r="DM106" s="5">
        <f>IF($E106&gt;=DM$2,VLOOKUP($E106-DM$2,'data input'!$D$3:$E$130,2,FALSE),0)</f>
        <v>0</v>
      </c>
      <c r="DN106" s="5">
        <f>IF($E106&gt;=DN$2,VLOOKUP($E106-DN$2,'data input'!$D$3:$E$130,2,FALSE),0)</f>
        <v>0</v>
      </c>
      <c r="DO106" s="5">
        <f>IF($E106&gt;=DO$2,VLOOKUP($E106-DO$2,'data input'!$D$3:$E$130,2,FALSE),0)</f>
        <v>0</v>
      </c>
      <c r="DP106" s="5">
        <f>IF($E106&gt;=DP$2,VLOOKUP($E106-DP$2,'data input'!$D$3:$E$130,2,FALSE),0)</f>
        <v>0</v>
      </c>
      <c r="DQ106" s="5">
        <f>IF($E106&gt;=DQ$2,VLOOKUP($E106-DQ$2,'data input'!$D$3:$E$130,2,FALSE),0)</f>
        <v>0</v>
      </c>
      <c r="DR106" s="5">
        <f>IF($E106&gt;=DR$2,VLOOKUP($E106-DR$2,'data input'!$D$3:$E$130,2,FALSE),0)</f>
        <v>0</v>
      </c>
      <c r="DS106" s="5">
        <f>IF($E106&gt;=DS$2,VLOOKUP($E106-DS$2,'data input'!$D$3:$E$130,2,FALSE),0)</f>
        <v>0</v>
      </c>
      <c r="DT106" s="5">
        <f>IF($E106&gt;=DT$2,VLOOKUP($E106-DT$2,'data input'!$D$3:$E$130,2,FALSE),0)</f>
        <v>0</v>
      </c>
      <c r="DU106" s="5">
        <f>IF($E106&gt;=DU$2,VLOOKUP($E106-DU$2,'data input'!$D$3:$E$130,2,FALSE),0)</f>
        <v>0</v>
      </c>
      <c r="DV106" s="5">
        <f>IF($E106&gt;=DV$2,VLOOKUP($E106-DV$2,'data input'!$D$3:$E$130,2,FALSE),0)</f>
        <v>0</v>
      </c>
      <c r="DW106" s="5">
        <f>IF($E106&gt;=DW$2,VLOOKUP($E106-DW$2,'data input'!$D$3:$E$130,2,FALSE),0)</f>
        <v>0</v>
      </c>
      <c r="DX106" s="5">
        <f>IF($E106&gt;=DX$2,VLOOKUP($E106-DX$2,'data input'!$D$3:$E$130,2,FALSE),0)</f>
        <v>0</v>
      </c>
      <c r="DY106" s="5">
        <f>IF($E106&gt;=DY$2,VLOOKUP($E106-DY$2,'data input'!$D$3:$E$130,2,FALSE),0)</f>
        <v>0</v>
      </c>
      <c r="DZ106" s="5">
        <f>IF($E106&gt;=DZ$2,VLOOKUP($E106-DZ$2,'data input'!$D$3:$E$130,2,FALSE),0)</f>
        <v>0</v>
      </c>
      <c r="EA106" s="5">
        <f>IF($E106&gt;=EA$2,VLOOKUP($E106-EA$2,'data input'!$D$3:$E$130,2,FALSE),0)</f>
        <v>0</v>
      </c>
      <c r="EB106" s="5">
        <f>IF($E106&gt;=EB$2,VLOOKUP($E106-EB$2,'data input'!$D$3:$E$130,2,FALSE),0)</f>
        <v>0</v>
      </c>
      <c r="EC106" s="5">
        <f>IF($E106&gt;=EC$2,VLOOKUP($E106-EC$2,'data input'!$D$3:$E$130,2,FALSE),0)</f>
        <v>0</v>
      </c>
    </row>
    <row r="107" spans="5:133">
      <c r="E107" s="7">
        <f>'data input'!B107</f>
        <v>1982</v>
      </c>
      <c r="F107" s="5">
        <f>IF($E107&gt;=F$2,VLOOKUP($E107-F$2,'data input'!$D$3:$E$130,2,FALSE),0)</f>
        <v>7.9332815194899098E-7</v>
      </c>
      <c r="G107" s="5">
        <f>IF($E107&gt;=G$2,VLOOKUP($E107-G$2,'data input'!$D$3:$E$130,2,FALSE),0)</f>
        <v>1.1505767815167545E-6</v>
      </c>
      <c r="H107" s="5">
        <f>IF($E107&gt;=H$2,VLOOKUP($E107-H$2,'data input'!$D$3:$E$130,2,FALSE),0)</f>
        <v>1.6596751443165303E-6</v>
      </c>
      <c r="I107" s="5">
        <f>IF($E107&gt;=I$2,VLOOKUP($E107-I$2,'data input'!$D$3:$E$130,2,FALSE),0)</f>
        <v>2.3810999327800175E-6</v>
      </c>
      <c r="J107" s="5">
        <f>IF($E107&gt;=J$2,VLOOKUP($E107-J$2,'data input'!$D$3:$E$130,2,FALSE),0)</f>
        <v>3.3976731247387093E-6</v>
      </c>
      <c r="K107" s="5">
        <f>IF($E107&gt;=K$2,VLOOKUP($E107-K$2,'data input'!$D$3:$E$130,2,FALSE),0)</f>
        <v>4.8221141606408224E-6</v>
      </c>
      <c r="L107" s="5">
        <f>IF($E107&gt;=L$2,VLOOKUP($E107-L$2,'data input'!$D$3:$E$130,2,FALSE),0)</f>
        <v>6.8068765993745117E-6</v>
      </c>
      <c r="M107" s="5">
        <f>IF($E107&gt;=M$2,VLOOKUP($E107-M$2,'data input'!$D$3:$E$130,2,FALSE),0)</f>
        <v>9.5568647372479276E-6</v>
      </c>
      <c r="N107" s="5">
        <f>IF($E107&gt;=N$2,VLOOKUP($E107-N$2,'data input'!$D$3:$E$130,2,FALSE),0)</f>
        <v>1.3345749015902797E-5</v>
      </c>
      <c r="O107" s="5">
        <f>IF($E107&gt;=O$2,VLOOKUP($E107-O$2,'data input'!$D$3:$E$130,2,FALSE),0)</f>
        <v>1.8536737846241991E-5</v>
      </c>
      <c r="P107" s="5">
        <f>IF($E107&gt;=P$2,VLOOKUP($E107-P$2,'data input'!$D$3:$E$130,2,FALSE),0)</f>
        <v>2.5608816474065321E-5</v>
      </c>
      <c r="Q107" s="5">
        <f>IF($E107&gt;=Q$2,VLOOKUP($E107-Q$2,'data input'!$D$3:$E$130,2,FALSE),0)</f>
        <v>3.5189628065923628E-5</v>
      </c>
      <c r="R107" s="5">
        <f>IF($E107&gt;=R$2,VLOOKUP($E107-R$2,'data input'!$D$3:$E$130,2,FALSE),0)</f>
        <v>4.8096344017589665E-5</v>
      </c>
      <c r="S107" s="5">
        <f>IF($E107&gt;=S$2,VLOOKUP($E107-S$2,'data input'!$D$3:$E$130,2,FALSE),0)</f>
        <v>6.5386043242687819E-5</v>
      </c>
      <c r="T107" s="5">
        <f>IF($E107&gt;=T$2,VLOOKUP($E107-T$2,'data input'!$D$3:$E$130,2,FALSE),0)</f>
        <v>8.841728520081471E-5</v>
      </c>
      <c r="U107" s="5">
        <f>IF($E107&gt;=U$2,VLOOKUP($E107-U$2,'data input'!$D$3:$E$130,2,FALSE),0)</f>
        <v>1.1892470732677296E-4</v>
      </c>
      <c r="V107" s="5">
        <f>IF($E107&gt;=V$2,VLOOKUP($E107-V$2,'data input'!$D$3:$E$130,2,FALSE),0)</f>
        <v>1.5910859015755285E-4</v>
      </c>
      <c r="W107" s="5">
        <f>IF($E107&gt;=W$2,VLOOKUP($E107-W$2,'data input'!$D$3:$E$130,2,FALSE),0)</f>
        <v>2.1174139572344153E-4</v>
      </c>
      <c r="X107" s="5">
        <f>IF($E107&gt;=X$2,VLOOKUP($E107-X$2,'data input'!$D$3:$E$130,2,FALSE),0)</f>
        <v>2.8029327681622362E-4</v>
      </c>
      <c r="Y107" s="5">
        <f>IF($E107&gt;=Y$2,VLOOKUP($E107-Y$2,'data input'!$D$3:$E$130,2,FALSE),0)</f>
        <v>3.6907845427502917E-4</v>
      </c>
      <c r="Z107" s="5">
        <f>IF($E107&gt;=Z$2,VLOOKUP($E107-Z$2,'data input'!$D$3:$E$130,2,FALSE),0)</f>
        <v>4.8342414238378151E-4</v>
      </c>
      <c r="AA107" s="5">
        <f>IF($E107&gt;=AA$2,VLOOKUP($E107-AA$2,'data input'!$D$3:$E$130,2,FALSE),0)</f>
        <v>6.2986334399772748E-4</v>
      </c>
      <c r="AB107" s="5">
        <f>IF($E107&gt;=AB$2,VLOOKUP($E107-AB$2,'data input'!$D$3:$E$130,2,FALSE),0)</f>
        <v>8.1635231282861653E-4</v>
      </c>
      <c r="AC107" s="5">
        <f>IF($E107&gt;=AC$2,VLOOKUP($E107-AC$2,'data input'!$D$3:$E$130,2,FALSE),0)</f>
        <v>1.0525127683760349E-3</v>
      </c>
      <c r="AD107" s="5">
        <f>IF($E107&gt;=AD$2,VLOOKUP($E107-AD$2,'data input'!$D$3:$E$130,2,FALSE),0)</f>
        <v>1.3498980316301035E-3</v>
      </c>
      <c r="AE107" s="5">
        <f>IF($E107&gt;=AE$2,VLOOKUP($E107-AE$2,'data input'!$D$3:$E$130,2,FALSE),0)</f>
        <v>1.7222811158675855E-3</v>
      </c>
      <c r="AF107" s="5">
        <f>IF($E107&gt;=AF$2,VLOOKUP($E107-AF$2,'data input'!$D$3:$E$130,2,FALSE),0)</f>
        <v>2.1859614549132322E-3</v>
      </c>
      <c r="AG107" s="5">
        <f>IF($E107&gt;=AG$2,VLOOKUP($E107-AG$2,'data input'!$D$3:$E$130,2,FALSE),0)</f>
        <v>2.7600853912624901E-3</v>
      </c>
      <c r="AH107" s="5">
        <f>IF($E107&gt;=AH$2,VLOOKUP($E107-AH$2,'data input'!$D$3:$E$130,2,FALSE),0)</f>
        <v>3.4669738030406183E-3</v>
      </c>
      <c r="AI107" s="5">
        <f>IF($E107&gt;=AI$2,VLOOKUP($E107-AI$2,'data input'!$D$3:$E$130,2,FALSE),0)</f>
        <v>4.3324483630126087E-3</v>
      </c>
      <c r="AJ107" s="5">
        <f>IF($E107&gt;=AJ$2,VLOOKUP($E107-AJ$2,'data input'!$D$3:$E$130,2,FALSE),0)</f>
        <v>5.3861459540667234E-3</v>
      </c>
      <c r="AK107" s="5">
        <f>IF($E107&gt;=AK$2,VLOOKUP($E107-AK$2,'data input'!$D$3:$E$130,2,FALSE),0)</f>
        <v>6.6618087919827484E-3</v>
      </c>
      <c r="AL107" s="5">
        <f>IF($E107&gt;=AL$2,VLOOKUP($E107-AL$2,'data input'!$D$3:$E$130,2,FALSE),0)</f>
        <v>8.1975359245961554E-3</v>
      </c>
      <c r="AM107" s="5">
        <f>IF($E107&gt;=AM$2,VLOOKUP($E107-AM$2,'data input'!$D$3:$E$130,2,FALSE),0)</f>
        <v>1.0035980100274067E-2</v>
      </c>
      <c r="AN107" s="5">
        <f>IF($E107&gt;=AN$2,VLOOKUP($E107-AN$2,'data input'!$D$3:$E$130,2,FALSE),0)</f>
        <v>1.2224472655044671E-2</v>
      </c>
      <c r="AO107" s="5">
        <f>IF($E107&gt;=AO$2,VLOOKUP($E107-AO$2,'data input'!$D$3:$E$130,2,FALSE),0)</f>
        <v>1.4815058192609865E-2</v>
      </c>
      <c r="AP107" s="5">
        <f>IF($E107&gt;=AP$2,VLOOKUP($E107-AP$2,'data input'!$D$3:$E$130,2,FALSE),0)</f>
        <v>1.7864420562816563E-2</v>
      </c>
      <c r="AQ107" s="5">
        <f>IF($E107&gt;=AQ$2,VLOOKUP($E107-AQ$2,'data input'!$D$3:$E$130,2,FALSE),0)</f>
        <v>2.1433682114152974E-2</v>
      </c>
      <c r="AR107" s="5">
        <f>IF($E107&gt;=AR$2,VLOOKUP($E107-AR$2,'data input'!$D$3:$E$130,2,FALSE),0)</f>
        <v>2.5588059521638562E-2</v>
      </c>
      <c r="AS107" s="5">
        <f>IF($E107&gt;=AS$2,VLOOKUP($E107-AS$2,'data input'!$D$3:$E$130,2,FALSE),0)</f>
        <v>3.0396361765261393E-2</v>
      </c>
      <c r="AT107" s="5">
        <f>IF($E107&gt;=AT$2,VLOOKUP($E107-AT$2,'data input'!$D$3:$E$130,2,FALSE),0)</f>
        <v>3.5930319112925768E-2</v>
      </c>
      <c r="AU107" s="5">
        <f>IF($E107&gt;=AU$2,VLOOKUP($E107-AU$2,'data input'!$D$3:$E$130,2,FALSE),0)</f>
        <v>4.2263736257952433E-2</v>
      </c>
      <c r="AV107" s="5">
        <f>IF($E107&gt;=AV$2,VLOOKUP($E107-AV$2,'data input'!$D$3:$E$130,2,FALSE),0)</f>
        <v>4.9471468033648103E-2</v>
      </c>
      <c r="AW107" s="5">
        <f>IF($E107&gt;=AW$2,VLOOKUP($E107-AW$2,'data input'!$D$3:$E$130,2,FALSE),0)</f>
        <v>5.7628222276153163E-2</v>
      </c>
      <c r="AX107" s="5">
        <f>IF($E107&gt;=AX$2,VLOOKUP($E107-AX$2,'data input'!$D$3:$E$130,2,FALSE),0)</f>
        <v>6.6807201268858085E-2</v>
      </c>
      <c r="AY107" s="5">
        <f>IF($E107&gt;=AY$2,VLOOKUP($E107-AY$2,'data input'!$D$3:$E$130,2,FALSE),0)</f>
        <v>7.707860055207183E-2</v>
      </c>
      <c r="AZ107" s="5">
        <f>IF($E107&gt;=AZ$2,VLOOKUP($E107-AZ$2,'data input'!$D$3:$E$130,2,FALSE),0)</f>
        <v>8.8507991437402067E-2</v>
      </c>
      <c r="BA107" s="5">
        <f>IF($E107&gt;=BA$2,VLOOKUP($E107-BA$2,'data input'!$D$3:$E$130,2,FALSE),0)</f>
        <v>0.10115462099558592</v>
      </c>
      <c r="BB107" s="5">
        <f>IF($E107&gt;=BB$2,VLOOKUP($E107-BB$2,'data input'!$D$3:$E$130,2,FALSE),0)</f>
        <v>0.11506967022170822</v>
      </c>
      <c r="BC107" s="5">
        <f>IF($E107&gt;=BC$2,VLOOKUP($E107-BC$2,'data input'!$D$3:$E$130,2,FALSE),0)</f>
        <v>0.13029451713680884</v>
      </c>
      <c r="BD107" s="5">
        <f>IF($E107&gt;=BD$2,VLOOKUP($E107-BD$2,'data input'!$D$3:$E$130,2,FALSE),0)</f>
        <v>0.14685905637589591</v>
      </c>
      <c r="BE107" s="5">
        <f>IF($E107&gt;=BE$2,VLOOKUP($E107-BE$2,'data input'!$D$3:$E$130,2,FALSE),0)</f>
        <v>0.16478012998031033</v>
      </c>
      <c r="BF107" s="5">
        <f>IF($E107&gt;=BF$2,VLOOKUP($E107-BF$2,'data input'!$D$3:$E$130,2,FALSE),0)</f>
        <v>0.18406012534675953</v>
      </c>
      <c r="BG107" s="5">
        <f>IF($E107&gt;=BG$2,VLOOKUP($E107-BG$2,'data input'!$D$3:$E$130,2,FALSE),0)</f>
        <v>0.20468579534725262</v>
      </c>
      <c r="BH107" s="5">
        <f>IF($E107&gt;=BH$2,VLOOKUP($E107-BH$2,'data input'!$D$3:$E$130,2,FALSE),0)</f>
        <v>0.22662735237686826</v>
      </c>
      <c r="BI107" s="5">
        <f>IF($E107&gt;=BI$2,VLOOKUP($E107-BI$2,'data input'!$D$3:$E$130,2,FALSE),0)</f>
        <v>0.24983788247177696</v>
      </c>
      <c r="BJ107" s="5">
        <f>IF($E107&gt;=BJ$2,VLOOKUP($E107-BJ$2,'data input'!$D$3:$E$130,2,FALSE),0)</f>
        <v>0.27425311775007355</v>
      </c>
      <c r="BK107" s="5">
        <f>IF($E107&gt;=BK$2,VLOOKUP($E107-BK$2,'data input'!$D$3:$E$130,2,FALSE),0)</f>
        <v>0.29979159546869583</v>
      </c>
      <c r="BL107" s="5">
        <f>IF($E107&gt;=BL$2,VLOOKUP($E107-BL$2,'data input'!$D$3:$E$130,2,FALSE),0)</f>
        <v>0.32635522028792008</v>
      </c>
      <c r="BM107" s="5">
        <f>IF($E107&gt;=BM$2,VLOOKUP($E107-BM$2,'data input'!$D$3:$E$130,2,FALSE),0)</f>
        <v>0.35383023332727614</v>
      </c>
      <c r="BN107" s="5">
        <f>IF($E107&gt;=BN$2,VLOOKUP($E107-BN$2,'data input'!$D$3:$E$130,2,FALSE),0)</f>
        <v>0.38208857781104733</v>
      </c>
      <c r="BO107" s="5">
        <f>IF($E107&gt;=BO$2,VLOOKUP($E107-BO$2,'data input'!$D$3:$E$130,2,FALSE),0)</f>
        <v>0.41098963713127035</v>
      </c>
      <c r="BP107" s="5">
        <f>IF($E107&gt;=BP$2,VLOOKUP($E107-BP$2,'data input'!$D$3:$E$130,2,FALSE),0)</f>
        <v>0.4403823076297575</v>
      </c>
      <c r="BQ107" s="5">
        <f>IF($E107&gt;=BQ$2,VLOOKUP($E107-BQ$2,'data input'!$D$3:$E$130,2,FALSE),0)</f>
        <v>0.47010735594710518</v>
      </c>
      <c r="BR107" s="5">
        <f>IF($E107&gt;=BR$2,VLOOKUP($E107-BR$2,'data input'!$D$3:$E$130,2,FALSE),0)</f>
        <v>0.5</v>
      </c>
      <c r="BS107" s="5">
        <f>IF($E107&gt;=BS$2,VLOOKUP($E107-BS$2,'data input'!$D$3:$E$130,2,FALSE),0)</f>
        <v>0.52989264405289482</v>
      </c>
      <c r="BT107" s="5">
        <f>IF($E107&gt;=BT$2,VLOOKUP($E107-BT$2,'data input'!$D$3:$E$130,2,FALSE),0)</f>
        <v>0.5596176923702425</v>
      </c>
      <c r="BU107" s="5">
        <f>IF($E107&gt;=BU$2,VLOOKUP($E107-BU$2,'data input'!$D$3:$E$130,2,FALSE),0)</f>
        <v>0.58901036286872965</v>
      </c>
      <c r="BV107" s="5">
        <f>IF($E107&gt;=BV$2,VLOOKUP($E107-BV$2,'data input'!$D$3:$E$130,2,FALSE),0)</f>
        <v>0.61791142218895267</v>
      </c>
      <c r="BW107" s="5">
        <f>IF($E107&gt;=BW$2,VLOOKUP($E107-BW$2,'data input'!$D$3:$E$130,2,FALSE),0)</f>
        <v>0.64616976667272386</v>
      </c>
      <c r="BX107" s="5">
        <f>IF($E107&gt;=BX$2,VLOOKUP($E107-BX$2,'data input'!$D$3:$E$130,2,FALSE),0)</f>
        <v>0.67364477971207992</v>
      </c>
      <c r="BY107" s="5">
        <f>IF($E107&gt;=BY$2,VLOOKUP($E107-BY$2,'data input'!$D$3:$E$130,2,FALSE),0)</f>
        <v>0.70020840453130417</v>
      </c>
      <c r="BZ107" s="5">
        <f>IF($E107&gt;=BZ$2,VLOOKUP($E107-BZ$2,'data input'!$D$3:$E$130,2,FALSE),0)</f>
        <v>0.72574688224992645</v>
      </c>
      <c r="CA107" s="5">
        <f>IF($E107&gt;=CA$2,VLOOKUP($E107-CA$2,'data input'!$D$3:$E$130,2,FALSE),0)</f>
        <v>0.75016211752822304</v>
      </c>
      <c r="CB107" s="5">
        <f>IF($E107&gt;=CB$2,VLOOKUP($E107-CB$2,'data input'!$D$3:$E$130,2,FALSE),0)</f>
        <v>0.77337264762313174</v>
      </c>
      <c r="CC107" s="5">
        <f>IF($E107&gt;=CC$2,VLOOKUP($E107-CC$2,'data input'!$D$3:$E$130,2,FALSE),0)</f>
        <v>0.79531420465274738</v>
      </c>
      <c r="CD107" s="5">
        <f>IF($E107&gt;=CD$2,VLOOKUP($E107-CD$2,'data input'!$D$3:$E$130,2,FALSE),0)</f>
        <v>0.81593987465324047</v>
      </c>
      <c r="CE107" s="5">
        <f>IF($E107&gt;=CE$2,VLOOKUP($E107-CE$2,'data input'!$D$3:$E$130,2,FALSE),0)</f>
        <v>0.83521987001968967</v>
      </c>
      <c r="CF107" s="5">
        <f>IF($E107&gt;=CF$2,VLOOKUP($E107-CF$2,'data input'!$D$3:$E$130,2,FALSE),0)</f>
        <v>0.85314094362410409</v>
      </c>
      <c r="CG107" s="5">
        <f>IF($E107&gt;=CG$2,VLOOKUP($E107-CG$2,'data input'!$D$3:$E$130,2,FALSE),0)</f>
        <v>0.86970548286319116</v>
      </c>
      <c r="CH107" s="5">
        <f>IF($E107&gt;=CH$2,VLOOKUP($E107-CH$2,'data input'!$D$3:$E$130,2,FALSE),0)</f>
        <v>0.88493032977829178</v>
      </c>
      <c r="CI107" s="5">
        <f>IF($E107&gt;=CI$2,VLOOKUP($E107-CI$2,'data input'!$D$3:$E$130,2,FALSE),0)</f>
        <v>0.89884537900441408</v>
      </c>
      <c r="CJ107" s="5">
        <f>IF($E107&gt;=CJ$2,VLOOKUP($E107-CJ$2,'data input'!$D$3:$E$130,2,FALSE),0)</f>
        <v>0.91149200856259793</v>
      </c>
      <c r="CK107" s="5">
        <f>IF($E107&gt;=CK$2,VLOOKUP($E107-CK$2,'data input'!$D$3:$E$130,2,FALSE),0)</f>
        <v>0.92292139944792817</v>
      </c>
      <c r="CL107" s="5">
        <f>IF($E107&gt;=CL$2,VLOOKUP($E107-CL$2,'data input'!$D$3:$E$130,2,FALSE),0)</f>
        <v>0.93319279873114191</v>
      </c>
      <c r="CM107" s="5">
        <f>IF($E107&gt;=CM$2,VLOOKUP($E107-CM$2,'data input'!$D$3:$E$130,2,FALSE),0)</f>
        <v>0.94237177772384684</v>
      </c>
      <c r="CN107" s="5">
        <f>IF($E107&gt;=CN$2,VLOOKUP($E107-CN$2,'data input'!$D$3:$E$130,2,FALSE),0)</f>
        <v>0.9505285319663519</v>
      </c>
      <c r="CO107" s="5">
        <f>IF($E107&gt;=CO$2,VLOOKUP($E107-CO$2,'data input'!$D$3:$E$130,2,FALSE),0)</f>
        <v>0.95773626374204757</v>
      </c>
      <c r="CP107" s="5">
        <f>IF($E107&gt;=CP$2,VLOOKUP($E107-CP$2,'data input'!$D$3:$E$130,2,FALSE),0)</f>
        <v>0.96406968088707423</v>
      </c>
      <c r="CQ107" s="5">
        <f>IF($E107&gt;=CQ$2,VLOOKUP($E107-CQ$2,'data input'!$D$3:$E$130,2,FALSE),0)</f>
        <v>0.96960363823473861</v>
      </c>
      <c r="CR107" s="5">
        <f>IF($E107&gt;=CR$2,VLOOKUP($E107-CR$2,'data input'!$D$3:$E$130,2,FALSE),0)</f>
        <v>0.97441194047836144</v>
      </c>
      <c r="CS107" s="5">
        <f>IF($E107&gt;=CS$2,VLOOKUP($E107-CS$2,'data input'!$D$3:$E$130,2,FALSE),0)</f>
        <v>0.97856631788584703</v>
      </c>
      <c r="CT107" s="5">
        <f>IF($E107&gt;=CT$2,VLOOKUP($E107-CT$2,'data input'!$D$3:$E$130,2,FALSE),0)</f>
        <v>0.98213557943718344</v>
      </c>
      <c r="CU107" s="5">
        <f>IF($E107&gt;=CU$2,VLOOKUP($E107-CU$2,'data input'!$D$3:$E$130,2,FALSE),0)</f>
        <v>0.98518494180739014</v>
      </c>
      <c r="CV107" s="5">
        <f>IF($E107&gt;=CV$2,VLOOKUP($E107-CV$2,'data input'!$D$3:$E$130,2,FALSE),0)</f>
        <v>0.98777552734495533</v>
      </c>
      <c r="CW107" s="5">
        <f>IF($E107&gt;=CW$2,VLOOKUP($E107-CW$2,'data input'!$D$3:$E$130,2,FALSE),0)</f>
        <v>0.98996401989972593</v>
      </c>
      <c r="CX107" s="5">
        <f>IF($E107&gt;=CX$2,VLOOKUP($E107-CX$2,'data input'!$D$3:$E$130,2,FALSE),0)</f>
        <v>0.99180246407540384</v>
      </c>
      <c r="CY107" s="5">
        <f>IF($E107&gt;=CY$2,VLOOKUP($E107-CY$2,'data input'!$D$3:$E$130,2,FALSE),0)</f>
        <v>0.99333819120801725</v>
      </c>
      <c r="CZ107" s="5">
        <f>IF($E107&gt;=CZ$2,VLOOKUP($E107-CZ$2,'data input'!$D$3:$E$130,2,FALSE),0)</f>
        <v>0.99461385404593328</v>
      </c>
      <c r="DA107" s="5">
        <f>IF($E107&gt;=DA$2,VLOOKUP($E107-DA$2,'data input'!$D$3:$E$130,2,FALSE),0)</f>
        <v>0.99566755163698739</v>
      </c>
      <c r="DB107" s="5">
        <f>IF($E107&gt;=DB$2,VLOOKUP($E107-DB$2,'data input'!$D$3:$E$130,2,FALSE),0)</f>
        <v>0.99653302619695938</v>
      </c>
      <c r="DC107" s="5">
        <f>IF($E107&gt;=DC$2,VLOOKUP($E107-DC$2,'data input'!$D$3:$E$130,2,FALSE),0)</f>
        <v>0.99723991460873751</v>
      </c>
      <c r="DD107" s="5">
        <f>IF($E107&gt;=DD$2,VLOOKUP($E107-DD$2,'data input'!$D$3:$E$130,2,FALSE),0)</f>
        <v>0.99781403854508677</v>
      </c>
      <c r="DE107" s="5">
        <f>IF($E107&gt;=DE$2,VLOOKUP($E107-DE$2,'data input'!$D$3:$E$130,2,FALSE),0)</f>
        <v>0.99827771888413241</v>
      </c>
      <c r="DF107" s="5">
        <f>IF($E107&gt;=DF$2,VLOOKUP($E107-DF$2,'data input'!$D$3:$E$130,2,FALSE),0)</f>
        <v>0.9986501019683699</v>
      </c>
      <c r="DG107" s="5">
        <f>IF($E107&gt;=DG$2,VLOOKUP($E107-DG$2,'data input'!$D$3:$E$130,2,FALSE),0)</f>
        <v>0</v>
      </c>
      <c r="DH107" s="5">
        <f>IF($E107&gt;=DH$2,VLOOKUP($E107-DH$2,'data input'!$D$3:$E$130,2,FALSE),0)</f>
        <v>0</v>
      </c>
      <c r="DI107" s="5">
        <f>IF($E107&gt;=DI$2,VLOOKUP($E107-DI$2,'data input'!$D$3:$E$130,2,FALSE),0)</f>
        <v>0</v>
      </c>
      <c r="DJ107" s="5">
        <f>IF($E107&gt;=DJ$2,VLOOKUP($E107-DJ$2,'data input'!$D$3:$E$130,2,FALSE),0)</f>
        <v>0</v>
      </c>
      <c r="DK107" s="5">
        <f>IF($E107&gt;=DK$2,VLOOKUP($E107-DK$2,'data input'!$D$3:$E$130,2,FALSE),0)</f>
        <v>0</v>
      </c>
      <c r="DL107" s="5">
        <f>IF($E107&gt;=DL$2,VLOOKUP($E107-DL$2,'data input'!$D$3:$E$130,2,FALSE),0)</f>
        <v>0</v>
      </c>
      <c r="DM107" s="5">
        <f>IF($E107&gt;=DM$2,VLOOKUP($E107-DM$2,'data input'!$D$3:$E$130,2,FALSE),0)</f>
        <v>0</v>
      </c>
      <c r="DN107" s="5">
        <f>IF($E107&gt;=DN$2,VLOOKUP($E107-DN$2,'data input'!$D$3:$E$130,2,FALSE),0)</f>
        <v>0</v>
      </c>
      <c r="DO107" s="5">
        <f>IF($E107&gt;=DO$2,VLOOKUP($E107-DO$2,'data input'!$D$3:$E$130,2,FALSE),0)</f>
        <v>0</v>
      </c>
      <c r="DP107" s="5">
        <f>IF($E107&gt;=DP$2,VLOOKUP($E107-DP$2,'data input'!$D$3:$E$130,2,FALSE),0)</f>
        <v>0</v>
      </c>
      <c r="DQ107" s="5">
        <f>IF($E107&gt;=DQ$2,VLOOKUP($E107-DQ$2,'data input'!$D$3:$E$130,2,FALSE),0)</f>
        <v>0</v>
      </c>
      <c r="DR107" s="5">
        <f>IF($E107&gt;=DR$2,VLOOKUP($E107-DR$2,'data input'!$D$3:$E$130,2,FALSE),0)</f>
        <v>0</v>
      </c>
      <c r="DS107" s="5">
        <f>IF($E107&gt;=DS$2,VLOOKUP($E107-DS$2,'data input'!$D$3:$E$130,2,FALSE),0)</f>
        <v>0</v>
      </c>
      <c r="DT107" s="5">
        <f>IF($E107&gt;=DT$2,VLOOKUP($E107-DT$2,'data input'!$D$3:$E$130,2,FALSE),0)</f>
        <v>0</v>
      </c>
      <c r="DU107" s="5">
        <f>IF($E107&gt;=DU$2,VLOOKUP($E107-DU$2,'data input'!$D$3:$E$130,2,FALSE),0)</f>
        <v>0</v>
      </c>
      <c r="DV107" s="5">
        <f>IF($E107&gt;=DV$2,VLOOKUP($E107-DV$2,'data input'!$D$3:$E$130,2,FALSE),0)</f>
        <v>0</v>
      </c>
      <c r="DW107" s="5">
        <f>IF($E107&gt;=DW$2,VLOOKUP($E107-DW$2,'data input'!$D$3:$E$130,2,FALSE),0)</f>
        <v>0</v>
      </c>
      <c r="DX107" s="5">
        <f>IF($E107&gt;=DX$2,VLOOKUP($E107-DX$2,'data input'!$D$3:$E$130,2,FALSE),0)</f>
        <v>0</v>
      </c>
      <c r="DY107" s="5">
        <f>IF($E107&gt;=DY$2,VLOOKUP($E107-DY$2,'data input'!$D$3:$E$130,2,FALSE),0)</f>
        <v>0</v>
      </c>
      <c r="DZ107" s="5">
        <f>IF($E107&gt;=DZ$2,VLOOKUP($E107-DZ$2,'data input'!$D$3:$E$130,2,FALSE),0)</f>
        <v>0</v>
      </c>
      <c r="EA107" s="5">
        <f>IF($E107&gt;=EA$2,VLOOKUP($E107-EA$2,'data input'!$D$3:$E$130,2,FALSE),0)</f>
        <v>0</v>
      </c>
      <c r="EB107" s="5">
        <f>IF($E107&gt;=EB$2,VLOOKUP($E107-EB$2,'data input'!$D$3:$E$130,2,FALSE),0)</f>
        <v>0</v>
      </c>
      <c r="EC107" s="5">
        <f>IF($E107&gt;=EC$2,VLOOKUP($E107-EC$2,'data input'!$D$3:$E$130,2,FALSE),0)</f>
        <v>0</v>
      </c>
    </row>
    <row r="108" spans="5:133">
      <c r="E108" s="7">
        <f>'data input'!B108</f>
        <v>1983</v>
      </c>
      <c r="F108" s="5">
        <f>IF($E108&gt;=F$2,VLOOKUP($E108-F$2,'data input'!$D$3:$E$130,2,FALSE),0)</f>
        <v>5.4404227556315021E-7</v>
      </c>
      <c r="G108" s="5">
        <f>IF($E108&gt;=G$2,VLOOKUP($E108-G$2,'data input'!$D$3:$E$130,2,FALSE),0)</f>
        <v>7.9332815194899098E-7</v>
      </c>
      <c r="H108" s="5">
        <f>IF($E108&gt;=H$2,VLOOKUP($E108-H$2,'data input'!$D$3:$E$130,2,FALSE),0)</f>
        <v>1.1505767815167545E-6</v>
      </c>
      <c r="I108" s="5">
        <f>IF($E108&gt;=I$2,VLOOKUP($E108-I$2,'data input'!$D$3:$E$130,2,FALSE),0)</f>
        <v>1.6596751443165303E-6</v>
      </c>
      <c r="J108" s="5">
        <f>IF($E108&gt;=J$2,VLOOKUP($E108-J$2,'data input'!$D$3:$E$130,2,FALSE),0)</f>
        <v>2.3810999327800175E-6</v>
      </c>
      <c r="K108" s="5">
        <f>IF($E108&gt;=K$2,VLOOKUP($E108-K$2,'data input'!$D$3:$E$130,2,FALSE),0)</f>
        <v>3.3976731247387093E-6</v>
      </c>
      <c r="L108" s="5">
        <f>IF($E108&gt;=L$2,VLOOKUP($E108-L$2,'data input'!$D$3:$E$130,2,FALSE),0)</f>
        <v>4.8221141606408224E-6</v>
      </c>
      <c r="M108" s="5">
        <f>IF($E108&gt;=M$2,VLOOKUP($E108-M$2,'data input'!$D$3:$E$130,2,FALSE),0)</f>
        <v>6.8068765993745117E-6</v>
      </c>
      <c r="N108" s="5">
        <f>IF($E108&gt;=N$2,VLOOKUP($E108-N$2,'data input'!$D$3:$E$130,2,FALSE),0)</f>
        <v>9.5568647372479276E-6</v>
      </c>
      <c r="O108" s="5">
        <f>IF($E108&gt;=O$2,VLOOKUP($E108-O$2,'data input'!$D$3:$E$130,2,FALSE),0)</f>
        <v>1.3345749015902797E-5</v>
      </c>
      <c r="P108" s="5">
        <f>IF($E108&gt;=P$2,VLOOKUP($E108-P$2,'data input'!$D$3:$E$130,2,FALSE),0)</f>
        <v>1.8536737846241991E-5</v>
      </c>
      <c r="Q108" s="5">
        <f>IF($E108&gt;=Q$2,VLOOKUP($E108-Q$2,'data input'!$D$3:$E$130,2,FALSE),0)</f>
        <v>2.5608816474065321E-5</v>
      </c>
      <c r="R108" s="5">
        <f>IF($E108&gt;=R$2,VLOOKUP($E108-R$2,'data input'!$D$3:$E$130,2,FALSE),0)</f>
        <v>3.5189628065923628E-5</v>
      </c>
      <c r="S108" s="5">
        <f>IF($E108&gt;=S$2,VLOOKUP($E108-S$2,'data input'!$D$3:$E$130,2,FALSE),0)</f>
        <v>4.8096344017589665E-5</v>
      </c>
      <c r="T108" s="5">
        <f>IF($E108&gt;=T$2,VLOOKUP($E108-T$2,'data input'!$D$3:$E$130,2,FALSE),0)</f>
        <v>6.5386043242687819E-5</v>
      </c>
      <c r="U108" s="5">
        <f>IF($E108&gt;=U$2,VLOOKUP($E108-U$2,'data input'!$D$3:$E$130,2,FALSE),0)</f>
        <v>8.841728520081471E-5</v>
      </c>
      <c r="V108" s="5">
        <f>IF($E108&gt;=V$2,VLOOKUP($E108-V$2,'data input'!$D$3:$E$130,2,FALSE),0)</f>
        <v>1.1892470732677296E-4</v>
      </c>
      <c r="W108" s="5">
        <f>IF($E108&gt;=W$2,VLOOKUP($E108-W$2,'data input'!$D$3:$E$130,2,FALSE),0)</f>
        <v>1.5910859015755285E-4</v>
      </c>
      <c r="X108" s="5">
        <f>IF($E108&gt;=X$2,VLOOKUP($E108-X$2,'data input'!$D$3:$E$130,2,FALSE),0)</f>
        <v>2.1174139572344153E-4</v>
      </c>
      <c r="Y108" s="5">
        <f>IF($E108&gt;=Y$2,VLOOKUP($E108-Y$2,'data input'!$D$3:$E$130,2,FALSE),0)</f>
        <v>2.8029327681622362E-4</v>
      </c>
      <c r="Z108" s="5">
        <f>IF($E108&gt;=Z$2,VLOOKUP($E108-Z$2,'data input'!$D$3:$E$130,2,FALSE),0)</f>
        <v>3.6907845427502917E-4</v>
      </c>
      <c r="AA108" s="5">
        <f>IF($E108&gt;=AA$2,VLOOKUP($E108-AA$2,'data input'!$D$3:$E$130,2,FALSE),0)</f>
        <v>4.8342414238378151E-4</v>
      </c>
      <c r="AB108" s="5">
        <f>IF($E108&gt;=AB$2,VLOOKUP($E108-AB$2,'data input'!$D$3:$E$130,2,FALSE),0)</f>
        <v>6.2986334399772748E-4</v>
      </c>
      <c r="AC108" s="5">
        <f>IF($E108&gt;=AC$2,VLOOKUP($E108-AC$2,'data input'!$D$3:$E$130,2,FALSE),0)</f>
        <v>8.1635231282861653E-4</v>
      </c>
      <c r="AD108" s="5">
        <f>IF($E108&gt;=AD$2,VLOOKUP($E108-AD$2,'data input'!$D$3:$E$130,2,FALSE),0)</f>
        <v>1.0525127683760349E-3</v>
      </c>
      <c r="AE108" s="5">
        <f>IF($E108&gt;=AE$2,VLOOKUP($E108-AE$2,'data input'!$D$3:$E$130,2,FALSE),0)</f>
        <v>1.3498980316301035E-3</v>
      </c>
      <c r="AF108" s="5">
        <f>IF($E108&gt;=AF$2,VLOOKUP($E108-AF$2,'data input'!$D$3:$E$130,2,FALSE),0)</f>
        <v>1.7222811158675855E-3</v>
      </c>
      <c r="AG108" s="5">
        <f>IF($E108&gt;=AG$2,VLOOKUP($E108-AG$2,'data input'!$D$3:$E$130,2,FALSE),0)</f>
        <v>2.1859614549132322E-3</v>
      </c>
      <c r="AH108" s="5">
        <f>IF($E108&gt;=AH$2,VLOOKUP($E108-AH$2,'data input'!$D$3:$E$130,2,FALSE),0)</f>
        <v>2.7600853912624901E-3</v>
      </c>
      <c r="AI108" s="5">
        <f>IF($E108&gt;=AI$2,VLOOKUP($E108-AI$2,'data input'!$D$3:$E$130,2,FALSE),0)</f>
        <v>3.4669738030406183E-3</v>
      </c>
      <c r="AJ108" s="5">
        <f>IF($E108&gt;=AJ$2,VLOOKUP($E108-AJ$2,'data input'!$D$3:$E$130,2,FALSE),0)</f>
        <v>4.3324483630126087E-3</v>
      </c>
      <c r="AK108" s="5">
        <f>IF($E108&gt;=AK$2,VLOOKUP($E108-AK$2,'data input'!$D$3:$E$130,2,FALSE),0)</f>
        <v>5.3861459540667234E-3</v>
      </c>
      <c r="AL108" s="5">
        <f>IF($E108&gt;=AL$2,VLOOKUP($E108-AL$2,'data input'!$D$3:$E$130,2,FALSE),0)</f>
        <v>6.6618087919827484E-3</v>
      </c>
      <c r="AM108" s="5">
        <f>IF($E108&gt;=AM$2,VLOOKUP($E108-AM$2,'data input'!$D$3:$E$130,2,FALSE),0)</f>
        <v>8.1975359245961554E-3</v>
      </c>
      <c r="AN108" s="5">
        <f>IF($E108&gt;=AN$2,VLOOKUP($E108-AN$2,'data input'!$D$3:$E$130,2,FALSE),0)</f>
        <v>1.0035980100274067E-2</v>
      </c>
      <c r="AO108" s="5">
        <f>IF($E108&gt;=AO$2,VLOOKUP($E108-AO$2,'data input'!$D$3:$E$130,2,FALSE),0)</f>
        <v>1.2224472655044671E-2</v>
      </c>
      <c r="AP108" s="5">
        <f>IF($E108&gt;=AP$2,VLOOKUP($E108-AP$2,'data input'!$D$3:$E$130,2,FALSE),0)</f>
        <v>1.4815058192609865E-2</v>
      </c>
      <c r="AQ108" s="5">
        <f>IF($E108&gt;=AQ$2,VLOOKUP($E108-AQ$2,'data input'!$D$3:$E$130,2,FALSE),0)</f>
        <v>1.7864420562816563E-2</v>
      </c>
      <c r="AR108" s="5">
        <f>IF($E108&gt;=AR$2,VLOOKUP($E108-AR$2,'data input'!$D$3:$E$130,2,FALSE),0)</f>
        <v>2.1433682114152974E-2</v>
      </c>
      <c r="AS108" s="5">
        <f>IF($E108&gt;=AS$2,VLOOKUP($E108-AS$2,'data input'!$D$3:$E$130,2,FALSE),0)</f>
        <v>2.5588059521638562E-2</v>
      </c>
      <c r="AT108" s="5">
        <f>IF($E108&gt;=AT$2,VLOOKUP($E108-AT$2,'data input'!$D$3:$E$130,2,FALSE),0)</f>
        <v>3.0396361765261393E-2</v>
      </c>
      <c r="AU108" s="5">
        <f>IF($E108&gt;=AU$2,VLOOKUP($E108-AU$2,'data input'!$D$3:$E$130,2,FALSE),0)</f>
        <v>3.5930319112925768E-2</v>
      </c>
      <c r="AV108" s="5">
        <f>IF($E108&gt;=AV$2,VLOOKUP($E108-AV$2,'data input'!$D$3:$E$130,2,FALSE),0)</f>
        <v>4.2263736257952433E-2</v>
      </c>
      <c r="AW108" s="5">
        <f>IF($E108&gt;=AW$2,VLOOKUP($E108-AW$2,'data input'!$D$3:$E$130,2,FALSE),0)</f>
        <v>4.9471468033648103E-2</v>
      </c>
      <c r="AX108" s="5">
        <f>IF($E108&gt;=AX$2,VLOOKUP($E108-AX$2,'data input'!$D$3:$E$130,2,FALSE),0)</f>
        <v>5.7628222276153163E-2</v>
      </c>
      <c r="AY108" s="5">
        <f>IF($E108&gt;=AY$2,VLOOKUP($E108-AY$2,'data input'!$D$3:$E$130,2,FALSE),0)</f>
        <v>6.6807201268858085E-2</v>
      </c>
      <c r="AZ108" s="5">
        <f>IF($E108&gt;=AZ$2,VLOOKUP($E108-AZ$2,'data input'!$D$3:$E$130,2,FALSE),0)</f>
        <v>7.707860055207183E-2</v>
      </c>
      <c r="BA108" s="5">
        <f>IF($E108&gt;=BA$2,VLOOKUP($E108-BA$2,'data input'!$D$3:$E$130,2,FALSE),0)</f>
        <v>8.8507991437402067E-2</v>
      </c>
      <c r="BB108" s="5">
        <f>IF($E108&gt;=BB$2,VLOOKUP($E108-BB$2,'data input'!$D$3:$E$130,2,FALSE),0)</f>
        <v>0.10115462099558592</v>
      </c>
      <c r="BC108" s="5">
        <f>IF($E108&gt;=BC$2,VLOOKUP($E108-BC$2,'data input'!$D$3:$E$130,2,FALSE),0)</f>
        <v>0.11506967022170822</v>
      </c>
      <c r="BD108" s="5">
        <f>IF($E108&gt;=BD$2,VLOOKUP($E108-BD$2,'data input'!$D$3:$E$130,2,FALSE),0)</f>
        <v>0.13029451713680884</v>
      </c>
      <c r="BE108" s="5">
        <f>IF($E108&gt;=BE$2,VLOOKUP($E108-BE$2,'data input'!$D$3:$E$130,2,FALSE),0)</f>
        <v>0.14685905637589591</v>
      </c>
      <c r="BF108" s="5">
        <f>IF($E108&gt;=BF$2,VLOOKUP($E108-BF$2,'data input'!$D$3:$E$130,2,FALSE),0)</f>
        <v>0.16478012998031033</v>
      </c>
      <c r="BG108" s="5">
        <f>IF($E108&gt;=BG$2,VLOOKUP($E108-BG$2,'data input'!$D$3:$E$130,2,FALSE),0)</f>
        <v>0.18406012534675953</v>
      </c>
      <c r="BH108" s="5">
        <f>IF($E108&gt;=BH$2,VLOOKUP($E108-BH$2,'data input'!$D$3:$E$130,2,FALSE),0)</f>
        <v>0.20468579534725262</v>
      </c>
      <c r="BI108" s="5">
        <f>IF($E108&gt;=BI$2,VLOOKUP($E108-BI$2,'data input'!$D$3:$E$130,2,FALSE),0)</f>
        <v>0.22662735237686826</v>
      </c>
      <c r="BJ108" s="5">
        <f>IF($E108&gt;=BJ$2,VLOOKUP($E108-BJ$2,'data input'!$D$3:$E$130,2,FALSE),0)</f>
        <v>0.24983788247177696</v>
      </c>
      <c r="BK108" s="5">
        <f>IF($E108&gt;=BK$2,VLOOKUP($E108-BK$2,'data input'!$D$3:$E$130,2,FALSE),0)</f>
        <v>0.27425311775007355</v>
      </c>
      <c r="BL108" s="5">
        <f>IF($E108&gt;=BL$2,VLOOKUP($E108-BL$2,'data input'!$D$3:$E$130,2,FALSE),0)</f>
        <v>0.29979159546869583</v>
      </c>
      <c r="BM108" s="5">
        <f>IF($E108&gt;=BM$2,VLOOKUP($E108-BM$2,'data input'!$D$3:$E$130,2,FALSE),0)</f>
        <v>0.32635522028792008</v>
      </c>
      <c r="BN108" s="5">
        <f>IF($E108&gt;=BN$2,VLOOKUP($E108-BN$2,'data input'!$D$3:$E$130,2,FALSE),0)</f>
        <v>0.35383023332727614</v>
      </c>
      <c r="BO108" s="5">
        <f>IF($E108&gt;=BO$2,VLOOKUP($E108-BO$2,'data input'!$D$3:$E$130,2,FALSE),0)</f>
        <v>0.38208857781104733</v>
      </c>
      <c r="BP108" s="5">
        <f>IF($E108&gt;=BP$2,VLOOKUP($E108-BP$2,'data input'!$D$3:$E$130,2,FALSE),0)</f>
        <v>0.41098963713127035</v>
      </c>
      <c r="BQ108" s="5">
        <f>IF($E108&gt;=BQ$2,VLOOKUP($E108-BQ$2,'data input'!$D$3:$E$130,2,FALSE),0)</f>
        <v>0.4403823076297575</v>
      </c>
      <c r="BR108" s="5">
        <f>IF($E108&gt;=BR$2,VLOOKUP($E108-BR$2,'data input'!$D$3:$E$130,2,FALSE),0)</f>
        <v>0.47010735594710518</v>
      </c>
      <c r="BS108" s="5">
        <f>IF($E108&gt;=BS$2,VLOOKUP($E108-BS$2,'data input'!$D$3:$E$130,2,FALSE),0)</f>
        <v>0.5</v>
      </c>
      <c r="BT108" s="5">
        <f>IF($E108&gt;=BT$2,VLOOKUP($E108-BT$2,'data input'!$D$3:$E$130,2,FALSE),0)</f>
        <v>0.52989264405289482</v>
      </c>
      <c r="BU108" s="5">
        <f>IF($E108&gt;=BU$2,VLOOKUP($E108-BU$2,'data input'!$D$3:$E$130,2,FALSE),0)</f>
        <v>0.5596176923702425</v>
      </c>
      <c r="BV108" s="5">
        <f>IF($E108&gt;=BV$2,VLOOKUP($E108-BV$2,'data input'!$D$3:$E$130,2,FALSE),0)</f>
        <v>0.58901036286872965</v>
      </c>
      <c r="BW108" s="5">
        <f>IF($E108&gt;=BW$2,VLOOKUP($E108-BW$2,'data input'!$D$3:$E$130,2,FALSE),0)</f>
        <v>0.61791142218895267</v>
      </c>
      <c r="BX108" s="5">
        <f>IF($E108&gt;=BX$2,VLOOKUP($E108-BX$2,'data input'!$D$3:$E$130,2,FALSE),0)</f>
        <v>0.64616976667272386</v>
      </c>
      <c r="BY108" s="5">
        <f>IF($E108&gt;=BY$2,VLOOKUP($E108-BY$2,'data input'!$D$3:$E$130,2,FALSE),0)</f>
        <v>0.67364477971207992</v>
      </c>
      <c r="BZ108" s="5">
        <f>IF($E108&gt;=BZ$2,VLOOKUP($E108-BZ$2,'data input'!$D$3:$E$130,2,FALSE),0)</f>
        <v>0.70020840453130417</v>
      </c>
      <c r="CA108" s="5">
        <f>IF($E108&gt;=CA$2,VLOOKUP($E108-CA$2,'data input'!$D$3:$E$130,2,FALSE),0)</f>
        <v>0.72574688224992645</v>
      </c>
      <c r="CB108" s="5">
        <f>IF($E108&gt;=CB$2,VLOOKUP($E108-CB$2,'data input'!$D$3:$E$130,2,FALSE),0)</f>
        <v>0.75016211752822304</v>
      </c>
      <c r="CC108" s="5">
        <f>IF($E108&gt;=CC$2,VLOOKUP($E108-CC$2,'data input'!$D$3:$E$130,2,FALSE),0)</f>
        <v>0.77337264762313174</v>
      </c>
      <c r="CD108" s="5">
        <f>IF($E108&gt;=CD$2,VLOOKUP($E108-CD$2,'data input'!$D$3:$E$130,2,FALSE),0)</f>
        <v>0.79531420465274738</v>
      </c>
      <c r="CE108" s="5">
        <f>IF($E108&gt;=CE$2,VLOOKUP($E108-CE$2,'data input'!$D$3:$E$130,2,FALSE),0)</f>
        <v>0.81593987465324047</v>
      </c>
      <c r="CF108" s="5">
        <f>IF($E108&gt;=CF$2,VLOOKUP($E108-CF$2,'data input'!$D$3:$E$130,2,FALSE),0)</f>
        <v>0.83521987001968967</v>
      </c>
      <c r="CG108" s="5">
        <f>IF($E108&gt;=CG$2,VLOOKUP($E108-CG$2,'data input'!$D$3:$E$130,2,FALSE),0)</f>
        <v>0.85314094362410409</v>
      </c>
      <c r="CH108" s="5">
        <f>IF($E108&gt;=CH$2,VLOOKUP($E108-CH$2,'data input'!$D$3:$E$130,2,FALSE),0)</f>
        <v>0.86970548286319116</v>
      </c>
      <c r="CI108" s="5">
        <f>IF($E108&gt;=CI$2,VLOOKUP($E108-CI$2,'data input'!$D$3:$E$130,2,FALSE),0)</f>
        <v>0.88493032977829178</v>
      </c>
      <c r="CJ108" s="5">
        <f>IF($E108&gt;=CJ$2,VLOOKUP($E108-CJ$2,'data input'!$D$3:$E$130,2,FALSE),0)</f>
        <v>0.89884537900441408</v>
      </c>
      <c r="CK108" s="5">
        <f>IF($E108&gt;=CK$2,VLOOKUP($E108-CK$2,'data input'!$D$3:$E$130,2,FALSE),0)</f>
        <v>0.91149200856259793</v>
      </c>
      <c r="CL108" s="5">
        <f>IF($E108&gt;=CL$2,VLOOKUP($E108-CL$2,'data input'!$D$3:$E$130,2,FALSE),0)</f>
        <v>0.92292139944792817</v>
      </c>
      <c r="CM108" s="5">
        <f>IF($E108&gt;=CM$2,VLOOKUP($E108-CM$2,'data input'!$D$3:$E$130,2,FALSE),0)</f>
        <v>0.93319279873114191</v>
      </c>
      <c r="CN108" s="5">
        <f>IF($E108&gt;=CN$2,VLOOKUP($E108-CN$2,'data input'!$D$3:$E$130,2,FALSE),0)</f>
        <v>0.94237177772384684</v>
      </c>
      <c r="CO108" s="5">
        <f>IF($E108&gt;=CO$2,VLOOKUP($E108-CO$2,'data input'!$D$3:$E$130,2,FALSE),0)</f>
        <v>0.9505285319663519</v>
      </c>
      <c r="CP108" s="5">
        <f>IF($E108&gt;=CP$2,VLOOKUP($E108-CP$2,'data input'!$D$3:$E$130,2,FALSE),0)</f>
        <v>0.95773626374204757</v>
      </c>
      <c r="CQ108" s="5">
        <f>IF($E108&gt;=CQ$2,VLOOKUP($E108-CQ$2,'data input'!$D$3:$E$130,2,FALSE),0)</f>
        <v>0.96406968088707423</v>
      </c>
      <c r="CR108" s="5">
        <f>IF($E108&gt;=CR$2,VLOOKUP($E108-CR$2,'data input'!$D$3:$E$130,2,FALSE),0)</f>
        <v>0.96960363823473861</v>
      </c>
      <c r="CS108" s="5">
        <f>IF($E108&gt;=CS$2,VLOOKUP($E108-CS$2,'data input'!$D$3:$E$130,2,FALSE),0)</f>
        <v>0.97441194047836144</v>
      </c>
      <c r="CT108" s="5">
        <f>IF($E108&gt;=CT$2,VLOOKUP($E108-CT$2,'data input'!$D$3:$E$130,2,FALSE),0)</f>
        <v>0.97856631788584703</v>
      </c>
      <c r="CU108" s="5">
        <f>IF($E108&gt;=CU$2,VLOOKUP($E108-CU$2,'data input'!$D$3:$E$130,2,FALSE),0)</f>
        <v>0.98213557943718344</v>
      </c>
      <c r="CV108" s="5">
        <f>IF($E108&gt;=CV$2,VLOOKUP($E108-CV$2,'data input'!$D$3:$E$130,2,FALSE),0)</f>
        <v>0.98518494180739014</v>
      </c>
      <c r="CW108" s="5">
        <f>IF($E108&gt;=CW$2,VLOOKUP($E108-CW$2,'data input'!$D$3:$E$130,2,FALSE),0)</f>
        <v>0.98777552734495533</v>
      </c>
      <c r="CX108" s="5">
        <f>IF($E108&gt;=CX$2,VLOOKUP($E108-CX$2,'data input'!$D$3:$E$130,2,FALSE),0)</f>
        <v>0.98996401989972593</v>
      </c>
      <c r="CY108" s="5">
        <f>IF($E108&gt;=CY$2,VLOOKUP($E108-CY$2,'data input'!$D$3:$E$130,2,FALSE),0)</f>
        <v>0.99180246407540384</v>
      </c>
      <c r="CZ108" s="5">
        <f>IF($E108&gt;=CZ$2,VLOOKUP($E108-CZ$2,'data input'!$D$3:$E$130,2,FALSE),0)</f>
        <v>0.99333819120801725</v>
      </c>
      <c r="DA108" s="5">
        <f>IF($E108&gt;=DA$2,VLOOKUP($E108-DA$2,'data input'!$D$3:$E$130,2,FALSE),0)</f>
        <v>0.99461385404593328</v>
      </c>
      <c r="DB108" s="5">
        <f>IF($E108&gt;=DB$2,VLOOKUP($E108-DB$2,'data input'!$D$3:$E$130,2,FALSE),0)</f>
        <v>0.99566755163698739</v>
      </c>
      <c r="DC108" s="5">
        <f>IF($E108&gt;=DC$2,VLOOKUP($E108-DC$2,'data input'!$D$3:$E$130,2,FALSE),0)</f>
        <v>0.99653302619695938</v>
      </c>
      <c r="DD108" s="5">
        <f>IF($E108&gt;=DD$2,VLOOKUP($E108-DD$2,'data input'!$D$3:$E$130,2,FALSE),0)</f>
        <v>0.99723991460873751</v>
      </c>
      <c r="DE108" s="5">
        <f>IF($E108&gt;=DE$2,VLOOKUP($E108-DE$2,'data input'!$D$3:$E$130,2,FALSE),0)</f>
        <v>0.99781403854508677</v>
      </c>
      <c r="DF108" s="5">
        <f>IF($E108&gt;=DF$2,VLOOKUP($E108-DF$2,'data input'!$D$3:$E$130,2,FALSE),0)</f>
        <v>0.99827771888413241</v>
      </c>
      <c r="DG108" s="5">
        <f>IF($E108&gt;=DG$2,VLOOKUP($E108-DG$2,'data input'!$D$3:$E$130,2,FALSE),0)</f>
        <v>0.9986501019683699</v>
      </c>
      <c r="DH108" s="5">
        <f>IF($E108&gt;=DH$2,VLOOKUP($E108-DH$2,'data input'!$D$3:$E$130,2,FALSE),0)</f>
        <v>0</v>
      </c>
      <c r="DI108" s="5">
        <f>IF($E108&gt;=DI$2,VLOOKUP($E108-DI$2,'data input'!$D$3:$E$130,2,FALSE),0)</f>
        <v>0</v>
      </c>
      <c r="DJ108" s="5">
        <f>IF($E108&gt;=DJ$2,VLOOKUP($E108-DJ$2,'data input'!$D$3:$E$130,2,FALSE),0)</f>
        <v>0</v>
      </c>
      <c r="DK108" s="5">
        <f>IF($E108&gt;=DK$2,VLOOKUP($E108-DK$2,'data input'!$D$3:$E$130,2,FALSE),0)</f>
        <v>0</v>
      </c>
      <c r="DL108" s="5">
        <f>IF($E108&gt;=DL$2,VLOOKUP($E108-DL$2,'data input'!$D$3:$E$130,2,FALSE),0)</f>
        <v>0</v>
      </c>
      <c r="DM108" s="5">
        <f>IF($E108&gt;=DM$2,VLOOKUP($E108-DM$2,'data input'!$D$3:$E$130,2,FALSE),0)</f>
        <v>0</v>
      </c>
      <c r="DN108" s="5">
        <f>IF($E108&gt;=DN$2,VLOOKUP($E108-DN$2,'data input'!$D$3:$E$130,2,FALSE),0)</f>
        <v>0</v>
      </c>
      <c r="DO108" s="5">
        <f>IF($E108&gt;=DO$2,VLOOKUP($E108-DO$2,'data input'!$D$3:$E$130,2,FALSE),0)</f>
        <v>0</v>
      </c>
      <c r="DP108" s="5">
        <f>IF($E108&gt;=DP$2,VLOOKUP($E108-DP$2,'data input'!$D$3:$E$130,2,FALSE),0)</f>
        <v>0</v>
      </c>
      <c r="DQ108" s="5">
        <f>IF($E108&gt;=DQ$2,VLOOKUP($E108-DQ$2,'data input'!$D$3:$E$130,2,FALSE),0)</f>
        <v>0</v>
      </c>
      <c r="DR108" s="5">
        <f>IF($E108&gt;=DR$2,VLOOKUP($E108-DR$2,'data input'!$D$3:$E$130,2,FALSE),0)</f>
        <v>0</v>
      </c>
      <c r="DS108" s="5">
        <f>IF($E108&gt;=DS$2,VLOOKUP($E108-DS$2,'data input'!$D$3:$E$130,2,FALSE),0)</f>
        <v>0</v>
      </c>
      <c r="DT108" s="5">
        <f>IF($E108&gt;=DT$2,VLOOKUP($E108-DT$2,'data input'!$D$3:$E$130,2,FALSE),0)</f>
        <v>0</v>
      </c>
      <c r="DU108" s="5">
        <f>IF($E108&gt;=DU$2,VLOOKUP($E108-DU$2,'data input'!$D$3:$E$130,2,FALSE),0)</f>
        <v>0</v>
      </c>
      <c r="DV108" s="5">
        <f>IF($E108&gt;=DV$2,VLOOKUP($E108-DV$2,'data input'!$D$3:$E$130,2,FALSE),0)</f>
        <v>0</v>
      </c>
      <c r="DW108" s="5">
        <f>IF($E108&gt;=DW$2,VLOOKUP($E108-DW$2,'data input'!$D$3:$E$130,2,FALSE),0)</f>
        <v>0</v>
      </c>
      <c r="DX108" s="5">
        <f>IF($E108&gt;=DX$2,VLOOKUP($E108-DX$2,'data input'!$D$3:$E$130,2,FALSE),0)</f>
        <v>0</v>
      </c>
      <c r="DY108" s="5">
        <f>IF($E108&gt;=DY$2,VLOOKUP($E108-DY$2,'data input'!$D$3:$E$130,2,FALSE),0)</f>
        <v>0</v>
      </c>
      <c r="DZ108" s="5">
        <f>IF($E108&gt;=DZ$2,VLOOKUP($E108-DZ$2,'data input'!$D$3:$E$130,2,FALSE),0)</f>
        <v>0</v>
      </c>
      <c r="EA108" s="5">
        <f>IF($E108&gt;=EA$2,VLOOKUP($E108-EA$2,'data input'!$D$3:$E$130,2,FALSE),0)</f>
        <v>0</v>
      </c>
      <c r="EB108" s="5">
        <f>IF($E108&gt;=EB$2,VLOOKUP($E108-EB$2,'data input'!$D$3:$E$130,2,FALSE),0)</f>
        <v>0</v>
      </c>
      <c r="EC108" s="5">
        <f>IF($E108&gt;=EC$2,VLOOKUP($E108-EC$2,'data input'!$D$3:$E$130,2,FALSE),0)</f>
        <v>0</v>
      </c>
    </row>
    <row r="109" spans="5:133">
      <c r="E109" s="7">
        <f>'data input'!B109</f>
        <v>1984</v>
      </c>
      <c r="F109" s="5">
        <f>IF($E109&gt;=F$2,VLOOKUP($E109-F$2,'data input'!$D$3:$E$130,2,FALSE),0)</f>
        <v>3.7106740791159609E-7</v>
      </c>
      <c r="G109" s="5">
        <f>IF($E109&gt;=G$2,VLOOKUP($E109-G$2,'data input'!$D$3:$E$130,2,FALSE),0)</f>
        <v>5.4404227556315021E-7</v>
      </c>
      <c r="H109" s="5">
        <f>IF($E109&gt;=H$2,VLOOKUP($E109-H$2,'data input'!$D$3:$E$130,2,FALSE),0)</f>
        <v>7.9332815194899098E-7</v>
      </c>
      <c r="I109" s="5">
        <f>IF($E109&gt;=I$2,VLOOKUP($E109-I$2,'data input'!$D$3:$E$130,2,FALSE),0)</f>
        <v>1.1505767815167545E-6</v>
      </c>
      <c r="J109" s="5">
        <f>IF($E109&gt;=J$2,VLOOKUP($E109-J$2,'data input'!$D$3:$E$130,2,FALSE),0)</f>
        <v>1.6596751443165303E-6</v>
      </c>
      <c r="K109" s="5">
        <f>IF($E109&gt;=K$2,VLOOKUP($E109-K$2,'data input'!$D$3:$E$130,2,FALSE),0)</f>
        <v>2.3810999327800175E-6</v>
      </c>
      <c r="L109" s="5">
        <f>IF($E109&gt;=L$2,VLOOKUP($E109-L$2,'data input'!$D$3:$E$130,2,FALSE),0)</f>
        <v>3.3976731247387093E-6</v>
      </c>
      <c r="M109" s="5">
        <f>IF($E109&gt;=M$2,VLOOKUP($E109-M$2,'data input'!$D$3:$E$130,2,FALSE),0)</f>
        <v>4.8221141606408224E-6</v>
      </c>
      <c r="N109" s="5">
        <f>IF($E109&gt;=N$2,VLOOKUP($E109-N$2,'data input'!$D$3:$E$130,2,FALSE),0)</f>
        <v>6.8068765993745117E-6</v>
      </c>
      <c r="O109" s="5">
        <f>IF($E109&gt;=O$2,VLOOKUP($E109-O$2,'data input'!$D$3:$E$130,2,FALSE),0)</f>
        <v>9.5568647372479276E-6</v>
      </c>
      <c r="P109" s="5">
        <f>IF($E109&gt;=P$2,VLOOKUP($E109-P$2,'data input'!$D$3:$E$130,2,FALSE),0)</f>
        <v>1.3345749015902797E-5</v>
      </c>
      <c r="Q109" s="5">
        <f>IF($E109&gt;=Q$2,VLOOKUP($E109-Q$2,'data input'!$D$3:$E$130,2,FALSE),0)</f>
        <v>1.8536737846241991E-5</v>
      </c>
      <c r="R109" s="5">
        <f>IF($E109&gt;=R$2,VLOOKUP($E109-R$2,'data input'!$D$3:$E$130,2,FALSE),0)</f>
        <v>2.5608816474065321E-5</v>
      </c>
      <c r="S109" s="5">
        <f>IF($E109&gt;=S$2,VLOOKUP($E109-S$2,'data input'!$D$3:$E$130,2,FALSE),0)</f>
        <v>3.5189628065923628E-5</v>
      </c>
      <c r="T109" s="5">
        <f>IF($E109&gt;=T$2,VLOOKUP($E109-T$2,'data input'!$D$3:$E$130,2,FALSE),0)</f>
        <v>4.8096344017589665E-5</v>
      </c>
      <c r="U109" s="5">
        <f>IF($E109&gt;=U$2,VLOOKUP($E109-U$2,'data input'!$D$3:$E$130,2,FALSE),0)</f>
        <v>6.5386043242687819E-5</v>
      </c>
      <c r="V109" s="5">
        <f>IF($E109&gt;=V$2,VLOOKUP($E109-V$2,'data input'!$D$3:$E$130,2,FALSE),0)</f>
        <v>8.841728520081471E-5</v>
      </c>
      <c r="W109" s="5">
        <f>IF($E109&gt;=W$2,VLOOKUP($E109-W$2,'data input'!$D$3:$E$130,2,FALSE),0)</f>
        <v>1.1892470732677296E-4</v>
      </c>
      <c r="X109" s="5">
        <f>IF($E109&gt;=X$2,VLOOKUP($E109-X$2,'data input'!$D$3:$E$130,2,FALSE),0)</f>
        <v>1.5910859015755285E-4</v>
      </c>
      <c r="Y109" s="5">
        <f>IF($E109&gt;=Y$2,VLOOKUP($E109-Y$2,'data input'!$D$3:$E$130,2,FALSE),0)</f>
        <v>2.1174139572344153E-4</v>
      </c>
      <c r="Z109" s="5">
        <f>IF($E109&gt;=Z$2,VLOOKUP($E109-Z$2,'data input'!$D$3:$E$130,2,FALSE),0)</f>
        <v>2.8029327681622362E-4</v>
      </c>
      <c r="AA109" s="5">
        <f>IF($E109&gt;=AA$2,VLOOKUP($E109-AA$2,'data input'!$D$3:$E$130,2,FALSE),0)</f>
        <v>3.6907845427502917E-4</v>
      </c>
      <c r="AB109" s="5">
        <f>IF($E109&gt;=AB$2,VLOOKUP($E109-AB$2,'data input'!$D$3:$E$130,2,FALSE),0)</f>
        <v>4.8342414238378151E-4</v>
      </c>
      <c r="AC109" s="5">
        <f>IF($E109&gt;=AC$2,VLOOKUP($E109-AC$2,'data input'!$D$3:$E$130,2,FALSE),0)</f>
        <v>6.2986334399772748E-4</v>
      </c>
      <c r="AD109" s="5">
        <f>IF($E109&gt;=AD$2,VLOOKUP($E109-AD$2,'data input'!$D$3:$E$130,2,FALSE),0)</f>
        <v>8.1635231282861653E-4</v>
      </c>
      <c r="AE109" s="5">
        <f>IF($E109&gt;=AE$2,VLOOKUP($E109-AE$2,'data input'!$D$3:$E$130,2,FALSE),0)</f>
        <v>1.0525127683760349E-3</v>
      </c>
      <c r="AF109" s="5">
        <f>IF($E109&gt;=AF$2,VLOOKUP($E109-AF$2,'data input'!$D$3:$E$130,2,FALSE),0)</f>
        <v>1.3498980316301035E-3</v>
      </c>
      <c r="AG109" s="5">
        <f>IF($E109&gt;=AG$2,VLOOKUP($E109-AG$2,'data input'!$D$3:$E$130,2,FALSE),0)</f>
        <v>1.7222811158675855E-3</v>
      </c>
      <c r="AH109" s="5">
        <f>IF($E109&gt;=AH$2,VLOOKUP($E109-AH$2,'data input'!$D$3:$E$130,2,FALSE),0)</f>
        <v>2.1859614549132322E-3</v>
      </c>
      <c r="AI109" s="5">
        <f>IF($E109&gt;=AI$2,VLOOKUP($E109-AI$2,'data input'!$D$3:$E$130,2,FALSE),0)</f>
        <v>2.7600853912624901E-3</v>
      </c>
      <c r="AJ109" s="5">
        <f>IF($E109&gt;=AJ$2,VLOOKUP($E109-AJ$2,'data input'!$D$3:$E$130,2,FALSE),0)</f>
        <v>3.4669738030406183E-3</v>
      </c>
      <c r="AK109" s="5">
        <f>IF($E109&gt;=AK$2,VLOOKUP($E109-AK$2,'data input'!$D$3:$E$130,2,FALSE),0)</f>
        <v>4.3324483630126087E-3</v>
      </c>
      <c r="AL109" s="5">
        <f>IF($E109&gt;=AL$2,VLOOKUP($E109-AL$2,'data input'!$D$3:$E$130,2,FALSE),0)</f>
        <v>5.3861459540667234E-3</v>
      </c>
      <c r="AM109" s="5">
        <f>IF($E109&gt;=AM$2,VLOOKUP($E109-AM$2,'data input'!$D$3:$E$130,2,FALSE),0)</f>
        <v>6.6618087919827484E-3</v>
      </c>
      <c r="AN109" s="5">
        <f>IF($E109&gt;=AN$2,VLOOKUP($E109-AN$2,'data input'!$D$3:$E$130,2,FALSE),0)</f>
        <v>8.1975359245961554E-3</v>
      </c>
      <c r="AO109" s="5">
        <f>IF($E109&gt;=AO$2,VLOOKUP($E109-AO$2,'data input'!$D$3:$E$130,2,FALSE),0)</f>
        <v>1.0035980100274067E-2</v>
      </c>
      <c r="AP109" s="5">
        <f>IF($E109&gt;=AP$2,VLOOKUP($E109-AP$2,'data input'!$D$3:$E$130,2,FALSE),0)</f>
        <v>1.2224472655044671E-2</v>
      </c>
      <c r="AQ109" s="5">
        <f>IF($E109&gt;=AQ$2,VLOOKUP($E109-AQ$2,'data input'!$D$3:$E$130,2,FALSE),0)</f>
        <v>1.4815058192609865E-2</v>
      </c>
      <c r="AR109" s="5">
        <f>IF($E109&gt;=AR$2,VLOOKUP($E109-AR$2,'data input'!$D$3:$E$130,2,FALSE),0)</f>
        <v>1.7864420562816563E-2</v>
      </c>
      <c r="AS109" s="5">
        <f>IF($E109&gt;=AS$2,VLOOKUP($E109-AS$2,'data input'!$D$3:$E$130,2,FALSE),0)</f>
        <v>2.1433682114152974E-2</v>
      </c>
      <c r="AT109" s="5">
        <f>IF($E109&gt;=AT$2,VLOOKUP($E109-AT$2,'data input'!$D$3:$E$130,2,FALSE),0)</f>
        <v>2.5588059521638562E-2</v>
      </c>
      <c r="AU109" s="5">
        <f>IF($E109&gt;=AU$2,VLOOKUP($E109-AU$2,'data input'!$D$3:$E$130,2,FALSE),0)</f>
        <v>3.0396361765261393E-2</v>
      </c>
      <c r="AV109" s="5">
        <f>IF($E109&gt;=AV$2,VLOOKUP($E109-AV$2,'data input'!$D$3:$E$130,2,FALSE),0)</f>
        <v>3.5930319112925768E-2</v>
      </c>
      <c r="AW109" s="5">
        <f>IF($E109&gt;=AW$2,VLOOKUP($E109-AW$2,'data input'!$D$3:$E$130,2,FALSE),0)</f>
        <v>4.2263736257952433E-2</v>
      </c>
      <c r="AX109" s="5">
        <f>IF($E109&gt;=AX$2,VLOOKUP($E109-AX$2,'data input'!$D$3:$E$130,2,FALSE),0)</f>
        <v>4.9471468033648103E-2</v>
      </c>
      <c r="AY109" s="5">
        <f>IF($E109&gt;=AY$2,VLOOKUP($E109-AY$2,'data input'!$D$3:$E$130,2,FALSE),0)</f>
        <v>5.7628222276153163E-2</v>
      </c>
      <c r="AZ109" s="5">
        <f>IF($E109&gt;=AZ$2,VLOOKUP($E109-AZ$2,'data input'!$D$3:$E$130,2,FALSE),0)</f>
        <v>6.6807201268858085E-2</v>
      </c>
      <c r="BA109" s="5">
        <f>IF($E109&gt;=BA$2,VLOOKUP($E109-BA$2,'data input'!$D$3:$E$130,2,FALSE),0)</f>
        <v>7.707860055207183E-2</v>
      </c>
      <c r="BB109" s="5">
        <f>IF($E109&gt;=BB$2,VLOOKUP($E109-BB$2,'data input'!$D$3:$E$130,2,FALSE),0)</f>
        <v>8.8507991437402067E-2</v>
      </c>
      <c r="BC109" s="5">
        <f>IF($E109&gt;=BC$2,VLOOKUP($E109-BC$2,'data input'!$D$3:$E$130,2,FALSE),0)</f>
        <v>0.10115462099558592</v>
      </c>
      <c r="BD109" s="5">
        <f>IF($E109&gt;=BD$2,VLOOKUP($E109-BD$2,'data input'!$D$3:$E$130,2,FALSE),0)</f>
        <v>0.11506967022170822</v>
      </c>
      <c r="BE109" s="5">
        <f>IF($E109&gt;=BE$2,VLOOKUP($E109-BE$2,'data input'!$D$3:$E$130,2,FALSE),0)</f>
        <v>0.13029451713680884</v>
      </c>
      <c r="BF109" s="5">
        <f>IF($E109&gt;=BF$2,VLOOKUP($E109-BF$2,'data input'!$D$3:$E$130,2,FALSE),0)</f>
        <v>0.14685905637589591</v>
      </c>
      <c r="BG109" s="5">
        <f>IF($E109&gt;=BG$2,VLOOKUP($E109-BG$2,'data input'!$D$3:$E$130,2,FALSE),0)</f>
        <v>0.16478012998031033</v>
      </c>
      <c r="BH109" s="5">
        <f>IF($E109&gt;=BH$2,VLOOKUP($E109-BH$2,'data input'!$D$3:$E$130,2,FALSE),0)</f>
        <v>0.18406012534675953</v>
      </c>
      <c r="BI109" s="5">
        <f>IF($E109&gt;=BI$2,VLOOKUP($E109-BI$2,'data input'!$D$3:$E$130,2,FALSE),0)</f>
        <v>0.20468579534725262</v>
      </c>
      <c r="BJ109" s="5">
        <f>IF($E109&gt;=BJ$2,VLOOKUP($E109-BJ$2,'data input'!$D$3:$E$130,2,FALSE),0)</f>
        <v>0.22662735237686826</v>
      </c>
      <c r="BK109" s="5">
        <f>IF($E109&gt;=BK$2,VLOOKUP($E109-BK$2,'data input'!$D$3:$E$130,2,FALSE),0)</f>
        <v>0.24983788247177696</v>
      </c>
      <c r="BL109" s="5">
        <f>IF($E109&gt;=BL$2,VLOOKUP($E109-BL$2,'data input'!$D$3:$E$130,2,FALSE),0)</f>
        <v>0.27425311775007355</v>
      </c>
      <c r="BM109" s="5">
        <f>IF($E109&gt;=BM$2,VLOOKUP($E109-BM$2,'data input'!$D$3:$E$130,2,FALSE),0)</f>
        <v>0.29979159546869583</v>
      </c>
      <c r="BN109" s="5">
        <f>IF($E109&gt;=BN$2,VLOOKUP($E109-BN$2,'data input'!$D$3:$E$130,2,FALSE),0)</f>
        <v>0.32635522028792008</v>
      </c>
      <c r="BO109" s="5">
        <f>IF($E109&gt;=BO$2,VLOOKUP($E109-BO$2,'data input'!$D$3:$E$130,2,FALSE),0)</f>
        <v>0.35383023332727614</v>
      </c>
      <c r="BP109" s="5">
        <f>IF($E109&gt;=BP$2,VLOOKUP($E109-BP$2,'data input'!$D$3:$E$130,2,FALSE),0)</f>
        <v>0.38208857781104733</v>
      </c>
      <c r="BQ109" s="5">
        <f>IF($E109&gt;=BQ$2,VLOOKUP($E109-BQ$2,'data input'!$D$3:$E$130,2,FALSE),0)</f>
        <v>0.41098963713127035</v>
      </c>
      <c r="BR109" s="5">
        <f>IF($E109&gt;=BR$2,VLOOKUP($E109-BR$2,'data input'!$D$3:$E$130,2,FALSE),0)</f>
        <v>0.4403823076297575</v>
      </c>
      <c r="BS109" s="5">
        <f>IF($E109&gt;=BS$2,VLOOKUP($E109-BS$2,'data input'!$D$3:$E$130,2,FALSE),0)</f>
        <v>0.47010735594710518</v>
      </c>
      <c r="BT109" s="5">
        <f>IF($E109&gt;=BT$2,VLOOKUP($E109-BT$2,'data input'!$D$3:$E$130,2,FALSE),0)</f>
        <v>0.5</v>
      </c>
      <c r="BU109" s="5">
        <f>IF($E109&gt;=BU$2,VLOOKUP($E109-BU$2,'data input'!$D$3:$E$130,2,FALSE),0)</f>
        <v>0.52989264405289482</v>
      </c>
      <c r="BV109" s="5">
        <f>IF($E109&gt;=BV$2,VLOOKUP($E109-BV$2,'data input'!$D$3:$E$130,2,FALSE),0)</f>
        <v>0.5596176923702425</v>
      </c>
      <c r="BW109" s="5">
        <f>IF($E109&gt;=BW$2,VLOOKUP($E109-BW$2,'data input'!$D$3:$E$130,2,FALSE),0)</f>
        <v>0.58901036286872965</v>
      </c>
      <c r="BX109" s="5">
        <f>IF($E109&gt;=BX$2,VLOOKUP($E109-BX$2,'data input'!$D$3:$E$130,2,FALSE),0)</f>
        <v>0.61791142218895267</v>
      </c>
      <c r="BY109" s="5">
        <f>IF($E109&gt;=BY$2,VLOOKUP($E109-BY$2,'data input'!$D$3:$E$130,2,FALSE),0)</f>
        <v>0.64616976667272386</v>
      </c>
      <c r="BZ109" s="5">
        <f>IF($E109&gt;=BZ$2,VLOOKUP($E109-BZ$2,'data input'!$D$3:$E$130,2,FALSE),0)</f>
        <v>0.67364477971207992</v>
      </c>
      <c r="CA109" s="5">
        <f>IF($E109&gt;=CA$2,VLOOKUP($E109-CA$2,'data input'!$D$3:$E$130,2,FALSE),0)</f>
        <v>0.70020840453130417</v>
      </c>
      <c r="CB109" s="5">
        <f>IF($E109&gt;=CB$2,VLOOKUP($E109-CB$2,'data input'!$D$3:$E$130,2,FALSE),0)</f>
        <v>0.72574688224992645</v>
      </c>
      <c r="CC109" s="5">
        <f>IF($E109&gt;=CC$2,VLOOKUP($E109-CC$2,'data input'!$D$3:$E$130,2,FALSE),0)</f>
        <v>0.75016211752822304</v>
      </c>
      <c r="CD109" s="5">
        <f>IF($E109&gt;=CD$2,VLOOKUP($E109-CD$2,'data input'!$D$3:$E$130,2,FALSE),0)</f>
        <v>0.77337264762313174</v>
      </c>
      <c r="CE109" s="5">
        <f>IF($E109&gt;=CE$2,VLOOKUP($E109-CE$2,'data input'!$D$3:$E$130,2,FALSE),0)</f>
        <v>0.79531420465274738</v>
      </c>
      <c r="CF109" s="5">
        <f>IF($E109&gt;=CF$2,VLOOKUP($E109-CF$2,'data input'!$D$3:$E$130,2,FALSE),0)</f>
        <v>0.81593987465324047</v>
      </c>
      <c r="CG109" s="5">
        <f>IF($E109&gt;=CG$2,VLOOKUP($E109-CG$2,'data input'!$D$3:$E$130,2,FALSE),0)</f>
        <v>0.83521987001968967</v>
      </c>
      <c r="CH109" s="5">
        <f>IF($E109&gt;=CH$2,VLOOKUP($E109-CH$2,'data input'!$D$3:$E$130,2,FALSE),0)</f>
        <v>0.85314094362410409</v>
      </c>
      <c r="CI109" s="5">
        <f>IF($E109&gt;=CI$2,VLOOKUP($E109-CI$2,'data input'!$D$3:$E$130,2,FALSE),0)</f>
        <v>0.86970548286319116</v>
      </c>
      <c r="CJ109" s="5">
        <f>IF($E109&gt;=CJ$2,VLOOKUP($E109-CJ$2,'data input'!$D$3:$E$130,2,FALSE),0)</f>
        <v>0.88493032977829178</v>
      </c>
      <c r="CK109" s="5">
        <f>IF($E109&gt;=CK$2,VLOOKUP($E109-CK$2,'data input'!$D$3:$E$130,2,FALSE),0)</f>
        <v>0.89884537900441408</v>
      </c>
      <c r="CL109" s="5">
        <f>IF($E109&gt;=CL$2,VLOOKUP($E109-CL$2,'data input'!$D$3:$E$130,2,FALSE),0)</f>
        <v>0.91149200856259793</v>
      </c>
      <c r="CM109" s="5">
        <f>IF($E109&gt;=CM$2,VLOOKUP($E109-CM$2,'data input'!$D$3:$E$130,2,FALSE),0)</f>
        <v>0.92292139944792817</v>
      </c>
      <c r="CN109" s="5">
        <f>IF($E109&gt;=CN$2,VLOOKUP($E109-CN$2,'data input'!$D$3:$E$130,2,FALSE),0)</f>
        <v>0.93319279873114191</v>
      </c>
      <c r="CO109" s="5">
        <f>IF($E109&gt;=CO$2,VLOOKUP($E109-CO$2,'data input'!$D$3:$E$130,2,FALSE),0)</f>
        <v>0.94237177772384684</v>
      </c>
      <c r="CP109" s="5">
        <f>IF($E109&gt;=CP$2,VLOOKUP($E109-CP$2,'data input'!$D$3:$E$130,2,FALSE),0)</f>
        <v>0.9505285319663519</v>
      </c>
      <c r="CQ109" s="5">
        <f>IF($E109&gt;=CQ$2,VLOOKUP($E109-CQ$2,'data input'!$D$3:$E$130,2,FALSE),0)</f>
        <v>0.95773626374204757</v>
      </c>
      <c r="CR109" s="5">
        <f>IF($E109&gt;=CR$2,VLOOKUP($E109-CR$2,'data input'!$D$3:$E$130,2,FALSE),0)</f>
        <v>0.96406968088707423</v>
      </c>
      <c r="CS109" s="5">
        <f>IF($E109&gt;=CS$2,VLOOKUP($E109-CS$2,'data input'!$D$3:$E$130,2,FALSE),0)</f>
        <v>0.96960363823473861</v>
      </c>
      <c r="CT109" s="5">
        <f>IF($E109&gt;=CT$2,VLOOKUP($E109-CT$2,'data input'!$D$3:$E$130,2,FALSE),0)</f>
        <v>0.97441194047836144</v>
      </c>
      <c r="CU109" s="5">
        <f>IF($E109&gt;=CU$2,VLOOKUP($E109-CU$2,'data input'!$D$3:$E$130,2,FALSE),0)</f>
        <v>0.97856631788584703</v>
      </c>
      <c r="CV109" s="5">
        <f>IF($E109&gt;=CV$2,VLOOKUP($E109-CV$2,'data input'!$D$3:$E$130,2,FALSE),0)</f>
        <v>0.98213557943718344</v>
      </c>
      <c r="CW109" s="5">
        <f>IF($E109&gt;=CW$2,VLOOKUP($E109-CW$2,'data input'!$D$3:$E$130,2,FALSE),0)</f>
        <v>0.98518494180739014</v>
      </c>
      <c r="CX109" s="5">
        <f>IF($E109&gt;=CX$2,VLOOKUP($E109-CX$2,'data input'!$D$3:$E$130,2,FALSE),0)</f>
        <v>0.98777552734495533</v>
      </c>
      <c r="CY109" s="5">
        <f>IF($E109&gt;=CY$2,VLOOKUP($E109-CY$2,'data input'!$D$3:$E$130,2,FALSE),0)</f>
        <v>0.98996401989972593</v>
      </c>
      <c r="CZ109" s="5">
        <f>IF($E109&gt;=CZ$2,VLOOKUP($E109-CZ$2,'data input'!$D$3:$E$130,2,FALSE),0)</f>
        <v>0.99180246407540384</v>
      </c>
      <c r="DA109" s="5">
        <f>IF($E109&gt;=DA$2,VLOOKUP($E109-DA$2,'data input'!$D$3:$E$130,2,FALSE),0)</f>
        <v>0.99333819120801725</v>
      </c>
      <c r="DB109" s="5">
        <f>IF($E109&gt;=DB$2,VLOOKUP($E109-DB$2,'data input'!$D$3:$E$130,2,FALSE),0)</f>
        <v>0.99461385404593328</v>
      </c>
      <c r="DC109" s="5">
        <f>IF($E109&gt;=DC$2,VLOOKUP($E109-DC$2,'data input'!$D$3:$E$130,2,FALSE),0)</f>
        <v>0.99566755163698739</v>
      </c>
      <c r="DD109" s="5">
        <f>IF($E109&gt;=DD$2,VLOOKUP($E109-DD$2,'data input'!$D$3:$E$130,2,FALSE),0)</f>
        <v>0.99653302619695938</v>
      </c>
      <c r="DE109" s="5">
        <f>IF($E109&gt;=DE$2,VLOOKUP($E109-DE$2,'data input'!$D$3:$E$130,2,FALSE),0)</f>
        <v>0.99723991460873751</v>
      </c>
      <c r="DF109" s="5">
        <f>IF($E109&gt;=DF$2,VLOOKUP($E109-DF$2,'data input'!$D$3:$E$130,2,FALSE),0)</f>
        <v>0.99781403854508677</v>
      </c>
      <c r="DG109" s="5">
        <f>IF($E109&gt;=DG$2,VLOOKUP($E109-DG$2,'data input'!$D$3:$E$130,2,FALSE),0)</f>
        <v>0.99827771888413241</v>
      </c>
      <c r="DH109" s="5">
        <f>IF($E109&gt;=DH$2,VLOOKUP($E109-DH$2,'data input'!$D$3:$E$130,2,FALSE),0)</f>
        <v>0.9986501019683699</v>
      </c>
      <c r="DI109" s="5">
        <f>IF($E109&gt;=DI$2,VLOOKUP($E109-DI$2,'data input'!$D$3:$E$130,2,FALSE),0)</f>
        <v>0</v>
      </c>
      <c r="DJ109" s="5">
        <f>IF($E109&gt;=DJ$2,VLOOKUP($E109-DJ$2,'data input'!$D$3:$E$130,2,FALSE),0)</f>
        <v>0</v>
      </c>
      <c r="DK109" s="5">
        <f>IF($E109&gt;=DK$2,VLOOKUP($E109-DK$2,'data input'!$D$3:$E$130,2,FALSE),0)</f>
        <v>0</v>
      </c>
      <c r="DL109" s="5">
        <f>IF($E109&gt;=DL$2,VLOOKUP($E109-DL$2,'data input'!$D$3:$E$130,2,FALSE),0)</f>
        <v>0</v>
      </c>
      <c r="DM109" s="5">
        <f>IF($E109&gt;=DM$2,VLOOKUP($E109-DM$2,'data input'!$D$3:$E$130,2,FALSE),0)</f>
        <v>0</v>
      </c>
      <c r="DN109" s="5">
        <f>IF($E109&gt;=DN$2,VLOOKUP($E109-DN$2,'data input'!$D$3:$E$130,2,FALSE),0)</f>
        <v>0</v>
      </c>
      <c r="DO109" s="5">
        <f>IF($E109&gt;=DO$2,VLOOKUP($E109-DO$2,'data input'!$D$3:$E$130,2,FALSE),0)</f>
        <v>0</v>
      </c>
      <c r="DP109" s="5">
        <f>IF($E109&gt;=DP$2,VLOOKUP($E109-DP$2,'data input'!$D$3:$E$130,2,FALSE),0)</f>
        <v>0</v>
      </c>
      <c r="DQ109" s="5">
        <f>IF($E109&gt;=DQ$2,VLOOKUP($E109-DQ$2,'data input'!$D$3:$E$130,2,FALSE),0)</f>
        <v>0</v>
      </c>
      <c r="DR109" s="5">
        <f>IF($E109&gt;=DR$2,VLOOKUP($E109-DR$2,'data input'!$D$3:$E$130,2,FALSE),0)</f>
        <v>0</v>
      </c>
      <c r="DS109" s="5">
        <f>IF($E109&gt;=DS$2,VLOOKUP($E109-DS$2,'data input'!$D$3:$E$130,2,FALSE),0)</f>
        <v>0</v>
      </c>
      <c r="DT109" s="5">
        <f>IF($E109&gt;=DT$2,VLOOKUP($E109-DT$2,'data input'!$D$3:$E$130,2,FALSE),0)</f>
        <v>0</v>
      </c>
      <c r="DU109" s="5">
        <f>IF($E109&gt;=DU$2,VLOOKUP($E109-DU$2,'data input'!$D$3:$E$130,2,FALSE),0)</f>
        <v>0</v>
      </c>
      <c r="DV109" s="5">
        <f>IF($E109&gt;=DV$2,VLOOKUP($E109-DV$2,'data input'!$D$3:$E$130,2,FALSE),0)</f>
        <v>0</v>
      </c>
      <c r="DW109" s="5">
        <f>IF($E109&gt;=DW$2,VLOOKUP($E109-DW$2,'data input'!$D$3:$E$130,2,FALSE),0)</f>
        <v>0</v>
      </c>
      <c r="DX109" s="5">
        <f>IF($E109&gt;=DX$2,VLOOKUP($E109-DX$2,'data input'!$D$3:$E$130,2,FALSE),0)</f>
        <v>0</v>
      </c>
      <c r="DY109" s="5">
        <f>IF($E109&gt;=DY$2,VLOOKUP($E109-DY$2,'data input'!$D$3:$E$130,2,FALSE),0)</f>
        <v>0</v>
      </c>
      <c r="DZ109" s="5">
        <f>IF($E109&gt;=DZ$2,VLOOKUP($E109-DZ$2,'data input'!$D$3:$E$130,2,FALSE),0)</f>
        <v>0</v>
      </c>
      <c r="EA109" s="5">
        <f>IF($E109&gt;=EA$2,VLOOKUP($E109-EA$2,'data input'!$D$3:$E$130,2,FALSE),0)</f>
        <v>0</v>
      </c>
      <c r="EB109" s="5">
        <f>IF($E109&gt;=EB$2,VLOOKUP($E109-EB$2,'data input'!$D$3:$E$130,2,FALSE),0)</f>
        <v>0</v>
      </c>
      <c r="EC109" s="5">
        <f>IF($E109&gt;=EC$2,VLOOKUP($E109-EC$2,'data input'!$D$3:$E$130,2,FALSE),0)</f>
        <v>0</v>
      </c>
    </row>
    <row r="110" spans="5:133">
      <c r="E110" s="7">
        <f>'data input'!B110</f>
        <v>1985</v>
      </c>
      <c r="F110" s="5">
        <f>IF($E110&gt;=F$2,VLOOKUP($E110-F$2,'data input'!$D$3:$E$130,2,FALSE),0)</f>
        <v>2.5171626816256065E-7</v>
      </c>
      <c r="G110" s="5">
        <f>IF($E110&gt;=G$2,VLOOKUP($E110-G$2,'data input'!$D$3:$E$130,2,FALSE),0)</f>
        <v>3.7106740791159609E-7</v>
      </c>
      <c r="H110" s="5">
        <f>IF($E110&gt;=H$2,VLOOKUP($E110-H$2,'data input'!$D$3:$E$130,2,FALSE),0)</f>
        <v>5.4404227556315021E-7</v>
      </c>
      <c r="I110" s="5">
        <f>IF($E110&gt;=I$2,VLOOKUP($E110-I$2,'data input'!$D$3:$E$130,2,FALSE),0)</f>
        <v>7.9332815194899098E-7</v>
      </c>
      <c r="J110" s="5">
        <f>IF($E110&gt;=J$2,VLOOKUP($E110-J$2,'data input'!$D$3:$E$130,2,FALSE),0)</f>
        <v>1.1505767815167545E-6</v>
      </c>
      <c r="K110" s="5">
        <f>IF($E110&gt;=K$2,VLOOKUP($E110-K$2,'data input'!$D$3:$E$130,2,FALSE),0)</f>
        <v>1.6596751443165303E-6</v>
      </c>
      <c r="L110" s="5">
        <f>IF($E110&gt;=L$2,VLOOKUP($E110-L$2,'data input'!$D$3:$E$130,2,FALSE),0)</f>
        <v>2.3810999327800175E-6</v>
      </c>
      <c r="M110" s="5">
        <f>IF($E110&gt;=M$2,VLOOKUP($E110-M$2,'data input'!$D$3:$E$130,2,FALSE),0)</f>
        <v>3.3976731247387093E-6</v>
      </c>
      <c r="N110" s="5">
        <f>IF($E110&gt;=N$2,VLOOKUP($E110-N$2,'data input'!$D$3:$E$130,2,FALSE),0)</f>
        <v>4.8221141606408224E-6</v>
      </c>
      <c r="O110" s="5">
        <f>IF($E110&gt;=O$2,VLOOKUP($E110-O$2,'data input'!$D$3:$E$130,2,FALSE),0)</f>
        <v>6.8068765993745117E-6</v>
      </c>
      <c r="P110" s="5">
        <f>IF($E110&gt;=P$2,VLOOKUP($E110-P$2,'data input'!$D$3:$E$130,2,FALSE),0)</f>
        <v>9.5568647372479276E-6</v>
      </c>
      <c r="Q110" s="5">
        <f>IF($E110&gt;=Q$2,VLOOKUP($E110-Q$2,'data input'!$D$3:$E$130,2,FALSE),0)</f>
        <v>1.3345749015902797E-5</v>
      </c>
      <c r="R110" s="5">
        <f>IF($E110&gt;=R$2,VLOOKUP($E110-R$2,'data input'!$D$3:$E$130,2,FALSE),0)</f>
        <v>1.8536737846241991E-5</v>
      </c>
      <c r="S110" s="5">
        <f>IF($E110&gt;=S$2,VLOOKUP($E110-S$2,'data input'!$D$3:$E$130,2,FALSE),0)</f>
        <v>2.5608816474065321E-5</v>
      </c>
      <c r="T110" s="5">
        <f>IF($E110&gt;=T$2,VLOOKUP($E110-T$2,'data input'!$D$3:$E$130,2,FALSE),0)</f>
        <v>3.5189628065923628E-5</v>
      </c>
      <c r="U110" s="5">
        <f>IF($E110&gt;=U$2,VLOOKUP($E110-U$2,'data input'!$D$3:$E$130,2,FALSE),0)</f>
        <v>4.8096344017589665E-5</v>
      </c>
      <c r="V110" s="5">
        <f>IF($E110&gt;=V$2,VLOOKUP($E110-V$2,'data input'!$D$3:$E$130,2,FALSE),0)</f>
        <v>6.5386043242687819E-5</v>
      </c>
      <c r="W110" s="5">
        <f>IF($E110&gt;=W$2,VLOOKUP($E110-W$2,'data input'!$D$3:$E$130,2,FALSE),0)</f>
        <v>8.841728520081471E-5</v>
      </c>
      <c r="X110" s="5">
        <f>IF($E110&gt;=X$2,VLOOKUP($E110-X$2,'data input'!$D$3:$E$130,2,FALSE),0)</f>
        <v>1.1892470732677296E-4</v>
      </c>
      <c r="Y110" s="5">
        <f>IF($E110&gt;=Y$2,VLOOKUP($E110-Y$2,'data input'!$D$3:$E$130,2,FALSE),0)</f>
        <v>1.5910859015755285E-4</v>
      </c>
      <c r="Z110" s="5">
        <f>IF($E110&gt;=Z$2,VLOOKUP($E110-Z$2,'data input'!$D$3:$E$130,2,FALSE),0)</f>
        <v>2.1174139572344153E-4</v>
      </c>
      <c r="AA110" s="5">
        <f>IF($E110&gt;=AA$2,VLOOKUP($E110-AA$2,'data input'!$D$3:$E$130,2,FALSE),0)</f>
        <v>2.8029327681622362E-4</v>
      </c>
      <c r="AB110" s="5">
        <f>IF($E110&gt;=AB$2,VLOOKUP($E110-AB$2,'data input'!$D$3:$E$130,2,FALSE),0)</f>
        <v>3.6907845427502917E-4</v>
      </c>
      <c r="AC110" s="5">
        <f>IF($E110&gt;=AC$2,VLOOKUP($E110-AC$2,'data input'!$D$3:$E$130,2,FALSE),0)</f>
        <v>4.8342414238378151E-4</v>
      </c>
      <c r="AD110" s="5">
        <f>IF($E110&gt;=AD$2,VLOOKUP($E110-AD$2,'data input'!$D$3:$E$130,2,FALSE),0)</f>
        <v>6.2986334399772748E-4</v>
      </c>
      <c r="AE110" s="5">
        <f>IF($E110&gt;=AE$2,VLOOKUP($E110-AE$2,'data input'!$D$3:$E$130,2,FALSE),0)</f>
        <v>8.1635231282861653E-4</v>
      </c>
      <c r="AF110" s="5">
        <f>IF($E110&gt;=AF$2,VLOOKUP($E110-AF$2,'data input'!$D$3:$E$130,2,FALSE),0)</f>
        <v>1.0525127683760349E-3</v>
      </c>
      <c r="AG110" s="5">
        <f>IF($E110&gt;=AG$2,VLOOKUP($E110-AG$2,'data input'!$D$3:$E$130,2,FALSE),0)</f>
        <v>1.3498980316301035E-3</v>
      </c>
      <c r="AH110" s="5">
        <f>IF($E110&gt;=AH$2,VLOOKUP($E110-AH$2,'data input'!$D$3:$E$130,2,FALSE),0)</f>
        <v>1.7222811158675855E-3</v>
      </c>
      <c r="AI110" s="5">
        <f>IF($E110&gt;=AI$2,VLOOKUP($E110-AI$2,'data input'!$D$3:$E$130,2,FALSE),0)</f>
        <v>2.1859614549132322E-3</v>
      </c>
      <c r="AJ110" s="5">
        <f>IF($E110&gt;=AJ$2,VLOOKUP($E110-AJ$2,'data input'!$D$3:$E$130,2,FALSE),0)</f>
        <v>2.7600853912624901E-3</v>
      </c>
      <c r="AK110" s="5">
        <f>IF($E110&gt;=AK$2,VLOOKUP($E110-AK$2,'data input'!$D$3:$E$130,2,FALSE),0)</f>
        <v>3.4669738030406183E-3</v>
      </c>
      <c r="AL110" s="5">
        <f>IF($E110&gt;=AL$2,VLOOKUP($E110-AL$2,'data input'!$D$3:$E$130,2,FALSE),0)</f>
        <v>4.3324483630126087E-3</v>
      </c>
      <c r="AM110" s="5">
        <f>IF($E110&gt;=AM$2,VLOOKUP($E110-AM$2,'data input'!$D$3:$E$130,2,FALSE),0)</f>
        <v>5.3861459540667234E-3</v>
      </c>
      <c r="AN110" s="5">
        <f>IF($E110&gt;=AN$2,VLOOKUP($E110-AN$2,'data input'!$D$3:$E$130,2,FALSE),0)</f>
        <v>6.6618087919827484E-3</v>
      </c>
      <c r="AO110" s="5">
        <f>IF($E110&gt;=AO$2,VLOOKUP($E110-AO$2,'data input'!$D$3:$E$130,2,FALSE),0)</f>
        <v>8.1975359245961554E-3</v>
      </c>
      <c r="AP110" s="5">
        <f>IF($E110&gt;=AP$2,VLOOKUP($E110-AP$2,'data input'!$D$3:$E$130,2,FALSE),0)</f>
        <v>1.0035980100274067E-2</v>
      </c>
      <c r="AQ110" s="5">
        <f>IF($E110&gt;=AQ$2,VLOOKUP($E110-AQ$2,'data input'!$D$3:$E$130,2,FALSE),0)</f>
        <v>1.2224472655044671E-2</v>
      </c>
      <c r="AR110" s="5">
        <f>IF($E110&gt;=AR$2,VLOOKUP($E110-AR$2,'data input'!$D$3:$E$130,2,FALSE),0)</f>
        <v>1.4815058192609865E-2</v>
      </c>
      <c r="AS110" s="5">
        <f>IF($E110&gt;=AS$2,VLOOKUP($E110-AS$2,'data input'!$D$3:$E$130,2,FALSE),0)</f>
        <v>1.7864420562816563E-2</v>
      </c>
      <c r="AT110" s="5">
        <f>IF($E110&gt;=AT$2,VLOOKUP($E110-AT$2,'data input'!$D$3:$E$130,2,FALSE),0)</f>
        <v>2.1433682114152974E-2</v>
      </c>
      <c r="AU110" s="5">
        <f>IF($E110&gt;=AU$2,VLOOKUP($E110-AU$2,'data input'!$D$3:$E$130,2,FALSE),0)</f>
        <v>2.5588059521638562E-2</v>
      </c>
      <c r="AV110" s="5">
        <f>IF($E110&gt;=AV$2,VLOOKUP($E110-AV$2,'data input'!$D$3:$E$130,2,FALSE),0)</f>
        <v>3.0396361765261393E-2</v>
      </c>
      <c r="AW110" s="5">
        <f>IF($E110&gt;=AW$2,VLOOKUP($E110-AW$2,'data input'!$D$3:$E$130,2,FALSE),0)</f>
        <v>3.5930319112925768E-2</v>
      </c>
      <c r="AX110" s="5">
        <f>IF($E110&gt;=AX$2,VLOOKUP($E110-AX$2,'data input'!$D$3:$E$130,2,FALSE),0)</f>
        <v>4.2263736257952433E-2</v>
      </c>
      <c r="AY110" s="5">
        <f>IF($E110&gt;=AY$2,VLOOKUP($E110-AY$2,'data input'!$D$3:$E$130,2,FALSE),0)</f>
        <v>4.9471468033648103E-2</v>
      </c>
      <c r="AZ110" s="5">
        <f>IF($E110&gt;=AZ$2,VLOOKUP($E110-AZ$2,'data input'!$D$3:$E$130,2,FALSE),0)</f>
        <v>5.7628222276153163E-2</v>
      </c>
      <c r="BA110" s="5">
        <f>IF($E110&gt;=BA$2,VLOOKUP($E110-BA$2,'data input'!$D$3:$E$130,2,FALSE),0)</f>
        <v>6.6807201268858085E-2</v>
      </c>
      <c r="BB110" s="5">
        <f>IF($E110&gt;=BB$2,VLOOKUP($E110-BB$2,'data input'!$D$3:$E$130,2,FALSE),0)</f>
        <v>7.707860055207183E-2</v>
      </c>
      <c r="BC110" s="5">
        <f>IF($E110&gt;=BC$2,VLOOKUP($E110-BC$2,'data input'!$D$3:$E$130,2,FALSE),0)</f>
        <v>8.8507991437402067E-2</v>
      </c>
      <c r="BD110" s="5">
        <f>IF($E110&gt;=BD$2,VLOOKUP($E110-BD$2,'data input'!$D$3:$E$130,2,FALSE),0)</f>
        <v>0.10115462099558592</v>
      </c>
      <c r="BE110" s="5">
        <f>IF($E110&gt;=BE$2,VLOOKUP($E110-BE$2,'data input'!$D$3:$E$130,2,FALSE),0)</f>
        <v>0.11506967022170822</v>
      </c>
      <c r="BF110" s="5">
        <f>IF($E110&gt;=BF$2,VLOOKUP($E110-BF$2,'data input'!$D$3:$E$130,2,FALSE),0)</f>
        <v>0.13029451713680884</v>
      </c>
      <c r="BG110" s="5">
        <f>IF($E110&gt;=BG$2,VLOOKUP($E110-BG$2,'data input'!$D$3:$E$130,2,FALSE),0)</f>
        <v>0.14685905637589591</v>
      </c>
      <c r="BH110" s="5">
        <f>IF($E110&gt;=BH$2,VLOOKUP($E110-BH$2,'data input'!$D$3:$E$130,2,FALSE),0)</f>
        <v>0.16478012998031033</v>
      </c>
      <c r="BI110" s="5">
        <f>IF($E110&gt;=BI$2,VLOOKUP($E110-BI$2,'data input'!$D$3:$E$130,2,FALSE),0)</f>
        <v>0.18406012534675953</v>
      </c>
      <c r="BJ110" s="5">
        <f>IF($E110&gt;=BJ$2,VLOOKUP($E110-BJ$2,'data input'!$D$3:$E$130,2,FALSE),0)</f>
        <v>0.20468579534725262</v>
      </c>
      <c r="BK110" s="5">
        <f>IF($E110&gt;=BK$2,VLOOKUP($E110-BK$2,'data input'!$D$3:$E$130,2,FALSE),0)</f>
        <v>0.22662735237686826</v>
      </c>
      <c r="BL110" s="5">
        <f>IF($E110&gt;=BL$2,VLOOKUP($E110-BL$2,'data input'!$D$3:$E$130,2,FALSE),0)</f>
        <v>0.24983788247177696</v>
      </c>
      <c r="BM110" s="5">
        <f>IF($E110&gt;=BM$2,VLOOKUP($E110-BM$2,'data input'!$D$3:$E$130,2,FALSE),0)</f>
        <v>0.27425311775007355</v>
      </c>
      <c r="BN110" s="5">
        <f>IF($E110&gt;=BN$2,VLOOKUP($E110-BN$2,'data input'!$D$3:$E$130,2,FALSE),0)</f>
        <v>0.29979159546869583</v>
      </c>
      <c r="BO110" s="5">
        <f>IF($E110&gt;=BO$2,VLOOKUP($E110-BO$2,'data input'!$D$3:$E$130,2,FALSE),0)</f>
        <v>0.32635522028792008</v>
      </c>
      <c r="BP110" s="5">
        <f>IF($E110&gt;=BP$2,VLOOKUP($E110-BP$2,'data input'!$D$3:$E$130,2,FALSE),0)</f>
        <v>0.35383023332727614</v>
      </c>
      <c r="BQ110" s="5">
        <f>IF($E110&gt;=BQ$2,VLOOKUP($E110-BQ$2,'data input'!$D$3:$E$130,2,FALSE),0)</f>
        <v>0.38208857781104733</v>
      </c>
      <c r="BR110" s="5">
        <f>IF($E110&gt;=BR$2,VLOOKUP($E110-BR$2,'data input'!$D$3:$E$130,2,FALSE),0)</f>
        <v>0.41098963713127035</v>
      </c>
      <c r="BS110" s="5">
        <f>IF($E110&gt;=BS$2,VLOOKUP($E110-BS$2,'data input'!$D$3:$E$130,2,FALSE),0)</f>
        <v>0.4403823076297575</v>
      </c>
      <c r="BT110" s="5">
        <f>IF($E110&gt;=BT$2,VLOOKUP($E110-BT$2,'data input'!$D$3:$E$130,2,FALSE),0)</f>
        <v>0.47010735594710518</v>
      </c>
      <c r="BU110" s="5">
        <f>IF($E110&gt;=BU$2,VLOOKUP($E110-BU$2,'data input'!$D$3:$E$130,2,FALSE),0)</f>
        <v>0.5</v>
      </c>
      <c r="BV110" s="5">
        <f>IF($E110&gt;=BV$2,VLOOKUP($E110-BV$2,'data input'!$D$3:$E$130,2,FALSE),0)</f>
        <v>0.52989264405289482</v>
      </c>
      <c r="BW110" s="5">
        <f>IF($E110&gt;=BW$2,VLOOKUP($E110-BW$2,'data input'!$D$3:$E$130,2,FALSE),0)</f>
        <v>0.5596176923702425</v>
      </c>
      <c r="BX110" s="5">
        <f>IF($E110&gt;=BX$2,VLOOKUP($E110-BX$2,'data input'!$D$3:$E$130,2,FALSE),0)</f>
        <v>0.58901036286872965</v>
      </c>
      <c r="BY110" s="5">
        <f>IF($E110&gt;=BY$2,VLOOKUP($E110-BY$2,'data input'!$D$3:$E$130,2,FALSE),0)</f>
        <v>0.61791142218895267</v>
      </c>
      <c r="BZ110" s="5">
        <f>IF($E110&gt;=BZ$2,VLOOKUP($E110-BZ$2,'data input'!$D$3:$E$130,2,FALSE),0)</f>
        <v>0.64616976667272386</v>
      </c>
      <c r="CA110" s="5">
        <f>IF($E110&gt;=CA$2,VLOOKUP($E110-CA$2,'data input'!$D$3:$E$130,2,FALSE),0)</f>
        <v>0.67364477971207992</v>
      </c>
      <c r="CB110" s="5">
        <f>IF($E110&gt;=CB$2,VLOOKUP($E110-CB$2,'data input'!$D$3:$E$130,2,FALSE),0)</f>
        <v>0.70020840453130417</v>
      </c>
      <c r="CC110" s="5">
        <f>IF($E110&gt;=CC$2,VLOOKUP($E110-CC$2,'data input'!$D$3:$E$130,2,FALSE),0)</f>
        <v>0.72574688224992645</v>
      </c>
      <c r="CD110" s="5">
        <f>IF($E110&gt;=CD$2,VLOOKUP($E110-CD$2,'data input'!$D$3:$E$130,2,FALSE),0)</f>
        <v>0.75016211752822304</v>
      </c>
      <c r="CE110" s="5">
        <f>IF($E110&gt;=CE$2,VLOOKUP($E110-CE$2,'data input'!$D$3:$E$130,2,FALSE),0)</f>
        <v>0.77337264762313174</v>
      </c>
      <c r="CF110" s="5">
        <f>IF($E110&gt;=CF$2,VLOOKUP($E110-CF$2,'data input'!$D$3:$E$130,2,FALSE),0)</f>
        <v>0.79531420465274738</v>
      </c>
      <c r="CG110" s="5">
        <f>IF($E110&gt;=CG$2,VLOOKUP($E110-CG$2,'data input'!$D$3:$E$130,2,FALSE),0)</f>
        <v>0.81593987465324047</v>
      </c>
      <c r="CH110" s="5">
        <f>IF($E110&gt;=CH$2,VLOOKUP($E110-CH$2,'data input'!$D$3:$E$130,2,FALSE),0)</f>
        <v>0.83521987001968967</v>
      </c>
      <c r="CI110" s="5">
        <f>IF($E110&gt;=CI$2,VLOOKUP($E110-CI$2,'data input'!$D$3:$E$130,2,FALSE),0)</f>
        <v>0.85314094362410409</v>
      </c>
      <c r="CJ110" s="5">
        <f>IF($E110&gt;=CJ$2,VLOOKUP($E110-CJ$2,'data input'!$D$3:$E$130,2,FALSE),0)</f>
        <v>0.86970548286319116</v>
      </c>
      <c r="CK110" s="5">
        <f>IF($E110&gt;=CK$2,VLOOKUP($E110-CK$2,'data input'!$D$3:$E$130,2,FALSE),0)</f>
        <v>0.88493032977829178</v>
      </c>
      <c r="CL110" s="5">
        <f>IF($E110&gt;=CL$2,VLOOKUP($E110-CL$2,'data input'!$D$3:$E$130,2,FALSE),0)</f>
        <v>0.89884537900441408</v>
      </c>
      <c r="CM110" s="5">
        <f>IF($E110&gt;=CM$2,VLOOKUP($E110-CM$2,'data input'!$D$3:$E$130,2,FALSE),0)</f>
        <v>0.91149200856259793</v>
      </c>
      <c r="CN110" s="5">
        <f>IF($E110&gt;=CN$2,VLOOKUP($E110-CN$2,'data input'!$D$3:$E$130,2,FALSE),0)</f>
        <v>0.92292139944792817</v>
      </c>
      <c r="CO110" s="5">
        <f>IF($E110&gt;=CO$2,VLOOKUP($E110-CO$2,'data input'!$D$3:$E$130,2,FALSE),0)</f>
        <v>0.93319279873114191</v>
      </c>
      <c r="CP110" s="5">
        <f>IF($E110&gt;=CP$2,VLOOKUP($E110-CP$2,'data input'!$D$3:$E$130,2,FALSE),0)</f>
        <v>0.94237177772384684</v>
      </c>
      <c r="CQ110" s="5">
        <f>IF($E110&gt;=CQ$2,VLOOKUP($E110-CQ$2,'data input'!$D$3:$E$130,2,FALSE),0)</f>
        <v>0.9505285319663519</v>
      </c>
      <c r="CR110" s="5">
        <f>IF($E110&gt;=CR$2,VLOOKUP($E110-CR$2,'data input'!$D$3:$E$130,2,FALSE),0)</f>
        <v>0.95773626374204757</v>
      </c>
      <c r="CS110" s="5">
        <f>IF($E110&gt;=CS$2,VLOOKUP($E110-CS$2,'data input'!$D$3:$E$130,2,FALSE),0)</f>
        <v>0.96406968088707423</v>
      </c>
      <c r="CT110" s="5">
        <f>IF($E110&gt;=CT$2,VLOOKUP($E110-CT$2,'data input'!$D$3:$E$130,2,FALSE),0)</f>
        <v>0.96960363823473861</v>
      </c>
      <c r="CU110" s="5">
        <f>IF($E110&gt;=CU$2,VLOOKUP($E110-CU$2,'data input'!$D$3:$E$130,2,FALSE),0)</f>
        <v>0.97441194047836144</v>
      </c>
      <c r="CV110" s="5">
        <f>IF($E110&gt;=CV$2,VLOOKUP($E110-CV$2,'data input'!$D$3:$E$130,2,FALSE),0)</f>
        <v>0.97856631788584703</v>
      </c>
      <c r="CW110" s="5">
        <f>IF($E110&gt;=CW$2,VLOOKUP($E110-CW$2,'data input'!$D$3:$E$130,2,FALSE),0)</f>
        <v>0.98213557943718344</v>
      </c>
      <c r="CX110" s="5">
        <f>IF($E110&gt;=CX$2,VLOOKUP($E110-CX$2,'data input'!$D$3:$E$130,2,FALSE),0)</f>
        <v>0.98518494180739014</v>
      </c>
      <c r="CY110" s="5">
        <f>IF($E110&gt;=CY$2,VLOOKUP($E110-CY$2,'data input'!$D$3:$E$130,2,FALSE),0)</f>
        <v>0.98777552734495533</v>
      </c>
      <c r="CZ110" s="5">
        <f>IF($E110&gt;=CZ$2,VLOOKUP($E110-CZ$2,'data input'!$D$3:$E$130,2,FALSE),0)</f>
        <v>0.98996401989972593</v>
      </c>
      <c r="DA110" s="5">
        <f>IF($E110&gt;=DA$2,VLOOKUP($E110-DA$2,'data input'!$D$3:$E$130,2,FALSE),0)</f>
        <v>0.99180246407540384</v>
      </c>
      <c r="DB110" s="5">
        <f>IF($E110&gt;=DB$2,VLOOKUP($E110-DB$2,'data input'!$D$3:$E$130,2,FALSE),0)</f>
        <v>0.99333819120801725</v>
      </c>
      <c r="DC110" s="5">
        <f>IF($E110&gt;=DC$2,VLOOKUP($E110-DC$2,'data input'!$D$3:$E$130,2,FALSE),0)</f>
        <v>0.99461385404593328</v>
      </c>
      <c r="DD110" s="5">
        <f>IF($E110&gt;=DD$2,VLOOKUP($E110-DD$2,'data input'!$D$3:$E$130,2,FALSE),0)</f>
        <v>0.99566755163698739</v>
      </c>
      <c r="DE110" s="5">
        <f>IF($E110&gt;=DE$2,VLOOKUP($E110-DE$2,'data input'!$D$3:$E$130,2,FALSE),0)</f>
        <v>0.99653302619695938</v>
      </c>
      <c r="DF110" s="5">
        <f>IF($E110&gt;=DF$2,VLOOKUP($E110-DF$2,'data input'!$D$3:$E$130,2,FALSE),0)</f>
        <v>0.99723991460873751</v>
      </c>
      <c r="DG110" s="5">
        <f>IF($E110&gt;=DG$2,VLOOKUP($E110-DG$2,'data input'!$D$3:$E$130,2,FALSE),0)</f>
        <v>0.99781403854508677</v>
      </c>
      <c r="DH110" s="5">
        <f>IF($E110&gt;=DH$2,VLOOKUP($E110-DH$2,'data input'!$D$3:$E$130,2,FALSE),0)</f>
        <v>0.99827771888413241</v>
      </c>
      <c r="DI110" s="5">
        <f>IF($E110&gt;=DI$2,VLOOKUP($E110-DI$2,'data input'!$D$3:$E$130,2,FALSE),0)</f>
        <v>0.9986501019683699</v>
      </c>
      <c r="DJ110" s="5">
        <f>IF($E110&gt;=DJ$2,VLOOKUP($E110-DJ$2,'data input'!$D$3:$E$130,2,FALSE),0)</f>
        <v>0</v>
      </c>
      <c r="DK110" s="5">
        <f>IF($E110&gt;=DK$2,VLOOKUP($E110-DK$2,'data input'!$D$3:$E$130,2,FALSE),0)</f>
        <v>0</v>
      </c>
      <c r="DL110" s="5">
        <f>IF($E110&gt;=DL$2,VLOOKUP($E110-DL$2,'data input'!$D$3:$E$130,2,FALSE),0)</f>
        <v>0</v>
      </c>
      <c r="DM110" s="5">
        <f>IF($E110&gt;=DM$2,VLOOKUP($E110-DM$2,'data input'!$D$3:$E$130,2,FALSE),0)</f>
        <v>0</v>
      </c>
      <c r="DN110" s="5">
        <f>IF($E110&gt;=DN$2,VLOOKUP($E110-DN$2,'data input'!$D$3:$E$130,2,FALSE),0)</f>
        <v>0</v>
      </c>
      <c r="DO110" s="5">
        <f>IF($E110&gt;=DO$2,VLOOKUP($E110-DO$2,'data input'!$D$3:$E$130,2,FALSE),0)</f>
        <v>0</v>
      </c>
      <c r="DP110" s="5">
        <f>IF($E110&gt;=DP$2,VLOOKUP($E110-DP$2,'data input'!$D$3:$E$130,2,FALSE),0)</f>
        <v>0</v>
      </c>
      <c r="DQ110" s="5">
        <f>IF($E110&gt;=DQ$2,VLOOKUP($E110-DQ$2,'data input'!$D$3:$E$130,2,FALSE),0)</f>
        <v>0</v>
      </c>
      <c r="DR110" s="5">
        <f>IF($E110&gt;=DR$2,VLOOKUP($E110-DR$2,'data input'!$D$3:$E$130,2,FALSE),0)</f>
        <v>0</v>
      </c>
      <c r="DS110" s="5">
        <f>IF($E110&gt;=DS$2,VLOOKUP($E110-DS$2,'data input'!$D$3:$E$130,2,FALSE),0)</f>
        <v>0</v>
      </c>
      <c r="DT110" s="5">
        <f>IF($E110&gt;=DT$2,VLOOKUP($E110-DT$2,'data input'!$D$3:$E$130,2,FALSE),0)</f>
        <v>0</v>
      </c>
      <c r="DU110" s="5">
        <f>IF($E110&gt;=DU$2,VLOOKUP($E110-DU$2,'data input'!$D$3:$E$130,2,FALSE),0)</f>
        <v>0</v>
      </c>
      <c r="DV110" s="5">
        <f>IF($E110&gt;=DV$2,VLOOKUP($E110-DV$2,'data input'!$D$3:$E$130,2,FALSE),0)</f>
        <v>0</v>
      </c>
      <c r="DW110" s="5">
        <f>IF($E110&gt;=DW$2,VLOOKUP($E110-DW$2,'data input'!$D$3:$E$130,2,FALSE),0)</f>
        <v>0</v>
      </c>
      <c r="DX110" s="5">
        <f>IF($E110&gt;=DX$2,VLOOKUP($E110-DX$2,'data input'!$D$3:$E$130,2,FALSE),0)</f>
        <v>0</v>
      </c>
      <c r="DY110" s="5">
        <f>IF($E110&gt;=DY$2,VLOOKUP($E110-DY$2,'data input'!$D$3:$E$130,2,FALSE),0)</f>
        <v>0</v>
      </c>
      <c r="DZ110" s="5">
        <f>IF($E110&gt;=DZ$2,VLOOKUP($E110-DZ$2,'data input'!$D$3:$E$130,2,FALSE),0)</f>
        <v>0</v>
      </c>
      <c r="EA110" s="5">
        <f>IF($E110&gt;=EA$2,VLOOKUP($E110-EA$2,'data input'!$D$3:$E$130,2,FALSE),0)</f>
        <v>0</v>
      </c>
      <c r="EB110" s="5">
        <f>IF($E110&gt;=EB$2,VLOOKUP($E110-EB$2,'data input'!$D$3:$E$130,2,FALSE),0)</f>
        <v>0</v>
      </c>
      <c r="EC110" s="5">
        <f>IF($E110&gt;=EC$2,VLOOKUP($E110-EC$2,'data input'!$D$3:$E$130,2,FALSE),0)</f>
        <v>0</v>
      </c>
    </row>
    <row r="111" spans="5:133">
      <c r="E111" s="7">
        <f>'data input'!B111</f>
        <v>1986</v>
      </c>
      <c r="F111" s="5">
        <f>IF($E111&gt;=F$2,VLOOKUP($E111-F$2,'data input'!$D$3:$E$130,2,FALSE),0)</f>
        <v>1.698267406702314E-7</v>
      </c>
      <c r="G111" s="5">
        <f>IF($E111&gt;=G$2,VLOOKUP($E111-G$2,'data input'!$D$3:$E$130,2,FALSE),0)</f>
        <v>2.5171626816256065E-7</v>
      </c>
      <c r="H111" s="5">
        <f>IF($E111&gt;=H$2,VLOOKUP($E111-H$2,'data input'!$D$3:$E$130,2,FALSE),0)</f>
        <v>3.7106740791159609E-7</v>
      </c>
      <c r="I111" s="5">
        <f>IF($E111&gt;=I$2,VLOOKUP($E111-I$2,'data input'!$D$3:$E$130,2,FALSE),0)</f>
        <v>5.4404227556315021E-7</v>
      </c>
      <c r="J111" s="5">
        <f>IF($E111&gt;=J$2,VLOOKUP($E111-J$2,'data input'!$D$3:$E$130,2,FALSE),0)</f>
        <v>7.9332815194899098E-7</v>
      </c>
      <c r="K111" s="5">
        <f>IF($E111&gt;=K$2,VLOOKUP($E111-K$2,'data input'!$D$3:$E$130,2,FALSE),0)</f>
        <v>1.1505767815167545E-6</v>
      </c>
      <c r="L111" s="5">
        <f>IF($E111&gt;=L$2,VLOOKUP($E111-L$2,'data input'!$D$3:$E$130,2,FALSE),0)</f>
        <v>1.6596751443165303E-6</v>
      </c>
      <c r="M111" s="5">
        <f>IF($E111&gt;=M$2,VLOOKUP($E111-M$2,'data input'!$D$3:$E$130,2,FALSE),0)</f>
        <v>2.3810999327800175E-6</v>
      </c>
      <c r="N111" s="5">
        <f>IF($E111&gt;=N$2,VLOOKUP($E111-N$2,'data input'!$D$3:$E$130,2,FALSE),0)</f>
        <v>3.3976731247387093E-6</v>
      </c>
      <c r="O111" s="5">
        <f>IF($E111&gt;=O$2,VLOOKUP($E111-O$2,'data input'!$D$3:$E$130,2,FALSE),0)</f>
        <v>4.8221141606408224E-6</v>
      </c>
      <c r="P111" s="5">
        <f>IF($E111&gt;=P$2,VLOOKUP($E111-P$2,'data input'!$D$3:$E$130,2,FALSE),0)</f>
        <v>6.8068765993745117E-6</v>
      </c>
      <c r="Q111" s="5">
        <f>IF($E111&gt;=Q$2,VLOOKUP($E111-Q$2,'data input'!$D$3:$E$130,2,FALSE),0)</f>
        <v>9.5568647372479276E-6</v>
      </c>
      <c r="R111" s="5">
        <f>IF($E111&gt;=R$2,VLOOKUP($E111-R$2,'data input'!$D$3:$E$130,2,FALSE),0)</f>
        <v>1.3345749015902797E-5</v>
      </c>
      <c r="S111" s="5">
        <f>IF($E111&gt;=S$2,VLOOKUP($E111-S$2,'data input'!$D$3:$E$130,2,FALSE),0)</f>
        <v>1.8536737846241991E-5</v>
      </c>
      <c r="T111" s="5">
        <f>IF($E111&gt;=T$2,VLOOKUP($E111-T$2,'data input'!$D$3:$E$130,2,FALSE),0)</f>
        <v>2.5608816474065321E-5</v>
      </c>
      <c r="U111" s="5">
        <f>IF($E111&gt;=U$2,VLOOKUP($E111-U$2,'data input'!$D$3:$E$130,2,FALSE),0)</f>
        <v>3.5189628065923628E-5</v>
      </c>
      <c r="V111" s="5">
        <f>IF($E111&gt;=V$2,VLOOKUP($E111-V$2,'data input'!$D$3:$E$130,2,FALSE),0)</f>
        <v>4.8096344017589665E-5</v>
      </c>
      <c r="W111" s="5">
        <f>IF($E111&gt;=W$2,VLOOKUP($E111-W$2,'data input'!$D$3:$E$130,2,FALSE),0)</f>
        <v>6.5386043242687819E-5</v>
      </c>
      <c r="X111" s="5">
        <f>IF($E111&gt;=X$2,VLOOKUP($E111-X$2,'data input'!$D$3:$E$130,2,FALSE),0)</f>
        <v>8.841728520081471E-5</v>
      </c>
      <c r="Y111" s="5">
        <f>IF($E111&gt;=Y$2,VLOOKUP($E111-Y$2,'data input'!$D$3:$E$130,2,FALSE),0)</f>
        <v>1.1892470732677296E-4</v>
      </c>
      <c r="Z111" s="5">
        <f>IF($E111&gt;=Z$2,VLOOKUP($E111-Z$2,'data input'!$D$3:$E$130,2,FALSE),0)</f>
        <v>1.5910859015755285E-4</v>
      </c>
      <c r="AA111" s="5">
        <f>IF($E111&gt;=AA$2,VLOOKUP($E111-AA$2,'data input'!$D$3:$E$130,2,FALSE),0)</f>
        <v>2.1174139572344153E-4</v>
      </c>
      <c r="AB111" s="5">
        <f>IF($E111&gt;=AB$2,VLOOKUP($E111-AB$2,'data input'!$D$3:$E$130,2,FALSE),0)</f>
        <v>2.8029327681622362E-4</v>
      </c>
      <c r="AC111" s="5">
        <f>IF($E111&gt;=AC$2,VLOOKUP($E111-AC$2,'data input'!$D$3:$E$130,2,FALSE),0)</f>
        <v>3.6907845427502917E-4</v>
      </c>
      <c r="AD111" s="5">
        <f>IF($E111&gt;=AD$2,VLOOKUP($E111-AD$2,'data input'!$D$3:$E$130,2,FALSE),0)</f>
        <v>4.8342414238378151E-4</v>
      </c>
      <c r="AE111" s="5">
        <f>IF($E111&gt;=AE$2,VLOOKUP($E111-AE$2,'data input'!$D$3:$E$130,2,FALSE),0)</f>
        <v>6.2986334399772748E-4</v>
      </c>
      <c r="AF111" s="5">
        <f>IF($E111&gt;=AF$2,VLOOKUP($E111-AF$2,'data input'!$D$3:$E$130,2,FALSE),0)</f>
        <v>8.1635231282861653E-4</v>
      </c>
      <c r="AG111" s="5">
        <f>IF($E111&gt;=AG$2,VLOOKUP($E111-AG$2,'data input'!$D$3:$E$130,2,FALSE),0)</f>
        <v>1.0525127683760349E-3</v>
      </c>
      <c r="AH111" s="5">
        <f>IF($E111&gt;=AH$2,VLOOKUP($E111-AH$2,'data input'!$D$3:$E$130,2,FALSE),0)</f>
        <v>1.3498980316301035E-3</v>
      </c>
      <c r="AI111" s="5">
        <f>IF($E111&gt;=AI$2,VLOOKUP($E111-AI$2,'data input'!$D$3:$E$130,2,FALSE),0)</f>
        <v>1.7222811158675855E-3</v>
      </c>
      <c r="AJ111" s="5">
        <f>IF($E111&gt;=AJ$2,VLOOKUP($E111-AJ$2,'data input'!$D$3:$E$130,2,FALSE),0)</f>
        <v>2.1859614549132322E-3</v>
      </c>
      <c r="AK111" s="5">
        <f>IF($E111&gt;=AK$2,VLOOKUP($E111-AK$2,'data input'!$D$3:$E$130,2,FALSE),0)</f>
        <v>2.7600853912624901E-3</v>
      </c>
      <c r="AL111" s="5">
        <f>IF($E111&gt;=AL$2,VLOOKUP($E111-AL$2,'data input'!$D$3:$E$130,2,FALSE),0)</f>
        <v>3.4669738030406183E-3</v>
      </c>
      <c r="AM111" s="5">
        <f>IF($E111&gt;=AM$2,VLOOKUP($E111-AM$2,'data input'!$D$3:$E$130,2,FALSE),0)</f>
        <v>4.3324483630126087E-3</v>
      </c>
      <c r="AN111" s="5">
        <f>IF($E111&gt;=AN$2,VLOOKUP($E111-AN$2,'data input'!$D$3:$E$130,2,FALSE),0)</f>
        <v>5.3861459540667234E-3</v>
      </c>
      <c r="AO111" s="5">
        <f>IF($E111&gt;=AO$2,VLOOKUP($E111-AO$2,'data input'!$D$3:$E$130,2,FALSE),0)</f>
        <v>6.6618087919827484E-3</v>
      </c>
      <c r="AP111" s="5">
        <f>IF($E111&gt;=AP$2,VLOOKUP($E111-AP$2,'data input'!$D$3:$E$130,2,FALSE),0)</f>
        <v>8.1975359245961554E-3</v>
      </c>
      <c r="AQ111" s="5">
        <f>IF($E111&gt;=AQ$2,VLOOKUP($E111-AQ$2,'data input'!$D$3:$E$130,2,FALSE),0)</f>
        <v>1.0035980100274067E-2</v>
      </c>
      <c r="AR111" s="5">
        <f>IF($E111&gt;=AR$2,VLOOKUP($E111-AR$2,'data input'!$D$3:$E$130,2,FALSE),0)</f>
        <v>1.2224472655044671E-2</v>
      </c>
      <c r="AS111" s="5">
        <f>IF($E111&gt;=AS$2,VLOOKUP($E111-AS$2,'data input'!$D$3:$E$130,2,FALSE),0)</f>
        <v>1.4815058192609865E-2</v>
      </c>
      <c r="AT111" s="5">
        <f>IF($E111&gt;=AT$2,VLOOKUP($E111-AT$2,'data input'!$D$3:$E$130,2,FALSE),0)</f>
        <v>1.7864420562816563E-2</v>
      </c>
      <c r="AU111" s="5">
        <f>IF($E111&gt;=AU$2,VLOOKUP($E111-AU$2,'data input'!$D$3:$E$130,2,FALSE),0)</f>
        <v>2.1433682114152974E-2</v>
      </c>
      <c r="AV111" s="5">
        <f>IF($E111&gt;=AV$2,VLOOKUP($E111-AV$2,'data input'!$D$3:$E$130,2,FALSE),0)</f>
        <v>2.5588059521638562E-2</v>
      </c>
      <c r="AW111" s="5">
        <f>IF($E111&gt;=AW$2,VLOOKUP($E111-AW$2,'data input'!$D$3:$E$130,2,FALSE),0)</f>
        <v>3.0396361765261393E-2</v>
      </c>
      <c r="AX111" s="5">
        <f>IF($E111&gt;=AX$2,VLOOKUP($E111-AX$2,'data input'!$D$3:$E$130,2,FALSE),0)</f>
        <v>3.5930319112925768E-2</v>
      </c>
      <c r="AY111" s="5">
        <f>IF($E111&gt;=AY$2,VLOOKUP($E111-AY$2,'data input'!$D$3:$E$130,2,FALSE),0)</f>
        <v>4.2263736257952433E-2</v>
      </c>
      <c r="AZ111" s="5">
        <f>IF($E111&gt;=AZ$2,VLOOKUP($E111-AZ$2,'data input'!$D$3:$E$130,2,FALSE),0)</f>
        <v>4.9471468033648103E-2</v>
      </c>
      <c r="BA111" s="5">
        <f>IF($E111&gt;=BA$2,VLOOKUP($E111-BA$2,'data input'!$D$3:$E$130,2,FALSE),0)</f>
        <v>5.7628222276153163E-2</v>
      </c>
      <c r="BB111" s="5">
        <f>IF($E111&gt;=BB$2,VLOOKUP($E111-BB$2,'data input'!$D$3:$E$130,2,FALSE),0)</f>
        <v>6.6807201268858085E-2</v>
      </c>
      <c r="BC111" s="5">
        <f>IF($E111&gt;=BC$2,VLOOKUP($E111-BC$2,'data input'!$D$3:$E$130,2,FALSE),0)</f>
        <v>7.707860055207183E-2</v>
      </c>
      <c r="BD111" s="5">
        <f>IF($E111&gt;=BD$2,VLOOKUP($E111-BD$2,'data input'!$D$3:$E$130,2,FALSE),0)</f>
        <v>8.8507991437402067E-2</v>
      </c>
      <c r="BE111" s="5">
        <f>IF($E111&gt;=BE$2,VLOOKUP($E111-BE$2,'data input'!$D$3:$E$130,2,FALSE),0)</f>
        <v>0.10115462099558592</v>
      </c>
      <c r="BF111" s="5">
        <f>IF($E111&gt;=BF$2,VLOOKUP($E111-BF$2,'data input'!$D$3:$E$130,2,FALSE),0)</f>
        <v>0.11506967022170822</v>
      </c>
      <c r="BG111" s="5">
        <f>IF($E111&gt;=BG$2,VLOOKUP($E111-BG$2,'data input'!$D$3:$E$130,2,FALSE),0)</f>
        <v>0.13029451713680884</v>
      </c>
      <c r="BH111" s="5">
        <f>IF($E111&gt;=BH$2,VLOOKUP($E111-BH$2,'data input'!$D$3:$E$130,2,FALSE),0)</f>
        <v>0.14685905637589591</v>
      </c>
      <c r="BI111" s="5">
        <f>IF($E111&gt;=BI$2,VLOOKUP($E111-BI$2,'data input'!$D$3:$E$130,2,FALSE),0)</f>
        <v>0.16478012998031033</v>
      </c>
      <c r="BJ111" s="5">
        <f>IF($E111&gt;=BJ$2,VLOOKUP($E111-BJ$2,'data input'!$D$3:$E$130,2,FALSE),0)</f>
        <v>0.18406012534675953</v>
      </c>
      <c r="BK111" s="5">
        <f>IF($E111&gt;=BK$2,VLOOKUP($E111-BK$2,'data input'!$D$3:$E$130,2,FALSE),0)</f>
        <v>0.20468579534725262</v>
      </c>
      <c r="BL111" s="5">
        <f>IF($E111&gt;=BL$2,VLOOKUP($E111-BL$2,'data input'!$D$3:$E$130,2,FALSE),0)</f>
        <v>0.22662735237686826</v>
      </c>
      <c r="BM111" s="5">
        <f>IF($E111&gt;=BM$2,VLOOKUP($E111-BM$2,'data input'!$D$3:$E$130,2,FALSE),0)</f>
        <v>0.24983788247177696</v>
      </c>
      <c r="BN111" s="5">
        <f>IF($E111&gt;=BN$2,VLOOKUP($E111-BN$2,'data input'!$D$3:$E$130,2,FALSE),0)</f>
        <v>0.27425311775007355</v>
      </c>
      <c r="BO111" s="5">
        <f>IF($E111&gt;=BO$2,VLOOKUP($E111-BO$2,'data input'!$D$3:$E$130,2,FALSE),0)</f>
        <v>0.29979159546869583</v>
      </c>
      <c r="BP111" s="5">
        <f>IF($E111&gt;=BP$2,VLOOKUP($E111-BP$2,'data input'!$D$3:$E$130,2,FALSE),0)</f>
        <v>0.32635522028792008</v>
      </c>
      <c r="BQ111" s="5">
        <f>IF($E111&gt;=BQ$2,VLOOKUP($E111-BQ$2,'data input'!$D$3:$E$130,2,FALSE),0)</f>
        <v>0.35383023332727614</v>
      </c>
      <c r="BR111" s="5">
        <f>IF($E111&gt;=BR$2,VLOOKUP($E111-BR$2,'data input'!$D$3:$E$130,2,FALSE),0)</f>
        <v>0.38208857781104733</v>
      </c>
      <c r="BS111" s="5">
        <f>IF($E111&gt;=BS$2,VLOOKUP($E111-BS$2,'data input'!$D$3:$E$130,2,FALSE),0)</f>
        <v>0.41098963713127035</v>
      </c>
      <c r="BT111" s="5">
        <f>IF($E111&gt;=BT$2,VLOOKUP($E111-BT$2,'data input'!$D$3:$E$130,2,FALSE),0)</f>
        <v>0.4403823076297575</v>
      </c>
      <c r="BU111" s="5">
        <f>IF($E111&gt;=BU$2,VLOOKUP($E111-BU$2,'data input'!$D$3:$E$130,2,FALSE),0)</f>
        <v>0.47010735594710518</v>
      </c>
      <c r="BV111" s="5">
        <f>IF($E111&gt;=BV$2,VLOOKUP($E111-BV$2,'data input'!$D$3:$E$130,2,FALSE),0)</f>
        <v>0.5</v>
      </c>
      <c r="BW111" s="5">
        <f>IF($E111&gt;=BW$2,VLOOKUP($E111-BW$2,'data input'!$D$3:$E$130,2,FALSE),0)</f>
        <v>0.52989264405289482</v>
      </c>
      <c r="BX111" s="5">
        <f>IF($E111&gt;=BX$2,VLOOKUP($E111-BX$2,'data input'!$D$3:$E$130,2,FALSE),0)</f>
        <v>0.5596176923702425</v>
      </c>
      <c r="BY111" s="5">
        <f>IF($E111&gt;=BY$2,VLOOKUP($E111-BY$2,'data input'!$D$3:$E$130,2,FALSE),0)</f>
        <v>0.58901036286872965</v>
      </c>
      <c r="BZ111" s="5">
        <f>IF($E111&gt;=BZ$2,VLOOKUP($E111-BZ$2,'data input'!$D$3:$E$130,2,FALSE),0)</f>
        <v>0.61791142218895267</v>
      </c>
      <c r="CA111" s="5">
        <f>IF($E111&gt;=CA$2,VLOOKUP($E111-CA$2,'data input'!$D$3:$E$130,2,FALSE),0)</f>
        <v>0.64616976667272386</v>
      </c>
      <c r="CB111" s="5">
        <f>IF($E111&gt;=CB$2,VLOOKUP($E111-CB$2,'data input'!$D$3:$E$130,2,FALSE),0)</f>
        <v>0.67364477971207992</v>
      </c>
      <c r="CC111" s="5">
        <f>IF($E111&gt;=CC$2,VLOOKUP($E111-CC$2,'data input'!$D$3:$E$130,2,FALSE),0)</f>
        <v>0.70020840453130417</v>
      </c>
      <c r="CD111" s="5">
        <f>IF($E111&gt;=CD$2,VLOOKUP($E111-CD$2,'data input'!$D$3:$E$130,2,FALSE),0)</f>
        <v>0.72574688224992645</v>
      </c>
      <c r="CE111" s="5">
        <f>IF($E111&gt;=CE$2,VLOOKUP($E111-CE$2,'data input'!$D$3:$E$130,2,FALSE),0)</f>
        <v>0.75016211752822304</v>
      </c>
      <c r="CF111" s="5">
        <f>IF($E111&gt;=CF$2,VLOOKUP($E111-CF$2,'data input'!$D$3:$E$130,2,FALSE),0)</f>
        <v>0.77337264762313174</v>
      </c>
      <c r="CG111" s="5">
        <f>IF($E111&gt;=CG$2,VLOOKUP($E111-CG$2,'data input'!$D$3:$E$130,2,FALSE),0)</f>
        <v>0.79531420465274738</v>
      </c>
      <c r="CH111" s="5">
        <f>IF($E111&gt;=CH$2,VLOOKUP($E111-CH$2,'data input'!$D$3:$E$130,2,FALSE),0)</f>
        <v>0.81593987465324047</v>
      </c>
      <c r="CI111" s="5">
        <f>IF($E111&gt;=CI$2,VLOOKUP($E111-CI$2,'data input'!$D$3:$E$130,2,FALSE),0)</f>
        <v>0.83521987001968967</v>
      </c>
      <c r="CJ111" s="5">
        <f>IF($E111&gt;=CJ$2,VLOOKUP($E111-CJ$2,'data input'!$D$3:$E$130,2,FALSE),0)</f>
        <v>0.85314094362410409</v>
      </c>
      <c r="CK111" s="5">
        <f>IF($E111&gt;=CK$2,VLOOKUP($E111-CK$2,'data input'!$D$3:$E$130,2,FALSE),0)</f>
        <v>0.86970548286319116</v>
      </c>
      <c r="CL111" s="5">
        <f>IF($E111&gt;=CL$2,VLOOKUP($E111-CL$2,'data input'!$D$3:$E$130,2,FALSE),0)</f>
        <v>0.88493032977829178</v>
      </c>
      <c r="CM111" s="5">
        <f>IF($E111&gt;=CM$2,VLOOKUP($E111-CM$2,'data input'!$D$3:$E$130,2,FALSE),0)</f>
        <v>0.89884537900441408</v>
      </c>
      <c r="CN111" s="5">
        <f>IF($E111&gt;=CN$2,VLOOKUP($E111-CN$2,'data input'!$D$3:$E$130,2,FALSE),0)</f>
        <v>0.91149200856259793</v>
      </c>
      <c r="CO111" s="5">
        <f>IF($E111&gt;=CO$2,VLOOKUP($E111-CO$2,'data input'!$D$3:$E$130,2,FALSE),0)</f>
        <v>0.92292139944792817</v>
      </c>
      <c r="CP111" s="5">
        <f>IF($E111&gt;=CP$2,VLOOKUP($E111-CP$2,'data input'!$D$3:$E$130,2,FALSE),0)</f>
        <v>0.93319279873114191</v>
      </c>
      <c r="CQ111" s="5">
        <f>IF($E111&gt;=CQ$2,VLOOKUP($E111-CQ$2,'data input'!$D$3:$E$130,2,FALSE),0)</f>
        <v>0.94237177772384684</v>
      </c>
      <c r="CR111" s="5">
        <f>IF($E111&gt;=CR$2,VLOOKUP($E111-CR$2,'data input'!$D$3:$E$130,2,FALSE),0)</f>
        <v>0.9505285319663519</v>
      </c>
      <c r="CS111" s="5">
        <f>IF($E111&gt;=CS$2,VLOOKUP($E111-CS$2,'data input'!$D$3:$E$130,2,FALSE),0)</f>
        <v>0.95773626374204757</v>
      </c>
      <c r="CT111" s="5">
        <f>IF($E111&gt;=CT$2,VLOOKUP($E111-CT$2,'data input'!$D$3:$E$130,2,FALSE),0)</f>
        <v>0.96406968088707423</v>
      </c>
      <c r="CU111" s="5">
        <f>IF($E111&gt;=CU$2,VLOOKUP($E111-CU$2,'data input'!$D$3:$E$130,2,FALSE),0)</f>
        <v>0.96960363823473861</v>
      </c>
      <c r="CV111" s="5">
        <f>IF($E111&gt;=CV$2,VLOOKUP($E111-CV$2,'data input'!$D$3:$E$130,2,FALSE),0)</f>
        <v>0.97441194047836144</v>
      </c>
      <c r="CW111" s="5">
        <f>IF($E111&gt;=CW$2,VLOOKUP($E111-CW$2,'data input'!$D$3:$E$130,2,FALSE),0)</f>
        <v>0.97856631788584703</v>
      </c>
      <c r="CX111" s="5">
        <f>IF($E111&gt;=CX$2,VLOOKUP($E111-CX$2,'data input'!$D$3:$E$130,2,FALSE),0)</f>
        <v>0.98213557943718344</v>
      </c>
      <c r="CY111" s="5">
        <f>IF($E111&gt;=CY$2,VLOOKUP($E111-CY$2,'data input'!$D$3:$E$130,2,FALSE),0)</f>
        <v>0.98518494180739014</v>
      </c>
      <c r="CZ111" s="5">
        <f>IF($E111&gt;=CZ$2,VLOOKUP($E111-CZ$2,'data input'!$D$3:$E$130,2,FALSE),0)</f>
        <v>0.98777552734495533</v>
      </c>
      <c r="DA111" s="5">
        <f>IF($E111&gt;=DA$2,VLOOKUP($E111-DA$2,'data input'!$D$3:$E$130,2,FALSE),0)</f>
        <v>0.98996401989972593</v>
      </c>
      <c r="DB111" s="5">
        <f>IF($E111&gt;=DB$2,VLOOKUP($E111-DB$2,'data input'!$D$3:$E$130,2,FALSE),0)</f>
        <v>0.99180246407540384</v>
      </c>
      <c r="DC111" s="5">
        <f>IF($E111&gt;=DC$2,VLOOKUP($E111-DC$2,'data input'!$D$3:$E$130,2,FALSE),0)</f>
        <v>0.99333819120801725</v>
      </c>
      <c r="DD111" s="5">
        <f>IF($E111&gt;=DD$2,VLOOKUP($E111-DD$2,'data input'!$D$3:$E$130,2,FALSE),0)</f>
        <v>0.99461385404593328</v>
      </c>
      <c r="DE111" s="5">
        <f>IF($E111&gt;=DE$2,VLOOKUP($E111-DE$2,'data input'!$D$3:$E$130,2,FALSE),0)</f>
        <v>0.99566755163698739</v>
      </c>
      <c r="DF111" s="5">
        <f>IF($E111&gt;=DF$2,VLOOKUP($E111-DF$2,'data input'!$D$3:$E$130,2,FALSE),0)</f>
        <v>0.99653302619695938</v>
      </c>
      <c r="DG111" s="5">
        <f>IF($E111&gt;=DG$2,VLOOKUP($E111-DG$2,'data input'!$D$3:$E$130,2,FALSE),0)</f>
        <v>0.99723991460873751</v>
      </c>
      <c r="DH111" s="5">
        <f>IF($E111&gt;=DH$2,VLOOKUP($E111-DH$2,'data input'!$D$3:$E$130,2,FALSE),0)</f>
        <v>0.99781403854508677</v>
      </c>
      <c r="DI111" s="5">
        <f>IF($E111&gt;=DI$2,VLOOKUP($E111-DI$2,'data input'!$D$3:$E$130,2,FALSE),0)</f>
        <v>0.99827771888413241</v>
      </c>
      <c r="DJ111" s="5">
        <f>IF($E111&gt;=DJ$2,VLOOKUP($E111-DJ$2,'data input'!$D$3:$E$130,2,FALSE),0)</f>
        <v>0.9986501019683699</v>
      </c>
      <c r="DK111" s="5">
        <f>IF($E111&gt;=DK$2,VLOOKUP($E111-DK$2,'data input'!$D$3:$E$130,2,FALSE),0)</f>
        <v>0</v>
      </c>
      <c r="DL111" s="5">
        <f>IF($E111&gt;=DL$2,VLOOKUP($E111-DL$2,'data input'!$D$3:$E$130,2,FALSE),0)</f>
        <v>0</v>
      </c>
      <c r="DM111" s="5">
        <f>IF($E111&gt;=DM$2,VLOOKUP($E111-DM$2,'data input'!$D$3:$E$130,2,FALSE),0)</f>
        <v>0</v>
      </c>
      <c r="DN111" s="5">
        <f>IF($E111&gt;=DN$2,VLOOKUP($E111-DN$2,'data input'!$D$3:$E$130,2,FALSE),0)</f>
        <v>0</v>
      </c>
      <c r="DO111" s="5">
        <f>IF($E111&gt;=DO$2,VLOOKUP($E111-DO$2,'data input'!$D$3:$E$130,2,FALSE),0)</f>
        <v>0</v>
      </c>
      <c r="DP111" s="5">
        <f>IF($E111&gt;=DP$2,VLOOKUP($E111-DP$2,'data input'!$D$3:$E$130,2,FALSE),0)</f>
        <v>0</v>
      </c>
      <c r="DQ111" s="5">
        <f>IF($E111&gt;=DQ$2,VLOOKUP($E111-DQ$2,'data input'!$D$3:$E$130,2,FALSE),0)</f>
        <v>0</v>
      </c>
      <c r="DR111" s="5">
        <f>IF($E111&gt;=DR$2,VLOOKUP($E111-DR$2,'data input'!$D$3:$E$130,2,FALSE),0)</f>
        <v>0</v>
      </c>
      <c r="DS111" s="5">
        <f>IF($E111&gt;=DS$2,VLOOKUP($E111-DS$2,'data input'!$D$3:$E$130,2,FALSE),0)</f>
        <v>0</v>
      </c>
      <c r="DT111" s="5">
        <f>IF($E111&gt;=DT$2,VLOOKUP($E111-DT$2,'data input'!$D$3:$E$130,2,FALSE),0)</f>
        <v>0</v>
      </c>
      <c r="DU111" s="5">
        <f>IF($E111&gt;=DU$2,VLOOKUP($E111-DU$2,'data input'!$D$3:$E$130,2,FALSE),0)</f>
        <v>0</v>
      </c>
      <c r="DV111" s="5">
        <f>IF($E111&gt;=DV$2,VLOOKUP($E111-DV$2,'data input'!$D$3:$E$130,2,FALSE),0)</f>
        <v>0</v>
      </c>
      <c r="DW111" s="5">
        <f>IF($E111&gt;=DW$2,VLOOKUP($E111-DW$2,'data input'!$D$3:$E$130,2,FALSE),0)</f>
        <v>0</v>
      </c>
      <c r="DX111" s="5">
        <f>IF($E111&gt;=DX$2,VLOOKUP($E111-DX$2,'data input'!$D$3:$E$130,2,FALSE),0)</f>
        <v>0</v>
      </c>
      <c r="DY111" s="5">
        <f>IF($E111&gt;=DY$2,VLOOKUP($E111-DY$2,'data input'!$D$3:$E$130,2,FALSE),0)</f>
        <v>0</v>
      </c>
      <c r="DZ111" s="5">
        <f>IF($E111&gt;=DZ$2,VLOOKUP($E111-DZ$2,'data input'!$D$3:$E$130,2,FALSE),0)</f>
        <v>0</v>
      </c>
      <c r="EA111" s="5">
        <f>IF($E111&gt;=EA$2,VLOOKUP($E111-EA$2,'data input'!$D$3:$E$130,2,FALSE),0)</f>
        <v>0</v>
      </c>
      <c r="EB111" s="5">
        <f>IF($E111&gt;=EB$2,VLOOKUP($E111-EB$2,'data input'!$D$3:$E$130,2,FALSE),0)</f>
        <v>0</v>
      </c>
      <c r="EC111" s="5">
        <f>IF($E111&gt;=EC$2,VLOOKUP($E111-EC$2,'data input'!$D$3:$E$130,2,FALSE),0)</f>
        <v>0</v>
      </c>
    </row>
    <row r="112" spans="5:133">
      <c r="E112" s="7">
        <f>'data input'!B112</f>
        <v>1987</v>
      </c>
      <c r="F112" s="5">
        <f>IF($E112&gt;=F$2,VLOOKUP($E112-F$2,'data input'!$D$3:$E$130,2,FALSE),0)</f>
        <v>1.1395549048831555E-7</v>
      </c>
      <c r="G112" s="5">
        <f>IF($E112&gt;=G$2,VLOOKUP($E112-G$2,'data input'!$D$3:$E$130,2,FALSE),0)</f>
        <v>1.698267406702314E-7</v>
      </c>
      <c r="H112" s="5">
        <f>IF($E112&gt;=H$2,VLOOKUP($E112-H$2,'data input'!$D$3:$E$130,2,FALSE),0)</f>
        <v>2.5171626816256065E-7</v>
      </c>
      <c r="I112" s="5">
        <f>IF($E112&gt;=I$2,VLOOKUP($E112-I$2,'data input'!$D$3:$E$130,2,FALSE),0)</f>
        <v>3.7106740791159609E-7</v>
      </c>
      <c r="J112" s="5">
        <f>IF($E112&gt;=J$2,VLOOKUP($E112-J$2,'data input'!$D$3:$E$130,2,FALSE),0)</f>
        <v>5.4404227556315021E-7</v>
      </c>
      <c r="K112" s="5">
        <f>IF($E112&gt;=K$2,VLOOKUP($E112-K$2,'data input'!$D$3:$E$130,2,FALSE),0)</f>
        <v>7.9332815194899098E-7</v>
      </c>
      <c r="L112" s="5">
        <f>IF($E112&gt;=L$2,VLOOKUP($E112-L$2,'data input'!$D$3:$E$130,2,FALSE),0)</f>
        <v>1.1505767815167545E-6</v>
      </c>
      <c r="M112" s="5">
        <f>IF($E112&gt;=M$2,VLOOKUP($E112-M$2,'data input'!$D$3:$E$130,2,FALSE),0)</f>
        <v>1.6596751443165303E-6</v>
      </c>
      <c r="N112" s="5">
        <f>IF($E112&gt;=N$2,VLOOKUP($E112-N$2,'data input'!$D$3:$E$130,2,FALSE),0)</f>
        <v>2.3810999327800175E-6</v>
      </c>
      <c r="O112" s="5">
        <f>IF($E112&gt;=O$2,VLOOKUP($E112-O$2,'data input'!$D$3:$E$130,2,FALSE),0)</f>
        <v>3.3976731247387093E-6</v>
      </c>
      <c r="P112" s="5">
        <f>IF($E112&gt;=P$2,VLOOKUP($E112-P$2,'data input'!$D$3:$E$130,2,FALSE),0)</f>
        <v>4.8221141606408224E-6</v>
      </c>
      <c r="Q112" s="5">
        <f>IF($E112&gt;=Q$2,VLOOKUP($E112-Q$2,'data input'!$D$3:$E$130,2,FALSE),0)</f>
        <v>6.8068765993745117E-6</v>
      </c>
      <c r="R112" s="5">
        <f>IF($E112&gt;=R$2,VLOOKUP($E112-R$2,'data input'!$D$3:$E$130,2,FALSE),0)</f>
        <v>9.5568647372479276E-6</v>
      </c>
      <c r="S112" s="5">
        <f>IF($E112&gt;=S$2,VLOOKUP($E112-S$2,'data input'!$D$3:$E$130,2,FALSE),0)</f>
        <v>1.3345749015902797E-5</v>
      </c>
      <c r="T112" s="5">
        <f>IF($E112&gt;=T$2,VLOOKUP($E112-T$2,'data input'!$D$3:$E$130,2,FALSE),0)</f>
        <v>1.8536737846241991E-5</v>
      </c>
      <c r="U112" s="5">
        <f>IF($E112&gt;=U$2,VLOOKUP($E112-U$2,'data input'!$D$3:$E$130,2,FALSE),0)</f>
        <v>2.5608816474065321E-5</v>
      </c>
      <c r="V112" s="5">
        <f>IF($E112&gt;=V$2,VLOOKUP($E112-V$2,'data input'!$D$3:$E$130,2,FALSE),0)</f>
        <v>3.5189628065923628E-5</v>
      </c>
      <c r="W112" s="5">
        <f>IF($E112&gt;=W$2,VLOOKUP($E112-W$2,'data input'!$D$3:$E$130,2,FALSE),0)</f>
        <v>4.8096344017589665E-5</v>
      </c>
      <c r="X112" s="5">
        <f>IF($E112&gt;=X$2,VLOOKUP($E112-X$2,'data input'!$D$3:$E$130,2,FALSE),0)</f>
        <v>6.5386043242687819E-5</v>
      </c>
      <c r="Y112" s="5">
        <f>IF($E112&gt;=Y$2,VLOOKUP($E112-Y$2,'data input'!$D$3:$E$130,2,FALSE),0)</f>
        <v>8.841728520081471E-5</v>
      </c>
      <c r="Z112" s="5">
        <f>IF($E112&gt;=Z$2,VLOOKUP($E112-Z$2,'data input'!$D$3:$E$130,2,FALSE),0)</f>
        <v>1.1892470732677296E-4</v>
      </c>
      <c r="AA112" s="5">
        <f>IF($E112&gt;=AA$2,VLOOKUP($E112-AA$2,'data input'!$D$3:$E$130,2,FALSE),0)</f>
        <v>1.5910859015755285E-4</v>
      </c>
      <c r="AB112" s="5">
        <f>IF($E112&gt;=AB$2,VLOOKUP($E112-AB$2,'data input'!$D$3:$E$130,2,FALSE),0)</f>
        <v>2.1174139572344153E-4</v>
      </c>
      <c r="AC112" s="5">
        <f>IF($E112&gt;=AC$2,VLOOKUP($E112-AC$2,'data input'!$D$3:$E$130,2,FALSE),0)</f>
        <v>2.8029327681622362E-4</v>
      </c>
      <c r="AD112" s="5">
        <f>IF($E112&gt;=AD$2,VLOOKUP($E112-AD$2,'data input'!$D$3:$E$130,2,FALSE),0)</f>
        <v>3.6907845427502917E-4</v>
      </c>
      <c r="AE112" s="5">
        <f>IF($E112&gt;=AE$2,VLOOKUP($E112-AE$2,'data input'!$D$3:$E$130,2,FALSE),0)</f>
        <v>4.8342414238378151E-4</v>
      </c>
      <c r="AF112" s="5">
        <f>IF($E112&gt;=AF$2,VLOOKUP($E112-AF$2,'data input'!$D$3:$E$130,2,FALSE),0)</f>
        <v>6.2986334399772748E-4</v>
      </c>
      <c r="AG112" s="5">
        <f>IF($E112&gt;=AG$2,VLOOKUP($E112-AG$2,'data input'!$D$3:$E$130,2,FALSE),0)</f>
        <v>8.1635231282861653E-4</v>
      </c>
      <c r="AH112" s="5">
        <f>IF($E112&gt;=AH$2,VLOOKUP($E112-AH$2,'data input'!$D$3:$E$130,2,FALSE),0)</f>
        <v>1.0525127683760349E-3</v>
      </c>
      <c r="AI112" s="5">
        <f>IF($E112&gt;=AI$2,VLOOKUP($E112-AI$2,'data input'!$D$3:$E$130,2,FALSE),0)</f>
        <v>1.3498980316301035E-3</v>
      </c>
      <c r="AJ112" s="5">
        <f>IF($E112&gt;=AJ$2,VLOOKUP($E112-AJ$2,'data input'!$D$3:$E$130,2,FALSE),0)</f>
        <v>1.7222811158675855E-3</v>
      </c>
      <c r="AK112" s="5">
        <f>IF($E112&gt;=AK$2,VLOOKUP($E112-AK$2,'data input'!$D$3:$E$130,2,FALSE),0)</f>
        <v>2.1859614549132322E-3</v>
      </c>
      <c r="AL112" s="5">
        <f>IF($E112&gt;=AL$2,VLOOKUP($E112-AL$2,'data input'!$D$3:$E$130,2,FALSE),0)</f>
        <v>2.7600853912624901E-3</v>
      </c>
      <c r="AM112" s="5">
        <f>IF($E112&gt;=AM$2,VLOOKUP($E112-AM$2,'data input'!$D$3:$E$130,2,FALSE),0)</f>
        <v>3.4669738030406183E-3</v>
      </c>
      <c r="AN112" s="5">
        <f>IF($E112&gt;=AN$2,VLOOKUP($E112-AN$2,'data input'!$D$3:$E$130,2,FALSE),0)</f>
        <v>4.3324483630126087E-3</v>
      </c>
      <c r="AO112" s="5">
        <f>IF($E112&gt;=AO$2,VLOOKUP($E112-AO$2,'data input'!$D$3:$E$130,2,FALSE),0)</f>
        <v>5.3861459540667234E-3</v>
      </c>
      <c r="AP112" s="5">
        <f>IF($E112&gt;=AP$2,VLOOKUP($E112-AP$2,'data input'!$D$3:$E$130,2,FALSE),0)</f>
        <v>6.6618087919827484E-3</v>
      </c>
      <c r="AQ112" s="5">
        <f>IF($E112&gt;=AQ$2,VLOOKUP($E112-AQ$2,'data input'!$D$3:$E$130,2,FALSE),0)</f>
        <v>8.1975359245961554E-3</v>
      </c>
      <c r="AR112" s="5">
        <f>IF($E112&gt;=AR$2,VLOOKUP($E112-AR$2,'data input'!$D$3:$E$130,2,FALSE),0)</f>
        <v>1.0035980100274067E-2</v>
      </c>
      <c r="AS112" s="5">
        <f>IF($E112&gt;=AS$2,VLOOKUP($E112-AS$2,'data input'!$D$3:$E$130,2,FALSE),0)</f>
        <v>1.2224472655044671E-2</v>
      </c>
      <c r="AT112" s="5">
        <f>IF($E112&gt;=AT$2,VLOOKUP($E112-AT$2,'data input'!$D$3:$E$130,2,FALSE),0)</f>
        <v>1.4815058192609865E-2</v>
      </c>
      <c r="AU112" s="5">
        <f>IF($E112&gt;=AU$2,VLOOKUP($E112-AU$2,'data input'!$D$3:$E$130,2,FALSE),0)</f>
        <v>1.7864420562816563E-2</v>
      </c>
      <c r="AV112" s="5">
        <f>IF($E112&gt;=AV$2,VLOOKUP($E112-AV$2,'data input'!$D$3:$E$130,2,FALSE),0)</f>
        <v>2.1433682114152974E-2</v>
      </c>
      <c r="AW112" s="5">
        <f>IF($E112&gt;=AW$2,VLOOKUP($E112-AW$2,'data input'!$D$3:$E$130,2,FALSE),0)</f>
        <v>2.5588059521638562E-2</v>
      </c>
      <c r="AX112" s="5">
        <f>IF($E112&gt;=AX$2,VLOOKUP($E112-AX$2,'data input'!$D$3:$E$130,2,FALSE),0)</f>
        <v>3.0396361765261393E-2</v>
      </c>
      <c r="AY112" s="5">
        <f>IF($E112&gt;=AY$2,VLOOKUP($E112-AY$2,'data input'!$D$3:$E$130,2,FALSE),0)</f>
        <v>3.5930319112925768E-2</v>
      </c>
      <c r="AZ112" s="5">
        <f>IF($E112&gt;=AZ$2,VLOOKUP($E112-AZ$2,'data input'!$D$3:$E$130,2,FALSE),0)</f>
        <v>4.2263736257952433E-2</v>
      </c>
      <c r="BA112" s="5">
        <f>IF($E112&gt;=BA$2,VLOOKUP($E112-BA$2,'data input'!$D$3:$E$130,2,FALSE),0)</f>
        <v>4.9471468033648103E-2</v>
      </c>
      <c r="BB112" s="5">
        <f>IF($E112&gt;=BB$2,VLOOKUP($E112-BB$2,'data input'!$D$3:$E$130,2,FALSE),0)</f>
        <v>5.7628222276153163E-2</v>
      </c>
      <c r="BC112" s="5">
        <f>IF($E112&gt;=BC$2,VLOOKUP($E112-BC$2,'data input'!$D$3:$E$130,2,FALSE),0)</f>
        <v>6.6807201268858085E-2</v>
      </c>
      <c r="BD112" s="5">
        <f>IF($E112&gt;=BD$2,VLOOKUP($E112-BD$2,'data input'!$D$3:$E$130,2,FALSE),0)</f>
        <v>7.707860055207183E-2</v>
      </c>
      <c r="BE112" s="5">
        <f>IF($E112&gt;=BE$2,VLOOKUP($E112-BE$2,'data input'!$D$3:$E$130,2,FALSE),0)</f>
        <v>8.8507991437402067E-2</v>
      </c>
      <c r="BF112" s="5">
        <f>IF($E112&gt;=BF$2,VLOOKUP($E112-BF$2,'data input'!$D$3:$E$130,2,FALSE),0)</f>
        <v>0.10115462099558592</v>
      </c>
      <c r="BG112" s="5">
        <f>IF($E112&gt;=BG$2,VLOOKUP($E112-BG$2,'data input'!$D$3:$E$130,2,FALSE),0)</f>
        <v>0.11506967022170822</v>
      </c>
      <c r="BH112" s="5">
        <f>IF($E112&gt;=BH$2,VLOOKUP($E112-BH$2,'data input'!$D$3:$E$130,2,FALSE),0)</f>
        <v>0.13029451713680884</v>
      </c>
      <c r="BI112" s="5">
        <f>IF($E112&gt;=BI$2,VLOOKUP($E112-BI$2,'data input'!$D$3:$E$130,2,FALSE),0)</f>
        <v>0.14685905637589591</v>
      </c>
      <c r="BJ112" s="5">
        <f>IF($E112&gt;=BJ$2,VLOOKUP($E112-BJ$2,'data input'!$D$3:$E$130,2,FALSE),0)</f>
        <v>0.16478012998031033</v>
      </c>
      <c r="BK112" s="5">
        <f>IF($E112&gt;=BK$2,VLOOKUP($E112-BK$2,'data input'!$D$3:$E$130,2,FALSE),0)</f>
        <v>0.18406012534675953</v>
      </c>
      <c r="BL112" s="5">
        <f>IF($E112&gt;=BL$2,VLOOKUP($E112-BL$2,'data input'!$D$3:$E$130,2,FALSE),0)</f>
        <v>0.20468579534725262</v>
      </c>
      <c r="BM112" s="5">
        <f>IF($E112&gt;=BM$2,VLOOKUP($E112-BM$2,'data input'!$D$3:$E$130,2,FALSE),0)</f>
        <v>0.22662735237686826</v>
      </c>
      <c r="BN112" s="5">
        <f>IF($E112&gt;=BN$2,VLOOKUP($E112-BN$2,'data input'!$D$3:$E$130,2,FALSE),0)</f>
        <v>0.24983788247177696</v>
      </c>
      <c r="BO112" s="5">
        <f>IF($E112&gt;=BO$2,VLOOKUP($E112-BO$2,'data input'!$D$3:$E$130,2,FALSE),0)</f>
        <v>0.27425311775007355</v>
      </c>
      <c r="BP112" s="5">
        <f>IF($E112&gt;=BP$2,VLOOKUP($E112-BP$2,'data input'!$D$3:$E$130,2,FALSE),0)</f>
        <v>0.29979159546869583</v>
      </c>
      <c r="BQ112" s="5">
        <f>IF($E112&gt;=BQ$2,VLOOKUP($E112-BQ$2,'data input'!$D$3:$E$130,2,FALSE),0)</f>
        <v>0.32635522028792008</v>
      </c>
      <c r="BR112" s="5">
        <f>IF($E112&gt;=BR$2,VLOOKUP($E112-BR$2,'data input'!$D$3:$E$130,2,FALSE),0)</f>
        <v>0.35383023332727614</v>
      </c>
      <c r="BS112" s="5">
        <f>IF($E112&gt;=BS$2,VLOOKUP($E112-BS$2,'data input'!$D$3:$E$130,2,FALSE),0)</f>
        <v>0.38208857781104733</v>
      </c>
      <c r="BT112" s="5">
        <f>IF($E112&gt;=BT$2,VLOOKUP($E112-BT$2,'data input'!$D$3:$E$130,2,FALSE),0)</f>
        <v>0.41098963713127035</v>
      </c>
      <c r="BU112" s="5">
        <f>IF($E112&gt;=BU$2,VLOOKUP($E112-BU$2,'data input'!$D$3:$E$130,2,FALSE),0)</f>
        <v>0.4403823076297575</v>
      </c>
      <c r="BV112" s="5">
        <f>IF($E112&gt;=BV$2,VLOOKUP($E112-BV$2,'data input'!$D$3:$E$130,2,FALSE),0)</f>
        <v>0.47010735594710518</v>
      </c>
      <c r="BW112" s="5">
        <f>IF($E112&gt;=BW$2,VLOOKUP($E112-BW$2,'data input'!$D$3:$E$130,2,FALSE),0)</f>
        <v>0.5</v>
      </c>
      <c r="BX112" s="5">
        <f>IF($E112&gt;=BX$2,VLOOKUP($E112-BX$2,'data input'!$D$3:$E$130,2,FALSE),0)</f>
        <v>0.52989264405289482</v>
      </c>
      <c r="BY112" s="5">
        <f>IF($E112&gt;=BY$2,VLOOKUP($E112-BY$2,'data input'!$D$3:$E$130,2,FALSE),0)</f>
        <v>0.5596176923702425</v>
      </c>
      <c r="BZ112" s="5">
        <f>IF($E112&gt;=BZ$2,VLOOKUP($E112-BZ$2,'data input'!$D$3:$E$130,2,FALSE),0)</f>
        <v>0.58901036286872965</v>
      </c>
      <c r="CA112" s="5">
        <f>IF($E112&gt;=CA$2,VLOOKUP($E112-CA$2,'data input'!$D$3:$E$130,2,FALSE),0)</f>
        <v>0.61791142218895267</v>
      </c>
      <c r="CB112" s="5">
        <f>IF($E112&gt;=CB$2,VLOOKUP($E112-CB$2,'data input'!$D$3:$E$130,2,FALSE),0)</f>
        <v>0.64616976667272386</v>
      </c>
      <c r="CC112" s="5">
        <f>IF($E112&gt;=CC$2,VLOOKUP($E112-CC$2,'data input'!$D$3:$E$130,2,FALSE),0)</f>
        <v>0.67364477971207992</v>
      </c>
      <c r="CD112" s="5">
        <f>IF($E112&gt;=CD$2,VLOOKUP($E112-CD$2,'data input'!$D$3:$E$130,2,FALSE),0)</f>
        <v>0.70020840453130417</v>
      </c>
      <c r="CE112" s="5">
        <f>IF($E112&gt;=CE$2,VLOOKUP($E112-CE$2,'data input'!$D$3:$E$130,2,FALSE),0)</f>
        <v>0.72574688224992645</v>
      </c>
      <c r="CF112" s="5">
        <f>IF($E112&gt;=CF$2,VLOOKUP($E112-CF$2,'data input'!$D$3:$E$130,2,FALSE),0)</f>
        <v>0.75016211752822304</v>
      </c>
      <c r="CG112" s="5">
        <f>IF($E112&gt;=CG$2,VLOOKUP($E112-CG$2,'data input'!$D$3:$E$130,2,FALSE),0)</f>
        <v>0.77337264762313174</v>
      </c>
      <c r="CH112" s="5">
        <f>IF($E112&gt;=CH$2,VLOOKUP($E112-CH$2,'data input'!$D$3:$E$130,2,FALSE),0)</f>
        <v>0.79531420465274738</v>
      </c>
      <c r="CI112" s="5">
        <f>IF($E112&gt;=CI$2,VLOOKUP($E112-CI$2,'data input'!$D$3:$E$130,2,FALSE),0)</f>
        <v>0.81593987465324047</v>
      </c>
      <c r="CJ112" s="5">
        <f>IF($E112&gt;=CJ$2,VLOOKUP($E112-CJ$2,'data input'!$D$3:$E$130,2,FALSE),0)</f>
        <v>0.83521987001968967</v>
      </c>
      <c r="CK112" s="5">
        <f>IF($E112&gt;=CK$2,VLOOKUP($E112-CK$2,'data input'!$D$3:$E$130,2,FALSE),0)</f>
        <v>0.85314094362410409</v>
      </c>
      <c r="CL112" s="5">
        <f>IF($E112&gt;=CL$2,VLOOKUP($E112-CL$2,'data input'!$D$3:$E$130,2,FALSE),0)</f>
        <v>0.86970548286319116</v>
      </c>
      <c r="CM112" s="5">
        <f>IF($E112&gt;=CM$2,VLOOKUP($E112-CM$2,'data input'!$D$3:$E$130,2,FALSE),0)</f>
        <v>0.88493032977829178</v>
      </c>
      <c r="CN112" s="5">
        <f>IF($E112&gt;=CN$2,VLOOKUP($E112-CN$2,'data input'!$D$3:$E$130,2,FALSE),0)</f>
        <v>0.89884537900441408</v>
      </c>
      <c r="CO112" s="5">
        <f>IF($E112&gt;=CO$2,VLOOKUP($E112-CO$2,'data input'!$D$3:$E$130,2,FALSE),0)</f>
        <v>0.91149200856259793</v>
      </c>
      <c r="CP112" s="5">
        <f>IF($E112&gt;=CP$2,VLOOKUP($E112-CP$2,'data input'!$D$3:$E$130,2,FALSE),0)</f>
        <v>0.92292139944792817</v>
      </c>
      <c r="CQ112" s="5">
        <f>IF($E112&gt;=CQ$2,VLOOKUP($E112-CQ$2,'data input'!$D$3:$E$130,2,FALSE),0)</f>
        <v>0.93319279873114191</v>
      </c>
      <c r="CR112" s="5">
        <f>IF($E112&gt;=CR$2,VLOOKUP($E112-CR$2,'data input'!$D$3:$E$130,2,FALSE),0)</f>
        <v>0.94237177772384684</v>
      </c>
      <c r="CS112" s="5">
        <f>IF($E112&gt;=CS$2,VLOOKUP($E112-CS$2,'data input'!$D$3:$E$130,2,FALSE),0)</f>
        <v>0.9505285319663519</v>
      </c>
      <c r="CT112" s="5">
        <f>IF($E112&gt;=CT$2,VLOOKUP($E112-CT$2,'data input'!$D$3:$E$130,2,FALSE),0)</f>
        <v>0.95773626374204757</v>
      </c>
      <c r="CU112" s="5">
        <f>IF($E112&gt;=CU$2,VLOOKUP($E112-CU$2,'data input'!$D$3:$E$130,2,FALSE),0)</f>
        <v>0.96406968088707423</v>
      </c>
      <c r="CV112" s="5">
        <f>IF($E112&gt;=CV$2,VLOOKUP($E112-CV$2,'data input'!$D$3:$E$130,2,FALSE),0)</f>
        <v>0.96960363823473861</v>
      </c>
      <c r="CW112" s="5">
        <f>IF($E112&gt;=CW$2,VLOOKUP($E112-CW$2,'data input'!$D$3:$E$130,2,FALSE),0)</f>
        <v>0.97441194047836144</v>
      </c>
      <c r="CX112" s="5">
        <f>IF($E112&gt;=CX$2,VLOOKUP($E112-CX$2,'data input'!$D$3:$E$130,2,FALSE),0)</f>
        <v>0.97856631788584703</v>
      </c>
      <c r="CY112" s="5">
        <f>IF($E112&gt;=CY$2,VLOOKUP($E112-CY$2,'data input'!$D$3:$E$130,2,FALSE),0)</f>
        <v>0.98213557943718344</v>
      </c>
      <c r="CZ112" s="5">
        <f>IF($E112&gt;=CZ$2,VLOOKUP($E112-CZ$2,'data input'!$D$3:$E$130,2,FALSE),0)</f>
        <v>0.98518494180739014</v>
      </c>
      <c r="DA112" s="5">
        <f>IF($E112&gt;=DA$2,VLOOKUP($E112-DA$2,'data input'!$D$3:$E$130,2,FALSE),0)</f>
        <v>0.98777552734495533</v>
      </c>
      <c r="DB112" s="5">
        <f>IF($E112&gt;=DB$2,VLOOKUP($E112-DB$2,'data input'!$D$3:$E$130,2,FALSE),0)</f>
        <v>0.98996401989972593</v>
      </c>
      <c r="DC112" s="5">
        <f>IF($E112&gt;=DC$2,VLOOKUP($E112-DC$2,'data input'!$D$3:$E$130,2,FALSE),0)</f>
        <v>0.99180246407540384</v>
      </c>
      <c r="DD112" s="5">
        <f>IF($E112&gt;=DD$2,VLOOKUP($E112-DD$2,'data input'!$D$3:$E$130,2,FALSE),0)</f>
        <v>0.99333819120801725</v>
      </c>
      <c r="DE112" s="5">
        <f>IF($E112&gt;=DE$2,VLOOKUP($E112-DE$2,'data input'!$D$3:$E$130,2,FALSE),0)</f>
        <v>0.99461385404593328</v>
      </c>
      <c r="DF112" s="5">
        <f>IF($E112&gt;=DF$2,VLOOKUP($E112-DF$2,'data input'!$D$3:$E$130,2,FALSE),0)</f>
        <v>0.99566755163698739</v>
      </c>
      <c r="DG112" s="5">
        <f>IF($E112&gt;=DG$2,VLOOKUP($E112-DG$2,'data input'!$D$3:$E$130,2,FALSE),0)</f>
        <v>0.99653302619695938</v>
      </c>
      <c r="DH112" s="5">
        <f>IF($E112&gt;=DH$2,VLOOKUP($E112-DH$2,'data input'!$D$3:$E$130,2,FALSE),0)</f>
        <v>0.99723991460873751</v>
      </c>
      <c r="DI112" s="5">
        <f>IF($E112&gt;=DI$2,VLOOKUP($E112-DI$2,'data input'!$D$3:$E$130,2,FALSE),0)</f>
        <v>0.99781403854508677</v>
      </c>
      <c r="DJ112" s="5">
        <f>IF($E112&gt;=DJ$2,VLOOKUP($E112-DJ$2,'data input'!$D$3:$E$130,2,FALSE),0)</f>
        <v>0.99827771888413241</v>
      </c>
      <c r="DK112" s="5">
        <f>IF($E112&gt;=DK$2,VLOOKUP($E112-DK$2,'data input'!$D$3:$E$130,2,FALSE),0)</f>
        <v>0.9986501019683699</v>
      </c>
      <c r="DL112" s="5">
        <f>IF($E112&gt;=DL$2,VLOOKUP($E112-DL$2,'data input'!$D$3:$E$130,2,FALSE),0)</f>
        <v>0</v>
      </c>
      <c r="DM112" s="5">
        <f>IF($E112&gt;=DM$2,VLOOKUP($E112-DM$2,'data input'!$D$3:$E$130,2,FALSE),0)</f>
        <v>0</v>
      </c>
      <c r="DN112" s="5">
        <f>IF($E112&gt;=DN$2,VLOOKUP($E112-DN$2,'data input'!$D$3:$E$130,2,FALSE),0)</f>
        <v>0</v>
      </c>
      <c r="DO112" s="5">
        <f>IF($E112&gt;=DO$2,VLOOKUP($E112-DO$2,'data input'!$D$3:$E$130,2,FALSE),0)</f>
        <v>0</v>
      </c>
      <c r="DP112" s="5">
        <f>IF($E112&gt;=DP$2,VLOOKUP($E112-DP$2,'data input'!$D$3:$E$130,2,FALSE),0)</f>
        <v>0</v>
      </c>
      <c r="DQ112" s="5">
        <f>IF($E112&gt;=DQ$2,VLOOKUP($E112-DQ$2,'data input'!$D$3:$E$130,2,FALSE),0)</f>
        <v>0</v>
      </c>
      <c r="DR112" s="5">
        <f>IF($E112&gt;=DR$2,VLOOKUP($E112-DR$2,'data input'!$D$3:$E$130,2,FALSE),0)</f>
        <v>0</v>
      </c>
      <c r="DS112" s="5">
        <f>IF($E112&gt;=DS$2,VLOOKUP($E112-DS$2,'data input'!$D$3:$E$130,2,FALSE),0)</f>
        <v>0</v>
      </c>
      <c r="DT112" s="5">
        <f>IF($E112&gt;=DT$2,VLOOKUP($E112-DT$2,'data input'!$D$3:$E$130,2,FALSE),0)</f>
        <v>0</v>
      </c>
      <c r="DU112" s="5">
        <f>IF($E112&gt;=DU$2,VLOOKUP($E112-DU$2,'data input'!$D$3:$E$130,2,FALSE),0)</f>
        <v>0</v>
      </c>
      <c r="DV112" s="5">
        <f>IF($E112&gt;=DV$2,VLOOKUP($E112-DV$2,'data input'!$D$3:$E$130,2,FALSE),0)</f>
        <v>0</v>
      </c>
      <c r="DW112" s="5">
        <f>IF($E112&gt;=DW$2,VLOOKUP($E112-DW$2,'data input'!$D$3:$E$130,2,FALSE),0)</f>
        <v>0</v>
      </c>
      <c r="DX112" s="5">
        <f>IF($E112&gt;=DX$2,VLOOKUP($E112-DX$2,'data input'!$D$3:$E$130,2,FALSE),0)</f>
        <v>0</v>
      </c>
      <c r="DY112" s="5">
        <f>IF($E112&gt;=DY$2,VLOOKUP($E112-DY$2,'data input'!$D$3:$E$130,2,FALSE),0)</f>
        <v>0</v>
      </c>
      <c r="DZ112" s="5">
        <f>IF($E112&gt;=DZ$2,VLOOKUP($E112-DZ$2,'data input'!$D$3:$E$130,2,FALSE),0)</f>
        <v>0</v>
      </c>
      <c r="EA112" s="5">
        <f>IF($E112&gt;=EA$2,VLOOKUP($E112-EA$2,'data input'!$D$3:$E$130,2,FALSE),0)</f>
        <v>0</v>
      </c>
      <c r="EB112" s="5">
        <f>IF($E112&gt;=EB$2,VLOOKUP($E112-EB$2,'data input'!$D$3:$E$130,2,FALSE),0)</f>
        <v>0</v>
      </c>
      <c r="EC112" s="5">
        <f>IF($E112&gt;=EC$2,VLOOKUP($E112-EC$2,'data input'!$D$3:$E$130,2,FALSE),0)</f>
        <v>0</v>
      </c>
    </row>
    <row r="113" spans="5:133">
      <c r="E113" s="7">
        <f>'data input'!B113</f>
        <v>1988</v>
      </c>
      <c r="F113" s="5">
        <f>IF($E113&gt;=F$2,VLOOKUP($E113-F$2,'data input'!$D$3:$E$130,2,FALSE),0)</f>
        <v>7.6049605168826417E-8</v>
      </c>
      <c r="G113" s="5">
        <f>IF($E113&gt;=G$2,VLOOKUP($E113-G$2,'data input'!$D$3:$E$130,2,FALSE),0)</f>
        <v>1.1395549048831555E-7</v>
      </c>
      <c r="H113" s="5">
        <f>IF($E113&gt;=H$2,VLOOKUP($E113-H$2,'data input'!$D$3:$E$130,2,FALSE),0)</f>
        <v>1.698267406702314E-7</v>
      </c>
      <c r="I113" s="5">
        <f>IF($E113&gt;=I$2,VLOOKUP($E113-I$2,'data input'!$D$3:$E$130,2,FALSE),0)</f>
        <v>2.5171626816256065E-7</v>
      </c>
      <c r="J113" s="5">
        <f>IF($E113&gt;=J$2,VLOOKUP($E113-J$2,'data input'!$D$3:$E$130,2,FALSE),0)</f>
        <v>3.7106740791159609E-7</v>
      </c>
      <c r="K113" s="5">
        <f>IF($E113&gt;=K$2,VLOOKUP($E113-K$2,'data input'!$D$3:$E$130,2,FALSE),0)</f>
        <v>5.4404227556315021E-7</v>
      </c>
      <c r="L113" s="5">
        <f>IF($E113&gt;=L$2,VLOOKUP($E113-L$2,'data input'!$D$3:$E$130,2,FALSE),0)</f>
        <v>7.9332815194899098E-7</v>
      </c>
      <c r="M113" s="5">
        <f>IF($E113&gt;=M$2,VLOOKUP($E113-M$2,'data input'!$D$3:$E$130,2,FALSE),0)</f>
        <v>1.1505767815167545E-6</v>
      </c>
      <c r="N113" s="5">
        <f>IF($E113&gt;=N$2,VLOOKUP($E113-N$2,'data input'!$D$3:$E$130,2,FALSE),0)</f>
        <v>1.6596751443165303E-6</v>
      </c>
      <c r="O113" s="5">
        <f>IF($E113&gt;=O$2,VLOOKUP($E113-O$2,'data input'!$D$3:$E$130,2,FALSE),0)</f>
        <v>2.3810999327800175E-6</v>
      </c>
      <c r="P113" s="5">
        <f>IF($E113&gt;=P$2,VLOOKUP($E113-P$2,'data input'!$D$3:$E$130,2,FALSE),0)</f>
        <v>3.3976731247387093E-6</v>
      </c>
      <c r="Q113" s="5">
        <f>IF($E113&gt;=Q$2,VLOOKUP($E113-Q$2,'data input'!$D$3:$E$130,2,FALSE),0)</f>
        <v>4.8221141606408224E-6</v>
      </c>
      <c r="R113" s="5">
        <f>IF($E113&gt;=R$2,VLOOKUP($E113-R$2,'data input'!$D$3:$E$130,2,FALSE),0)</f>
        <v>6.8068765993745117E-6</v>
      </c>
      <c r="S113" s="5">
        <f>IF($E113&gt;=S$2,VLOOKUP($E113-S$2,'data input'!$D$3:$E$130,2,FALSE),0)</f>
        <v>9.5568647372479276E-6</v>
      </c>
      <c r="T113" s="5">
        <f>IF($E113&gt;=T$2,VLOOKUP($E113-T$2,'data input'!$D$3:$E$130,2,FALSE),0)</f>
        <v>1.3345749015902797E-5</v>
      </c>
      <c r="U113" s="5">
        <f>IF($E113&gt;=U$2,VLOOKUP($E113-U$2,'data input'!$D$3:$E$130,2,FALSE),0)</f>
        <v>1.8536737846241991E-5</v>
      </c>
      <c r="V113" s="5">
        <f>IF($E113&gt;=V$2,VLOOKUP($E113-V$2,'data input'!$D$3:$E$130,2,FALSE),0)</f>
        <v>2.5608816474065321E-5</v>
      </c>
      <c r="W113" s="5">
        <f>IF($E113&gt;=W$2,VLOOKUP($E113-W$2,'data input'!$D$3:$E$130,2,FALSE),0)</f>
        <v>3.5189628065923628E-5</v>
      </c>
      <c r="X113" s="5">
        <f>IF($E113&gt;=X$2,VLOOKUP($E113-X$2,'data input'!$D$3:$E$130,2,FALSE),0)</f>
        <v>4.8096344017589665E-5</v>
      </c>
      <c r="Y113" s="5">
        <f>IF($E113&gt;=Y$2,VLOOKUP($E113-Y$2,'data input'!$D$3:$E$130,2,FALSE),0)</f>
        <v>6.5386043242687819E-5</v>
      </c>
      <c r="Z113" s="5">
        <f>IF($E113&gt;=Z$2,VLOOKUP($E113-Z$2,'data input'!$D$3:$E$130,2,FALSE),0)</f>
        <v>8.841728520081471E-5</v>
      </c>
      <c r="AA113" s="5">
        <f>IF($E113&gt;=AA$2,VLOOKUP($E113-AA$2,'data input'!$D$3:$E$130,2,FALSE),0)</f>
        <v>1.1892470732677296E-4</v>
      </c>
      <c r="AB113" s="5">
        <f>IF($E113&gt;=AB$2,VLOOKUP($E113-AB$2,'data input'!$D$3:$E$130,2,FALSE),0)</f>
        <v>1.5910859015755285E-4</v>
      </c>
      <c r="AC113" s="5">
        <f>IF($E113&gt;=AC$2,VLOOKUP($E113-AC$2,'data input'!$D$3:$E$130,2,FALSE),0)</f>
        <v>2.1174139572344153E-4</v>
      </c>
      <c r="AD113" s="5">
        <f>IF($E113&gt;=AD$2,VLOOKUP($E113-AD$2,'data input'!$D$3:$E$130,2,FALSE),0)</f>
        <v>2.8029327681622362E-4</v>
      </c>
      <c r="AE113" s="5">
        <f>IF($E113&gt;=AE$2,VLOOKUP($E113-AE$2,'data input'!$D$3:$E$130,2,FALSE),0)</f>
        <v>3.6907845427502917E-4</v>
      </c>
      <c r="AF113" s="5">
        <f>IF($E113&gt;=AF$2,VLOOKUP($E113-AF$2,'data input'!$D$3:$E$130,2,FALSE),0)</f>
        <v>4.8342414238378151E-4</v>
      </c>
      <c r="AG113" s="5">
        <f>IF($E113&gt;=AG$2,VLOOKUP($E113-AG$2,'data input'!$D$3:$E$130,2,FALSE),0)</f>
        <v>6.2986334399772748E-4</v>
      </c>
      <c r="AH113" s="5">
        <f>IF($E113&gt;=AH$2,VLOOKUP($E113-AH$2,'data input'!$D$3:$E$130,2,FALSE),0)</f>
        <v>8.1635231282861653E-4</v>
      </c>
      <c r="AI113" s="5">
        <f>IF($E113&gt;=AI$2,VLOOKUP($E113-AI$2,'data input'!$D$3:$E$130,2,FALSE),0)</f>
        <v>1.0525127683760349E-3</v>
      </c>
      <c r="AJ113" s="5">
        <f>IF($E113&gt;=AJ$2,VLOOKUP($E113-AJ$2,'data input'!$D$3:$E$130,2,FALSE),0)</f>
        <v>1.3498980316301035E-3</v>
      </c>
      <c r="AK113" s="5">
        <f>IF($E113&gt;=AK$2,VLOOKUP($E113-AK$2,'data input'!$D$3:$E$130,2,FALSE),0)</f>
        <v>1.7222811158675855E-3</v>
      </c>
      <c r="AL113" s="5">
        <f>IF($E113&gt;=AL$2,VLOOKUP($E113-AL$2,'data input'!$D$3:$E$130,2,FALSE),0)</f>
        <v>2.1859614549132322E-3</v>
      </c>
      <c r="AM113" s="5">
        <f>IF($E113&gt;=AM$2,VLOOKUP($E113-AM$2,'data input'!$D$3:$E$130,2,FALSE),0)</f>
        <v>2.7600853912624901E-3</v>
      </c>
      <c r="AN113" s="5">
        <f>IF($E113&gt;=AN$2,VLOOKUP($E113-AN$2,'data input'!$D$3:$E$130,2,FALSE),0)</f>
        <v>3.4669738030406183E-3</v>
      </c>
      <c r="AO113" s="5">
        <f>IF($E113&gt;=AO$2,VLOOKUP($E113-AO$2,'data input'!$D$3:$E$130,2,FALSE),0)</f>
        <v>4.3324483630126087E-3</v>
      </c>
      <c r="AP113" s="5">
        <f>IF($E113&gt;=AP$2,VLOOKUP($E113-AP$2,'data input'!$D$3:$E$130,2,FALSE),0)</f>
        <v>5.3861459540667234E-3</v>
      </c>
      <c r="AQ113" s="5">
        <f>IF($E113&gt;=AQ$2,VLOOKUP($E113-AQ$2,'data input'!$D$3:$E$130,2,FALSE),0)</f>
        <v>6.6618087919827484E-3</v>
      </c>
      <c r="AR113" s="5">
        <f>IF($E113&gt;=AR$2,VLOOKUP($E113-AR$2,'data input'!$D$3:$E$130,2,FALSE),0)</f>
        <v>8.1975359245961554E-3</v>
      </c>
      <c r="AS113" s="5">
        <f>IF($E113&gt;=AS$2,VLOOKUP($E113-AS$2,'data input'!$D$3:$E$130,2,FALSE),0)</f>
        <v>1.0035980100274067E-2</v>
      </c>
      <c r="AT113" s="5">
        <f>IF($E113&gt;=AT$2,VLOOKUP($E113-AT$2,'data input'!$D$3:$E$130,2,FALSE),0)</f>
        <v>1.2224472655044671E-2</v>
      </c>
      <c r="AU113" s="5">
        <f>IF($E113&gt;=AU$2,VLOOKUP($E113-AU$2,'data input'!$D$3:$E$130,2,FALSE),0)</f>
        <v>1.4815058192609865E-2</v>
      </c>
      <c r="AV113" s="5">
        <f>IF($E113&gt;=AV$2,VLOOKUP($E113-AV$2,'data input'!$D$3:$E$130,2,FALSE),0)</f>
        <v>1.7864420562816563E-2</v>
      </c>
      <c r="AW113" s="5">
        <f>IF($E113&gt;=AW$2,VLOOKUP($E113-AW$2,'data input'!$D$3:$E$130,2,FALSE),0)</f>
        <v>2.1433682114152974E-2</v>
      </c>
      <c r="AX113" s="5">
        <f>IF($E113&gt;=AX$2,VLOOKUP($E113-AX$2,'data input'!$D$3:$E$130,2,FALSE),0)</f>
        <v>2.5588059521638562E-2</v>
      </c>
      <c r="AY113" s="5">
        <f>IF($E113&gt;=AY$2,VLOOKUP($E113-AY$2,'data input'!$D$3:$E$130,2,FALSE),0)</f>
        <v>3.0396361765261393E-2</v>
      </c>
      <c r="AZ113" s="5">
        <f>IF($E113&gt;=AZ$2,VLOOKUP($E113-AZ$2,'data input'!$D$3:$E$130,2,FALSE),0)</f>
        <v>3.5930319112925768E-2</v>
      </c>
      <c r="BA113" s="5">
        <f>IF($E113&gt;=BA$2,VLOOKUP($E113-BA$2,'data input'!$D$3:$E$130,2,FALSE),0)</f>
        <v>4.2263736257952433E-2</v>
      </c>
      <c r="BB113" s="5">
        <f>IF($E113&gt;=BB$2,VLOOKUP($E113-BB$2,'data input'!$D$3:$E$130,2,FALSE),0)</f>
        <v>4.9471468033648103E-2</v>
      </c>
      <c r="BC113" s="5">
        <f>IF($E113&gt;=BC$2,VLOOKUP($E113-BC$2,'data input'!$D$3:$E$130,2,FALSE),0)</f>
        <v>5.7628222276153163E-2</v>
      </c>
      <c r="BD113" s="5">
        <f>IF($E113&gt;=BD$2,VLOOKUP($E113-BD$2,'data input'!$D$3:$E$130,2,FALSE),0)</f>
        <v>6.6807201268858085E-2</v>
      </c>
      <c r="BE113" s="5">
        <f>IF($E113&gt;=BE$2,VLOOKUP($E113-BE$2,'data input'!$D$3:$E$130,2,FALSE),0)</f>
        <v>7.707860055207183E-2</v>
      </c>
      <c r="BF113" s="5">
        <f>IF($E113&gt;=BF$2,VLOOKUP($E113-BF$2,'data input'!$D$3:$E$130,2,FALSE),0)</f>
        <v>8.8507991437402067E-2</v>
      </c>
      <c r="BG113" s="5">
        <f>IF($E113&gt;=BG$2,VLOOKUP($E113-BG$2,'data input'!$D$3:$E$130,2,FALSE),0)</f>
        <v>0.10115462099558592</v>
      </c>
      <c r="BH113" s="5">
        <f>IF($E113&gt;=BH$2,VLOOKUP($E113-BH$2,'data input'!$D$3:$E$130,2,FALSE),0)</f>
        <v>0.11506967022170822</v>
      </c>
      <c r="BI113" s="5">
        <f>IF($E113&gt;=BI$2,VLOOKUP($E113-BI$2,'data input'!$D$3:$E$130,2,FALSE),0)</f>
        <v>0.13029451713680884</v>
      </c>
      <c r="BJ113" s="5">
        <f>IF($E113&gt;=BJ$2,VLOOKUP($E113-BJ$2,'data input'!$D$3:$E$130,2,FALSE),0)</f>
        <v>0.14685905637589591</v>
      </c>
      <c r="BK113" s="5">
        <f>IF($E113&gt;=BK$2,VLOOKUP($E113-BK$2,'data input'!$D$3:$E$130,2,FALSE),0)</f>
        <v>0.16478012998031033</v>
      </c>
      <c r="BL113" s="5">
        <f>IF($E113&gt;=BL$2,VLOOKUP($E113-BL$2,'data input'!$D$3:$E$130,2,FALSE),0)</f>
        <v>0.18406012534675953</v>
      </c>
      <c r="BM113" s="5">
        <f>IF($E113&gt;=BM$2,VLOOKUP($E113-BM$2,'data input'!$D$3:$E$130,2,FALSE),0)</f>
        <v>0.20468579534725262</v>
      </c>
      <c r="BN113" s="5">
        <f>IF($E113&gt;=BN$2,VLOOKUP($E113-BN$2,'data input'!$D$3:$E$130,2,FALSE),0)</f>
        <v>0.22662735237686826</v>
      </c>
      <c r="BO113" s="5">
        <f>IF($E113&gt;=BO$2,VLOOKUP($E113-BO$2,'data input'!$D$3:$E$130,2,FALSE),0)</f>
        <v>0.24983788247177696</v>
      </c>
      <c r="BP113" s="5">
        <f>IF($E113&gt;=BP$2,VLOOKUP($E113-BP$2,'data input'!$D$3:$E$130,2,FALSE),0)</f>
        <v>0.27425311775007355</v>
      </c>
      <c r="BQ113" s="5">
        <f>IF($E113&gt;=BQ$2,VLOOKUP($E113-BQ$2,'data input'!$D$3:$E$130,2,FALSE),0)</f>
        <v>0.29979159546869583</v>
      </c>
      <c r="BR113" s="5">
        <f>IF($E113&gt;=BR$2,VLOOKUP($E113-BR$2,'data input'!$D$3:$E$130,2,FALSE),0)</f>
        <v>0.32635522028792008</v>
      </c>
      <c r="BS113" s="5">
        <f>IF($E113&gt;=BS$2,VLOOKUP($E113-BS$2,'data input'!$D$3:$E$130,2,FALSE),0)</f>
        <v>0.35383023332727614</v>
      </c>
      <c r="BT113" s="5">
        <f>IF($E113&gt;=BT$2,VLOOKUP($E113-BT$2,'data input'!$D$3:$E$130,2,FALSE),0)</f>
        <v>0.38208857781104733</v>
      </c>
      <c r="BU113" s="5">
        <f>IF($E113&gt;=BU$2,VLOOKUP($E113-BU$2,'data input'!$D$3:$E$130,2,FALSE),0)</f>
        <v>0.41098963713127035</v>
      </c>
      <c r="BV113" s="5">
        <f>IF($E113&gt;=BV$2,VLOOKUP($E113-BV$2,'data input'!$D$3:$E$130,2,FALSE),0)</f>
        <v>0.4403823076297575</v>
      </c>
      <c r="BW113" s="5">
        <f>IF($E113&gt;=BW$2,VLOOKUP($E113-BW$2,'data input'!$D$3:$E$130,2,FALSE),0)</f>
        <v>0.47010735594710518</v>
      </c>
      <c r="BX113" s="5">
        <f>IF($E113&gt;=BX$2,VLOOKUP($E113-BX$2,'data input'!$D$3:$E$130,2,FALSE),0)</f>
        <v>0.5</v>
      </c>
      <c r="BY113" s="5">
        <f>IF($E113&gt;=BY$2,VLOOKUP($E113-BY$2,'data input'!$D$3:$E$130,2,FALSE),0)</f>
        <v>0.52989264405289482</v>
      </c>
      <c r="BZ113" s="5">
        <f>IF($E113&gt;=BZ$2,VLOOKUP($E113-BZ$2,'data input'!$D$3:$E$130,2,FALSE),0)</f>
        <v>0.5596176923702425</v>
      </c>
      <c r="CA113" s="5">
        <f>IF($E113&gt;=CA$2,VLOOKUP($E113-CA$2,'data input'!$D$3:$E$130,2,FALSE),0)</f>
        <v>0.58901036286872965</v>
      </c>
      <c r="CB113" s="5">
        <f>IF($E113&gt;=CB$2,VLOOKUP($E113-CB$2,'data input'!$D$3:$E$130,2,FALSE),0)</f>
        <v>0.61791142218895267</v>
      </c>
      <c r="CC113" s="5">
        <f>IF($E113&gt;=CC$2,VLOOKUP($E113-CC$2,'data input'!$D$3:$E$130,2,FALSE),0)</f>
        <v>0.64616976667272386</v>
      </c>
      <c r="CD113" s="5">
        <f>IF($E113&gt;=CD$2,VLOOKUP($E113-CD$2,'data input'!$D$3:$E$130,2,FALSE),0)</f>
        <v>0.67364477971207992</v>
      </c>
      <c r="CE113" s="5">
        <f>IF($E113&gt;=CE$2,VLOOKUP($E113-CE$2,'data input'!$D$3:$E$130,2,FALSE),0)</f>
        <v>0.70020840453130417</v>
      </c>
      <c r="CF113" s="5">
        <f>IF($E113&gt;=CF$2,VLOOKUP($E113-CF$2,'data input'!$D$3:$E$130,2,FALSE),0)</f>
        <v>0.72574688224992645</v>
      </c>
      <c r="CG113" s="5">
        <f>IF($E113&gt;=CG$2,VLOOKUP($E113-CG$2,'data input'!$D$3:$E$130,2,FALSE),0)</f>
        <v>0.75016211752822304</v>
      </c>
      <c r="CH113" s="5">
        <f>IF($E113&gt;=CH$2,VLOOKUP($E113-CH$2,'data input'!$D$3:$E$130,2,FALSE),0)</f>
        <v>0.77337264762313174</v>
      </c>
      <c r="CI113" s="5">
        <f>IF($E113&gt;=CI$2,VLOOKUP($E113-CI$2,'data input'!$D$3:$E$130,2,FALSE),0)</f>
        <v>0.79531420465274738</v>
      </c>
      <c r="CJ113" s="5">
        <f>IF($E113&gt;=CJ$2,VLOOKUP($E113-CJ$2,'data input'!$D$3:$E$130,2,FALSE),0)</f>
        <v>0.81593987465324047</v>
      </c>
      <c r="CK113" s="5">
        <f>IF($E113&gt;=CK$2,VLOOKUP($E113-CK$2,'data input'!$D$3:$E$130,2,FALSE),0)</f>
        <v>0.83521987001968967</v>
      </c>
      <c r="CL113" s="5">
        <f>IF($E113&gt;=CL$2,VLOOKUP($E113-CL$2,'data input'!$D$3:$E$130,2,FALSE),0)</f>
        <v>0.85314094362410409</v>
      </c>
      <c r="CM113" s="5">
        <f>IF($E113&gt;=CM$2,VLOOKUP($E113-CM$2,'data input'!$D$3:$E$130,2,FALSE),0)</f>
        <v>0.86970548286319116</v>
      </c>
      <c r="CN113" s="5">
        <f>IF($E113&gt;=CN$2,VLOOKUP($E113-CN$2,'data input'!$D$3:$E$130,2,FALSE),0)</f>
        <v>0.88493032977829178</v>
      </c>
      <c r="CO113" s="5">
        <f>IF($E113&gt;=CO$2,VLOOKUP($E113-CO$2,'data input'!$D$3:$E$130,2,FALSE),0)</f>
        <v>0.89884537900441408</v>
      </c>
      <c r="CP113" s="5">
        <f>IF($E113&gt;=CP$2,VLOOKUP($E113-CP$2,'data input'!$D$3:$E$130,2,FALSE),0)</f>
        <v>0.91149200856259793</v>
      </c>
      <c r="CQ113" s="5">
        <f>IF($E113&gt;=CQ$2,VLOOKUP($E113-CQ$2,'data input'!$D$3:$E$130,2,FALSE),0)</f>
        <v>0.92292139944792817</v>
      </c>
      <c r="CR113" s="5">
        <f>IF($E113&gt;=CR$2,VLOOKUP($E113-CR$2,'data input'!$D$3:$E$130,2,FALSE),0)</f>
        <v>0.93319279873114191</v>
      </c>
      <c r="CS113" s="5">
        <f>IF($E113&gt;=CS$2,VLOOKUP($E113-CS$2,'data input'!$D$3:$E$130,2,FALSE),0)</f>
        <v>0.94237177772384684</v>
      </c>
      <c r="CT113" s="5">
        <f>IF($E113&gt;=CT$2,VLOOKUP($E113-CT$2,'data input'!$D$3:$E$130,2,FALSE),0)</f>
        <v>0.9505285319663519</v>
      </c>
      <c r="CU113" s="5">
        <f>IF($E113&gt;=CU$2,VLOOKUP($E113-CU$2,'data input'!$D$3:$E$130,2,FALSE),0)</f>
        <v>0.95773626374204757</v>
      </c>
      <c r="CV113" s="5">
        <f>IF($E113&gt;=CV$2,VLOOKUP($E113-CV$2,'data input'!$D$3:$E$130,2,FALSE),0)</f>
        <v>0.96406968088707423</v>
      </c>
      <c r="CW113" s="5">
        <f>IF($E113&gt;=CW$2,VLOOKUP($E113-CW$2,'data input'!$D$3:$E$130,2,FALSE),0)</f>
        <v>0.96960363823473861</v>
      </c>
      <c r="CX113" s="5">
        <f>IF($E113&gt;=CX$2,VLOOKUP($E113-CX$2,'data input'!$D$3:$E$130,2,FALSE),0)</f>
        <v>0.97441194047836144</v>
      </c>
      <c r="CY113" s="5">
        <f>IF($E113&gt;=CY$2,VLOOKUP($E113-CY$2,'data input'!$D$3:$E$130,2,FALSE),0)</f>
        <v>0.97856631788584703</v>
      </c>
      <c r="CZ113" s="5">
        <f>IF($E113&gt;=CZ$2,VLOOKUP($E113-CZ$2,'data input'!$D$3:$E$130,2,FALSE),0)</f>
        <v>0.98213557943718344</v>
      </c>
      <c r="DA113" s="5">
        <f>IF($E113&gt;=DA$2,VLOOKUP($E113-DA$2,'data input'!$D$3:$E$130,2,FALSE),0)</f>
        <v>0.98518494180739014</v>
      </c>
      <c r="DB113" s="5">
        <f>IF($E113&gt;=DB$2,VLOOKUP($E113-DB$2,'data input'!$D$3:$E$130,2,FALSE),0)</f>
        <v>0.98777552734495533</v>
      </c>
      <c r="DC113" s="5">
        <f>IF($E113&gt;=DC$2,VLOOKUP($E113-DC$2,'data input'!$D$3:$E$130,2,FALSE),0)</f>
        <v>0.98996401989972593</v>
      </c>
      <c r="DD113" s="5">
        <f>IF($E113&gt;=DD$2,VLOOKUP($E113-DD$2,'data input'!$D$3:$E$130,2,FALSE),0)</f>
        <v>0.99180246407540384</v>
      </c>
      <c r="DE113" s="5">
        <f>IF($E113&gt;=DE$2,VLOOKUP($E113-DE$2,'data input'!$D$3:$E$130,2,FALSE),0)</f>
        <v>0.99333819120801725</v>
      </c>
      <c r="DF113" s="5">
        <f>IF($E113&gt;=DF$2,VLOOKUP($E113-DF$2,'data input'!$D$3:$E$130,2,FALSE),0)</f>
        <v>0.99461385404593328</v>
      </c>
      <c r="DG113" s="5">
        <f>IF($E113&gt;=DG$2,VLOOKUP($E113-DG$2,'data input'!$D$3:$E$130,2,FALSE),0)</f>
        <v>0.99566755163698739</v>
      </c>
      <c r="DH113" s="5">
        <f>IF($E113&gt;=DH$2,VLOOKUP($E113-DH$2,'data input'!$D$3:$E$130,2,FALSE),0)</f>
        <v>0.99653302619695938</v>
      </c>
      <c r="DI113" s="5">
        <f>IF($E113&gt;=DI$2,VLOOKUP($E113-DI$2,'data input'!$D$3:$E$130,2,FALSE),0)</f>
        <v>0.99723991460873751</v>
      </c>
      <c r="DJ113" s="5">
        <f>IF($E113&gt;=DJ$2,VLOOKUP($E113-DJ$2,'data input'!$D$3:$E$130,2,FALSE),0)</f>
        <v>0.99781403854508677</v>
      </c>
      <c r="DK113" s="5">
        <f>IF($E113&gt;=DK$2,VLOOKUP($E113-DK$2,'data input'!$D$3:$E$130,2,FALSE),0)</f>
        <v>0.99827771888413241</v>
      </c>
      <c r="DL113" s="5">
        <f>IF($E113&gt;=DL$2,VLOOKUP($E113-DL$2,'data input'!$D$3:$E$130,2,FALSE),0)</f>
        <v>0.9986501019683699</v>
      </c>
      <c r="DM113" s="5">
        <f>IF($E113&gt;=DM$2,VLOOKUP($E113-DM$2,'data input'!$D$3:$E$130,2,FALSE),0)</f>
        <v>0</v>
      </c>
      <c r="DN113" s="5">
        <f>IF($E113&gt;=DN$2,VLOOKUP($E113-DN$2,'data input'!$D$3:$E$130,2,FALSE),0)</f>
        <v>0</v>
      </c>
      <c r="DO113" s="5">
        <f>IF($E113&gt;=DO$2,VLOOKUP($E113-DO$2,'data input'!$D$3:$E$130,2,FALSE),0)</f>
        <v>0</v>
      </c>
      <c r="DP113" s="5">
        <f>IF($E113&gt;=DP$2,VLOOKUP($E113-DP$2,'data input'!$D$3:$E$130,2,FALSE),0)</f>
        <v>0</v>
      </c>
      <c r="DQ113" s="5">
        <f>IF($E113&gt;=DQ$2,VLOOKUP($E113-DQ$2,'data input'!$D$3:$E$130,2,FALSE),0)</f>
        <v>0</v>
      </c>
      <c r="DR113" s="5">
        <f>IF($E113&gt;=DR$2,VLOOKUP($E113-DR$2,'data input'!$D$3:$E$130,2,FALSE),0)</f>
        <v>0</v>
      </c>
      <c r="DS113" s="5">
        <f>IF($E113&gt;=DS$2,VLOOKUP($E113-DS$2,'data input'!$D$3:$E$130,2,FALSE),0)</f>
        <v>0</v>
      </c>
      <c r="DT113" s="5">
        <f>IF($E113&gt;=DT$2,VLOOKUP($E113-DT$2,'data input'!$D$3:$E$130,2,FALSE),0)</f>
        <v>0</v>
      </c>
      <c r="DU113" s="5">
        <f>IF($E113&gt;=DU$2,VLOOKUP($E113-DU$2,'data input'!$D$3:$E$130,2,FALSE),0)</f>
        <v>0</v>
      </c>
      <c r="DV113" s="5">
        <f>IF($E113&gt;=DV$2,VLOOKUP($E113-DV$2,'data input'!$D$3:$E$130,2,FALSE),0)</f>
        <v>0</v>
      </c>
      <c r="DW113" s="5">
        <f>IF($E113&gt;=DW$2,VLOOKUP($E113-DW$2,'data input'!$D$3:$E$130,2,FALSE),0)</f>
        <v>0</v>
      </c>
      <c r="DX113" s="5">
        <f>IF($E113&gt;=DX$2,VLOOKUP($E113-DX$2,'data input'!$D$3:$E$130,2,FALSE),0)</f>
        <v>0</v>
      </c>
      <c r="DY113" s="5">
        <f>IF($E113&gt;=DY$2,VLOOKUP($E113-DY$2,'data input'!$D$3:$E$130,2,FALSE),0)</f>
        <v>0</v>
      </c>
      <c r="DZ113" s="5">
        <f>IF($E113&gt;=DZ$2,VLOOKUP($E113-DZ$2,'data input'!$D$3:$E$130,2,FALSE),0)</f>
        <v>0</v>
      </c>
      <c r="EA113" s="5">
        <f>IF($E113&gt;=EA$2,VLOOKUP($E113-EA$2,'data input'!$D$3:$E$130,2,FALSE),0)</f>
        <v>0</v>
      </c>
      <c r="EB113" s="5">
        <f>IF($E113&gt;=EB$2,VLOOKUP($E113-EB$2,'data input'!$D$3:$E$130,2,FALSE),0)</f>
        <v>0</v>
      </c>
      <c r="EC113" s="5">
        <f>IF($E113&gt;=EC$2,VLOOKUP($E113-EC$2,'data input'!$D$3:$E$130,2,FALSE),0)</f>
        <v>0</v>
      </c>
    </row>
    <row r="114" spans="5:133">
      <c r="E114" s="7">
        <f>'data input'!B114</f>
        <v>1989</v>
      </c>
      <c r="F114" s="5">
        <f>IF($E114&gt;=F$2,VLOOKUP($E114-F$2,'data input'!$D$3:$E$130,2,FALSE),0)</f>
        <v>5.0476519741771142E-8</v>
      </c>
      <c r="G114" s="5">
        <f>IF($E114&gt;=G$2,VLOOKUP($E114-G$2,'data input'!$D$3:$E$130,2,FALSE),0)</f>
        <v>7.6049605168826417E-8</v>
      </c>
      <c r="H114" s="5">
        <f>IF($E114&gt;=H$2,VLOOKUP($E114-H$2,'data input'!$D$3:$E$130,2,FALSE),0)</f>
        <v>1.1395549048831555E-7</v>
      </c>
      <c r="I114" s="5">
        <f>IF($E114&gt;=I$2,VLOOKUP($E114-I$2,'data input'!$D$3:$E$130,2,FALSE),0)</f>
        <v>1.698267406702314E-7</v>
      </c>
      <c r="J114" s="5">
        <f>IF($E114&gt;=J$2,VLOOKUP($E114-J$2,'data input'!$D$3:$E$130,2,FALSE),0)</f>
        <v>2.5171626816256065E-7</v>
      </c>
      <c r="K114" s="5">
        <f>IF($E114&gt;=K$2,VLOOKUP($E114-K$2,'data input'!$D$3:$E$130,2,FALSE),0)</f>
        <v>3.7106740791159609E-7</v>
      </c>
      <c r="L114" s="5">
        <f>IF($E114&gt;=L$2,VLOOKUP($E114-L$2,'data input'!$D$3:$E$130,2,FALSE),0)</f>
        <v>5.4404227556315021E-7</v>
      </c>
      <c r="M114" s="5">
        <f>IF($E114&gt;=M$2,VLOOKUP($E114-M$2,'data input'!$D$3:$E$130,2,FALSE),0)</f>
        <v>7.9332815194899098E-7</v>
      </c>
      <c r="N114" s="5">
        <f>IF($E114&gt;=N$2,VLOOKUP($E114-N$2,'data input'!$D$3:$E$130,2,FALSE),0)</f>
        <v>1.1505767815167545E-6</v>
      </c>
      <c r="O114" s="5">
        <f>IF($E114&gt;=O$2,VLOOKUP($E114-O$2,'data input'!$D$3:$E$130,2,FALSE),0)</f>
        <v>1.6596751443165303E-6</v>
      </c>
      <c r="P114" s="5">
        <f>IF($E114&gt;=P$2,VLOOKUP($E114-P$2,'data input'!$D$3:$E$130,2,FALSE),0)</f>
        <v>2.3810999327800175E-6</v>
      </c>
      <c r="Q114" s="5">
        <f>IF($E114&gt;=Q$2,VLOOKUP($E114-Q$2,'data input'!$D$3:$E$130,2,FALSE),0)</f>
        <v>3.3976731247387093E-6</v>
      </c>
      <c r="R114" s="5">
        <f>IF($E114&gt;=R$2,VLOOKUP($E114-R$2,'data input'!$D$3:$E$130,2,FALSE),0)</f>
        <v>4.8221141606408224E-6</v>
      </c>
      <c r="S114" s="5">
        <f>IF($E114&gt;=S$2,VLOOKUP($E114-S$2,'data input'!$D$3:$E$130,2,FALSE),0)</f>
        <v>6.8068765993745117E-6</v>
      </c>
      <c r="T114" s="5">
        <f>IF($E114&gt;=T$2,VLOOKUP($E114-T$2,'data input'!$D$3:$E$130,2,FALSE),0)</f>
        <v>9.5568647372479276E-6</v>
      </c>
      <c r="U114" s="5">
        <f>IF($E114&gt;=U$2,VLOOKUP($E114-U$2,'data input'!$D$3:$E$130,2,FALSE),0)</f>
        <v>1.3345749015902797E-5</v>
      </c>
      <c r="V114" s="5">
        <f>IF($E114&gt;=V$2,VLOOKUP($E114-V$2,'data input'!$D$3:$E$130,2,FALSE),0)</f>
        <v>1.8536737846241991E-5</v>
      </c>
      <c r="W114" s="5">
        <f>IF($E114&gt;=W$2,VLOOKUP($E114-W$2,'data input'!$D$3:$E$130,2,FALSE),0)</f>
        <v>2.5608816474065321E-5</v>
      </c>
      <c r="X114" s="5">
        <f>IF($E114&gt;=X$2,VLOOKUP($E114-X$2,'data input'!$D$3:$E$130,2,FALSE),0)</f>
        <v>3.5189628065923628E-5</v>
      </c>
      <c r="Y114" s="5">
        <f>IF($E114&gt;=Y$2,VLOOKUP($E114-Y$2,'data input'!$D$3:$E$130,2,FALSE),0)</f>
        <v>4.8096344017589665E-5</v>
      </c>
      <c r="Z114" s="5">
        <f>IF($E114&gt;=Z$2,VLOOKUP($E114-Z$2,'data input'!$D$3:$E$130,2,FALSE),0)</f>
        <v>6.5386043242687819E-5</v>
      </c>
      <c r="AA114" s="5">
        <f>IF($E114&gt;=AA$2,VLOOKUP($E114-AA$2,'data input'!$D$3:$E$130,2,FALSE),0)</f>
        <v>8.841728520081471E-5</v>
      </c>
      <c r="AB114" s="5">
        <f>IF($E114&gt;=AB$2,VLOOKUP($E114-AB$2,'data input'!$D$3:$E$130,2,FALSE),0)</f>
        <v>1.1892470732677296E-4</v>
      </c>
      <c r="AC114" s="5">
        <f>IF($E114&gt;=AC$2,VLOOKUP($E114-AC$2,'data input'!$D$3:$E$130,2,FALSE),0)</f>
        <v>1.5910859015755285E-4</v>
      </c>
      <c r="AD114" s="5">
        <f>IF($E114&gt;=AD$2,VLOOKUP($E114-AD$2,'data input'!$D$3:$E$130,2,FALSE),0)</f>
        <v>2.1174139572344153E-4</v>
      </c>
      <c r="AE114" s="5">
        <f>IF($E114&gt;=AE$2,VLOOKUP($E114-AE$2,'data input'!$D$3:$E$130,2,FALSE),0)</f>
        <v>2.8029327681622362E-4</v>
      </c>
      <c r="AF114" s="5">
        <f>IF($E114&gt;=AF$2,VLOOKUP($E114-AF$2,'data input'!$D$3:$E$130,2,FALSE),0)</f>
        <v>3.6907845427502917E-4</v>
      </c>
      <c r="AG114" s="5">
        <f>IF($E114&gt;=AG$2,VLOOKUP($E114-AG$2,'data input'!$D$3:$E$130,2,FALSE),0)</f>
        <v>4.8342414238378151E-4</v>
      </c>
      <c r="AH114" s="5">
        <f>IF($E114&gt;=AH$2,VLOOKUP($E114-AH$2,'data input'!$D$3:$E$130,2,FALSE),0)</f>
        <v>6.2986334399772748E-4</v>
      </c>
      <c r="AI114" s="5">
        <f>IF($E114&gt;=AI$2,VLOOKUP($E114-AI$2,'data input'!$D$3:$E$130,2,FALSE),0)</f>
        <v>8.1635231282861653E-4</v>
      </c>
      <c r="AJ114" s="5">
        <f>IF($E114&gt;=AJ$2,VLOOKUP($E114-AJ$2,'data input'!$D$3:$E$130,2,FALSE),0)</f>
        <v>1.0525127683760349E-3</v>
      </c>
      <c r="AK114" s="5">
        <f>IF($E114&gt;=AK$2,VLOOKUP($E114-AK$2,'data input'!$D$3:$E$130,2,FALSE),0)</f>
        <v>1.3498980316301035E-3</v>
      </c>
      <c r="AL114" s="5">
        <f>IF($E114&gt;=AL$2,VLOOKUP($E114-AL$2,'data input'!$D$3:$E$130,2,FALSE),0)</f>
        <v>1.7222811158675855E-3</v>
      </c>
      <c r="AM114" s="5">
        <f>IF($E114&gt;=AM$2,VLOOKUP($E114-AM$2,'data input'!$D$3:$E$130,2,FALSE),0)</f>
        <v>2.1859614549132322E-3</v>
      </c>
      <c r="AN114" s="5">
        <f>IF($E114&gt;=AN$2,VLOOKUP($E114-AN$2,'data input'!$D$3:$E$130,2,FALSE),0)</f>
        <v>2.7600853912624901E-3</v>
      </c>
      <c r="AO114" s="5">
        <f>IF($E114&gt;=AO$2,VLOOKUP($E114-AO$2,'data input'!$D$3:$E$130,2,FALSE),0)</f>
        <v>3.4669738030406183E-3</v>
      </c>
      <c r="AP114" s="5">
        <f>IF($E114&gt;=AP$2,VLOOKUP($E114-AP$2,'data input'!$D$3:$E$130,2,FALSE),0)</f>
        <v>4.3324483630126087E-3</v>
      </c>
      <c r="AQ114" s="5">
        <f>IF($E114&gt;=AQ$2,VLOOKUP($E114-AQ$2,'data input'!$D$3:$E$130,2,FALSE),0)</f>
        <v>5.3861459540667234E-3</v>
      </c>
      <c r="AR114" s="5">
        <f>IF($E114&gt;=AR$2,VLOOKUP($E114-AR$2,'data input'!$D$3:$E$130,2,FALSE),0)</f>
        <v>6.6618087919827484E-3</v>
      </c>
      <c r="AS114" s="5">
        <f>IF($E114&gt;=AS$2,VLOOKUP($E114-AS$2,'data input'!$D$3:$E$130,2,FALSE),0)</f>
        <v>8.1975359245961554E-3</v>
      </c>
      <c r="AT114" s="5">
        <f>IF($E114&gt;=AT$2,VLOOKUP($E114-AT$2,'data input'!$D$3:$E$130,2,FALSE),0)</f>
        <v>1.0035980100274067E-2</v>
      </c>
      <c r="AU114" s="5">
        <f>IF($E114&gt;=AU$2,VLOOKUP($E114-AU$2,'data input'!$D$3:$E$130,2,FALSE),0)</f>
        <v>1.2224472655044671E-2</v>
      </c>
      <c r="AV114" s="5">
        <f>IF($E114&gt;=AV$2,VLOOKUP($E114-AV$2,'data input'!$D$3:$E$130,2,FALSE),0)</f>
        <v>1.4815058192609865E-2</v>
      </c>
      <c r="AW114" s="5">
        <f>IF($E114&gt;=AW$2,VLOOKUP($E114-AW$2,'data input'!$D$3:$E$130,2,FALSE),0)</f>
        <v>1.7864420562816563E-2</v>
      </c>
      <c r="AX114" s="5">
        <f>IF($E114&gt;=AX$2,VLOOKUP($E114-AX$2,'data input'!$D$3:$E$130,2,FALSE),0)</f>
        <v>2.1433682114152974E-2</v>
      </c>
      <c r="AY114" s="5">
        <f>IF($E114&gt;=AY$2,VLOOKUP($E114-AY$2,'data input'!$D$3:$E$130,2,FALSE),0)</f>
        <v>2.5588059521638562E-2</v>
      </c>
      <c r="AZ114" s="5">
        <f>IF($E114&gt;=AZ$2,VLOOKUP($E114-AZ$2,'data input'!$D$3:$E$130,2,FALSE),0)</f>
        <v>3.0396361765261393E-2</v>
      </c>
      <c r="BA114" s="5">
        <f>IF($E114&gt;=BA$2,VLOOKUP($E114-BA$2,'data input'!$D$3:$E$130,2,FALSE),0)</f>
        <v>3.5930319112925768E-2</v>
      </c>
      <c r="BB114" s="5">
        <f>IF($E114&gt;=BB$2,VLOOKUP($E114-BB$2,'data input'!$D$3:$E$130,2,FALSE),0)</f>
        <v>4.2263736257952433E-2</v>
      </c>
      <c r="BC114" s="5">
        <f>IF($E114&gt;=BC$2,VLOOKUP($E114-BC$2,'data input'!$D$3:$E$130,2,FALSE),0)</f>
        <v>4.9471468033648103E-2</v>
      </c>
      <c r="BD114" s="5">
        <f>IF($E114&gt;=BD$2,VLOOKUP($E114-BD$2,'data input'!$D$3:$E$130,2,FALSE),0)</f>
        <v>5.7628222276153163E-2</v>
      </c>
      <c r="BE114" s="5">
        <f>IF($E114&gt;=BE$2,VLOOKUP($E114-BE$2,'data input'!$D$3:$E$130,2,FALSE),0)</f>
        <v>6.6807201268858085E-2</v>
      </c>
      <c r="BF114" s="5">
        <f>IF($E114&gt;=BF$2,VLOOKUP($E114-BF$2,'data input'!$D$3:$E$130,2,FALSE),0)</f>
        <v>7.707860055207183E-2</v>
      </c>
      <c r="BG114" s="5">
        <f>IF($E114&gt;=BG$2,VLOOKUP($E114-BG$2,'data input'!$D$3:$E$130,2,FALSE),0)</f>
        <v>8.8507991437402067E-2</v>
      </c>
      <c r="BH114" s="5">
        <f>IF($E114&gt;=BH$2,VLOOKUP($E114-BH$2,'data input'!$D$3:$E$130,2,FALSE),0)</f>
        <v>0.10115462099558592</v>
      </c>
      <c r="BI114" s="5">
        <f>IF($E114&gt;=BI$2,VLOOKUP($E114-BI$2,'data input'!$D$3:$E$130,2,FALSE),0)</f>
        <v>0.11506967022170822</v>
      </c>
      <c r="BJ114" s="5">
        <f>IF($E114&gt;=BJ$2,VLOOKUP($E114-BJ$2,'data input'!$D$3:$E$130,2,FALSE),0)</f>
        <v>0.13029451713680884</v>
      </c>
      <c r="BK114" s="5">
        <f>IF($E114&gt;=BK$2,VLOOKUP($E114-BK$2,'data input'!$D$3:$E$130,2,FALSE),0)</f>
        <v>0.14685905637589591</v>
      </c>
      <c r="BL114" s="5">
        <f>IF($E114&gt;=BL$2,VLOOKUP($E114-BL$2,'data input'!$D$3:$E$130,2,FALSE),0)</f>
        <v>0.16478012998031033</v>
      </c>
      <c r="BM114" s="5">
        <f>IF($E114&gt;=BM$2,VLOOKUP($E114-BM$2,'data input'!$D$3:$E$130,2,FALSE),0)</f>
        <v>0.18406012534675953</v>
      </c>
      <c r="BN114" s="5">
        <f>IF($E114&gt;=BN$2,VLOOKUP($E114-BN$2,'data input'!$D$3:$E$130,2,FALSE),0)</f>
        <v>0.20468579534725262</v>
      </c>
      <c r="BO114" s="5">
        <f>IF($E114&gt;=BO$2,VLOOKUP($E114-BO$2,'data input'!$D$3:$E$130,2,FALSE),0)</f>
        <v>0.22662735237686826</v>
      </c>
      <c r="BP114" s="5">
        <f>IF($E114&gt;=BP$2,VLOOKUP($E114-BP$2,'data input'!$D$3:$E$130,2,FALSE),0)</f>
        <v>0.24983788247177696</v>
      </c>
      <c r="BQ114" s="5">
        <f>IF($E114&gt;=BQ$2,VLOOKUP($E114-BQ$2,'data input'!$D$3:$E$130,2,FALSE),0)</f>
        <v>0.27425311775007355</v>
      </c>
      <c r="BR114" s="5">
        <f>IF($E114&gt;=BR$2,VLOOKUP($E114-BR$2,'data input'!$D$3:$E$130,2,FALSE),0)</f>
        <v>0.29979159546869583</v>
      </c>
      <c r="BS114" s="5">
        <f>IF($E114&gt;=BS$2,VLOOKUP($E114-BS$2,'data input'!$D$3:$E$130,2,FALSE),0)</f>
        <v>0.32635522028792008</v>
      </c>
      <c r="BT114" s="5">
        <f>IF($E114&gt;=BT$2,VLOOKUP($E114-BT$2,'data input'!$D$3:$E$130,2,FALSE),0)</f>
        <v>0.35383023332727614</v>
      </c>
      <c r="BU114" s="5">
        <f>IF($E114&gt;=BU$2,VLOOKUP($E114-BU$2,'data input'!$D$3:$E$130,2,FALSE),0)</f>
        <v>0.38208857781104733</v>
      </c>
      <c r="BV114" s="5">
        <f>IF($E114&gt;=BV$2,VLOOKUP($E114-BV$2,'data input'!$D$3:$E$130,2,FALSE),0)</f>
        <v>0.41098963713127035</v>
      </c>
      <c r="BW114" s="5">
        <f>IF($E114&gt;=BW$2,VLOOKUP($E114-BW$2,'data input'!$D$3:$E$130,2,FALSE),0)</f>
        <v>0.4403823076297575</v>
      </c>
      <c r="BX114" s="5">
        <f>IF($E114&gt;=BX$2,VLOOKUP($E114-BX$2,'data input'!$D$3:$E$130,2,FALSE),0)</f>
        <v>0.47010735594710518</v>
      </c>
      <c r="BY114" s="5">
        <f>IF($E114&gt;=BY$2,VLOOKUP($E114-BY$2,'data input'!$D$3:$E$130,2,FALSE),0)</f>
        <v>0.5</v>
      </c>
      <c r="BZ114" s="5">
        <f>IF($E114&gt;=BZ$2,VLOOKUP($E114-BZ$2,'data input'!$D$3:$E$130,2,FALSE),0)</f>
        <v>0.52989264405289482</v>
      </c>
      <c r="CA114" s="5">
        <f>IF($E114&gt;=CA$2,VLOOKUP($E114-CA$2,'data input'!$D$3:$E$130,2,FALSE),0)</f>
        <v>0.5596176923702425</v>
      </c>
      <c r="CB114" s="5">
        <f>IF($E114&gt;=CB$2,VLOOKUP($E114-CB$2,'data input'!$D$3:$E$130,2,FALSE),0)</f>
        <v>0.58901036286872965</v>
      </c>
      <c r="CC114" s="5">
        <f>IF($E114&gt;=CC$2,VLOOKUP($E114-CC$2,'data input'!$D$3:$E$130,2,FALSE),0)</f>
        <v>0.61791142218895267</v>
      </c>
      <c r="CD114" s="5">
        <f>IF($E114&gt;=CD$2,VLOOKUP($E114-CD$2,'data input'!$D$3:$E$130,2,FALSE),0)</f>
        <v>0.64616976667272386</v>
      </c>
      <c r="CE114" s="5">
        <f>IF($E114&gt;=CE$2,VLOOKUP($E114-CE$2,'data input'!$D$3:$E$130,2,FALSE),0)</f>
        <v>0.67364477971207992</v>
      </c>
      <c r="CF114" s="5">
        <f>IF($E114&gt;=CF$2,VLOOKUP($E114-CF$2,'data input'!$D$3:$E$130,2,FALSE),0)</f>
        <v>0.70020840453130417</v>
      </c>
      <c r="CG114" s="5">
        <f>IF($E114&gt;=CG$2,VLOOKUP($E114-CG$2,'data input'!$D$3:$E$130,2,FALSE),0)</f>
        <v>0.72574688224992645</v>
      </c>
      <c r="CH114" s="5">
        <f>IF($E114&gt;=CH$2,VLOOKUP($E114-CH$2,'data input'!$D$3:$E$130,2,FALSE),0)</f>
        <v>0.75016211752822304</v>
      </c>
      <c r="CI114" s="5">
        <f>IF($E114&gt;=CI$2,VLOOKUP($E114-CI$2,'data input'!$D$3:$E$130,2,FALSE),0)</f>
        <v>0.77337264762313174</v>
      </c>
      <c r="CJ114" s="5">
        <f>IF($E114&gt;=CJ$2,VLOOKUP($E114-CJ$2,'data input'!$D$3:$E$130,2,FALSE),0)</f>
        <v>0.79531420465274738</v>
      </c>
      <c r="CK114" s="5">
        <f>IF($E114&gt;=CK$2,VLOOKUP($E114-CK$2,'data input'!$D$3:$E$130,2,FALSE),0)</f>
        <v>0.81593987465324047</v>
      </c>
      <c r="CL114" s="5">
        <f>IF($E114&gt;=CL$2,VLOOKUP($E114-CL$2,'data input'!$D$3:$E$130,2,FALSE),0)</f>
        <v>0.83521987001968967</v>
      </c>
      <c r="CM114" s="5">
        <f>IF($E114&gt;=CM$2,VLOOKUP($E114-CM$2,'data input'!$D$3:$E$130,2,FALSE),0)</f>
        <v>0.85314094362410409</v>
      </c>
      <c r="CN114" s="5">
        <f>IF($E114&gt;=CN$2,VLOOKUP($E114-CN$2,'data input'!$D$3:$E$130,2,FALSE),0)</f>
        <v>0.86970548286319116</v>
      </c>
      <c r="CO114" s="5">
        <f>IF($E114&gt;=CO$2,VLOOKUP($E114-CO$2,'data input'!$D$3:$E$130,2,FALSE),0)</f>
        <v>0.88493032977829178</v>
      </c>
      <c r="CP114" s="5">
        <f>IF($E114&gt;=CP$2,VLOOKUP($E114-CP$2,'data input'!$D$3:$E$130,2,FALSE),0)</f>
        <v>0.89884537900441408</v>
      </c>
      <c r="CQ114" s="5">
        <f>IF($E114&gt;=CQ$2,VLOOKUP($E114-CQ$2,'data input'!$D$3:$E$130,2,FALSE),0)</f>
        <v>0.91149200856259793</v>
      </c>
      <c r="CR114" s="5">
        <f>IF($E114&gt;=CR$2,VLOOKUP($E114-CR$2,'data input'!$D$3:$E$130,2,FALSE),0)</f>
        <v>0.92292139944792817</v>
      </c>
      <c r="CS114" s="5">
        <f>IF($E114&gt;=CS$2,VLOOKUP($E114-CS$2,'data input'!$D$3:$E$130,2,FALSE),0)</f>
        <v>0.93319279873114191</v>
      </c>
      <c r="CT114" s="5">
        <f>IF($E114&gt;=CT$2,VLOOKUP($E114-CT$2,'data input'!$D$3:$E$130,2,FALSE),0)</f>
        <v>0.94237177772384684</v>
      </c>
      <c r="CU114" s="5">
        <f>IF($E114&gt;=CU$2,VLOOKUP($E114-CU$2,'data input'!$D$3:$E$130,2,FALSE),0)</f>
        <v>0.9505285319663519</v>
      </c>
      <c r="CV114" s="5">
        <f>IF($E114&gt;=CV$2,VLOOKUP($E114-CV$2,'data input'!$D$3:$E$130,2,FALSE),0)</f>
        <v>0.95773626374204757</v>
      </c>
      <c r="CW114" s="5">
        <f>IF($E114&gt;=CW$2,VLOOKUP($E114-CW$2,'data input'!$D$3:$E$130,2,FALSE),0)</f>
        <v>0.96406968088707423</v>
      </c>
      <c r="CX114" s="5">
        <f>IF($E114&gt;=CX$2,VLOOKUP($E114-CX$2,'data input'!$D$3:$E$130,2,FALSE),0)</f>
        <v>0.96960363823473861</v>
      </c>
      <c r="CY114" s="5">
        <f>IF($E114&gt;=CY$2,VLOOKUP($E114-CY$2,'data input'!$D$3:$E$130,2,FALSE),0)</f>
        <v>0.97441194047836144</v>
      </c>
      <c r="CZ114" s="5">
        <f>IF($E114&gt;=CZ$2,VLOOKUP($E114-CZ$2,'data input'!$D$3:$E$130,2,FALSE),0)</f>
        <v>0.97856631788584703</v>
      </c>
      <c r="DA114" s="5">
        <f>IF($E114&gt;=DA$2,VLOOKUP($E114-DA$2,'data input'!$D$3:$E$130,2,FALSE),0)</f>
        <v>0.98213557943718344</v>
      </c>
      <c r="DB114" s="5">
        <f>IF($E114&gt;=DB$2,VLOOKUP($E114-DB$2,'data input'!$D$3:$E$130,2,FALSE),0)</f>
        <v>0.98518494180739014</v>
      </c>
      <c r="DC114" s="5">
        <f>IF($E114&gt;=DC$2,VLOOKUP($E114-DC$2,'data input'!$D$3:$E$130,2,FALSE),0)</f>
        <v>0.98777552734495533</v>
      </c>
      <c r="DD114" s="5">
        <f>IF($E114&gt;=DD$2,VLOOKUP($E114-DD$2,'data input'!$D$3:$E$130,2,FALSE),0)</f>
        <v>0.98996401989972593</v>
      </c>
      <c r="DE114" s="5">
        <f>IF($E114&gt;=DE$2,VLOOKUP($E114-DE$2,'data input'!$D$3:$E$130,2,FALSE),0)</f>
        <v>0.99180246407540384</v>
      </c>
      <c r="DF114" s="5">
        <f>IF($E114&gt;=DF$2,VLOOKUP($E114-DF$2,'data input'!$D$3:$E$130,2,FALSE),0)</f>
        <v>0.99333819120801725</v>
      </c>
      <c r="DG114" s="5">
        <f>IF($E114&gt;=DG$2,VLOOKUP($E114-DG$2,'data input'!$D$3:$E$130,2,FALSE),0)</f>
        <v>0.99461385404593328</v>
      </c>
      <c r="DH114" s="5">
        <f>IF($E114&gt;=DH$2,VLOOKUP($E114-DH$2,'data input'!$D$3:$E$130,2,FALSE),0)</f>
        <v>0.99566755163698739</v>
      </c>
      <c r="DI114" s="5">
        <f>IF($E114&gt;=DI$2,VLOOKUP($E114-DI$2,'data input'!$D$3:$E$130,2,FALSE),0)</f>
        <v>0.99653302619695938</v>
      </c>
      <c r="DJ114" s="5">
        <f>IF($E114&gt;=DJ$2,VLOOKUP($E114-DJ$2,'data input'!$D$3:$E$130,2,FALSE),0)</f>
        <v>0.99723991460873751</v>
      </c>
      <c r="DK114" s="5">
        <f>IF($E114&gt;=DK$2,VLOOKUP($E114-DK$2,'data input'!$D$3:$E$130,2,FALSE),0)</f>
        <v>0.99781403854508677</v>
      </c>
      <c r="DL114" s="5">
        <f>IF($E114&gt;=DL$2,VLOOKUP($E114-DL$2,'data input'!$D$3:$E$130,2,FALSE),0)</f>
        <v>0.99827771888413241</v>
      </c>
      <c r="DM114" s="5">
        <f>IF($E114&gt;=DM$2,VLOOKUP($E114-DM$2,'data input'!$D$3:$E$130,2,FALSE),0)</f>
        <v>0.9986501019683699</v>
      </c>
      <c r="DN114" s="5">
        <f>IF($E114&gt;=DN$2,VLOOKUP($E114-DN$2,'data input'!$D$3:$E$130,2,FALSE),0)</f>
        <v>0</v>
      </c>
      <c r="DO114" s="5">
        <f>IF($E114&gt;=DO$2,VLOOKUP($E114-DO$2,'data input'!$D$3:$E$130,2,FALSE),0)</f>
        <v>0</v>
      </c>
      <c r="DP114" s="5">
        <f>IF($E114&gt;=DP$2,VLOOKUP($E114-DP$2,'data input'!$D$3:$E$130,2,FALSE),0)</f>
        <v>0</v>
      </c>
      <c r="DQ114" s="5">
        <f>IF($E114&gt;=DQ$2,VLOOKUP($E114-DQ$2,'data input'!$D$3:$E$130,2,FALSE),0)</f>
        <v>0</v>
      </c>
      <c r="DR114" s="5">
        <f>IF($E114&gt;=DR$2,VLOOKUP($E114-DR$2,'data input'!$D$3:$E$130,2,FALSE),0)</f>
        <v>0</v>
      </c>
      <c r="DS114" s="5">
        <f>IF($E114&gt;=DS$2,VLOOKUP($E114-DS$2,'data input'!$D$3:$E$130,2,FALSE),0)</f>
        <v>0</v>
      </c>
      <c r="DT114" s="5">
        <f>IF($E114&gt;=DT$2,VLOOKUP($E114-DT$2,'data input'!$D$3:$E$130,2,FALSE),0)</f>
        <v>0</v>
      </c>
      <c r="DU114" s="5">
        <f>IF($E114&gt;=DU$2,VLOOKUP($E114-DU$2,'data input'!$D$3:$E$130,2,FALSE),0)</f>
        <v>0</v>
      </c>
      <c r="DV114" s="5">
        <f>IF($E114&gt;=DV$2,VLOOKUP($E114-DV$2,'data input'!$D$3:$E$130,2,FALSE),0)</f>
        <v>0</v>
      </c>
      <c r="DW114" s="5">
        <f>IF($E114&gt;=DW$2,VLOOKUP($E114-DW$2,'data input'!$D$3:$E$130,2,FALSE),0)</f>
        <v>0</v>
      </c>
      <c r="DX114" s="5">
        <f>IF($E114&gt;=DX$2,VLOOKUP($E114-DX$2,'data input'!$D$3:$E$130,2,FALSE),0)</f>
        <v>0</v>
      </c>
      <c r="DY114" s="5">
        <f>IF($E114&gt;=DY$2,VLOOKUP($E114-DY$2,'data input'!$D$3:$E$130,2,FALSE),0)</f>
        <v>0</v>
      </c>
      <c r="DZ114" s="5">
        <f>IF($E114&gt;=DZ$2,VLOOKUP($E114-DZ$2,'data input'!$D$3:$E$130,2,FALSE),0)</f>
        <v>0</v>
      </c>
      <c r="EA114" s="5">
        <f>IF($E114&gt;=EA$2,VLOOKUP($E114-EA$2,'data input'!$D$3:$E$130,2,FALSE),0)</f>
        <v>0</v>
      </c>
      <c r="EB114" s="5">
        <f>IF($E114&gt;=EB$2,VLOOKUP($E114-EB$2,'data input'!$D$3:$E$130,2,FALSE),0)</f>
        <v>0</v>
      </c>
      <c r="EC114" s="5">
        <f>IF($E114&gt;=EC$2,VLOOKUP($E114-EC$2,'data input'!$D$3:$E$130,2,FALSE),0)</f>
        <v>0</v>
      </c>
    </row>
    <row r="115" spans="5:133">
      <c r="E115" s="7">
        <f>'data input'!B115</f>
        <v>1990</v>
      </c>
      <c r="F115" s="5">
        <f>IF($E115&gt;=F$2,VLOOKUP($E115-F$2,'data input'!$D$3:$E$130,2,FALSE),0)</f>
        <v>3.3320448511453549E-8</v>
      </c>
      <c r="G115" s="5">
        <f>IF($E115&gt;=G$2,VLOOKUP($E115-G$2,'data input'!$D$3:$E$130,2,FALSE),0)</f>
        <v>5.0476519741771142E-8</v>
      </c>
      <c r="H115" s="5">
        <f>IF($E115&gt;=H$2,VLOOKUP($E115-H$2,'data input'!$D$3:$E$130,2,FALSE),0)</f>
        <v>7.6049605168826417E-8</v>
      </c>
      <c r="I115" s="5">
        <f>IF($E115&gt;=I$2,VLOOKUP($E115-I$2,'data input'!$D$3:$E$130,2,FALSE),0)</f>
        <v>1.1395549048831555E-7</v>
      </c>
      <c r="J115" s="5">
        <f>IF($E115&gt;=J$2,VLOOKUP($E115-J$2,'data input'!$D$3:$E$130,2,FALSE),0)</f>
        <v>1.698267406702314E-7</v>
      </c>
      <c r="K115" s="5">
        <f>IF($E115&gt;=K$2,VLOOKUP($E115-K$2,'data input'!$D$3:$E$130,2,FALSE),0)</f>
        <v>2.5171626816256065E-7</v>
      </c>
      <c r="L115" s="5">
        <f>IF($E115&gt;=L$2,VLOOKUP($E115-L$2,'data input'!$D$3:$E$130,2,FALSE),0)</f>
        <v>3.7106740791159609E-7</v>
      </c>
      <c r="M115" s="5">
        <f>IF($E115&gt;=M$2,VLOOKUP($E115-M$2,'data input'!$D$3:$E$130,2,FALSE),0)</f>
        <v>5.4404227556315021E-7</v>
      </c>
      <c r="N115" s="5">
        <f>IF($E115&gt;=N$2,VLOOKUP($E115-N$2,'data input'!$D$3:$E$130,2,FALSE),0)</f>
        <v>7.9332815194899098E-7</v>
      </c>
      <c r="O115" s="5">
        <f>IF($E115&gt;=O$2,VLOOKUP($E115-O$2,'data input'!$D$3:$E$130,2,FALSE),0)</f>
        <v>1.1505767815167545E-6</v>
      </c>
      <c r="P115" s="5">
        <f>IF($E115&gt;=P$2,VLOOKUP($E115-P$2,'data input'!$D$3:$E$130,2,FALSE),0)</f>
        <v>1.6596751443165303E-6</v>
      </c>
      <c r="Q115" s="5">
        <f>IF($E115&gt;=Q$2,VLOOKUP($E115-Q$2,'data input'!$D$3:$E$130,2,FALSE),0)</f>
        <v>2.3810999327800175E-6</v>
      </c>
      <c r="R115" s="5">
        <f>IF($E115&gt;=R$2,VLOOKUP($E115-R$2,'data input'!$D$3:$E$130,2,FALSE),0)</f>
        <v>3.3976731247387093E-6</v>
      </c>
      <c r="S115" s="5">
        <f>IF($E115&gt;=S$2,VLOOKUP($E115-S$2,'data input'!$D$3:$E$130,2,FALSE),0)</f>
        <v>4.8221141606408224E-6</v>
      </c>
      <c r="T115" s="5">
        <f>IF($E115&gt;=T$2,VLOOKUP($E115-T$2,'data input'!$D$3:$E$130,2,FALSE),0)</f>
        <v>6.8068765993745117E-6</v>
      </c>
      <c r="U115" s="5">
        <f>IF($E115&gt;=U$2,VLOOKUP($E115-U$2,'data input'!$D$3:$E$130,2,FALSE),0)</f>
        <v>9.5568647372479276E-6</v>
      </c>
      <c r="V115" s="5">
        <f>IF($E115&gt;=V$2,VLOOKUP($E115-V$2,'data input'!$D$3:$E$130,2,FALSE),0)</f>
        <v>1.3345749015902797E-5</v>
      </c>
      <c r="W115" s="5">
        <f>IF($E115&gt;=W$2,VLOOKUP($E115-W$2,'data input'!$D$3:$E$130,2,FALSE),0)</f>
        <v>1.8536737846241991E-5</v>
      </c>
      <c r="X115" s="5">
        <f>IF($E115&gt;=X$2,VLOOKUP($E115-X$2,'data input'!$D$3:$E$130,2,FALSE),0)</f>
        <v>2.5608816474065321E-5</v>
      </c>
      <c r="Y115" s="5">
        <f>IF($E115&gt;=Y$2,VLOOKUP($E115-Y$2,'data input'!$D$3:$E$130,2,FALSE),0)</f>
        <v>3.5189628065923628E-5</v>
      </c>
      <c r="Z115" s="5">
        <f>IF($E115&gt;=Z$2,VLOOKUP($E115-Z$2,'data input'!$D$3:$E$130,2,FALSE),0)</f>
        <v>4.8096344017589665E-5</v>
      </c>
      <c r="AA115" s="5">
        <f>IF($E115&gt;=AA$2,VLOOKUP($E115-AA$2,'data input'!$D$3:$E$130,2,FALSE),0)</f>
        <v>6.5386043242687819E-5</v>
      </c>
      <c r="AB115" s="5">
        <f>IF($E115&gt;=AB$2,VLOOKUP($E115-AB$2,'data input'!$D$3:$E$130,2,FALSE),0)</f>
        <v>8.841728520081471E-5</v>
      </c>
      <c r="AC115" s="5">
        <f>IF($E115&gt;=AC$2,VLOOKUP($E115-AC$2,'data input'!$D$3:$E$130,2,FALSE),0)</f>
        <v>1.1892470732677296E-4</v>
      </c>
      <c r="AD115" s="5">
        <f>IF($E115&gt;=AD$2,VLOOKUP($E115-AD$2,'data input'!$D$3:$E$130,2,FALSE),0)</f>
        <v>1.5910859015755285E-4</v>
      </c>
      <c r="AE115" s="5">
        <f>IF($E115&gt;=AE$2,VLOOKUP($E115-AE$2,'data input'!$D$3:$E$130,2,FALSE),0)</f>
        <v>2.1174139572344153E-4</v>
      </c>
      <c r="AF115" s="5">
        <f>IF($E115&gt;=AF$2,VLOOKUP($E115-AF$2,'data input'!$D$3:$E$130,2,FALSE),0)</f>
        <v>2.8029327681622362E-4</v>
      </c>
      <c r="AG115" s="5">
        <f>IF($E115&gt;=AG$2,VLOOKUP($E115-AG$2,'data input'!$D$3:$E$130,2,FALSE),0)</f>
        <v>3.6907845427502917E-4</v>
      </c>
      <c r="AH115" s="5">
        <f>IF($E115&gt;=AH$2,VLOOKUP($E115-AH$2,'data input'!$D$3:$E$130,2,FALSE),0)</f>
        <v>4.8342414238378151E-4</v>
      </c>
      <c r="AI115" s="5">
        <f>IF($E115&gt;=AI$2,VLOOKUP($E115-AI$2,'data input'!$D$3:$E$130,2,FALSE),0)</f>
        <v>6.2986334399772748E-4</v>
      </c>
      <c r="AJ115" s="5">
        <f>IF($E115&gt;=AJ$2,VLOOKUP($E115-AJ$2,'data input'!$D$3:$E$130,2,FALSE),0)</f>
        <v>8.1635231282861653E-4</v>
      </c>
      <c r="AK115" s="5">
        <f>IF($E115&gt;=AK$2,VLOOKUP($E115-AK$2,'data input'!$D$3:$E$130,2,FALSE),0)</f>
        <v>1.0525127683760349E-3</v>
      </c>
      <c r="AL115" s="5">
        <f>IF($E115&gt;=AL$2,VLOOKUP($E115-AL$2,'data input'!$D$3:$E$130,2,FALSE),0)</f>
        <v>1.3498980316301035E-3</v>
      </c>
      <c r="AM115" s="5">
        <f>IF($E115&gt;=AM$2,VLOOKUP($E115-AM$2,'data input'!$D$3:$E$130,2,FALSE),0)</f>
        <v>1.7222811158675855E-3</v>
      </c>
      <c r="AN115" s="5">
        <f>IF($E115&gt;=AN$2,VLOOKUP($E115-AN$2,'data input'!$D$3:$E$130,2,FALSE),0)</f>
        <v>2.1859614549132322E-3</v>
      </c>
      <c r="AO115" s="5">
        <f>IF($E115&gt;=AO$2,VLOOKUP($E115-AO$2,'data input'!$D$3:$E$130,2,FALSE),0)</f>
        <v>2.7600853912624901E-3</v>
      </c>
      <c r="AP115" s="5">
        <f>IF($E115&gt;=AP$2,VLOOKUP($E115-AP$2,'data input'!$D$3:$E$130,2,FALSE),0)</f>
        <v>3.4669738030406183E-3</v>
      </c>
      <c r="AQ115" s="5">
        <f>IF($E115&gt;=AQ$2,VLOOKUP($E115-AQ$2,'data input'!$D$3:$E$130,2,FALSE),0)</f>
        <v>4.3324483630126087E-3</v>
      </c>
      <c r="AR115" s="5">
        <f>IF($E115&gt;=AR$2,VLOOKUP($E115-AR$2,'data input'!$D$3:$E$130,2,FALSE),0)</f>
        <v>5.3861459540667234E-3</v>
      </c>
      <c r="AS115" s="5">
        <f>IF($E115&gt;=AS$2,VLOOKUP($E115-AS$2,'data input'!$D$3:$E$130,2,FALSE),0)</f>
        <v>6.6618087919827484E-3</v>
      </c>
      <c r="AT115" s="5">
        <f>IF($E115&gt;=AT$2,VLOOKUP($E115-AT$2,'data input'!$D$3:$E$130,2,FALSE),0)</f>
        <v>8.1975359245961554E-3</v>
      </c>
      <c r="AU115" s="5">
        <f>IF($E115&gt;=AU$2,VLOOKUP($E115-AU$2,'data input'!$D$3:$E$130,2,FALSE),0)</f>
        <v>1.0035980100274067E-2</v>
      </c>
      <c r="AV115" s="5">
        <f>IF($E115&gt;=AV$2,VLOOKUP($E115-AV$2,'data input'!$D$3:$E$130,2,FALSE),0)</f>
        <v>1.2224472655044671E-2</v>
      </c>
      <c r="AW115" s="5">
        <f>IF($E115&gt;=AW$2,VLOOKUP($E115-AW$2,'data input'!$D$3:$E$130,2,FALSE),0)</f>
        <v>1.4815058192609865E-2</v>
      </c>
      <c r="AX115" s="5">
        <f>IF($E115&gt;=AX$2,VLOOKUP($E115-AX$2,'data input'!$D$3:$E$130,2,FALSE),0)</f>
        <v>1.7864420562816563E-2</v>
      </c>
      <c r="AY115" s="5">
        <f>IF($E115&gt;=AY$2,VLOOKUP($E115-AY$2,'data input'!$D$3:$E$130,2,FALSE),0)</f>
        <v>2.1433682114152974E-2</v>
      </c>
      <c r="AZ115" s="5">
        <f>IF($E115&gt;=AZ$2,VLOOKUP($E115-AZ$2,'data input'!$D$3:$E$130,2,FALSE),0)</f>
        <v>2.5588059521638562E-2</v>
      </c>
      <c r="BA115" s="5">
        <f>IF($E115&gt;=BA$2,VLOOKUP($E115-BA$2,'data input'!$D$3:$E$130,2,FALSE),0)</f>
        <v>3.0396361765261393E-2</v>
      </c>
      <c r="BB115" s="5">
        <f>IF($E115&gt;=BB$2,VLOOKUP($E115-BB$2,'data input'!$D$3:$E$130,2,FALSE),0)</f>
        <v>3.5930319112925768E-2</v>
      </c>
      <c r="BC115" s="5">
        <f>IF($E115&gt;=BC$2,VLOOKUP($E115-BC$2,'data input'!$D$3:$E$130,2,FALSE),0)</f>
        <v>4.2263736257952433E-2</v>
      </c>
      <c r="BD115" s="5">
        <f>IF($E115&gt;=BD$2,VLOOKUP($E115-BD$2,'data input'!$D$3:$E$130,2,FALSE),0)</f>
        <v>4.9471468033648103E-2</v>
      </c>
      <c r="BE115" s="5">
        <f>IF($E115&gt;=BE$2,VLOOKUP($E115-BE$2,'data input'!$D$3:$E$130,2,FALSE),0)</f>
        <v>5.7628222276153163E-2</v>
      </c>
      <c r="BF115" s="5">
        <f>IF($E115&gt;=BF$2,VLOOKUP($E115-BF$2,'data input'!$D$3:$E$130,2,FALSE),0)</f>
        <v>6.6807201268858085E-2</v>
      </c>
      <c r="BG115" s="5">
        <f>IF($E115&gt;=BG$2,VLOOKUP($E115-BG$2,'data input'!$D$3:$E$130,2,FALSE),0)</f>
        <v>7.707860055207183E-2</v>
      </c>
      <c r="BH115" s="5">
        <f>IF($E115&gt;=BH$2,VLOOKUP($E115-BH$2,'data input'!$D$3:$E$130,2,FALSE),0)</f>
        <v>8.8507991437402067E-2</v>
      </c>
      <c r="BI115" s="5">
        <f>IF($E115&gt;=BI$2,VLOOKUP($E115-BI$2,'data input'!$D$3:$E$130,2,FALSE),0)</f>
        <v>0.10115462099558592</v>
      </c>
      <c r="BJ115" s="5">
        <f>IF($E115&gt;=BJ$2,VLOOKUP($E115-BJ$2,'data input'!$D$3:$E$130,2,FALSE),0)</f>
        <v>0.11506967022170822</v>
      </c>
      <c r="BK115" s="5">
        <f>IF($E115&gt;=BK$2,VLOOKUP($E115-BK$2,'data input'!$D$3:$E$130,2,FALSE),0)</f>
        <v>0.13029451713680884</v>
      </c>
      <c r="BL115" s="5">
        <f>IF($E115&gt;=BL$2,VLOOKUP($E115-BL$2,'data input'!$D$3:$E$130,2,FALSE),0)</f>
        <v>0.14685905637589591</v>
      </c>
      <c r="BM115" s="5">
        <f>IF($E115&gt;=BM$2,VLOOKUP($E115-BM$2,'data input'!$D$3:$E$130,2,FALSE),0)</f>
        <v>0.16478012998031033</v>
      </c>
      <c r="BN115" s="5">
        <f>IF($E115&gt;=BN$2,VLOOKUP($E115-BN$2,'data input'!$D$3:$E$130,2,FALSE),0)</f>
        <v>0.18406012534675953</v>
      </c>
      <c r="BO115" s="5">
        <f>IF($E115&gt;=BO$2,VLOOKUP($E115-BO$2,'data input'!$D$3:$E$130,2,FALSE),0)</f>
        <v>0.20468579534725262</v>
      </c>
      <c r="BP115" s="5">
        <f>IF($E115&gt;=BP$2,VLOOKUP($E115-BP$2,'data input'!$D$3:$E$130,2,FALSE),0)</f>
        <v>0.22662735237686826</v>
      </c>
      <c r="BQ115" s="5">
        <f>IF($E115&gt;=BQ$2,VLOOKUP($E115-BQ$2,'data input'!$D$3:$E$130,2,FALSE),0)</f>
        <v>0.24983788247177696</v>
      </c>
      <c r="BR115" s="5">
        <f>IF($E115&gt;=BR$2,VLOOKUP($E115-BR$2,'data input'!$D$3:$E$130,2,FALSE),0)</f>
        <v>0.27425311775007355</v>
      </c>
      <c r="BS115" s="5">
        <f>IF($E115&gt;=BS$2,VLOOKUP($E115-BS$2,'data input'!$D$3:$E$130,2,FALSE),0)</f>
        <v>0.29979159546869583</v>
      </c>
      <c r="BT115" s="5">
        <f>IF($E115&gt;=BT$2,VLOOKUP($E115-BT$2,'data input'!$D$3:$E$130,2,FALSE),0)</f>
        <v>0.32635522028792008</v>
      </c>
      <c r="BU115" s="5">
        <f>IF($E115&gt;=BU$2,VLOOKUP($E115-BU$2,'data input'!$D$3:$E$130,2,FALSE),0)</f>
        <v>0.35383023332727614</v>
      </c>
      <c r="BV115" s="5">
        <f>IF($E115&gt;=BV$2,VLOOKUP($E115-BV$2,'data input'!$D$3:$E$130,2,FALSE),0)</f>
        <v>0.38208857781104733</v>
      </c>
      <c r="BW115" s="5">
        <f>IF($E115&gt;=BW$2,VLOOKUP($E115-BW$2,'data input'!$D$3:$E$130,2,FALSE),0)</f>
        <v>0.41098963713127035</v>
      </c>
      <c r="BX115" s="5">
        <f>IF($E115&gt;=BX$2,VLOOKUP($E115-BX$2,'data input'!$D$3:$E$130,2,FALSE),0)</f>
        <v>0.4403823076297575</v>
      </c>
      <c r="BY115" s="5">
        <f>IF($E115&gt;=BY$2,VLOOKUP($E115-BY$2,'data input'!$D$3:$E$130,2,FALSE),0)</f>
        <v>0.47010735594710518</v>
      </c>
      <c r="BZ115" s="5">
        <f>IF($E115&gt;=BZ$2,VLOOKUP($E115-BZ$2,'data input'!$D$3:$E$130,2,FALSE),0)</f>
        <v>0.5</v>
      </c>
      <c r="CA115" s="5">
        <f>IF($E115&gt;=CA$2,VLOOKUP($E115-CA$2,'data input'!$D$3:$E$130,2,FALSE),0)</f>
        <v>0.52989264405289482</v>
      </c>
      <c r="CB115" s="5">
        <f>IF($E115&gt;=CB$2,VLOOKUP($E115-CB$2,'data input'!$D$3:$E$130,2,FALSE),0)</f>
        <v>0.5596176923702425</v>
      </c>
      <c r="CC115" s="5">
        <f>IF($E115&gt;=CC$2,VLOOKUP($E115-CC$2,'data input'!$D$3:$E$130,2,FALSE),0)</f>
        <v>0.58901036286872965</v>
      </c>
      <c r="CD115" s="5">
        <f>IF($E115&gt;=CD$2,VLOOKUP($E115-CD$2,'data input'!$D$3:$E$130,2,FALSE),0)</f>
        <v>0.61791142218895267</v>
      </c>
      <c r="CE115" s="5">
        <f>IF($E115&gt;=CE$2,VLOOKUP($E115-CE$2,'data input'!$D$3:$E$130,2,FALSE),0)</f>
        <v>0.64616976667272386</v>
      </c>
      <c r="CF115" s="5">
        <f>IF($E115&gt;=CF$2,VLOOKUP($E115-CF$2,'data input'!$D$3:$E$130,2,FALSE),0)</f>
        <v>0.67364477971207992</v>
      </c>
      <c r="CG115" s="5">
        <f>IF($E115&gt;=CG$2,VLOOKUP($E115-CG$2,'data input'!$D$3:$E$130,2,FALSE),0)</f>
        <v>0.70020840453130417</v>
      </c>
      <c r="CH115" s="5">
        <f>IF($E115&gt;=CH$2,VLOOKUP($E115-CH$2,'data input'!$D$3:$E$130,2,FALSE),0)</f>
        <v>0.72574688224992645</v>
      </c>
      <c r="CI115" s="5">
        <f>IF($E115&gt;=CI$2,VLOOKUP($E115-CI$2,'data input'!$D$3:$E$130,2,FALSE),0)</f>
        <v>0.75016211752822304</v>
      </c>
      <c r="CJ115" s="5">
        <f>IF($E115&gt;=CJ$2,VLOOKUP($E115-CJ$2,'data input'!$D$3:$E$130,2,FALSE),0)</f>
        <v>0.77337264762313174</v>
      </c>
      <c r="CK115" s="5">
        <f>IF($E115&gt;=CK$2,VLOOKUP($E115-CK$2,'data input'!$D$3:$E$130,2,FALSE),0)</f>
        <v>0.79531420465274738</v>
      </c>
      <c r="CL115" s="5">
        <f>IF($E115&gt;=CL$2,VLOOKUP($E115-CL$2,'data input'!$D$3:$E$130,2,FALSE),0)</f>
        <v>0.81593987465324047</v>
      </c>
      <c r="CM115" s="5">
        <f>IF($E115&gt;=CM$2,VLOOKUP($E115-CM$2,'data input'!$D$3:$E$130,2,FALSE),0)</f>
        <v>0.83521987001968967</v>
      </c>
      <c r="CN115" s="5">
        <f>IF($E115&gt;=CN$2,VLOOKUP($E115-CN$2,'data input'!$D$3:$E$130,2,FALSE),0)</f>
        <v>0.85314094362410409</v>
      </c>
      <c r="CO115" s="5">
        <f>IF($E115&gt;=CO$2,VLOOKUP($E115-CO$2,'data input'!$D$3:$E$130,2,FALSE),0)</f>
        <v>0.86970548286319116</v>
      </c>
      <c r="CP115" s="5">
        <f>IF($E115&gt;=CP$2,VLOOKUP($E115-CP$2,'data input'!$D$3:$E$130,2,FALSE),0)</f>
        <v>0.88493032977829178</v>
      </c>
      <c r="CQ115" s="5">
        <f>IF($E115&gt;=CQ$2,VLOOKUP($E115-CQ$2,'data input'!$D$3:$E$130,2,FALSE),0)</f>
        <v>0.89884537900441408</v>
      </c>
      <c r="CR115" s="5">
        <f>IF($E115&gt;=CR$2,VLOOKUP($E115-CR$2,'data input'!$D$3:$E$130,2,FALSE),0)</f>
        <v>0.91149200856259793</v>
      </c>
      <c r="CS115" s="5">
        <f>IF($E115&gt;=CS$2,VLOOKUP($E115-CS$2,'data input'!$D$3:$E$130,2,FALSE),0)</f>
        <v>0.92292139944792817</v>
      </c>
      <c r="CT115" s="5">
        <f>IF($E115&gt;=CT$2,VLOOKUP($E115-CT$2,'data input'!$D$3:$E$130,2,FALSE),0)</f>
        <v>0.93319279873114191</v>
      </c>
      <c r="CU115" s="5">
        <f>IF($E115&gt;=CU$2,VLOOKUP($E115-CU$2,'data input'!$D$3:$E$130,2,FALSE),0)</f>
        <v>0.94237177772384684</v>
      </c>
      <c r="CV115" s="5">
        <f>IF($E115&gt;=CV$2,VLOOKUP($E115-CV$2,'data input'!$D$3:$E$130,2,FALSE),0)</f>
        <v>0.9505285319663519</v>
      </c>
      <c r="CW115" s="5">
        <f>IF($E115&gt;=CW$2,VLOOKUP($E115-CW$2,'data input'!$D$3:$E$130,2,FALSE),0)</f>
        <v>0.95773626374204757</v>
      </c>
      <c r="CX115" s="5">
        <f>IF($E115&gt;=CX$2,VLOOKUP($E115-CX$2,'data input'!$D$3:$E$130,2,FALSE),0)</f>
        <v>0.96406968088707423</v>
      </c>
      <c r="CY115" s="5">
        <f>IF($E115&gt;=CY$2,VLOOKUP($E115-CY$2,'data input'!$D$3:$E$130,2,FALSE),0)</f>
        <v>0.96960363823473861</v>
      </c>
      <c r="CZ115" s="5">
        <f>IF($E115&gt;=CZ$2,VLOOKUP($E115-CZ$2,'data input'!$D$3:$E$130,2,FALSE),0)</f>
        <v>0.97441194047836144</v>
      </c>
      <c r="DA115" s="5">
        <f>IF($E115&gt;=DA$2,VLOOKUP($E115-DA$2,'data input'!$D$3:$E$130,2,FALSE),0)</f>
        <v>0.97856631788584703</v>
      </c>
      <c r="DB115" s="5">
        <f>IF($E115&gt;=DB$2,VLOOKUP($E115-DB$2,'data input'!$D$3:$E$130,2,FALSE),0)</f>
        <v>0.98213557943718344</v>
      </c>
      <c r="DC115" s="5">
        <f>IF($E115&gt;=DC$2,VLOOKUP($E115-DC$2,'data input'!$D$3:$E$130,2,FALSE),0)</f>
        <v>0.98518494180739014</v>
      </c>
      <c r="DD115" s="5">
        <f>IF($E115&gt;=DD$2,VLOOKUP($E115-DD$2,'data input'!$D$3:$E$130,2,FALSE),0)</f>
        <v>0.98777552734495533</v>
      </c>
      <c r="DE115" s="5">
        <f>IF($E115&gt;=DE$2,VLOOKUP($E115-DE$2,'data input'!$D$3:$E$130,2,FALSE),0)</f>
        <v>0.98996401989972593</v>
      </c>
      <c r="DF115" s="5">
        <f>IF($E115&gt;=DF$2,VLOOKUP($E115-DF$2,'data input'!$D$3:$E$130,2,FALSE),0)</f>
        <v>0.99180246407540384</v>
      </c>
      <c r="DG115" s="5">
        <f>IF($E115&gt;=DG$2,VLOOKUP($E115-DG$2,'data input'!$D$3:$E$130,2,FALSE),0)</f>
        <v>0.99333819120801725</v>
      </c>
      <c r="DH115" s="5">
        <f>IF($E115&gt;=DH$2,VLOOKUP($E115-DH$2,'data input'!$D$3:$E$130,2,FALSE),0)</f>
        <v>0.99461385404593328</v>
      </c>
      <c r="DI115" s="5">
        <f>IF($E115&gt;=DI$2,VLOOKUP($E115-DI$2,'data input'!$D$3:$E$130,2,FALSE),0)</f>
        <v>0.99566755163698739</v>
      </c>
      <c r="DJ115" s="5">
        <f>IF($E115&gt;=DJ$2,VLOOKUP($E115-DJ$2,'data input'!$D$3:$E$130,2,FALSE),0)</f>
        <v>0.99653302619695938</v>
      </c>
      <c r="DK115" s="5">
        <f>IF($E115&gt;=DK$2,VLOOKUP($E115-DK$2,'data input'!$D$3:$E$130,2,FALSE),0)</f>
        <v>0.99723991460873751</v>
      </c>
      <c r="DL115" s="5">
        <f>IF($E115&gt;=DL$2,VLOOKUP($E115-DL$2,'data input'!$D$3:$E$130,2,FALSE),0)</f>
        <v>0.99781403854508677</v>
      </c>
      <c r="DM115" s="5">
        <f>IF($E115&gt;=DM$2,VLOOKUP($E115-DM$2,'data input'!$D$3:$E$130,2,FALSE),0)</f>
        <v>0.99827771888413241</v>
      </c>
      <c r="DN115" s="5">
        <f>IF($E115&gt;=DN$2,VLOOKUP($E115-DN$2,'data input'!$D$3:$E$130,2,FALSE),0)</f>
        <v>0.9986501019683699</v>
      </c>
      <c r="DO115" s="5">
        <f>IF($E115&gt;=DO$2,VLOOKUP($E115-DO$2,'data input'!$D$3:$E$130,2,FALSE),0)</f>
        <v>0</v>
      </c>
      <c r="DP115" s="5">
        <f>IF($E115&gt;=DP$2,VLOOKUP($E115-DP$2,'data input'!$D$3:$E$130,2,FALSE),0)</f>
        <v>0</v>
      </c>
      <c r="DQ115" s="5">
        <f>IF($E115&gt;=DQ$2,VLOOKUP($E115-DQ$2,'data input'!$D$3:$E$130,2,FALSE),0)</f>
        <v>0</v>
      </c>
      <c r="DR115" s="5">
        <f>IF($E115&gt;=DR$2,VLOOKUP($E115-DR$2,'data input'!$D$3:$E$130,2,FALSE),0)</f>
        <v>0</v>
      </c>
      <c r="DS115" s="5">
        <f>IF($E115&gt;=DS$2,VLOOKUP($E115-DS$2,'data input'!$D$3:$E$130,2,FALSE),0)</f>
        <v>0</v>
      </c>
      <c r="DT115" s="5">
        <f>IF($E115&gt;=DT$2,VLOOKUP($E115-DT$2,'data input'!$D$3:$E$130,2,FALSE),0)</f>
        <v>0</v>
      </c>
      <c r="DU115" s="5">
        <f>IF($E115&gt;=DU$2,VLOOKUP($E115-DU$2,'data input'!$D$3:$E$130,2,FALSE),0)</f>
        <v>0</v>
      </c>
      <c r="DV115" s="5">
        <f>IF($E115&gt;=DV$2,VLOOKUP($E115-DV$2,'data input'!$D$3:$E$130,2,FALSE),0)</f>
        <v>0</v>
      </c>
      <c r="DW115" s="5">
        <f>IF($E115&gt;=DW$2,VLOOKUP($E115-DW$2,'data input'!$D$3:$E$130,2,FALSE),0)</f>
        <v>0</v>
      </c>
      <c r="DX115" s="5">
        <f>IF($E115&gt;=DX$2,VLOOKUP($E115-DX$2,'data input'!$D$3:$E$130,2,FALSE),0)</f>
        <v>0</v>
      </c>
      <c r="DY115" s="5">
        <f>IF($E115&gt;=DY$2,VLOOKUP($E115-DY$2,'data input'!$D$3:$E$130,2,FALSE),0)</f>
        <v>0</v>
      </c>
      <c r="DZ115" s="5">
        <f>IF($E115&gt;=DZ$2,VLOOKUP($E115-DZ$2,'data input'!$D$3:$E$130,2,FALSE),0)</f>
        <v>0</v>
      </c>
      <c r="EA115" s="5">
        <f>IF($E115&gt;=EA$2,VLOOKUP($E115-EA$2,'data input'!$D$3:$E$130,2,FALSE),0)</f>
        <v>0</v>
      </c>
      <c r="EB115" s="5">
        <f>IF($E115&gt;=EB$2,VLOOKUP($E115-EB$2,'data input'!$D$3:$E$130,2,FALSE),0)</f>
        <v>0</v>
      </c>
      <c r="EC115" s="5">
        <f>IF($E115&gt;=EC$2,VLOOKUP($E115-EC$2,'data input'!$D$3:$E$130,2,FALSE),0)</f>
        <v>0</v>
      </c>
    </row>
    <row r="116" spans="5:133">
      <c r="E116" s="7">
        <f>'data input'!B116</f>
        <v>1991</v>
      </c>
      <c r="F116" s="5">
        <f>IF($E116&gt;=F$2,VLOOKUP($E116-F$2,'data input'!$D$3:$E$130,2,FALSE),0)</f>
        <v>2.1875580569208353E-8</v>
      </c>
      <c r="G116" s="5">
        <f>IF($E116&gt;=G$2,VLOOKUP($E116-G$2,'data input'!$D$3:$E$130,2,FALSE),0)</f>
        <v>3.3320448511453549E-8</v>
      </c>
      <c r="H116" s="5">
        <f>IF($E116&gt;=H$2,VLOOKUP($E116-H$2,'data input'!$D$3:$E$130,2,FALSE),0)</f>
        <v>5.0476519741771142E-8</v>
      </c>
      <c r="I116" s="5">
        <f>IF($E116&gt;=I$2,VLOOKUP($E116-I$2,'data input'!$D$3:$E$130,2,FALSE),0)</f>
        <v>7.6049605168826417E-8</v>
      </c>
      <c r="J116" s="5">
        <f>IF($E116&gt;=J$2,VLOOKUP($E116-J$2,'data input'!$D$3:$E$130,2,FALSE),0)</f>
        <v>1.1395549048831555E-7</v>
      </c>
      <c r="K116" s="5">
        <f>IF($E116&gt;=K$2,VLOOKUP($E116-K$2,'data input'!$D$3:$E$130,2,FALSE),0)</f>
        <v>1.698267406702314E-7</v>
      </c>
      <c r="L116" s="5">
        <f>IF($E116&gt;=L$2,VLOOKUP($E116-L$2,'data input'!$D$3:$E$130,2,FALSE),0)</f>
        <v>2.5171626816256065E-7</v>
      </c>
      <c r="M116" s="5">
        <f>IF($E116&gt;=M$2,VLOOKUP($E116-M$2,'data input'!$D$3:$E$130,2,FALSE),0)</f>
        <v>3.7106740791159609E-7</v>
      </c>
      <c r="N116" s="5">
        <f>IF($E116&gt;=N$2,VLOOKUP($E116-N$2,'data input'!$D$3:$E$130,2,FALSE),0)</f>
        <v>5.4404227556315021E-7</v>
      </c>
      <c r="O116" s="5">
        <f>IF($E116&gt;=O$2,VLOOKUP($E116-O$2,'data input'!$D$3:$E$130,2,FALSE),0)</f>
        <v>7.9332815194899098E-7</v>
      </c>
      <c r="P116" s="5">
        <f>IF($E116&gt;=P$2,VLOOKUP($E116-P$2,'data input'!$D$3:$E$130,2,FALSE),0)</f>
        <v>1.1505767815167545E-6</v>
      </c>
      <c r="Q116" s="5">
        <f>IF($E116&gt;=Q$2,VLOOKUP($E116-Q$2,'data input'!$D$3:$E$130,2,FALSE),0)</f>
        <v>1.6596751443165303E-6</v>
      </c>
      <c r="R116" s="5">
        <f>IF($E116&gt;=R$2,VLOOKUP($E116-R$2,'data input'!$D$3:$E$130,2,FALSE),0)</f>
        <v>2.3810999327800175E-6</v>
      </c>
      <c r="S116" s="5">
        <f>IF($E116&gt;=S$2,VLOOKUP($E116-S$2,'data input'!$D$3:$E$130,2,FALSE),0)</f>
        <v>3.3976731247387093E-6</v>
      </c>
      <c r="T116" s="5">
        <f>IF($E116&gt;=T$2,VLOOKUP($E116-T$2,'data input'!$D$3:$E$130,2,FALSE),0)</f>
        <v>4.8221141606408224E-6</v>
      </c>
      <c r="U116" s="5">
        <f>IF($E116&gt;=U$2,VLOOKUP($E116-U$2,'data input'!$D$3:$E$130,2,FALSE),0)</f>
        <v>6.8068765993745117E-6</v>
      </c>
      <c r="V116" s="5">
        <f>IF($E116&gt;=V$2,VLOOKUP($E116-V$2,'data input'!$D$3:$E$130,2,FALSE),0)</f>
        <v>9.5568647372479276E-6</v>
      </c>
      <c r="W116" s="5">
        <f>IF($E116&gt;=W$2,VLOOKUP($E116-W$2,'data input'!$D$3:$E$130,2,FALSE),0)</f>
        <v>1.3345749015902797E-5</v>
      </c>
      <c r="X116" s="5">
        <f>IF($E116&gt;=X$2,VLOOKUP($E116-X$2,'data input'!$D$3:$E$130,2,FALSE),0)</f>
        <v>1.8536737846241991E-5</v>
      </c>
      <c r="Y116" s="5">
        <f>IF($E116&gt;=Y$2,VLOOKUP($E116-Y$2,'data input'!$D$3:$E$130,2,FALSE),0)</f>
        <v>2.5608816474065321E-5</v>
      </c>
      <c r="Z116" s="5">
        <f>IF($E116&gt;=Z$2,VLOOKUP($E116-Z$2,'data input'!$D$3:$E$130,2,FALSE),0)</f>
        <v>3.5189628065923628E-5</v>
      </c>
      <c r="AA116" s="5">
        <f>IF($E116&gt;=AA$2,VLOOKUP($E116-AA$2,'data input'!$D$3:$E$130,2,FALSE),0)</f>
        <v>4.8096344017589665E-5</v>
      </c>
      <c r="AB116" s="5">
        <f>IF($E116&gt;=AB$2,VLOOKUP($E116-AB$2,'data input'!$D$3:$E$130,2,FALSE),0)</f>
        <v>6.5386043242687819E-5</v>
      </c>
      <c r="AC116" s="5">
        <f>IF($E116&gt;=AC$2,VLOOKUP($E116-AC$2,'data input'!$D$3:$E$130,2,FALSE),0)</f>
        <v>8.841728520081471E-5</v>
      </c>
      <c r="AD116" s="5">
        <f>IF($E116&gt;=AD$2,VLOOKUP($E116-AD$2,'data input'!$D$3:$E$130,2,FALSE),0)</f>
        <v>1.1892470732677296E-4</v>
      </c>
      <c r="AE116" s="5">
        <f>IF($E116&gt;=AE$2,VLOOKUP($E116-AE$2,'data input'!$D$3:$E$130,2,FALSE),0)</f>
        <v>1.5910859015755285E-4</v>
      </c>
      <c r="AF116" s="5">
        <f>IF($E116&gt;=AF$2,VLOOKUP($E116-AF$2,'data input'!$D$3:$E$130,2,FALSE),0)</f>
        <v>2.1174139572344153E-4</v>
      </c>
      <c r="AG116" s="5">
        <f>IF($E116&gt;=AG$2,VLOOKUP($E116-AG$2,'data input'!$D$3:$E$130,2,FALSE),0)</f>
        <v>2.8029327681622362E-4</v>
      </c>
      <c r="AH116" s="5">
        <f>IF($E116&gt;=AH$2,VLOOKUP($E116-AH$2,'data input'!$D$3:$E$130,2,FALSE),0)</f>
        <v>3.6907845427502917E-4</v>
      </c>
      <c r="AI116" s="5">
        <f>IF($E116&gt;=AI$2,VLOOKUP($E116-AI$2,'data input'!$D$3:$E$130,2,FALSE),0)</f>
        <v>4.8342414238378151E-4</v>
      </c>
      <c r="AJ116" s="5">
        <f>IF($E116&gt;=AJ$2,VLOOKUP($E116-AJ$2,'data input'!$D$3:$E$130,2,FALSE),0)</f>
        <v>6.2986334399772748E-4</v>
      </c>
      <c r="AK116" s="5">
        <f>IF($E116&gt;=AK$2,VLOOKUP($E116-AK$2,'data input'!$D$3:$E$130,2,FALSE),0)</f>
        <v>8.1635231282861653E-4</v>
      </c>
      <c r="AL116" s="5">
        <f>IF($E116&gt;=AL$2,VLOOKUP($E116-AL$2,'data input'!$D$3:$E$130,2,FALSE),0)</f>
        <v>1.0525127683760349E-3</v>
      </c>
      <c r="AM116" s="5">
        <f>IF($E116&gt;=AM$2,VLOOKUP($E116-AM$2,'data input'!$D$3:$E$130,2,FALSE),0)</f>
        <v>1.3498980316301035E-3</v>
      </c>
      <c r="AN116" s="5">
        <f>IF($E116&gt;=AN$2,VLOOKUP($E116-AN$2,'data input'!$D$3:$E$130,2,FALSE),0)</f>
        <v>1.7222811158675855E-3</v>
      </c>
      <c r="AO116" s="5">
        <f>IF($E116&gt;=AO$2,VLOOKUP($E116-AO$2,'data input'!$D$3:$E$130,2,FALSE),0)</f>
        <v>2.1859614549132322E-3</v>
      </c>
      <c r="AP116" s="5">
        <f>IF($E116&gt;=AP$2,VLOOKUP($E116-AP$2,'data input'!$D$3:$E$130,2,FALSE),0)</f>
        <v>2.7600853912624901E-3</v>
      </c>
      <c r="AQ116" s="5">
        <f>IF($E116&gt;=AQ$2,VLOOKUP($E116-AQ$2,'data input'!$D$3:$E$130,2,FALSE),0)</f>
        <v>3.4669738030406183E-3</v>
      </c>
      <c r="AR116" s="5">
        <f>IF($E116&gt;=AR$2,VLOOKUP($E116-AR$2,'data input'!$D$3:$E$130,2,FALSE),0)</f>
        <v>4.3324483630126087E-3</v>
      </c>
      <c r="AS116" s="5">
        <f>IF($E116&gt;=AS$2,VLOOKUP($E116-AS$2,'data input'!$D$3:$E$130,2,FALSE),0)</f>
        <v>5.3861459540667234E-3</v>
      </c>
      <c r="AT116" s="5">
        <f>IF($E116&gt;=AT$2,VLOOKUP($E116-AT$2,'data input'!$D$3:$E$130,2,FALSE),0)</f>
        <v>6.6618087919827484E-3</v>
      </c>
      <c r="AU116" s="5">
        <f>IF($E116&gt;=AU$2,VLOOKUP($E116-AU$2,'data input'!$D$3:$E$130,2,FALSE),0)</f>
        <v>8.1975359245961554E-3</v>
      </c>
      <c r="AV116" s="5">
        <f>IF($E116&gt;=AV$2,VLOOKUP($E116-AV$2,'data input'!$D$3:$E$130,2,FALSE),0)</f>
        <v>1.0035980100274067E-2</v>
      </c>
      <c r="AW116" s="5">
        <f>IF($E116&gt;=AW$2,VLOOKUP($E116-AW$2,'data input'!$D$3:$E$130,2,FALSE),0)</f>
        <v>1.2224472655044671E-2</v>
      </c>
      <c r="AX116" s="5">
        <f>IF($E116&gt;=AX$2,VLOOKUP($E116-AX$2,'data input'!$D$3:$E$130,2,FALSE),0)</f>
        <v>1.4815058192609865E-2</v>
      </c>
      <c r="AY116" s="5">
        <f>IF($E116&gt;=AY$2,VLOOKUP($E116-AY$2,'data input'!$D$3:$E$130,2,FALSE),0)</f>
        <v>1.7864420562816563E-2</v>
      </c>
      <c r="AZ116" s="5">
        <f>IF($E116&gt;=AZ$2,VLOOKUP($E116-AZ$2,'data input'!$D$3:$E$130,2,FALSE),0)</f>
        <v>2.1433682114152974E-2</v>
      </c>
      <c r="BA116" s="5">
        <f>IF($E116&gt;=BA$2,VLOOKUP($E116-BA$2,'data input'!$D$3:$E$130,2,FALSE),0)</f>
        <v>2.5588059521638562E-2</v>
      </c>
      <c r="BB116" s="5">
        <f>IF($E116&gt;=BB$2,VLOOKUP($E116-BB$2,'data input'!$D$3:$E$130,2,FALSE),0)</f>
        <v>3.0396361765261393E-2</v>
      </c>
      <c r="BC116" s="5">
        <f>IF($E116&gt;=BC$2,VLOOKUP($E116-BC$2,'data input'!$D$3:$E$130,2,FALSE),0)</f>
        <v>3.5930319112925768E-2</v>
      </c>
      <c r="BD116" s="5">
        <f>IF($E116&gt;=BD$2,VLOOKUP($E116-BD$2,'data input'!$D$3:$E$130,2,FALSE),0)</f>
        <v>4.2263736257952433E-2</v>
      </c>
      <c r="BE116" s="5">
        <f>IF($E116&gt;=BE$2,VLOOKUP($E116-BE$2,'data input'!$D$3:$E$130,2,FALSE),0)</f>
        <v>4.9471468033648103E-2</v>
      </c>
      <c r="BF116" s="5">
        <f>IF($E116&gt;=BF$2,VLOOKUP($E116-BF$2,'data input'!$D$3:$E$130,2,FALSE),0)</f>
        <v>5.7628222276153163E-2</v>
      </c>
      <c r="BG116" s="5">
        <f>IF($E116&gt;=BG$2,VLOOKUP($E116-BG$2,'data input'!$D$3:$E$130,2,FALSE),0)</f>
        <v>6.6807201268858085E-2</v>
      </c>
      <c r="BH116" s="5">
        <f>IF($E116&gt;=BH$2,VLOOKUP($E116-BH$2,'data input'!$D$3:$E$130,2,FALSE),0)</f>
        <v>7.707860055207183E-2</v>
      </c>
      <c r="BI116" s="5">
        <f>IF($E116&gt;=BI$2,VLOOKUP($E116-BI$2,'data input'!$D$3:$E$130,2,FALSE),0)</f>
        <v>8.8507991437402067E-2</v>
      </c>
      <c r="BJ116" s="5">
        <f>IF($E116&gt;=BJ$2,VLOOKUP($E116-BJ$2,'data input'!$D$3:$E$130,2,FALSE),0)</f>
        <v>0.10115462099558592</v>
      </c>
      <c r="BK116" s="5">
        <f>IF($E116&gt;=BK$2,VLOOKUP($E116-BK$2,'data input'!$D$3:$E$130,2,FALSE),0)</f>
        <v>0.11506967022170822</v>
      </c>
      <c r="BL116" s="5">
        <f>IF($E116&gt;=BL$2,VLOOKUP($E116-BL$2,'data input'!$D$3:$E$130,2,FALSE),0)</f>
        <v>0.13029451713680884</v>
      </c>
      <c r="BM116" s="5">
        <f>IF($E116&gt;=BM$2,VLOOKUP($E116-BM$2,'data input'!$D$3:$E$130,2,FALSE),0)</f>
        <v>0.14685905637589591</v>
      </c>
      <c r="BN116" s="5">
        <f>IF($E116&gt;=BN$2,VLOOKUP($E116-BN$2,'data input'!$D$3:$E$130,2,FALSE),0)</f>
        <v>0.16478012998031033</v>
      </c>
      <c r="BO116" s="5">
        <f>IF($E116&gt;=BO$2,VLOOKUP($E116-BO$2,'data input'!$D$3:$E$130,2,FALSE),0)</f>
        <v>0.18406012534675953</v>
      </c>
      <c r="BP116" s="5">
        <f>IF($E116&gt;=BP$2,VLOOKUP($E116-BP$2,'data input'!$D$3:$E$130,2,FALSE),0)</f>
        <v>0.20468579534725262</v>
      </c>
      <c r="BQ116" s="5">
        <f>IF($E116&gt;=BQ$2,VLOOKUP($E116-BQ$2,'data input'!$D$3:$E$130,2,FALSE),0)</f>
        <v>0.22662735237686826</v>
      </c>
      <c r="BR116" s="5">
        <f>IF($E116&gt;=BR$2,VLOOKUP($E116-BR$2,'data input'!$D$3:$E$130,2,FALSE),0)</f>
        <v>0.24983788247177696</v>
      </c>
      <c r="BS116" s="5">
        <f>IF($E116&gt;=BS$2,VLOOKUP($E116-BS$2,'data input'!$D$3:$E$130,2,FALSE),0)</f>
        <v>0.27425311775007355</v>
      </c>
      <c r="BT116" s="5">
        <f>IF($E116&gt;=BT$2,VLOOKUP($E116-BT$2,'data input'!$D$3:$E$130,2,FALSE),0)</f>
        <v>0.29979159546869583</v>
      </c>
      <c r="BU116" s="5">
        <f>IF($E116&gt;=BU$2,VLOOKUP($E116-BU$2,'data input'!$D$3:$E$130,2,FALSE),0)</f>
        <v>0.32635522028792008</v>
      </c>
      <c r="BV116" s="5">
        <f>IF($E116&gt;=BV$2,VLOOKUP($E116-BV$2,'data input'!$D$3:$E$130,2,FALSE),0)</f>
        <v>0.35383023332727614</v>
      </c>
      <c r="BW116" s="5">
        <f>IF($E116&gt;=BW$2,VLOOKUP($E116-BW$2,'data input'!$D$3:$E$130,2,FALSE),0)</f>
        <v>0.38208857781104733</v>
      </c>
      <c r="BX116" s="5">
        <f>IF($E116&gt;=BX$2,VLOOKUP($E116-BX$2,'data input'!$D$3:$E$130,2,FALSE),0)</f>
        <v>0.41098963713127035</v>
      </c>
      <c r="BY116" s="5">
        <f>IF($E116&gt;=BY$2,VLOOKUP($E116-BY$2,'data input'!$D$3:$E$130,2,FALSE),0)</f>
        <v>0.4403823076297575</v>
      </c>
      <c r="BZ116" s="5">
        <f>IF($E116&gt;=BZ$2,VLOOKUP($E116-BZ$2,'data input'!$D$3:$E$130,2,FALSE),0)</f>
        <v>0.47010735594710518</v>
      </c>
      <c r="CA116" s="5">
        <f>IF($E116&gt;=CA$2,VLOOKUP($E116-CA$2,'data input'!$D$3:$E$130,2,FALSE),0)</f>
        <v>0.5</v>
      </c>
      <c r="CB116" s="5">
        <f>IF($E116&gt;=CB$2,VLOOKUP($E116-CB$2,'data input'!$D$3:$E$130,2,FALSE),0)</f>
        <v>0.52989264405289482</v>
      </c>
      <c r="CC116" s="5">
        <f>IF($E116&gt;=CC$2,VLOOKUP($E116-CC$2,'data input'!$D$3:$E$130,2,FALSE),0)</f>
        <v>0.5596176923702425</v>
      </c>
      <c r="CD116" s="5">
        <f>IF($E116&gt;=CD$2,VLOOKUP($E116-CD$2,'data input'!$D$3:$E$130,2,FALSE),0)</f>
        <v>0.58901036286872965</v>
      </c>
      <c r="CE116" s="5">
        <f>IF($E116&gt;=CE$2,VLOOKUP($E116-CE$2,'data input'!$D$3:$E$130,2,FALSE),0)</f>
        <v>0.61791142218895267</v>
      </c>
      <c r="CF116" s="5">
        <f>IF($E116&gt;=CF$2,VLOOKUP($E116-CF$2,'data input'!$D$3:$E$130,2,FALSE),0)</f>
        <v>0.64616976667272386</v>
      </c>
      <c r="CG116" s="5">
        <f>IF($E116&gt;=CG$2,VLOOKUP($E116-CG$2,'data input'!$D$3:$E$130,2,FALSE),0)</f>
        <v>0.67364477971207992</v>
      </c>
      <c r="CH116" s="5">
        <f>IF($E116&gt;=CH$2,VLOOKUP($E116-CH$2,'data input'!$D$3:$E$130,2,FALSE),0)</f>
        <v>0.70020840453130417</v>
      </c>
      <c r="CI116" s="5">
        <f>IF($E116&gt;=CI$2,VLOOKUP($E116-CI$2,'data input'!$D$3:$E$130,2,FALSE),0)</f>
        <v>0.72574688224992645</v>
      </c>
      <c r="CJ116" s="5">
        <f>IF($E116&gt;=CJ$2,VLOOKUP($E116-CJ$2,'data input'!$D$3:$E$130,2,FALSE),0)</f>
        <v>0.75016211752822304</v>
      </c>
      <c r="CK116" s="5">
        <f>IF($E116&gt;=CK$2,VLOOKUP($E116-CK$2,'data input'!$D$3:$E$130,2,FALSE),0)</f>
        <v>0.77337264762313174</v>
      </c>
      <c r="CL116" s="5">
        <f>IF($E116&gt;=CL$2,VLOOKUP($E116-CL$2,'data input'!$D$3:$E$130,2,FALSE),0)</f>
        <v>0.79531420465274738</v>
      </c>
      <c r="CM116" s="5">
        <f>IF($E116&gt;=CM$2,VLOOKUP($E116-CM$2,'data input'!$D$3:$E$130,2,FALSE),0)</f>
        <v>0.81593987465324047</v>
      </c>
      <c r="CN116" s="5">
        <f>IF($E116&gt;=CN$2,VLOOKUP($E116-CN$2,'data input'!$D$3:$E$130,2,FALSE),0)</f>
        <v>0.83521987001968967</v>
      </c>
      <c r="CO116" s="5">
        <f>IF($E116&gt;=CO$2,VLOOKUP($E116-CO$2,'data input'!$D$3:$E$130,2,FALSE),0)</f>
        <v>0.85314094362410409</v>
      </c>
      <c r="CP116" s="5">
        <f>IF($E116&gt;=CP$2,VLOOKUP($E116-CP$2,'data input'!$D$3:$E$130,2,FALSE),0)</f>
        <v>0.86970548286319116</v>
      </c>
      <c r="CQ116" s="5">
        <f>IF($E116&gt;=CQ$2,VLOOKUP($E116-CQ$2,'data input'!$D$3:$E$130,2,FALSE),0)</f>
        <v>0.88493032977829178</v>
      </c>
      <c r="CR116" s="5">
        <f>IF($E116&gt;=CR$2,VLOOKUP($E116-CR$2,'data input'!$D$3:$E$130,2,FALSE),0)</f>
        <v>0.89884537900441408</v>
      </c>
      <c r="CS116" s="5">
        <f>IF($E116&gt;=CS$2,VLOOKUP($E116-CS$2,'data input'!$D$3:$E$130,2,FALSE),0)</f>
        <v>0.91149200856259793</v>
      </c>
      <c r="CT116" s="5">
        <f>IF($E116&gt;=CT$2,VLOOKUP($E116-CT$2,'data input'!$D$3:$E$130,2,FALSE),0)</f>
        <v>0.92292139944792817</v>
      </c>
      <c r="CU116" s="5">
        <f>IF($E116&gt;=CU$2,VLOOKUP($E116-CU$2,'data input'!$D$3:$E$130,2,FALSE),0)</f>
        <v>0.93319279873114191</v>
      </c>
      <c r="CV116" s="5">
        <f>IF($E116&gt;=CV$2,VLOOKUP($E116-CV$2,'data input'!$D$3:$E$130,2,FALSE),0)</f>
        <v>0.94237177772384684</v>
      </c>
      <c r="CW116" s="5">
        <f>IF($E116&gt;=CW$2,VLOOKUP($E116-CW$2,'data input'!$D$3:$E$130,2,FALSE),0)</f>
        <v>0.9505285319663519</v>
      </c>
      <c r="CX116" s="5">
        <f>IF($E116&gt;=CX$2,VLOOKUP($E116-CX$2,'data input'!$D$3:$E$130,2,FALSE),0)</f>
        <v>0.95773626374204757</v>
      </c>
      <c r="CY116" s="5">
        <f>IF($E116&gt;=CY$2,VLOOKUP($E116-CY$2,'data input'!$D$3:$E$130,2,FALSE),0)</f>
        <v>0.96406968088707423</v>
      </c>
      <c r="CZ116" s="5">
        <f>IF($E116&gt;=CZ$2,VLOOKUP($E116-CZ$2,'data input'!$D$3:$E$130,2,FALSE),0)</f>
        <v>0.96960363823473861</v>
      </c>
      <c r="DA116" s="5">
        <f>IF($E116&gt;=DA$2,VLOOKUP($E116-DA$2,'data input'!$D$3:$E$130,2,FALSE),0)</f>
        <v>0.97441194047836144</v>
      </c>
      <c r="DB116" s="5">
        <f>IF($E116&gt;=DB$2,VLOOKUP($E116-DB$2,'data input'!$D$3:$E$130,2,FALSE),0)</f>
        <v>0.97856631788584703</v>
      </c>
      <c r="DC116" s="5">
        <f>IF($E116&gt;=DC$2,VLOOKUP($E116-DC$2,'data input'!$D$3:$E$130,2,FALSE),0)</f>
        <v>0.98213557943718344</v>
      </c>
      <c r="DD116" s="5">
        <f>IF($E116&gt;=DD$2,VLOOKUP($E116-DD$2,'data input'!$D$3:$E$130,2,FALSE),0)</f>
        <v>0.98518494180739014</v>
      </c>
      <c r="DE116" s="5">
        <f>IF($E116&gt;=DE$2,VLOOKUP($E116-DE$2,'data input'!$D$3:$E$130,2,FALSE),0)</f>
        <v>0.98777552734495533</v>
      </c>
      <c r="DF116" s="5">
        <f>IF($E116&gt;=DF$2,VLOOKUP($E116-DF$2,'data input'!$D$3:$E$130,2,FALSE),0)</f>
        <v>0.98996401989972593</v>
      </c>
      <c r="DG116" s="5">
        <f>IF($E116&gt;=DG$2,VLOOKUP($E116-DG$2,'data input'!$D$3:$E$130,2,FALSE),0)</f>
        <v>0.99180246407540384</v>
      </c>
      <c r="DH116" s="5">
        <f>IF($E116&gt;=DH$2,VLOOKUP($E116-DH$2,'data input'!$D$3:$E$130,2,FALSE),0)</f>
        <v>0.99333819120801725</v>
      </c>
      <c r="DI116" s="5">
        <f>IF($E116&gt;=DI$2,VLOOKUP($E116-DI$2,'data input'!$D$3:$E$130,2,FALSE),0)</f>
        <v>0.99461385404593328</v>
      </c>
      <c r="DJ116" s="5">
        <f>IF($E116&gt;=DJ$2,VLOOKUP($E116-DJ$2,'data input'!$D$3:$E$130,2,FALSE),0)</f>
        <v>0.99566755163698739</v>
      </c>
      <c r="DK116" s="5">
        <f>IF($E116&gt;=DK$2,VLOOKUP($E116-DK$2,'data input'!$D$3:$E$130,2,FALSE),0)</f>
        <v>0.99653302619695938</v>
      </c>
      <c r="DL116" s="5">
        <f>IF($E116&gt;=DL$2,VLOOKUP($E116-DL$2,'data input'!$D$3:$E$130,2,FALSE),0)</f>
        <v>0.99723991460873751</v>
      </c>
      <c r="DM116" s="5">
        <f>IF($E116&gt;=DM$2,VLOOKUP($E116-DM$2,'data input'!$D$3:$E$130,2,FALSE),0)</f>
        <v>0.99781403854508677</v>
      </c>
      <c r="DN116" s="5">
        <f>IF($E116&gt;=DN$2,VLOOKUP($E116-DN$2,'data input'!$D$3:$E$130,2,FALSE),0)</f>
        <v>0.99827771888413241</v>
      </c>
      <c r="DO116" s="5">
        <f>IF($E116&gt;=DO$2,VLOOKUP($E116-DO$2,'data input'!$D$3:$E$130,2,FALSE),0)</f>
        <v>0.9986501019683699</v>
      </c>
      <c r="DP116" s="5">
        <f>IF($E116&gt;=DP$2,VLOOKUP($E116-DP$2,'data input'!$D$3:$E$130,2,FALSE),0)</f>
        <v>0</v>
      </c>
      <c r="DQ116" s="5">
        <f>IF($E116&gt;=DQ$2,VLOOKUP($E116-DQ$2,'data input'!$D$3:$E$130,2,FALSE),0)</f>
        <v>0</v>
      </c>
      <c r="DR116" s="5">
        <f>IF($E116&gt;=DR$2,VLOOKUP($E116-DR$2,'data input'!$D$3:$E$130,2,FALSE),0)</f>
        <v>0</v>
      </c>
      <c r="DS116" s="5">
        <f>IF($E116&gt;=DS$2,VLOOKUP($E116-DS$2,'data input'!$D$3:$E$130,2,FALSE),0)</f>
        <v>0</v>
      </c>
      <c r="DT116" s="5">
        <f>IF($E116&gt;=DT$2,VLOOKUP($E116-DT$2,'data input'!$D$3:$E$130,2,FALSE),0)</f>
        <v>0</v>
      </c>
      <c r="DU116" s="5">
        <f>IF($E116&gt;=DU$2,VLOOKUP($E116-DU$2,'data input'!$D$3:$E$130,2,FALSE),0)</f>
        <v>0</v>
      </c>
      <c r="DV116" s="5">
        <f>IF($E116&gt;=DV$2,VLOOKUP($E116-DV$2,'data input'!$D$3:$E$130,2,FALSE),0)</f>
        <v>0</v>
      </c>
      <c r="DW116" s="5">
        <f>IF($E116&gt;=DW$2,VLOOKUP($E116-DW$2,'data input'!$D$3:$E$130,2,FALSE),0)</f>
        <v>0</v>
      </c>
      <c r="DX116" s="5">
        <f>IF($E116&gt;=DX$2,VLOOKUP($E116-DX$2,'data input'!$D$3:$E$130,2,FALSE),0)</f>
        <v>0</v>
      </c>
      <c r="DY116" s="5">
        <f>IF($E116&gt;=DY$2,VLOOKUP($E116-DY$2,'data input'!$D$3:$E$130,2,FALSE),0)</f>
        <v>0</v>
      </c>
      <c r="DZ116" s="5">
        <f>IF($E116&gt;=DZ$2,VLOOKUP($E116-DZ$2,'data input'!$D$3:$E$130,2,FALSE),0)</f>
        <v>0</v>
      </c>
      <c r="EA116" s="5">
        <f>IF($E116&gt;=EA$2,VLOOKUP($E116-EA$2,'data input'!$D$3:$E$130,2,FALSE),0)</f>
        <v>0</v>
      </c>
      <c r="EB116" s="5">
        <f>IF($E116&gt;=EB$2,VLOOKUP($E116-EB$2,'data input'!$D$3:$E$130,2,FALSE),0)</f>
        <v>0</v>
      </c>
      <c r="EC116" s="5">
        <f>IF($E116&gt;=EC$2,VLOOKUP($E116-EC$2,'data input'!$D$3:$E$130,2,FALSE),0)</f>
        <v>0</v>
      </c>
    </row>
    <row r="117" spans="5:133">
      <c r="E117" s="7">
        <f>'data input'!B117</f>
        <v>1992</v>
      </c>
      <c r="F117" s="5">
        <f>IF($E117&gt;=F$2,VLOOKUP($E117-F$2,'data input'!$D$3:$E$130,2,FALSE),0)</f>
        <v>1.4283479843335556E-8</v>
      </c>
      <c r="G117" s="5">
        <f>IF($E117&gt;=G$2,VLOOKUP($E117-G$2,'data input'!$D$3:$E$130,2,FALSE),0)</f>
        <v>2.1875580569208353E-8</v>
      </c>
      <c r="H117" s="5">
        <f>IF($E117&gt;=H$2,VLOOKUP($E117-H$2,'data input'!$D$3:$E$130,2,FALSE),0)</f>
        <v>3.3320448511453549E-8</v>
      </c>
      <c r="I117" s="5">
        <f>IF($E117&gt;=I$2,VLOOKUP($E117-I$2,'data input'!$D$3:$E$130,2,FALSE),0)</f>
        <v>5.0476519741771142E-8</v>
      </c>
      <c r="J117" s="5">
        <f>IF($E117&gt;=J$2,VLOOKUP($E117-J$2,'data input'!$D$3:$E$130,2,FALSE),0)</f>
        <v>7.6049605168826417E-8</v>
      </c>
      <c r="K117" s="5">
        <f>IF($E117&gt;=K$2,VLOOKUP($E117-K$2,'data input'!$D$3:$E$130,2,FALSE),0)</f>
        <v>1.1395549048831555E-7</v>
      </c>
      <c r="L117" s="5">
        <f>IF($E117&gt;=L$2,VLOOKUP($E117-L$2,'data input'!$D$3:$E$130,2,FALSE),0)</f>
        <v>1.698267406702314E-7</v>
      </c>
      <c r="M117" s="5">
        <f>IF($E117&gt;=M$2,VLOOKUP($E117-M$2,'data input'!$D$3:$E$130,2,FALSE),0)</f>
        <v>2.5171626816256065E-7</v>
      </c>
      <c r="N117" s="5">
        <f>IF($E117&gt;=N$2,VLOOKUP($E117-N$2,'data input'!$D$3:$E$130,2,FALSE),0)</f>
        <v>3.7106740791159609E-7</v>
      </c>
      <c r="O117" s="5">
        <f>IF($E117&gt;=O$2,VLOOKUP($E117-O$2,'data input'!$D$3:$E$130,2,FALSE),0)</f>
        <v>5.4404227556315021E-7</v>
      </c>
      <c r="P117" s="5">
        <f>IF($E117&gt;=P$2,VLOOKUP($E117-P$2,'data input'!$D$3:$E$130,2,FALSE),0)</f>
        <v>7.9332815194899098E-7</v>
      </c>
      <c r="Q117" s="5">
        <f>IF($E117&gt;=Q$2,VLOOKUP($E117-Q$2,'data input'!$D$3:$E$130,2,FALSE),0)</f>
        <v>1.1505767815167545E-6</v>
      </c>
      <c r="R117" s="5">
        <f>IF($E117&gt;=R$2,VLOOKUP($E117-R$2,'data input'!$D$3:$E$130,2,FALSE),0)</f>
        <v>1.6596751443165303E-6</v>
      </c>
      <c r="S117" s="5">
        <f>IF($E117&gt;=S$2,VLOOKUP($E117-S$2,'data input'!$D$3:$E$130,2,FALSE),0)</f>
        <v>2.3810999327800175E-6</v>
      </c>
      <c r="T117" s="5">
        <f>IF($E117&gt;=T$2,VLOOKUP($E117-T$2,'data input'!$D$3:$E$130,2,FALSE),0)</f>
        <v>3.3976731247387093E-6</v>
      </c>
      <c r="U117" s="5">
        <f>IF($E117&gt;=U$2,VLOOKUP($E117-U$2,'data input'!$D$3:$E$130,2,FALSE),0)</f>
        <v>4.8221141606408224E-6</v>
      </c>
      <c r="V117" s="5">
        <f>IF($E117&gt;=V$2,VLOOKUP($E117-V$2,'data input'!$D$3:$E$130,2,FALSE),0)</f>
        <v>6.8068765993745117E-6</v>
      </c>
      <c r="W117" s="5">
        <f>IF($E117&gt;=W$2,VLOOKUP($E117-W$2,'data input'!$D$3:$E$130,2,FALSE),0)</f>
        <v>9.5568647372479276E-6</v>
      </c>
      <c r="X117" s="5">
        <f>IF($E117&gt;=X$2,VLOOKUP($E117-X$2,'data input'!$D$3:$E$130,2,FALSE),0)</f>
        <v>1.3345749015902797E-5</v>
      </c>
      <c r="Y117" s="5">
        <f>IF($E117&gt;=Y$2,VLOOKUP($E117-Y$2,'data input'!$D$3:$E$130,2,FALSE),0)</f>
        <v>1.8536737846241991E-5</v>
      </c>
      <c r="Z117" s="5">
        <f>IF($E117&gt;=Z$2,VLOOKUP($E117-Z$2,'data input'!$D$3:$E$130,2,FALSE),0)</f>
        <v>2.5608816474065321E-5</v>
      </c>
      <c r="AA117" s="5">
        <f>IF($E117&gt;=AA$2,VLOOKUP($E117-AA$2,'data input'!$D$3:$E$130,2,FALSE),0)</f>
        <v>3.5189628065923628E-5</v>
      </c>
      <c r="AB117" s="5">
        <f>IF($E117&gt;=AB$2,VLOOKUP($E117-AB$2,'data input'!$D$3:$E$130,2,FALSE),0)</f>
        <v>4.8096344017589665E-5</v>
      </c>
      <c r="AC117" s="5">
        <f>IF($E117&gt;=AC$2,VLOOKUP($E117-AC$2,'data input'!$D$3:$E$130,2,FALSE),0)</f>
        <v>6.5386043242687819E-5</v>
      </c>
      <c r="AD117" s="5">
        <f>IF($E117&gt;=AD$2,VLOOKUP($E117-AD$2,'data input'!$D$3:$E$130,2,FALSE),0)</f>
        <v>8.841728520081471E-5</v>
      </c>
      <c r="AE117" s="5">
        <f>IF($E117&gt;=AE$2,VLOOKUP($E117-AE$2,'data input'!$D$3:$E$130,2,FALSE),0)</f>
        <v>1.1892470732677296E-4</v>
      </c>
      <c r="AF117" s="5">
        <f>IF($E117&gt;=AF$2,VLOOKUP($E117-AF$2,'data input'!$D$3:$E$130,2,FALSE),0)</f>
        <v>1.5910859015755285E-4</v>
      </c>
      <c r="AG117" s="5">
        <f>IF($E117&gt;=AG$2,VLOOKUP($E117-AG$2,'data input'!$D$3:$E$130,2,FALSE),0)</f>
        <v>2.1174139572344153E-4</v>
      </c>
      <c r="AH117" s="5">
        <f>IF($E117&gt;=AH$2,VLOOKUP($E117-AH$2,'data input'!$D$3:$E$130,2,FALSE),0)</f>
        <v>2.8029327681622362E-4</v>
      </c>
      <c r="AI117" s="5">
        <f>IF($E117&gt;=AI$2,VLOOKUP($E117-AI$2,'data input'!$D$3:$E$130,2,FALSE),0)</f>
        <v>3.6907845427502917E-4</v>
      </c>
      <c r="AJ117" s="5">
        <f>IF($E117&gt;=AJ$2,VLOOKUP($E117-AJ$2,'data input'!$D$3:$E$130,2,FALSE),0)</f>
        <v>4.8342414238378151E-4</v>
      </c>
      <c r="AK117" s="5">
        <f>IF($E117&gt;=AK$2,VLOOKUP($E117-AK$2,'data input'!$D$3:$E$130,2,FALSE),0)</f>
        <v>6.2986334399772748E-4</v>
      </c>
      <c r="AL117" s="5">
        <f>IF($E117&gt;=AL$2,VLOOKUP($E117-AL$2,'data input'!$D$3:$E$130,2,FALSE),0)</f>
        <v>8.1635231282861653E-4</v>
      </c>
      <c r="AM117" s="5">
        <f>IF($E117&gt;=AM$2,VLOOKUP($E117-AM$2,'data input'!$D$3:$E$130,2,FALSE),0)</f>
        <v>1.0525127683760349E-3</v>
      </c>
      <c r="AN117" s="5">
        <f>IF($E117&gt;=AN$2,VLOOKUP($E117-AN$2,'data input'!$D$3:$E$130,2,FALSE),0)</f>
        <v>1.3498980316301035E-3</v>
      </c>
      <c r="AO117" s="5">
        <f>IF($E117&gt;=AO$2,VLOOKUP($E117-AO$2,'data input'!$D$3:$E$130,2,FALSE),0)</f>
        <v>1.7222811158675855E-3</v>
      </c>
      <c r="AP117" s="5">
        <f>IF($E117&gt;=AP$2,VLOOKUP($E117-AP$2,'data input'!$D$3:$E$130,2,FALSE),0)</f>
        <v>2.1859614549132322E-3</v>
      </c>
      <c r="AQ117" s="5">
        <f>IF($E117&gt;=AQ$2,VLOOKUP($E117-AQ$2,'data input'!$D$3:$E$130,2,FALSE),0)</f>
        <v>2.7600853912624901E-3</v>
      </c>
      <c r="AR117" s="5">
        <f>IF($E117&gt;=AR$2,VLOOKUP($E117-AR$2,'data input'!$D$3:$E$130,2,FALSE),0)</f>
        <v>3.4669738030406183E-3</v>
      </c>
      <c r="AS117" s="5">
        <f>IF($E117&gt;=AS$2,VLOOKUP($E117-AS$2,'data input'!$D$3:$E$130,2,FALSE),0)</f>
        <v>4.3324483630126087E-3</v>
      </c>
      <c r="AT117" s="5">
        <f>IF($E117&gt;=AT$2,VLOOKUP($E117-AT$2,'data input'!$D$3:$E$130,2,FALSE),0)</f>
        <v>5.3861459540667234E-3</v>
      </c>
      <c r="AU117" s="5">
        <f>IF($E117&gt;=AU$2,VLOOKUP($E117-AU$2,'data input'!$D$3:$E$130,2,FALSE),0)</f>
        <v>6.6618087919827484E-3</v>
      </c>
      <c r="AV117" s="5">
        <f>IF($E117&gt;=AV$2,VLOOKUP($E117-AV$2,'data input'!$D$3:$E$130,2,FALSE),0)</f>
        <v>8.1975359245961554E-3</v>
      </c>
      <c r="AW117" s="5">
        <f>IF($E117&gt;=AW$2,VLOOKUP($E117-AW$2,'data input'!$D$3:$E$130,2,FALSE),0)</f>
        <v>1.0035980100274067E-2</v>
      </c>
      <c r="AX117" s="5">
        <f>IF($E117&gt;=AX$2,VLOOKUP($E117-AX$2,'data input'!$D$3:$E$130,2,FALSE),0)</f>
        <v>1.2224472655044671E-2</v>
      </c>
      <c r="AY117" s="5">
        <f>IF($E117&gt;=AY$2,VLOOKUP($E117-AY$2,'data input'!$D$3:$E$130,2,FALSE),0)</f>
        <v>1.4815058192609865E-2</v>
      </c>
      <c r="AZ117" s="5">
        <f>IF($E117&gt;=AZ$2,VLOOKUP($E117-AZ$2,'data input'!$D$3:$E$130,2,FALSE),0)</f>
        <v>1.7864420562816563E-2</v>
      </c>
      <c r="BA117" s="5">
        <f>IF($E117&gt;=BA$2,VLOOKUP($E117-BA$2,'data input'!$D$3:$E$130,2,FALSE),0)</f>
        <v>2.1433682114152974E-2</v>
      </c>
      <c r="BB117" s="5">
        <f>IF($E117&gt;=BB$2,VLOOKUP($E117-BB$2,'data input'!$D$3:$E$130,2,FALSE),0)</f>
        <v>2.5588059521638562E-2</v>
      </c>
      <c r="BC117" s="5">
        <f>IF($E117&gt;=BC$2,VLOOKUP($E117-BC$2,'data input'!$D$3:$E$130,2,FALSE),0)</f>
        <v>3.0396361765261393E-2</v>
      </c>
      <c r="BD117" s="5">
        <f>IF($E117&gt;=BD$2,VLOOKUP($E117-BD$2,'data input'!$D$3:$E$130,2,FALSE),0)</f>
        <v>3.5930319112925768E-2</v>
      </c>
      <c r="BE117" s="5">
        <f>IF($E117&gt;=BE$2,VLOOKUP($E117-BE$2,'data input'!$D$3:$E$130,2,FALSE),0)</f>
        <v>4.2263736257952433E-2</v>
      </c>
      <c r="BF117" s="5">
        <f>IF($E117&gt;=BF$2,VLOOKUP($E117-BF$2,'data input'!$D$3:$E$130,2,FALSE),0)</f>
        <v>4.9471468033648103E-2</v>
      </c>
      <c r="BG117" s="5">
        <f>IF($E117&gt;=BG$2,VLOOKUP($E117-BG$2,'data input'!$D$3:$E$130,2,FALSE),0)</f>
        <v>5.7628222276153163E-2</v>
      </c>
      <c r="BH117" s="5">
        <f>IF($E117&gt;=BH$2,VLOOKUP($E117-BH$2,'data input'!$D$3:$E$130,2,FALSE),0)</f>
        <v>6.6807201268858085E-2</v>
      </c>
      <c r="BI117" s="5">
        <f>IF($E117&gt;=BI$2,VLOOKUP($E117-BI$2,'data input'!$D$3:$E$130,2,FALSE),0)</f>
        <v>7.707860055207183E-2</v>
      </c>
      <c r="BJ117" s="5">
        <f>IF($E117&gt;=BJ$2,VLOOKUP($E117-BJ$2,'data input'!$D$3:$E$130,2,FALSE),0)</f>
        <v>8.8507991437402067E-2</v>
      </c>
      <c r="BK117" s="5">
        <f>IF($E117&gt;=BK$2,VLOOKUP($E117-BK$2,'data input'!$D$3:$E$130,2,FALSE),0)</f>
        <v>0.10115462099558592</v>
      </c>
      <c r="BL117" s="5">
        <f>IF($E117&gt;=BL$2,VLOOKUP($E117-BL$2,'data input'!$D$3:$E$130,2,FALSE),0)</f>
        <v>0.11506967022170822</v>
      </c>
      <c r="BM117" s="5">
        <f>IF($E117&gt;=BM$2,VLOOKUP($E117-BM$2,'data input'!$D$3:$E$130,2,FALSE),0)</f>
        <v>0.13029451713680884</v>
      </c>
      <c r="BN117" s="5">
        <f>IF($E117&gt;=BN$2,VLOOKUP($E117-BN$2,'data input'!$D$3:$E$130,2,FALSE),0)</f>
        <v>0.14685905637589591</v>
      </c>
      <c r="BO117" s="5">
        <f>IF($E117&gt;=BO$2,VLOOKUP($E117-BO$2,'data input'!$D$3:$E$130,2,FALSE),0)</f>
        <v>0.16478012998031033</v>
      </c>
      <c r="BP117" s="5">
        <f>IF($E117&gt;=BP$2,VLOOKUP($E117-BP$2,'data input'!$D$3:$E$130,2,FALSE),0)</f>
        <v>0.18406012534675953</v>
      </c>
      <c r="BQ117" s="5">
        <f>IF($E117&gt;=BQ$2,VLOOKUP($E117-BQ$2,'data input'!$D$3:$E$130,2,FALSE),0)</f>
        <v>0.20468579534725262</v>
      </c>
      <c r="BR117" s="5">
        <f>IF($E117&gt;=BR$2,VLOOKUP($E117-BR$2,'data input'!$D$3:$E$130,2,FALSE),0)</f>
        <v>0.22662735237686826</v>
      </c>
      <c r="BS117" s="5">
        <f>IF($E117&gt;=BS$2,VLOOKUP($E117-BS$2,'data input'!$D$3:$E$130,2,FALSE),0)</f>
        <v>0.24983788247177696</v>
      </c>
      <c r="BT117" s="5">
        <f>IF($E117&gt;=BT$2,VLOOKUP($E117-BT$2,'data input'!$D$3:$E$130,2,FALSE),0)</f>
        <v>0.27425311775007355</v>
      </c>
      <c r="BU117" s="5">
        <f>IF($E117&gt;=BU$2,VLOOKUP($E117-BU$2,'data input'!$D$3:$E$130,2,FALSE),0)</f>
        <v>0.29979159546869583</v>
      </c>
      <c r="BV117" s="5">
        <f>IF($E117&gt;=BV$2,VLOOKUP($E117-BV$2,'data input'!$D$3:$E$130,2,FALSE),0)</f>
        <v>0.32635522028792008</v>
      </c>
      <c r="BW117" s="5">
        <f>IF($E117&gt;=BW$2,VLOOKUP($E117-BW$2,'data input'!$D$3:$E$130,2,FALSE),0)</f>
        <v>0.35383023332727614</v>
      </c>
      <c r="BX117" s="5">
        <f>IF($E117&gt;=BX$2,VLOOKUP($E117-BX$2,'data input'!$D$3:$E$130,2,FALSE),0)</f>
        <v>0.38208857781104733</v>
      </c>
      <c r="BY117" s="5">
        <f>IF($E117&gt;=BY$2,VLOOKUP($E117-BY$2,'data input'!$D$3:$E$130,2,FALSE),0)</f>
        <v>0.41098963713127035</v>
      </c>
      <c r="BZ117" s="5">
        <f>IF($E117&gt;=BZ$2,VLOOKUP($E117-BZ$2,'data input'!$D$3:$E$130,2,FALSE),0)</f>
        <v>0.4403823076297575</v>
      </c>
      <c r="CA117" s="5">
        <f>IF($E117&gt;=CA$2,VLOOKUP($E117-CA$2,'data input'!$D$3:$E$130,2,FALSE),0)</f>
        <v>0.47010735594710518</v>
      </c>
      <c r="CB117" s="5">
        <f>IF($E117&gt;=CB$2,VLOOKUP($E117-CB$2,'data input'!$D$3:$E$130,2,FALSE),0)</f>
        <v>0.5</v>
      </c>
      <c r="CC117" s="5">
        <f>IF($E117&gt;=CC$2,VLOOKUP($E117-CC$2,'data input'!$D$3:$E$130,2,FALSE),0)</f>
        <v>0.52989264405289482</v>
      </c>
      <c r="CD117" s="5">
        <f>IF($E117&gt;=CD$2,VLOOKUP($E117-CD$2,'data input'!$D$3:$E$130,2,FALSE),0)</f>
        <v>0.5596176923702425</v>
      </c>
      <c r="CE117" s="5">
        <f>IF($E117&gt;=CE$2,VLOOKUP($E117-CE$2,'data input'!$D$3:$E$130,2,FALSE),0)</f>
        <v>0.58901036286872965</v>
      </c>
      <c r="CF117" s="5">
        <f>IF($E117&gt;=CF$2,VLOOKUP($E117-CF$2,'data input'!$D$3:$E$130,2,FALSE),0)</f>
        <v>0.61791142218895267</v>
      </c>
      <c r="CG117" s="5">
        <f>IF($E117&gt;=CG$2,VLOOKUP($E117-CG$2,'data input'!$D$3:$E$130,2,FALSE),0)</f>
        <v>0.64616976667272386</v>
      </c>
      <c r="CH117" s="5">
        <f>IF($E117&gt;=CH$2,VLOOKUP($E117-CH$2,'data input'!$D$3:$E$130,2,FALSE),0)</f>
        <v>0.67364477971207992</v>
      </c>
      <c r="CI117" s="5">
        <f>IF($E117&gt;=CI$2,VLOOKUP($E117-CI$2,'data input'!$D$3:$E$130,2,FALSE),0)</f>
        <v>0.70020840453130417</v>
      </c>
      <c r="CJ117" s="5">
        <f>IF($E117&gt;=CJ$2,VLOOKUP($E117-CJ$2,'data input'!$D$3:$E$130,2,FALSE),0)</f>
        <v>0.72574688224992645</v>
      </c>
      <c r="CK117" s="5">
        <f>IF($E117&gt;=CK$2,VLOOKUP($E117-CK$2,'data input'!$D$3:$E$130,2,FALSE),0)</f>
        <v>0.75016211752822304</v>
      </c>
      <c r="CL117" s="5">
        <f>IF($E117&gt;=CL$2,VLOOKUP($E117-CL$2,'data input'!$D$3:$E$130,2,FALSE),0)</f>
        <v>0.77337264762313174</v>
      </c>
      <c r="CM117" s="5">
        <f>IF($E117&gt;=CM$2,VLOOKUP($E117-CM$2,'data input'!$D$3:$E$130,2,FALSE),0)</f>
        <v>0.79531420465274738</v>
      </c>
      <c r="CN117" s="5">
        <f>IF($E117&gt;=CN$2,VLOOKUP($E117-CN$2,'data input'!$D$3:$E$130,2,FALSE),0)</f>
        <v>0.81593987465324047</v>
      </c>
      <c r="CO117" s="5">
        <f>IF($E117&gt;=CO$2,VLOOKUP($E117-CO$2,'data input'!$D$3:$E$130,2,FALSE),0)</f>
        <v>0.83521987001968967</v>
      </c>
      <c r="CP117" s="5">
        <f>IF($E117&gt;=CP$2,VLOOKUP($E117-CP$2,'data input'!$D$3:$E$130,2,FALSE),0)</f>
        <v>0.85314094362410409</v>
      </c>
      <c r="CQ117" s="5">
        <f>IF($E117&gt;=CQ$2,VLOOKUP($E117-CQ$2,'data input'!$D$3:$E$130,2,FALSE),0)</f>
        <v>0.86970548286319116</v>
      </c>
      <c r="CR117" s="5">
        <f>IF($E117&gt;=CR$2,VLOOKUP($E117-CR$2,'data input'!$D$3:$E$130,2,FALSE),0)</f>
        <v>0.88493032977829178</v>
      </c>
      <c r="CS117" s="5">
        <f>IF($E117&gt;=CS$2,VLOOKUP($E117-CS$2,'data input'!$D$3:$E$130,2,FALSE),0)</f>
        <v>0.89884537900441408</v>
      </c>
      <c r="CT117" s="5">
        <f>IF($E117&gt;=CT$2,VLOOKUP($E117-CT$2,'data input'!$D$3:$E$130,2,FALSE),0)</f>
        <v>0.91149200856259793</v>
      </c>
      <c r="CU117" s="5">
        <f>IF($E117&gt;=CU$2,VLOOKUP($E117-CU$2,'data input'!$D$3:$E$130,2,FALSE),0)</f>
        <v>0.92292139944792817</v>
      </c>
      <c r="CV117" s="5">
        <f>IF($E117&gt;=CV$2,VLOOKUP($E117-CV$2,'data input'!$D$3:$E$130,2,FALSE),0)</f>
        <v>0.93319279873114191</v>
      </c>
      <c r="CW117" s="5">
        <f>IF($E117&gt;=CW$2,VLOOKUP($E117-CW$2,'data input'!$D$3:$E$130,2,FALSE),0)</f>
        <v>0.94237177772384684</v>
      </c>
      <c r="CX117" s="5">
        <f>IF($E117&gt;=CX$2,VLOOKUP($E117-CX$2,'data input'!$D$3:$E$130,2,FALSE),0)</f>
        <v>0.9505285319663519</v>
      </c>
      <c r="CY117" s="5">
        <f>IF($E117&gt;=CY$2,VLOOKUP($E117-CY$2,'data input'!$D$3:$E$130,2,FALSE),0)</f>
        <v>0.95773626374204757</v>
      </c>
      <c r="CZ117" s="5">
        <f>IF($E117&gt;=CZ$2,VLOOKUP($E117-CZ$2,'data input'!$D$3:$E$130,2,FALSE),0)</f>
        <v>0.96406968088707423</v>
      </c>
      <c r="DA117" s="5">
        <f>IF($E117&gt;=DA$2,VLOOKUP($E117-DA$2,'data input'!$D$3:$E$130,2,FALSE),0)</f>
        <v>0.96960363823473861</v>
      </c>
      <c r="DB117" s="5">
        <f>IF($E117&gt;=DB$2,VLOOKUP($E117-DB$2,'data input'!$D$3:$E$130,2,FALSE),0)</f>
        <v>0.97441194047836144</v>
      </c>
      <c r="DC117" s="5">
        <f>IF($E117&gt;=DC$2,VLOOKUP($E117-DC$2,'data input'!$D$3:$E$130,2,FALSE),0)</f>
        <v>0.97856631788584703</v>
      </c>
      <c r="DD117" s="5">
        <f>IF($E117&gt;=DD$2,VLOOKUP($E117-DD$2,'data input'!$D$3:$E$130,2,FALSE),0)</f>
        <v>0.98213557943718344</v>
      </c>
      <c r="DE117" s="5">
        <f>IF($E117&gt;=DE$2,VLOOKUP($E117-DE$2,'data input'!$D$3:$E$130,2,FALSE),0)</f>
        <v>0.98518494180739014</v>
      </c>
      <c r="DF117" s="5">
        <f>IF($E117&gt;=DF$2,VLOOKUP($E117-DF$2,'data input'!$D$3:$E$130,2,FALSE),0)</f>
        <v>0.98777552734495533</v>
      </c>
      <c r="DG117" s="5">
        <f>IF($E117&gt;=DG$2,VLOOKUP($E117-DG$2,'data input'!$D$3:$E$130,2,FALSE),0)</f>
        <v>0.98996401989972593</v>
      </c>
      <c r="DH117" s="5">
        <f>IF($E117&gt;=DH$2,VLOOKUP($E117-DH$2,'data input'!$D$3:$E$130,2,FALSE),0)</f>
        <v>0.99180246407540384</v>
      </c>
      <c r="DI117" s="5">
        <f>IF($E117&gt;=DI$2,VLOOKUP($E117-DI$2,'data input'!$D$3:$E$130,2,FALSE),0)</f>
        <v>0.99333819120801725</v>
      </c>
      <c r="DJ117" s="5">
        <f>IF($E117&gt;=DJ$2,VLOOKUP($E117-DJ$2,'data input'!$D$3:$E$130,2,FALSE),0)</f>
        <v>0.99461385404593328</v>
      </c>
      <c r="DK117" s="5">
        <f>IF($E117&gt;=DK$2,VLOOKUP($E117-DK$2,'data input'!$D$3:$E$130,2,FALSE),0)</f>
        <v>0.99566755163698739</v>
      </c>
      <c r="DL117" s="5">
        <f>IF($E117&gt;=DL$2,VLOOKUP($E117-DL$2,'data input'!$D$3:$E$130,2,FALSE),0)</f>
        <v>0.99653302619695938</v>
      </c>
      <c r="DM117" s="5">
        <f>IF($E117&gt;=DM$2,VLOOKUP($E117-DM$2,'data input'!$D$3:$E$130,2,FALSE),0)</f>
        <v>0.99723991460873751</v>
      </c>
      <c r="DN117" s="5">
        <f>IF($E117&gt;=DN$2,VLOOKUP($E117-DN$2,'data input'!$D$3:$E$130,2,FALSE),0)</f>
        <v>0.99781403854508677</v>
      </c>
      <c r="DO117" s="5">
        <f>IF($E117&gt;=DO$2,VLOOKUP($E117-DO$2,'data input'!$D$3:$E$130,2,FALSE),0)</f>
        <v>0.99827771888413241</v>
      </c>
      <c r="DP117" s="5">
        <f>IF($E117&gt;=DP$2,VLOOKUP($E117-DP$2,'data input'!$D$3:$E$130,2,FALSE),0)</f>
        <v>0.9986501019683699</v>
      </c>
      <c r="DQ117" s="5">
        <f>IF($E117&gt;=DQ$2,VLOOKUP($E117-DQ$2,'data input'!$D$3:$E$130,2,FALSE),0)</f>
        <v>0</v>
      </c>
      <c r="DR117" s="5">
        <f>IF($E117&gt;=DR$2,VLOOKUP($E117-DR$2,'data input'!$D$3:$E$130,2,FALSE),0)</f>
        <v>0</v>
      </c>
      <c r="DS117" s="5">
        <f>IF($E117&gt;=DS$2,VLOOKUP($E117-DS$2,'data input'!$D$3:$E$130,2,FALSE),0)</f>
        <v>0</v>
      </c>
      <c r="DT117" s="5">
        <f>IF($E117&gt;=DT$2,VLOOKUP($E117-DT$2,'data input'!$D$3:$E$130,2,FALSE),0)</f>
        <v>0</v>
      </c>
      <c r="DU117" s="5">
        <f>IF($E117&gt;=DU$2,VLOOKUP($E117-DU$2,'data input'!$D$3:$E$130,2,FALSE),0)</f>
        <v>0</v>
      </c>
      <c r="DV117" s="5">
        <f>IF($E117&gt;=DV$2,VLOOKUP($E117-DV$2,'data input'!$D$3:$E$130,2,FALSE),0)</f>
        <v>0</v>
      </c>
      <c r="DW117" s="5">
        <f>IF($E117&gt;=DW$2,VLOOKUP($E117-DW$2,'data input'!$D$3:$E$130,2,FALSE),0)</f>
        <v>0</v>
      </c>
      <c r="DX117" s="5">
        <f>IF($E117&gt;=DX$2,VLOOKUP($E117-DX$2,'data input'!$D$3:$E$130,2,FALSE),0)</f>
        <v>0</v>
      </c>
      <c r="DY117" s="5">
        <f>IF($E117&gt;=DY$2,VLOOKUP($E117-DY$2,'data input'!$D$3:$E$130,2,FALSE),0)</f>
        <v>0</v>
      </c>
      <c r="DZ117" s="5">
        <f>IF($E117&gt;=DZ$2,VLOOKUP($E117-DZ$2,'data input'!$D$3:$E$130,2,FALSE),0)</f>
        <v>0</v>
      </c>
      <c r="EA117" s="5">
        <f>IF($E117&gt;=EA$2,VLOOKUP($E117-EA$2,'data input'!$D$3:$E$130,2,FALSE),0)</f>
        <v>0</v>
      </c>
      <c r="EB117" s="5">
        <f>IF($E117&gt;=EB$2,VLOOKUP($E117-EB$2,'data input'!$D$3:$E$130,2,FALSE),0)</f>
        <v>0</v>
      </c>
      <c r="EC117" s="5">
        <f>IF($E117&gt;=EC$2,VLOOKUP($E117-EC$2,'data input'!$D$3:$E$130,2,FALSE),0)</f>
        <v>0</v>
      </c>
    </row>
    <row r="118" spans="5:133">
      <c r="E118" s="7">
        <f>'data input'!B118</f>
        <v>1993</v>
      </c>
      <c r="F118" s="5">
        <f>IF($E118&gt;=F$2,VLOOKUP($E118-F$2,'data input'!$D$3:$E$130,2,FALSE),0)</f>
        <v>9.2753987823712691E-9</v>
      </c>
      <c r="G118" s="5">
        <f>IF($E118&gt;=G$2,VLOOKUP($E118-G$2,'data input'!$D$3:$E$130,2,FALSE),0)</f>
        <v>1.4283479843335556E-8</v>
      </c>
      <c r="H118" s="5">
        <f>IF($E118&gt;=H$2,VLOOKUP($E118-H$2,'data input'!$D$3:$E$130,2,FALSE),0)</f>
        <v>2.1875580569208353E-8</v>
      </c>
      <c r="I118" s="5">
        <f>IF($E118&gt;=I$2,VLOOKUP($E118-I$2,'data input'!$D$3:$E$130,2,FALSE),0)</f>
        <v>3.3320448511453549E-8</v>
      </c>
      <c r="J118" s="5">
        <f>IF($E118&gt;=J$2,VLOOKUP($E118-J$2,'data input'!$D$3:$E$130,2,FALSE),0)</f>
        <v>5.0476519741771142E-8</v>
      </c>
      <c r="K118" s="5">
        <f>IF($E118&gt;=K$2,VLOOKUP($E118-K$2,'data input'!$D$3:$E$130,2,FALSE),0)</f>
        <v>7.6049605168826417E-8</v>
      </c>
      <c r="L118" s="5">
        <f>IF($E118&gt;=L$2,VLOOKUP($E118-L$2,'data input'!$D$3:$E$130,2,FALSE),0)</f>
        <v>1.1395549048831555E-7</v>
      </c>
      <c r="M118" s="5">
        <f>IF($E118&gt;=M$2,VLOOKUP($E118-M$2,'data input'!$D$3:$E$130,2,FALSE),0)</f>
        <v>1.698267406702314E-7</v>
      </c>
      <c r="N118" s="5">
        <f>IF($E118&gt;=N$2,VLOOKUP($E118-N$2,'data input'!$D$3:$E$130,2,FALSE),0)</f>
        <v>2.5171626816256065E-7</v>
      </c>
      <c r="O118" s="5">
        <f>IF($E118&gt;=O$2,VLOOKUP($E118-O$2,'data input'!$D$3:$E$130,2,FALSE),0)</f>
        <v>3.7106740791159609E-7</v>
      </c>
      <c r="P118" s="5">
        <f>IF($E118&gt;=P$2,VLOOKUP($E118-P$2,'data input'!$D$3:$E$130,2,FALSE),0)</f>
        <v>5.4404227556315021E-7</v>
      </c>
      <c r="Q118" s="5">
        <f>IF($E118&gt;=Q$2,VLOOKUP($E118-Q$2,'data input'!$D$3:$E$130,2,FALSE),0)</f>
        <v>7.9332815194899098E-7</v>
      </c>
      <c r="R118" s="5">
        <f>IF($E118&gt;=R$2,VLOOKUP($E118-R$2,'data input'!$D$3:$E$130,2,FALSE),0)</f>
        <v>1.1505767815167545E-6</v>
      </c>
      <c r="S118" s="5">
        <f>IF($E118&gt;=S$2,VLOOKUP($E118-S$2,'data input'!$D$3:$E$130,2,FALSE),0)</f>
        <v>1.6596751443165303E-6</v>
      </c>
      <c r="T118" s="5">
        <f>IF($E118&gt;=T$2,VLOOKUP($E118-T$2,'data input'!$D$3:$E$130,2,FALSE),0)</f>
        <v>2.3810999327800175E-6</v>
      </c>
      <c r="U118" s="5">
        <f>IF($E118&gt;=U$2,VLOOKUP($E118-U$2,'data input'!$D$3:$E$130,2,FALSE),0)</f>
        <v>3.3976731247387093E-6</v>
      </c>
      <c r="V118" s="5">
        <f>IF($E118&gt;=V$2,VLOOKUP($E118-V$2,'data input'!$D$3:$E$130,2,FALSE),0)</f>
        <v>4.8221141606408224E-6</v>
      </c>
      <c r="W118" s="5">
        <f>IF($E118&gt;=W$2,VLOOKUP($E118-W$2,'data input'!$D$3:$E$130,2,FALSE),0)</f>
        <v>6.8068765993745117E-6</v>
      </c>
      <c r="X118" s="5">
        <f>IF($E118&gt;=X$2,VLOOKUP($E118-X$2,'data input'!$D$3:$E$130,2,FALSE),0)</f>
        <v>9.5568647372479276E-6</v>
      </c>
      <c r="Y118" s="5">
        <f>IF($E118&gt;=Y$2,VLOOKUP($E118-Y$2,'data input'!$D$3:$E$130,2,FALSE),0)</f>
        <v>1.3345749015902797E-5</v>
      </c>
      <c r="Z118" s="5">
        <f>IF($E118&gt;=Z$2,VLOOKUP($E118-Z$2,'data input'!$D$3:$E$130,2,FALSE),0)</f>
        <v>1.8536737846241991E-5</v>
      </c>
      <c r="AA118" s="5">
        <f>IF($E118&gt;=AA$2,VLOOKUP($E118-AA$2,'data input'!$D$3:$E$130,2,FALSE),0)</f>
        <v>2.5608816474065321E-5</v>
      </c>
      <c r="AB118" s="5">
        <f>IF($E118&gt;=AB$2,VLOOKUP($E118-AB$2,'data input'!$D$3:$E$130,2,FALSE),0)</f>
        <v>3.5189628065923628E-5</v>
      </c>
      <c r="AC118" s="5">
        <f>IF($E118&gt;=AC$2,VLOOKUP($E118-AC$2,'data input'!$D$3:$E$130,2,FALSE),0)</f>
        <v>4.8096344017589665E-5</v>
      </c>
      <c r="AD118" s="5">
        <f>IF($E118&gt;=AD$2,VLOOKUP($E118-AD$2,'data input'!$D$3:$E$130,2,FALSE),0)</f>
        <v>6.5386043242687819E-5</v>
      </c>
      <c r="AE118" s="5">
        <f>IF($E118&gt;=AE$2,VLOOKUP($E118-AE$2,'data input'!$D$3:$E$130,2,FALSE),0)</f>
        <v>8.841728520081471E-5</v>
      </c>
      <c r="AF118" s="5">
        <f>IF($E118&gt;=AF$2,VLOOKUP($E118-AF$2,'data input'!$D$3:$E$130,2,FALSE),0)</f>
        <v>1.1892470732677296E-4</v>
      </c>
      <c r="AG118" s="5">
        <f>IF($E118&gt;=AG$2,VLOOKUP($E118-AG$2,'data input'!$D$3:$E$130,2,FALSE),0)</f>
        <v>1.5910859015755285E-4</v>
      </c>
      <c r="AH118" s="5">
        <f>IF($E118&gt;=AH$2,VLOOKUP($E118-AH$2,'data input'!$D$3:$E$130,2,FALSE),0)</f>
        <v>2.1174139572344153E-4</v>
      </c>
      <c r="AI118" s="5">
        <f>IF($E118&gt;=AI$2,VLOOKUP($E118-AI$2,'data input'!$D$3:$E$130,2,FALSE),0)</f>
        <v>2.8029327681622362E-4</v>
      </c>
      <c r="AJ118" s="5">
        <f>IF($E118&gt;=AJ$2,VLOOKUP($E118-AJ$2,'data input'!$D$3:$E$130,2,FALSE),0)</f>
        <v>3.6907845427502917E-4</v>
      </c>
      <c r="AK118" s="5">
        <f>IF($E118&gt;=AK$2,VLOOKUP($E118-AK$2,'data input'!$D$3:$E$130,2,FALSE),0)</f>
        <v>4.8342414238378151E-4</v>
      </c>
      <c r="AL118" s="5">
        <f>IF($E118&gt;=AL$2,VLOOKUP($E118-AL$2,'data input'!$D$3:$E$130,2,FALSE),0)</f>
        <v>6.2986334399772748E-4</v>
      </c>
      <c r="AM118" s="5">
        <f>IF($E118&gt;=AM$2,VLOOKUP($E118-AM$2,'data input'!$D$3:$E$130,2,FALSE),0)</f>
        <v>8.1635231282861653E-4</v>
      </c>
      <c r="AN118" s="5">
        <f>IF($E118&gt;=AN$2,VLOOKUP($E118-AN$2,'data input'!$D$3:$E$130,2,FALSE),0)</f>
        <v>1.0525127683760349E-3</v>
      </c>
      <c r="AO118" s="5">
        <f>IF($E118&gt;=AO$2,VLOOKUP($E118-AO$2,'data input'!$D$3:$E$130,2,FALSE),0)</f>
        <v>1.3498980316301035E-3</v>
      </c>
      <c r="AP118" s="5">
        <f>IF($E118&gt;=AP$2,VLOOKUP($E118-AP$2,'data input'!$D$3:$E$130,2,FALSE),0)</f>
        <v>1.7222811158675855E-3</v>
      </c>
      <c r="AQ118" s="5">
        <f>IF($E118&gt;=AQ$2,VLOOKUP($E118-AQ$2,'data input'!$D$3:$E$130,2,FALSE),0)</f>
        <v>2.1859614549132322E-3</v>
      </c>
      <c r="AR118" s="5">
        <f>IF($E118&gt;=AR$2,VLOOKUP($E118-AR$2,'data input'!$D$3:$E$130,2,FALSE),0)</f>
        <v>2.7600853912624901E-3</v>
      </c>
      <c r="AS118" s="5">
        <f>IF($E118&gt;=AS$2,VLOOKUP($E118-AS$2,'data input'!$D$3:$E$130,2,FALSE),0)</f>
        <v>3.4669738030406183E-3</v>
      </c>
      <c r="AT118" s="5">
        <f>IF($E118&gt;=AT$2,VLOOKUP($E118-AT$2,'data input'!$D$3:$E$130,2,FALSE),0)</f>
        <v>4.3324483630126087E-3</v>
      </c>
      <c r="AU118" s="5">
        <f>IF($E118&gt;=AU$2,VLOOKUP($E118-AU$2,'data input'!$D$3:$E$130,2,FALSE),0)</f>
        <v>5.3861459540667234E-3</v>
      </c>
      <c r="AV118" s="5">
        <f>IF($E118&gt;=AV$2,VLOOKUP($E118-AV$2,'data input'!$D$3:$E$130,2,FALSE),0)</f>
        <v>6.6618087919827484E-3</v>
      </c>
      <c r="AW118" s="5">
        <f>IF($E118&gt;=AW$2,VLOOKUP($E118-AW$2,'data input'!$D$3:$E$130,2,FALSE),0)</f>
        <v>8.1975359245961554E-3</v>
      </c>
      <c r="AX118" s="5">
        <f>IF($E118&gt;=AX$2,VLOOKUP($E118-AX$2,'data input'!$D$3:$E$130,2,FALSE),0)</f>
        <v>1.0035980100274067E-2</v>
      </c>
      <c r="AY118" s="5">
        <f>IF($E118&gt;=AY$2,VLOOKUP($E118-AY$2,'data input'!$D$3:$E$130,2,FALSE),0)</f>
        <v>1.2224472655044671E-2</v>
      </c>
      <c r="AZ118" s="5">
        <f>IF($E118&gt;=AZ$2,VLOOKUP($E118-AZ$2,'data input'!$D$3:$E$130,2,FALSE),0)</f>
        <v>1.4815058192609865E-2</v>
      </c>
      <c r="BA118" s="5">
        <f>IF($E118&gt;=BA$2,VLOOKUP($E118-BA$2,'data input'!$D$3:$E$130,2,FALSE),0)</f>
        <v>1.7864420562816563E-2</v>
      </c>
      <c r="BB118" s="5">
        <f>IF($E118&gt;=BB$2,VLOOKUP($E118-BB$2,'data input'!$D$3:$E$130,2,FALSE),0)</f>
        <v>2.1433682114152974E-2</v>
      </c>
      <c r="BC118" s="5">
        <f>IF($E118&gt;=BC$2,VLOOKUP($E118-BC$2,'data input'!$D$3:$E$130,2,FALSE),0)</f>
        <v>2.5588059521638562E-2</v>
      </c>
      <c r="BD118" s="5">
        <f>IF($E118&gt;=BD$2,VLOOKUP($E118-BD$2,'data input'!$D$3:$E$130,2,FALSE),0)</f>
        <v>3.0396361765261393E-2</v>
      </c>
      <c r="BE118" s="5">
        <f>IF($E118&gt;=BE$2,VLOOKUP($E118-BE$2,'data input'!$D$3:$E$130,2,FALSE),0)</f>
        <v>3.5930319112925768E-2</v>
      </c>
      <c r="BF118" s="5">
        <f>IF($E118&gt;=BF$2,VLOOKUP($E118-BF$2,'data input'!$D$3:$E$130,2,FALSE),0)</f>
        <v>4.2263736257952433E-2</v>
      </c>
      <c r="BG118" s="5">
        <f>IF($E118&gt;=BG$2,VLOOKUP($E118-BG$2,'data input'!$D$3:$E$130,2,FALSE),0)</f>
        <v>4.9471468033648103E-2</v>
      </c>
      <c r="BH118" s="5">
        <f>IF($E118&gt;=BH$2,VLOOKUP($E118-BH$2,'data input'!$D$3:$E$130,2,FALSE),0)</f>
        <v>5.7628222276153163E-2</v>
      </c>
      <c r="BI118" s="5">
        <f>IF($E118&gt;=BI$2,VLOOKUP($E118-BI$2,'data input'!$D$3:$E$130,2,FALSE),0)</f>
        <v>6.6807201268858085E-2</v>
      </c>
      <c r="BJ118" s="5">
        <f>IF($E118&gt;=BJ$2,VLOOKUP($E118-BJ$2,'data input'!$D$3:$E$130,2,FALSE),0)</f>
        <v>7.707860055207183E-2</v>
      </c>
      <c r="BK118" s="5">
        <f>IF($E118&gt;=BK$2,VLOOKUP($E118-BK$2,'data input'!$D$3:$E$130,2,FALSE),0)</f>
        <v>8.8507991437402067E-2</v>
      </c>
      <c r="BL118" s="5">
        <f>IF($E118&gt;=BL$2,VLOOKUP($E118-BL$2,'data input'!$D$3:$E$130,2,FALSE),0)</f>
        <v>0.10115462099558592</v>
      </c>
      <c r="BM118" s="5">
        <f>IF($E118&gt;=BM$2,VLOOKUP($E118-BM$2,'data input'!$D$3:$E$130,2,FALSE),0)</f>
        <v>0.11506967022170822</v>
      </c>
      <c r="BN118" s="5">
        <f>IF($E118&gt;=BN$2,VLOOKUP($E118-BN$2,'data input'!$D$3:$E$130,2,FALSE),0)</f>
        <v>0.13029451713680884</v>
      </c>
      <c r="BO118" s="5">
        <f>IF($E118&gt;=BO$2,VLOOKUP($E118-BO$2,'data input'!$D$3:$E$130,2,FALSE),0)</f>
        <v>0.14685905637589591</v>
      </c>
      <c r="BP118" s="5">
        <f>IF($E118&gt;=BP$2,VLOOKUP($E118-BP$2,'data input'!$D$3:$E$130,2,FALSE),0)</f>
        <v>0.16478012998031033</v>
      </c>
      <c r="BQ118" s="5">
        <f>IF($E118&gt;=BQ$2,VLOOKUP($E118-BQ$2,'data input'!$D$3:$E$130,2,FALSE),0)</f>
        <v>0.18406012534675953</v>
      </c>
      <c r="BR118" s="5">
        <f>IF($E118&gt;=BR$2,VLOOKUP($E118-BR$2,'data input'!$D$3:$E$130,2,FALSE),0)</f>
        <v>0.20468579534725262</v>
      </c>
      <c r="BS118" s="5">
        <f>IF($E118&gt;=BS$2,VLOOKUP($E118-BS$2,'data input'!$D$3:$E$130,2,FALSE),0)</f>
        <v>0.22662735237686826</v>
      </c>
      <c r="BT118" s="5">
        <f>IF($E118&gt;=BT$2,VLOOKUP($E118-BT$2,'data input'!$D$3:$E$130,2,FALSE),0)</f>
        <v>0.24983788247177696</v>
      </c>
      <c r="BU118" s="5">
        <f>IF($E118&gt;=BU$2,VLOOKUP($E118-BU$2,'data input'!$D$3:$E$130,2,FALSE),0)</f>
        <v>0.27425311775007355</v>
      </c>
      <c r="BV118" s="5">
        <f>IF($E118&gt;=BV$2,VLOOKUP($E118-BV$2,'data input'!$D$3:$E$130,2,FALSE),0)</f>
        <v>0.29979159546869583</v>
      </c>
      <c r="BW118" s="5">
        <f>IF($E118&gt;=BW$2,VLOOKUP($E118-BW$2,'data input'!$D$3:$E$130,2,FALSE),0)</f>
        <v>0.32635522028792008</v>
      </c>
      <c r="BX118" s="5">
        <f>IF($E118&gt;=BX$2,VLOOKUP($E118-BX$2,'data input'!$D$3:$E$130,2,FALSE),0)</f>
        <v>0.35383023332727614</v>
      </c>
      <c r="BY118" s="5">
        <f>IF($E118&gt;=BY$2,VLOOKUP($E118-BY$2,'data input'!$D$3:$E$130,2,FALSE),0)</f>
        <v>0.38208857781104733</v>
      </c>
      <c r="BZ118" s="5">
        <f>IF($E118&gt;=BZ$2,VLOOKUP($E118-BZ$2,'data input'!$D$3:$E$130,2,FALSE),0)</f>
        <v>0.41098963713127035</v>
      </c>
      <c r="CA118" s="5">
        <f>IF($E118&gt;=CA$2,VLOOKUP($E118-CA$2,'data input'!$D$3:$E$130,2,FALSE),0)</f>
        <v>0.4403823076297575</v>
      </c>
      <c r="CB118" s="5">
        <f>IF($E118&gt;=CB$2,VLOOKUP($E118-CB$2,'data input'!$D$3:$E$130,2,FALSE),0)</f>
        <v>0.47010735594710518</v>
      </c>
      <c r="CC118" s="5">
        <f>IF($E118&gt;=CC$2,VLOOKUP($E118-CC$2,'data input'!$D$3:$E$130,2,FALSE),0)</f>
        <v>0.5</v>
      </c>
      <c r="CD118" s="5">
        <f>IF($E118&gt;=CD$2,VLOOKUP($E118-CD$2,'data input'!$D$3:$E$130,2,FALSE),0)</f>
        <v>0.52989264405289482</v>
      </c>
      <c r="CE118" s="5">
        <f>IF($E118&gt;=CE$2,VLOOKUP($E118-CE$2,'data input'!$D$3:$E$130,2,FALSE),0)</f>
        <v>0.5596176923702425</v>
      </c>
      <c r="CF118" s="5">
        <f>IF($E118&gt;=CF$2,VLOOKUP($E118-CF$2,'data input'!$D$3:$E$130,2,FALSE),0)</f>
        <v>0.58901036286872965</v>
      </c>
      <c r="CG118" s="5">
        <f>IF($E118&gt;=CG$2,VLOOKUP($E118-CG$2,'data input'!$D$3:$E$130,2,FALSE),0)</f>
        <v>0.61791142218895267</v>
      </c>
      <c r="CH118" s="5">
        <f>IF($E118&gt;=CH$2,VLOOKUP($E118-CH$2,'data input'!$D$3:$E$130,2,FALSE),0)</f>
        <v>0.64616976667272386</v>
      </c>
      <c r="CI118" s="5">
        <f>IF($E118&gt;=CI$2,VLOOKUP($E118-CI$2,'data input'!$D$3:$E$130,2,FALSE),0)</f>
        <v>0.67364477971207992</v>
      </c>
      <c r="CJ118" s="5">
        <f>IF($E118&gt;=CJ$2,VLOOKUP($E118-CJ$2,'data input'!$D$3:$E$130,2,FALSE),0)</f>
        <v>0.70020840453130417</v>
      </c>
      <c r="CK118" s="5">
        <f>IF($E118&gt;=CK$2,VLOOKUP($E118-CK$2,'data input'!$D$3:$E$130,2,FALSE),0)</f>
        <v>0.72574688224992645</v>
      </c>
      <c r="CL118" s="5">
        <f>IF($E118&gt;=CL$2,VLOOKUP($E118-CL$2,'data input'!$D$3:$E$130,2,FALSE),0)</f>
        <v>0.75016211752822304</v>
      </c>
      <c r="CM118" s="5">
        <f>IF($E118&gt;=CM$2,VLOOKUP($E118-CM$2,'data input'!$D$3:$E$130,2,FALSE),0)</f>
        <v>0.77337264762313174</v>
      </c>
      <c r="CN118" s="5">
        <f>IF($E118&gt;=CN$2,VLOOKUP($E118-CN$2,'data input'!$D$3:$E$130,2,FALSE),0)</f>
        <v>0.79531420465274738</v>
      </c>
      <c r="CO118" s="5">
        <f>IF($E118&gt;=CO$2,VLOOKUP($E118-CO$2,'data input'!$D$3:$E$130,2,FALSE),0)</f>
        <v>0.81593987465324047</v>
      </c>
      <c r="CP118" s="5">
        <f>IF($E118&gt;=CP$2,VLOOKUP($E118-CP$2,'data input'!$D$3:$E$130,2,FALSE),0)</f>
        <v>0.83521987001968967</v>
      </c>
      <c r="CQ118" s="5">
        <f>IF($E118&gt;=CQ$2,VLOOKUP($E118-CQ$2,'data input'!$D$3:$E$130,2,FALSE),0)</f>
        <v>0.85314094362410409</v>
      </c>
      <c r="CR118" s="5">
        <f>IF($E118&gt;=CR$2,VLOOKUP($E118-CR$2,'data input'!$D$3:$E$130,2,FALSE),0)</f>
        <v>0.86970548286319116</v>
      </c>
      <c r="CS118" s="5">
        <f>IF($E118&gt;=CS$2,VLOOKUP($E118-CS$2,'data input'!$D$3:$E$130,2,FALSE),0)</f>
        <v>0.88493032977829178</v>
      </c>
      <c r="CT118" s="5">
        <f>IF($E118&gt;=CT$2,VLOOKUP($E118-CT$2,'data input'!$D$3:$E$130,2,FALSE),0)</f>
        <v>0.89884537900441408</v>
      </c>
      <c r="CU118" s="5">
        <f>IF($E118&gt;=CU$2,VLOOKUP($E118-CU$2,'data input'!$D$3:$E$130,2,FALSE),0)</f>
        <v>0.91149200856259793</v>
      </c>
      <c r="CV118" s="5">
        <f>IF($E118&gt;=CV$2,VLOOKUP($E118-CV$2,'data input'!$D$3:$E$130,2,FALSE),0)</f>
        <v>0.92292139944792817</v>
      </c>
      <c r="CW118" s="5">
        <f>IF($E118&gt;=CW$2,VLOOKUP($E118-CW$2,'data input'!$D$3:$E$130,2,FALSE),0)</f>
        <v>0.93319279873114191</v>
      </c>
      <c r="CX118" s="5">
        <f>IF($E118&gt;=CX$2,VLOOKUP($E118-CX$2,'data input'!$D$3:$E$130,2,FALSE),0)</f>
        <v>0.94237177772384684</v>
      </c>
      <c r="CY118" s="5">
        <f>IF($E118&gt;=CY$2,VLOOKUP($E118-CY$2,'data input'!$D$3:$E$130,2,FALSE),0)</f>
        <v>0.9505285319663519</v>
      </c>
      <c r="CZ118" s="5">
        <f>IF($E118&gt;=CZ$2,VLOOKUP($E118-CZ$2,'data input'!$D$3:$E$130,2,FALSE),0)</f>
        <v>0.95773626374204757</v>
      </c>
      <c r="DA118" s="5">
        <f>IF($E118&gt;=DA$2,VLOOKUP($E118-DA$2,'data input'!$D$3:$E$130,2,FALSE),0)</f>
        <v>0.96406968088707423</v>
      </c>
      <c r="DB118" s="5">
        <f>IF($E118&gt;=DB$2,VLOOKUP($E118-DB$2,'data input'!$D$3:$E$130,2,FALSE),0)</f>
        <v>0.96960363823473861</v>
      </c>
      <c r="DC118" s="5">
        <f>IF($E118&gt;=DC$2,VLOOKUP($E118-DC$2,'data input'!$D$3:$E$130,2,FALSE),0)</f>
        <v>0.97441194047836144</v>
      </c>
      <c r="DD118" s="5">
        <f>IF($E118&gt;=DD$2,VLOOKUP($E118-DD$2,'data input'!$D$3:$E$130,2,FALSE),0)</f>
        <v>0.97856631788584703</v>
      </c>
      <c r="DE118" s="5">
        <f>IF($E118&gt;=DE$2,VLOOKUP($E118-DE$2,'data input'!$D$3:$E$130,2,FALSE),0)</f>
        <v>0.98213557943718344</v>
      </c>
      <c r="DF118" s="5">
        <f>IF($E118&gt;=DF$2,VLOOKUP($E118-DF$2,'data input'!$D$3:$E$130,2,FALSE),0)</f>
        <v>0.98518494180739014</v>
      </c>
      <c r="DG118" s="5">
        <f>IF($E118&gt;=DG$2,VLOOKUP($E118-DG$2,'data input'!$D$3:$E$130,2,FALSE),0)</f>
        <v>0.98777552734495533</v>
      </c>
      <c r="DH118" s="5">
        <f>IF($E118&gt;=DH$2,VLOOKUP($E118-DH$2,'data input'!$D$3:$E$130,2,FALSE),0)</f>
        <v>0.98996401989972593</v>
      </c>
      <c r="DI118" s="5">
        <f>IF($E118&gt;=DI$2,VLOOKUP($E118-DI$2,'data input'!$D$3:$E$130,2,FALSE),0)</f>
        <v>0.99180246407540384</v>
      </c>
      <c r="DJ118" s="5">
        <f>IF($E118&gt;=DJ$2,VLOOKUP($E118-DJ$2,'data input'!$D$3:$E$130,2,FALSE),0)</f>
        <v>0.99333819120801725</v>
      </c>
      <c r="DK118" s="5">
        <f>IF($E118&gt;=DK$2,VLOOKUP($E118-DK$2,'data input'!$D$3:$E$130,2,FALSE),0)</f>
        <v>0.99461385404593328</v>
      </c>
      <c r="DL118" s="5">
        <f>IF($E118&gt;=DL$2,VLOOKUP($E118-DL$2,'data input'!$D$3:$E$130,2,FALSE),0)</f>
        <v>0.99566755163698739</v>
      </c>
      <c r="DM118" s="5">
        <f>IF($E118&gt;=DM$2,VLOOKUP($E118-DM$2,'data input'!$D$3:$E$130,2,FALSE),0)</f>
        <v>0.99653302619695938</v>
      </c>
      <c r="DN118" s="5">
        <f>IF($E118&gt;=DN$2,VLOOKUP($E118-DN$2,'data input'!$D$3:$E$130,2,FALSE),0)</f>
        <v>0.99723991460873751</v>
      </c>
      <c r="DO118" s="5">
        <f>IF($E118&gt;=DO$2,VLOOKUP($E118-DO$2,'data input'!$D$3:$E$130,2,FALSE),0)</f>
        <v>0.99781403854508677</v>
      </c>
      <c r="DP118" s="5">
        <f>IF($E118&gt;=DP$2,VLOOKUP($E118-DP$2,'data input'!$D$3:$E$130,2,FALSE),0)</f>
        <v>0.99827771888413241</v>
      </c>
      <c r="DQ118" s="5">
        <f>IF($E118&gt;=DQ$2,VLOOKUP($E118-DQ$2,'data input'!$D$3:$E$130,2,FALSE),0)</f>
        <v>0.9986501019683699</v>
      </c>
      <c r="DR118" s="5">
        <f>IF($E118&gt;=DR$2,VLOOKUP($E118-DR$2,'data input'!$D$3:$E$130,2,FALSE),0)</f>
        <v>0</v>
      </c>
      <c r="DS118" s="5">
        <f>IF($E118&gt;=DS$2,VLOOKUP($E118-DS$2,'data input'!$D$3:$E$130,2,FALSE),0)</f>
        <v>0</v>
      </c>
      <c r="DT118" s="5">
        <f>IF($E118&gt;=DT$2,VLOOKUP($E118-DT$2,'data input'!$D$3:$E$130,2,FALSE),0)</f>
        <v>0</v>
      </c>
      <c r="DU118" s="5">
        <f>IF($E118&gt;=DU$2,VLOOKUP($E118-DU$2,'data input'!$D$3:$E$130,2,FALSE),0)</f>
        <v>0</v>
      </c>
      <c r="DV118" s="5">
        <f>IF($E118&gt;=DV$2,VLOOKUP($E118-DV$2,'data input'!$D$3:$E$130,2,FALSE),0)</f>
        <v>0</v>
      </c>
      <c r="DW118" s="5">
        <f>IF($E118&gt;=DW$2,VLOOKUP($E118-DW$2,'data input'!$D$3:$E$130,2,FALSE),0)</f>
        <v>0</v>
      </c>
      <c r="DX118" s="5">
        <f>IF($E118&gt;=DX$2,VLOOKUP($E118-DX$2,'data input'!$D$3:$E$130,2,FALSE),0)</f>
        <v>0</v>
      </c>
      <c r="DY118" s="5">
        <f>IF($E118&gt;=DY$2,VLOOKUP($E118-DY$2,'data input'!$D$3:$E$130,2,FALSE),0)</f>
        <v>0</v>
      </c>
      <c r="DZ118" s="5">
        <f>IF($E118&gt;=DZ$2,VLOOKUP($E118-DZ$2,'data input'!$D$3:$E$130,2,FALSE),0)</f>
        <v>0</v>
      </c>
      <c r="EA118" s="5">
        <f>IF($E118&gt;=EA$2,VLOOKUP($E118-EA$2,'data input'!$D$3:$E$130,2,FALSE),0)</f>
        <v>0</v>
      </c>
      <c r="EB118" s="5">
        <f>IF($E118&gt;=EB$2,VLOOKUP($E118-EB$2,'data input'!$D$3:$E$130,2,FALSE),0)</f>
        <v>0</v>
      </c>
      <c r="EC118" s="5">
        <f>IF($E118&gt;=EC$2,VLOOKUP($E118-EC$2,'data input'!$D$3:$E$130,2,FALSE),0)</f>
        <v>0</v>
      </c>
    </row>
    <row r="119" spans="5:133">
      <c r="E119" s="7">
        <f>'data input'!B119</f>
        <v>1994</v>
      </c>
      <c r="F119" s="5">
        <f>IF($E119&gt;=F$2,VLOOKUP($E119-F$2,'data input'!$D$3:$E$130,2,FALSE),0)</f>
        <v>5.9903714211273495E-9</v>
      </c>
      <c r="G119" s="5">
        <f>IF($E119&gt;=G$2,VLOOKUP($E119-G$2,'data input'!$D$3:$E$130,2,FALSE),0)</f>
        <v>9.2753987823712691E-9</v>
      </c>
      <c r="H119" s="5">
        <f>IF($E119&gt;=H$2,VLOOKUP($E119-H$2,'data input'!$D$3:$E$130,2,FALSE),0)</f>
        <v>1.4283479843335556E-8</v>
      </c>
      <c r="I119" s="5">
        <f>IF($E119&gt;=I$2,VLOOKUP($E119-I$2,'data input'!$D$3:$E$130,2,FALSE),0)</f>
        <v>2.1875580569208353E-8</v>
      </c>
      <c r="J119" s="5">
        <f>IF($E119&gt;=J$2,VLOOKUP($E119-J$2,'data input'!$D$3:$E$130,2,FALSE),0)</f>
        <v>3.3320448511453549E-8</v>
      </c>
      <c r="K119" s="5">
        <f>IF($E119&gt;=K$2,VLOOKUP($E119-K$2,'data input'!$D$3:$E$130,2,FALSE),0)</f>
        <v>5.0476519741771142E-8</v>
      </c>
      <c r="L119" s="5">
        <f>IF($E119&gt;=L$2,VLOOKUP($E119-L$2,'data input'!$D$3:$E$130,2,FALSE),0)</f>
        <v>7.6049605168826417E-8</v>
      </c>
      <c r="M119" s="5">
        <f>IF($E119&gt;=M$2,VLOOKUP($E119-M$2,'data input'!$D$3:$E$130,2,FALSE),0)</f>
        <v>1.1395549048831555E-7</v>
      </c>
      <c r="N119" s="5">
        <f>IF($E119&gt;=N$2,VLOOKUP($E119-N$2,'data input'!$D$3:$E$130,2,FALSE),0)</f>
        <v>1.698267406702314E-7</v>
      </c>
      <c r="O119" s="5">
        <f>IF($E119&gt;=O$2,VLOOKUP($E119-O$2,'data input'!$D$3:$E$130,2,FALSE),0)</f>
        <v>2.5171626816256065E-7</v>
      </c>
      <c r="P119" s="5">
        <f>IF($E119&gt;=P$2,VLOOKUP($E119-P$2,'data input'!$D$3:$E$130,2,FALSE),0)</f>
        <v>3.7106740791159609E-7</v>
      </c>
      <c r="Q119" s="5">
        <f>IF($E119&gt;=Q$2,VLOOKUP($E119-Q$2,'data input'!$D$3:$E$130,2,FALSE),0)</f>
        <v>5.4404227556315021E-7</v>
      </c>
      <c r="R119" s="5">
        <f>IF($E119&gt;=R$2,VLOOKUP($E119-R$2,'data input'!$D$3:$E$130,2,FALSE),0)</f>
        <v>7.9332815194899098E-7</v>
      </c>
      <c r="S119" s="5">
        <f>IF($E119&gt;=S$2,VLOOKUP($E119-S$2,'data input'!$D$3:$E$130,2,FALSE),0)</f>
        <v>1.1505767815167545E-6</v>
      </c>
      <c r="T119" s="5">
        <f>IF($E119&gt;=T$2,VLOOKUP($E119-T$2,'data input'!$D$3:$E$130,2,FALSE),0)</f>
        <v>1.6596751443165303E-6</v>
      </c>
      <c r="U119" s="5">
        <f>IF($E119&gt;=U$2,VLOOKUP($E119-U$2,'data input'!$D$3:$E$130,2,FALSE),0)</f>
        <v>2.3810999327800175E-6</v>
      </c>
      <c r="V119" s="5">
        <f>IF($E119&gt;=V$2,VLOOKUP($E119-V$2,'data input'!$D$3:$E$130,2,FALSE),0)</f>
        <v>3.3976731247387093E-6</v>
      </c>
      <c r="W119" s="5">
        <f>IF($E119&gt;=W$2,VLOOKUP($E119-W$2,'data input'!$D$3:$E$130,2,FALSE),0)</f>
        <v>4.8221141606408224E-6</v>
      </c>
      <c r="X119" s="5">
        <f>IF($E119&gt;=X$2,VLOOKUP($E119-X$2,'data input'!$D$3:$E$130,2,FALSE),0)</f>
        <v>6.8068765993745117E-6</v>
      </c>
      <c r="Y119" s="5">
        <f>IF($E119&gt;=Y$2,VLOOKUP($E119-Y$2,'data input'!$D$3:$E$130,2,FALSE),0)</f>
        <v>9.5568647372479276E-6</v>
      </c>
      <c r="Z119" s="5">
        <f>IF($E119&gt;=Z$2,VLOOKUP($E119-Z$2,'data input'!$D$3:$E$130,2,FALSE),0)</f>
        <v>1.3345749015902797E-5</v>
      </c>
      <c r="AA119" s="5">
        <f>IF($E119&gt;=AA$2,VLOOKUP($E119-AA$2,'data input'!$D$3:$E$130,2,FALSE),0)</f>
        <v>1.8536737846241991E-5</v>
      </c>
      <c r="AB119" s="5">
        <f>IF($E119&gt;=AB$2,VLOOKUP($E119-AB$2,'data input'!$D$3:$E$130,2,FALSE),0)</f>
        <v>2.5608816474065321E-5</v>
      </c>
      <c r="AC119" s="5">
        <f>IF($E119&gt;=AC$2,VLOOKUP($E119-AC$2,'data input'!$D$3:$E$130,2,FALSE),0)</f>
        <v>3.5189628065923628E-5</v>
      </c>
      <c r="AD119" s="5">
        <f>IF($E119&gt;=AD$2,VLOOKUP($E119-AD$2,'data input'!$D$3:$E$130,2,FALSE),0)</f>
        <v>4.8096344017589665E-5</v>
      </c>
      <c r="AE119" s="5">
        <f>IF($E119&gt;=AE$2,VLOOKUP($E119-AE$2,'data input'!$D$3:$E$130,2,FALSE),0)</f>
        <v>6.5386043242687819E-5</v>
      </c>
      <c r="AF119" s="5">
        <f>IF($E119&gt;=AF$2,VLOOKUP($E119-AF$2,'data input'!$D$3:$E$130,2,FALSE),0)</f>
        <v>8.841728520081471E-5</v>
      </c>
      <c r="AG119" s="5">
        <f>IF($E119&gt;=AG$2,VLOOKUP($E119-AG$2,'data input'!$D$3:$E$130,2,FALSE),0)</f>
        <v>1.1892470732677296E-4</v>
      </c>
      <c r="AH119" s="5">
        <f>IF($E119&gt;=AH$2,VLOOKUP($E119-AH$2,'data input'!$D$3:$E$130,2,FALSE),0)</f>
        <v>1.5910859015755285E-4</v>
      </c>
      <c r="AI119" s="5">
        <f>IF($E119&gt;=AI$2,VLOOKUP($E119-AI$2,'data input'!$D$3:$E$130,2,FALSE),0)</f>
        <v>2.1174139572344153E-4</v>
      </c>
      <c r="AJ119" s="5">
        <f>IF($E119&gt;=AJ$2,VLOOKUP($E119-AJ$2,'data input'!$D$3:$E$130,2,FALSE),0)</f>
        <v>2.8029327681622362E-4</v>
      </c>
      <c r="AK119" s="5">
        <f>IF($E119&gt;=AK$2,VLOOKUP($E119-AK$2,'data input'!$D$3:$E$130,2,FALSE),0)</f>
        <v>3.6907845427502917E-4</v>
      </c>
      <c r="AL119" s="5">
        <f>IF($E119&gt;=AL$2,VLOOKUP($E119-AL$2,'data input'!$D$3:$E$130,2,FALSE),0)</f>
        <v>4.8342414238378151E-4</v>
      </c>
      <c r="AM119" s="5">
        <f>IF($E119&gt;=AM$2,VLOOKUP($E119-AM$2,'data input'!$D$3:$E$130,2,FALSE),0)</f>
        <v>6.2986334399772748E-4</v>
      </c>
      <c r="AN119" s="5">
        <f>IF($E119&gt;=AN$2,VLOOKUP($E119-AN$2,'data input'!$D$3:$E$130,2,FALSE),0)</f>
        <v>8.1635231282861653E-4</v>
      </c>
      <c r="AO119" s="5">
        <f>IF($E119&gt;=AO$2,VLOOKUP($E119-AO$2,'data input'!$D$3:$E$130,2,FALSE),0)</f>
        <v>1.0525127683760349E-3</v>
      </c>
      <c r="AP119" s="5">
        <f>IF($E119&gt;=AP$2,VLOOKUP($E119-AP$2,'data input'!$D$3:$E$130,2,FALSE),0)</f>
        <v>1.3498980316301035E-3</v>
      </c>
      <c r="AQ119" s="5">
        <f>IF($E119&gt;=AQ$2,VLOOKUP($E119-AQ$2,'data input'!$D$3:$E$130,2,FALSE),0)</f>
        <v>1.7222811158675855E-3</v>
      </c>
      <c r="AR119" s="5">
        <f>IF($E119&gt;=AR$2,VLOOKUP($E119-AR$2,'data input'!$D$3:$E$130,2,FALSE),0)</f>
        <v>2.1859614549132322E-3</v>
      </c>
      <c r="AS119" s="5">
        <f>IF($E119&gt;=AS$2,VLOOKUP($E119-AS$2,'data input'!$D$3:$E$130,2,FALSE),0)</f>
        <v>2.7600853912624901E-3</v>
      </c>
      <c r="AT119" s="5">
        <f>IF($E119&gt;=AT$2,VLOOKUP($E119-AT$2,'data input'!$D$3:$E$130,2,FALSE),0)</f>
        <v>3.4669738030406183E-3</v>
      </c>
      <c r="AU119" s="5">
        <f>IF($E119&gt;=AU$2,VLOOKUP($E119-AU$2,'data input'!$D$3:$E$130,2,FALSE),0)</f>
        <v>4.3324483630126087E-3</v>
      </c>
      <c r="AV119" s="5">
        <f>IF($E119&gt;=AV$2,VLOOKUP($E119-AV$2,'data input'!$D$3:$E$130,2,FALSE),0)</f>
        <v>5.3861459540667234E-3</v>
      </c>
      <c r="AW119" s="5">
        <f>IF($E119&gt;=AW$2,VLOOKUP($E119-AW$2,'data input'!$D$3:$E$130,2,FALSE),0)</f>
        <v>6.6618087919827484E-3</v>
      </c>
      <c r="AX119" s="5">
        <f>IF($E119&gt;=AX$2,VLOOKUP($E119-AX$2,'data input'!$D$3:$E$130,2,FALSE),0)</f>
        <v>8.1975359245961554E-3</v>
      </c>
      <c r="AY119" s="5">
        <f>IF($E119&gt;=AY$2,VLOOKUP($E119-AY$2,'data input'!$D$3:$E$130,2,FALSE),0)</f>
        <v>1.0035980100274067E-2</v>
      </c>
      <c r="AZ119" s="5">
        <f>IF($E119&gt;=AZ$2,VLOOKUP($E119-AZ$2,'data input'!$D$3:$E$130,2,FALSE),0)</f>
        <v>1.2224472655044671E-2</v>
      </c>
      <c r="BA119" s="5">
        <f>IF($E119&gt;=BA$2,VLOOKUP($E119-BA$2,'data input'!$D$3:$E$130,2,FALSE),0)</f>
        <v>1.4815058192609865E-2</v>
      </c>
      <c r="BB119" s="5">
        <f>IF($E119&gt;=BB$2,VLOOKUP($E119-BB$2,'data input'!$D$3:$E$130,2,FALSE),0)</f>
        <v>1.7864420562816563E-2</v>
      </c>
      <c r="BC119" s="5">
        <f>IF($E119&gt;=BC$2,VLOOKUP($E119-BC$2,'data input'!$D$3:$E$130,2,FALSE),0)</f>
        <v>2.1433682114152974E-2</v>
      </c>
      <c r="BD119" s="5">
        <f>IF($E119&gt;=BD$2,VLOOKUP($E119-BD$2,'data input'!$D$3:$E$130,2,FALSE),0)</f>
        <v>2.5588059521638562E-2</v>
      </c>
      <c r="BE119" s="5">
        <f>IF($E119&gt;=BE$2,VLOOKUP($E119-BE$2,'data input'!$D$3:$E$130,2,FALSE),0)</f>
        <v>3.0396361765261393E-2</v>
      </c>
      <c r="BF119" s="5">
        <f>IF($E119&gt;=BF$2,VLOOKUP($E119-BF$2,'data input'!$D$3:$E$130,2,FALSE),0)</f>
        <v>3.5930319112925768E-2</v>
      </c>
      <c r="BG119" s="5">
        <f>IF($E119&gt;=BG$2,VLOOKUP($E119-BG$2,'data input'!$D$3:$E$130,2,FALSE),0)</f>
        <v>4.2263736257952433E-2</v>
      </c>
      <c r="BH119" s="5">
        <f>IF($E119&gt;=BH$2,VLOOKUP($E119-BH$2,'data input'!$D$3:$E$130,2,FALSE),0)</f>
        <v>4.9471468033648103E-2</v>
      </c>
      <c r="BI119" s="5">
        <f>IF($E119&gt;=BI$2,VLOOKUP($E119-BI$2,'data input'!$D$3:$E$130,2,FALSE),0)</f>
        <v>5.7628222276153163E-2</v>
      </c>
      <c r="BJ119" s="5">
        <f>IF($E119&gt;=BJ$2,VLOOKUP($E119-BJ$2,'data input'!$D$3:$E$130,2,FALSE),0)</f>
        <v>6.6807201268858085E-2</v>
      </c>
      <c r="BK119" s="5">
        <f>IF($E119&gt;=BK$2,VLOOKUP($E119-BK$2,'data input'!$D$3:$E$130,2,FALSE),0)</f>
        <v>7.707860055207183E-2</v>
      </c>
      <c r="BL119" s="5">
        <f>IF($E119&gt;=BL$2,VLOOKUP($E119-BL$2,'data input'!$D$3:$E$130,2,FALSE),0)</f>
        <v>8.8507991437402067E-2</v>
      </c>
      <c r="BM119" s="5">
        <f>IF($E119&gt;=BM$2,VLOOKUP($E119-BM$2,'data input'!$D$3:$E$130,2,FALSE),0)</f>
        <v>0.10115462099558592</v>
      </c>
      <c r="BN119" s="5">
        <f>IF($E119&gt;=BN$2,VLOOKUP($E119-BN$2,'data input'!$D$3:$E$130,2,FALSE),0)</f>
        <v>0.11506967022170822</v>
      </c>
      <c r="BO119" s="5">
        <f>IF($E119&gt;=BO$2,VLOOKUP($E119-BO$2,'data input'!$D$3:$E$130,2,FALSE),0)</f>
        <v>0.13029451713680884</v>
      </c>
      <c r="BP119" s="5">
        <f>IF($E119&gt;=BP$2,VLOOKUP($E119-BP$2,'data input'!$D$3:$E$130,2,FALSE),0)</f>
        <v>0.14685905637589591</v>
      </c>
      <c r="BQ119" s="5">
        <f>IF($E119&gt;=BQ$2,VLOOKUP($E119-BQ$2,'data input'!$D$3:$E$130,2,FALSE),0)</f>
        <v>0.16478012998031033</v>
      </c>
      <c r="BR119" s="5">
        <f>IF($E119&gt;=BR$2,VLOOKUP($E119-BR$2,'data input'!$D$3:$E$130,2,FALSE),0)</f>
        <v>0.18406012534675953</v>
      </c>
      <c r="BS119" s="5">
        <f>IF($E119&gt;=BS$2,VLOOKUP($E119-BS$2,'data input'!$D$3:$E$130,2,FALSE),0)</f>
        <v>0.20468579534725262</v>
      </c>
      <c r="BT119" s="5">
        <f>IF($E119&gt;=BT$2,VLOOKUP($E119-BT$2,'data input'!$D$3:$E$130,2,FALSE),0)</f>
        <v>0.22662735237686826</v>
      </c>
      <c r="BU119" s="5">
        <f>IF($E119&gt;=BU$2,VLOOKUP($E119-BU$2,'data input'!$D$3:$E$130,2,FALSE),0)</f>
        <v>0.24983788247177696</v>
      </c>
      <c r="BV119" s="5">
        <f>IF($E119&gt;=BV$2,VLOOKUP($E119-BV$2,'data input'!$D$3:$E$130,2,FALSE),0)</f>
        <v>0.27425311775007355</v>
      </c>
      <c r="BW119" s="5">
        <f>IF($E119&gt;=BW$2,VLOOKUP($E119-BW$2,'data input'!$D$3:$E$130,2,FALSE),0)</f>
        <v>0.29979159546869583</v>
      </c>
      <c r="BX119" s="5">
        <f>IF($E119&gt;=BX$2,VLOOKUP($E119-BX$2,'data input'!$D$3:$E$130,2,FALSE),0)</f>
        <v>0.32635522028792008</v>
      </c>
      <c r="BY119" s="5">
        <f>IF($E119&gt;=BY$2,VLOOKUP($E119-BY$2,'data input'!$D$3:$E$130,2,FALSE),0)</f>
        <v>0.35383023332727614</v>
      </c>
      <c r="BZ119" s="5">
        <f>IF($E119&gt;=BZ$2,VLOOKUP($E119-BZ$2,'data input'!$D$3:$E$130,2,FALSE),0)</f>
        <v>0.38208857781104733</v>
      </c>
      <c r="CA119" s="5">
        <f>IF($E119&gt;=CA$2,VLOOKUP($E119-CA$2,'data input'!$D$3:$E$130,2,FALSE),0)</f>
        <v>0.41098963713127035</v>
      </c>
      <c r="CB119" s="5">
        <f>IF($E119&gt;=CB$2,VLOOKUP($E119-CB$2,'data input'!$D$3:$E$130,2,FALSE),0)</f>
        <v>0.4403823076297575</v>
      </c>
      <c r="CC119" s="5">
        <f>IF($E119&gt;=CC$2,VLOOKUP($E119-CC$2,'data input'!$D$3:$E$130,2,FALSE),0)</f>
        <v>0.47010735594710518</v>
      </c>
      <c r="CD119" s="5">
        <f>IF($E119&gt;=CD$2,VLOOKUP($E119-CD$2,'data input'!$D$3:$E$130,2,FALSE),0)</f>
        <v>0.5</v>
      </c>
      <c r="CE119" s="5">
        <f>IF($E119&gt;=CE$2,VLOOKUP($E119-CE$2,'data input'!$D$3:$E$130,2,FALSE),0)</f>
        <v>0.52989264405289482</v>
      </c>
      <c r="CF119" s="5">
        <f>IF($E119&gt;=CF$2,VLOOKUP($E119-CF$2,'data input'!$D$3:$E$130,2,FALSE),0)</f>
        <v>0.5596176923702425</v>
      </c>
      <c r="CG119" s="5">
        <f>IF($E119&gt;=CG$2,VLOOKUP($E119-CG$2,'data input'!$D$3:$E$130,2,FALSE),0)</f>
        <v>0.58901036286872965</v>
      </c>
      <c r="CH119" s="5">
        <f>IF($E119&gt;=CH$2,VLOOKUP($E119-CH$2,'data input'!$D$3:$E$130,2,FALSE),0)</f>
        <v>0.61791142218895267</v>
      </c>
      <c r="CI119" s="5">
        <f>IF($E119&gt;=CI$2,VLOOKUP($E119-CI$2,'data input'!$D$3:$E$130,2,FALSE),0)</f>
        <v>0.64616976667272386</v>
      </c>
      <c r="CJ119" s="5">
        <f>IF($E119&gt;=CJ$2,VLOOKUP($E119-CJ$2,'data input'!$D$3:$E$130,2,FALSE),0)</f>
        <v>0.67364477971207992</v>
      </c>
      <c r="CK119" s="5">
        <f>IF($E119&gt;=CK$2,VLOOKUP($E119-CK$2,'data input'!$D$3:$E$130,2,FALSE),0)</f>
        <v>0.70020840453130417</v>
      </c>
      <c r="CL119" s="5">
        <f>IF($E119&gt;=CL$2,VLOOKUP($E119-CL$2,'data input'!$D$3:$E$130,2,FALSE),0)</f>
        <v>0.72574688224992645</v>
      </c>
      <c r="CM119" s="5">
        <f>IF($E119&gt;=CM$2,VLOOKUP($E119-CM$2,'data input'!$D$3:$E$130,2,FALSE),0)</f>
        <v>0.75016211752822304</v>
      </c>
      <c r="CN119" s="5">
        <f>IF($E119&gt;=CN$2,VLOOKUP($E119-CN$2,'data input'!$D$3:$E$130,2,FALSE),0)</f>
        <v>0.77337264762313174</v>
      </c>
      <c r="CO119" s="5">
        <f>IF($E119&gt;=CO$2,VLOOKUP($E119-CO$2,'data input'!$D$3:$E$130,2,FALSE),0)</f>
        <v>0.79531420465274738</v>
      </c>
      <c r="CP119" s="5">
        <f>IF($E119&gt;=CP$2,VLOOKUP($E119-CP$2,'data input'!$D$3:$E$130,2,FALSE),0)</f>
        <v>0.81593987465324047</v>
      </c>
      <c r="CQ119" s="5">
        <f>IF($E119&gt;=CQ$2,VLOOKUP($E119-CQ$2,'data input'!$D$3:$E$130,2,FALSE),0)</f>
        <v>0.83521987001968967</v>
      </c>
      <c r="CR119" s="5">
        <f>IF($E119&gt;=CR$2,VLOOKUP($E119-CR$2,'data input'!$D$3:$E$130,2,FALSE),0)</f>
        <v>0.85314094362410409</v>
      </c>
      <c r="CS119" s="5">
        <f>IF($E119&gt;=CS$2,VLOOKUP($E119-CS$2,'data input'!$D$3:$E$130,2,FALSE),0)</f>
        <v>0.86970548286319116</v>
      </c>
      <c r="CT119" s="5">
        <f>IF($E119&gt;=CT$2,VLOOKUP($E119-CT$2,'data input'!$D$3:$E$130,2,FALSE),0)</f>
        <v>0.88493032977829178</v>
      </c>
      <c r="CU119" s="5">
        <f>IF($E119&gt;=CU$2,VLOOKUP($E119-CU$2,'data input'!$D$3:$E$130,2,FALSE),0)</f>
        <v>0.89884537900441408</v>
      </c>
      <c r="CV119" s="5">
        <f>IF($E119&gt;=CV$2,VLOOKUP($E119-CV$2,'data input'!$D$3:$E$130,2,FALSE),0)</f>
        <v>0.91149200856259793</v>
      </c>
      <c r="CW119" s="5">
        <f>IF($E119&gt;=CW$2,VLOOKUP($E119-CW$2,'data input'!$D$3:$E$130,2,FALSE),0)</f>
        <v>0.92292139944792817</v>
      </c>
      <c r="CX119" s="5">
        <f>IF($E119&gt;=CX$2,VLOOKUP($E119-CX$2,'data input'!$D$3:$E$130,2,FALSE),0)</f>
        <v>0.93319279873114191</v>
      </c>
      <c r="CY119" s="5">
        <f>IF($E119&gt;=CY$2,VLOOKUP($E119-CY$2,'data input'!$D$3:$E$130,2,FALSE),0)</f>
        <v>0.94237177772384684</v>
      </c>
      <c r="CZ119" s="5">
        <f>IF($E119&gt;=CZ$2,VLOOKUP($E119-CZ$2,'data input'!$D$3:$E$130,2,FALSE),0)</f>
        <v>0.9505285319663519</v>
      </c>
      <c r="DA119" s="5">
        <f>IF($E119&gt;=DA$2,VLOOKUP($E119-DA$2,'data input'!$D$3:$E$130,2,FALSE),0)</f>
        <v>0.95773626374204757</v>
      </c>
      <c r="DB119" s="5">
        <f>IF($E119&gt;=DB$2,VLOOKUP($E119-DB$2,'data input'!$D$3:$E$130,2,FALSE),0)</f>
        <v>0.96406968088707423</v>
      </c>
      <c r="DC119" s="5">
        <f>IF($E119&gt;=DC$2,VLOOKUP($E119-DC$2,'data input'!$D$3:$E$130,2,FALSE),0)</f>
        <v>0.96960363823473861</v>
      </c>
      <c r="DD119" s="5">
        <f>IF($E119&gt;=DD$2,VLOOKUP($E119-DD$2,'data input'!$D$3:$E$130,2,FALSE),0)</f>
        <v>0.97441194047836144</v>
      </c>
      <c r="DE119" s="5">
        <f>IF($E119&gt;=DE$2,VLOOKUP($E119-DE$2,'data input'!$D$3:$E$130,2,FALSE),0)</f>
        <v>0.97856631788584703</v>
      </c>
      <c r="DF119" s="5">
        <f>IF($E119&gt;=DF$2,VLOOKUP($E119-DF$2,'data input'!$D$3:$E$130,2,FALSE),0)</f>
        <v>0.98213557943718344</v>
      </c>
      <c r="DG119" s="5">
        <f>IF($E119&gt;=DG$2,VLOOKUP($E119-DG$2,'data input'!$D$3:$E$130,2,FALSE),0)</f>
        <v>0.98518494180739014</v>
      </c>
      <c r="DH119" s="5">
        <f>IF($E119&gt;=DH$2,VLOOKUP($E119-DH$2,'data input'!$D$3:$E$130,2,FALSE),0)</f>
        <v>0.98777552734495533</v>
      </c>
      <c r="DI119" s="5">
        <f>IF($E119&gt;=DI$2,VLOOKUP($E119-DI$2,'data input'!$D$3:$E$130,2,FALSE),0)</f>
        <v>0.98996401989972593</v>
      </c>
      <c r="DJ119" s="5">
        <f>IF($E119&gt;=DJ$2,VLOOKUP($E119-DJ$2,'data input'!$D$3:$E$130,2,FALSE),0)</f>
        <v>0.99180246407540384</v>
      </c>
      <c r="DK119" s="5">
        <f>IF($E119&gt;=DK$2,VLOOKUP($E119-DK$2,'data input'!$D$3:$E$130,2,FALSE),0)</f>
        <v>0.99333819120801725</v>
      </c>
      <c r="DL119" s="5">
        <f>IF($E119&gt;=DL$2,VLOOKUP($E119-DL$2,'data input'!$D$3:$E$130,2,FALSE),0)</f>
        <v>0.99461385404593328</v>
      </c>
      <c r="DM119" s="5">
        <f>IF($E119&gt;=DM$2,VLOOKUP($E119-DM$2,'data input'!$D$3:$E$130,2,FALSE),0)</f>
        <v>0.99566755163698739</v>
      </c>
      <c r="DN119" s="5">
        <f>IF($E119&gt;=DN$2,VLOOKUP($E119-DN$2,'data input'!$D$3:$E$130,2,FALSE),0)</f>
        <v>0.99653302619695938</v>
      </c>
      <c r="DO119" s="5">
        <f>IF($E119&gt;=DO$2,VLOOKUP($E119-DO$2,'data input'!$D$3:$E$130,2,FALSE),0)</f>
        <v>0.99723991460873751</v>
      </c>
      <c r="DP119" s="5">
        <f>IF($E119&gt;=DP$2,VLOOKUP($E119-DP$2,'data input'!$D$3:$E$130,2,FALSE),0)</f>
        <v>0.99781403854508677</v>
      </c>
      <c r="DQ119" s="5">
        <f>IF($E119&gt;=DQ$2,VLOOKUP($E119-DQ$2,'data input'!$D$3:$E$130,2,FALSE),0)</f>
        <v>0.99827771888413241</v>
      </c>
      <c r="DR119" s="5">
        <f>IF($E119&gt;=DR$2,VLOOKUP($E119-DR$2,'data input'!$D$3:$E$130,2,FALSE),0)</f>
        <v>0.9986501019683699</v>
      </c>
      <c r="DS119" s="5">
        <f>IF($E119&gt;=DS$2,VLOOKUP($E119-DS$2,'data input'!$D$3:$E$130,2,FALSE),0)</f>
        <v>0</v>
      </c>
      <c r="DT119" s="5">
        <f>IF($E119&gt;=DT$2,VLOOKUP($E119-DT$2,'data input'!$D$3:$E$130,2,FALSE),0)</f>
        <v>0</v>
      </c>
      <c r="DU119" s="5">
        <f>IF($E119&gt;=DU$2,VLOOKUP($E119-DU$2,'data input'!$D$3:$E$130,2,FALSE),0)</f>
        <v>0</v>
      </c>
      <c r="DV119" s="5">
        <f>IF($E119&gt;=DV$2,VLOOKUP($E119-DV$2,'data input'!$D$3:$E$130,2,FALSE),0)</f>
        <v>0</v>
      </c>
      <c r="DW119" s="5">
        <f>IF($E119&gt;=DW$2,VLOOKUP($E119-DW$2,'data input'!$D$3:$E$130,2,FALSE),0)</f>
        <v>0</v>
      </c>
      <c r="DX119" s="5">
        <f>IF($E119&gt;=DX$2,VLOOKUP($E119-DX$2,'data input'!$D$3:$E$130,2,FALSE),0)</f>
        <v>0</v>
      </c>
      <c r="DY119" s="5">
        <f>IF($E119&gt;=DY$2,VLOOKUP($E119-DY$2,'data input'!$D$3:$E$130,2,FALSE),0)</f>
        <v>0</v>
      </c>
      <c r="DZ119" s="5">
        <f>IF($E119&gt;=DZ$2,VLOOKUP($E119-DZ$2,'data input'!$D$3:$E$130,2,FALSE),0)</f>
        <v>0</v>
      </c>
      <c r="EA119" s="5">
        <f>IF($E119&gt;=EA$2,VLOOKUP($E119-EA$2,'data input'!$D$3:$E$130,2,FALSE),0)</f>
        <v>0</v>
      </c>
      <c r="EB119" s="5">
        <f>IF($E119&gt;=EB$2,VLOOKUP($E119-EB$2,'data input'!$D$3:$E$130,2,FALSE),0)</f>
        <v>0</v>
      </c>
      <c r="EC119" s="5">
        <f>IF($E119&gt;=EC$2,VLOOKUP($E119-EC$2,'data input'!$D$3:$E$130,2,FALSE),0)</f>
        <v>0</v>
      </c>
    </row>
    <row r="120" spans="5:133">
      <c r="E120" s="7">
        <f>'data input'!B120</f>
        <v>1995</v>
      </c>
      <c r="F120" s="5">
        <f>IF($E120&gt;=F$2,VLOOKUP($E120-F$2,'data input'!$D$3:$E$130,2,FALSE),0)</f>
        <v>3.8476543062770929E-9</v>
      </c>
      <c r="G120" s="5">
        <f>IF($E120&gt;=G$2,VLOOKUP($E120-G$2,'data input'!$D$3:$E$130,2,FALSE),0)</f>
        <v>5.9903714211273495E-9</v>
      </c>
      <c r="H120" s="5">
        <f>IF($E120&gt;=H$2,VLOOKUP($E120-H$2,'data input'!$D$3:$E$130,2,FALSE),0)</f>
        <v>9.2753987823712691E-9</v>
      </c>
      <c r="I120" s="5">
        <f>IF($E120&gt;=I$2,VLOOKUP($E120-I$2,'data input'!$D$3:$E$130,2,FALSE),0)</f>
        <v>1.4283479843335556E-8</v>
      </c>
      <c r="J120" s="5">
        <f>IF($E120&gt;=J$2,VLOOKUP($E120-J$2,'data input'!$D$3:$E$130,2,FALSE),0)</f>
        <v>2.1875580569208353E-8</v>
      </c>
      <c r="K120" s="5">
        <f>IF($E120&gt;=K$2,VLOOKUP($E120-K$2,'data input'!$D$3:$E$130,2,FALSE),0)</f>
        <v>3.3320448511453549E-8</v>
      </c>
      <c r="L120" s="5">
        <f>IF($E120&gt;=L$2,VLOOKUP($E120-L$2,'data input'!$D$3:$E$130,2,FALSE),0)</f>
        <v>5.0476519741771142E-8</v>
      </c>
      <c r="M120" s="5">
        <f>IF($E120&gt;=M$2,VLOOKUP($E120-M$2,'data input'!$D$3:$E$130,2,FALSE),0)</f>
        <v>7.6049605168826417E-8</v>
      </c>
      <c r="N120" s="5">
        <f>IF($E120&gt;=N$2,VLOOKUP($E120-N$2,'data input'!$D$3:$E$130,2,FALSE),0)</f>
        <v>1.1395549048831555E-7</v>
      </c>
      <c r="O120" s="5">
        <f>IF($E120&gt;=O$2,VLOOKUP($E120-O$2,'data input'!$D$3:$E$130,2,FALSE),0)</f>
        <v>1.698267406702314E-7</v>
      </c>
      <c r="P120" s="5">
        <f>IF($E120&gt;=P$2,VLOOKUP($E120-P$2,'data input'!$D$3:$E$130,2,FALSE),0)</f>
        <v>2.5171626816256065E-7</v>
      </c>
      <c r="Q120" s="5">
        <f>IF($E120&gt;=Q$2,VLOOKUP($E120-Q$2,'data input'!$D$3:$E$130,2,FALSE),0)</f>
        <v>3.7106740791159609E-7</v>
      </c>
      <c r="R120" s="5">
        <f>IF($E120&gt;=R$2,VLOOKUP($E120-R$2,'data input'!$D$3:$E$130,2,FALSE),0)</f>
        <v>5.4404227556315021E-7</v>
      </c>
      <c r="S120" s="5">
        <f>IF($E120&gt;=S$2,VLOOKUP($E120-S$2,'data input'!$D$3:$E$130,2,FALSE),0)</f>
        <v>7.9332815194899098E-7</v>
      </c>
      <c r="T120" s="5">
        <f>IF($E120&gt;=T$2,VLOOKUP($E120-T$2,'data input'!$D$3:$E$130,2,FALSE),0)</f>
        <v>1.1505767815167545E-6</v>
      </c>
      <c r="U120" s="5">
        <f>IF($E120&gt;=U$2,VLOOKUP($E120-U$2,'data input'!$D$3:$E$130,2,FALSE),0)</f>
        <v>1.6596751443165303E-6</v>
      </c>
      <c r="V120" s="5">
        <f>IF($E120&gt;=V$2,VLOOKUP($E120-V$2,'data input'!$D$3:$E$130,2,FALSE),0)</f>
        <v>2.3810999327800175E-6</v>
      </c>
      <c r="W120" s="5">
        <f>IF($E120&gt;=W$2,VLOOKUP($E120-W$2,'data input'!$D$3:$E$130,2,FALSE),0)</f>
        <v>3.3976731247387093E-6</v>
      </c>
      <c r="X120" s="5">
        <f>IF($E120&gt;=X$2,VLOOKUP($E120-X$2,'data input'!$D$3:$E$130,2,FALSE),0)</f>
        <v>4.8221141606408224E-6</v>
      </c>
      <c r="Y120" s="5">
        <f>IF($E120&gt;=Y$2,VLOOKUP($E120-Y$2,'data input'!$D$3:$E$130,2,FALSE),0)</f>
        <v>6.8068765993745117E-6</v>
      </c>
      <c r="Z120" s="5">
        <f>IF($E120&gt;=Z$2,VLOOKUP($E120-Z$2,'data input'!$D$3:$E$130,2,FALSE),0)</f>
        <v>9.5568647372479276E-6</v>
      </c>
      <c r="AA120" s="5">
        <f>IF($E120&gt;=AA$2,VLOOKUP($E120-AA$2,'data input'!$D$3:$E$130,2,FALSE),0)</f>
        <v>1.3345749015902797E-5</v>
      </c>
      <c r="AB120" s="5">
        <f>IF($E120&gt;=AB$2,VLOOKUP($E120-AB$2,'data input'!$D$3:$E$130,2,FALSE),0)</f>
        <v>1.8536737846241991E-5</v>
      </c>
      <c r="AC120" s="5">
        <f>IF($E120&gt;=AC$2,VLOOKUP($E120-AC$2,'data input'!$D$3:$E$130,2,FALSE),0)</f>
        <v>2.5608816474065321E-5</v>
      </c>
      <c r="AD120" s="5">
        <f>IF($E120&gt;=AD$2,VLOOKUP($E120-AD$2,'data input'!$D$3:$E$130,2,FALSE),0)</f>
        <v>3.5189628065923628E-5</v>
      </c>
      <c r="AE120" s="5">
        <f>IF($E120&gt;=AE$2,VLOOKUP($E120-AE$2,'data input'!$D$3:$E$130,2,FALSE),0)</f>
        <v>4.8096344017589665E-5</v>
      </c>
      <c r="AF120" s="5">
        <f>IF($E120&gt;=AF$2,VLOOKUP($E120-AF$2,'data input'!$D$3:$E$130,2,FALSE),0)</f>
        <v>6.5386043242687819E-5</v>
      </c>
      <c r="AG120" s="5">
        <f>IF($E120&gt;=AG$2,VLOOKUP($E120-AG$2,'data input'!$D$3:$E$130,2,FALSE),0)</f>
        <v>8.841728520081471E-5</v>
      </c>
      <c r="AH120" s="5">
        <f>IF($E120&gt;=AH$2,VLOOKUP($E120-AH$2,'data input'!$D$3:$E$130,2,FALSE),0)</f>
        <v>1.1892470732677296E-4</v>
      </c>
      <c r="AI120" s="5">
        <f>IF($E120&gt;=AI$2,VLOOKUP($E120-AI$2,'data input'!$D$3:$E$130,2,FALSE),0)</f>
        <v>1.5910859015755285E-4</v>
      </c>
      <c r="AJ120" s="5">
        <f>IF($E120&gt;=AJ$2,VLOOKUP($E120-AJ$2,'data input'!$D$3:$E$130,2,FALSE),0)</f>
        <v>2.1174139572344153E-4</v>
      </c>
      <c r="AK120" s="5">
        <f>IF($E120&gt;=AK$2,VLOOKUP($E120-AK$2,'data input'!$D$3:$E$130,2,FALSE),0)</f>
        <v>2.8029327681622362E-4</v>
      </c>
      <c r="AL120" s="5">
        <f>IF($E120&gt;=AL$2,VLOOKUP($E120-AL$2,'data input'!$D$3:$E$130,2,FALSE),0)</f>
        <v>3.6907845427502917E-4</v>
      </c>
      <c r="AM120" s="5">
        <f>IF($E120&gt;=AM$2,VLOOKUP($E120-AM$2,'data input'!$D$3:$E$130,2,FALSE),0)</f>
        <v>4.8342414238378151E-4</v>
      </c>
      <c r="AN120" s="5">
        <f>IF($E120&gt;=AN$2,VLOOKUP($E120-AN$2,'data input'!$D$3:$E$130,2,FALSE),0)</f>
        <v>6.2986334399772748E-4</v>
      </c>
      <c r="AO120" s="5">
        <f>IF($E120&gt;=AO$2,VLOOKUP($E120-AO$2,'data input'!$D$3:$E$130,2,FALSE),0)</f>
        <v>8.1635231282861653E-4</v>
      </c>
      <c r="AP120" s="5">
        <f>IF($E120&gt;=AP$2,VLOOKUP($E120-AP$2,'data input'!$D$3:$E$130,2,FALSE),0)</f>
        <v>1.0525127683760349E-3</v>
      </c>
      <c r="AQ120" s="5">
        <f>IF($E120&gt;=AQ$2,VLOOKUP($E120-AQ$2,'data input'!$D$3:$E$130,2,FALSE),0)</f>
        <v>1.3498980316301035E-3</v>
      </c>
      <c r="AR120" s="5">
        <f>IF($E120&gt;=AR$2,VLOOKUP($E120-AR$2,'data input'!$D$3:$E$130,2,FALSE),0)</f>
        <v>1.7222811158675855E-3</v>
      </c>
      <c r="AS120" s="5">
        <f>IF($E120&gt;=AS$2,VLOOKUP($E120-AS$2,'data input'!$D$3:$E$130,2,FALSE),0)</f>
        <v>2.1859614549132322E-3</v>
      </c>
      <c r="AT120" s="5">
        <f>IF($E120&gt;=AT$2,VLOOKUP($E120-AT$2,'data input'!$D$3:$E$130,2,FALSE),0)</f>
        <v>2.7600853912624901E-3</v>
      </c>
      <c r="AU120" s="5">
        <f>IF($E120&gt;=AU$2,VLOOKUP($E120-AU$2,'data input'!$D$3:$E$130,2,FALSE),0)</f>
        <v>3.4669738030406183E-3</v>
      </c>
      <c r="AV120" s="5">
        <f>IF($E120&gt;=AV$2,VLOOKUP($E120-AV$2,'data input'!$D$3:$E$130,2,FALSE),0)</f>
        <v>4.3324483630126087E-3</v>
      </c>
      <c r="AW120" s="5">
        <f>IF($E120&gt;=AW$2,VLOOKUP($E120-AW$2,'data input'!$D$3:$E$130,2,FALSE),0)</f>
        <v>5.3861459540667234E-3</v>
      </c>
      <c r="AX120" s="5">
        <f>IF($E120&gt;=AX$2,VLOOKUP($E120-AX$2,'data input'!$D$3:$E$130,2,FALSE),0)</f>
        <v>6.6618087919827484E-3</v>
      </c>
      <c r="AY120" s="5">
        <f>IF($E120&gt;=AY$2,VLOOKUP($E120-AY$2,'data input'!$D$3:$E$130,2,FALSE),0)</f>
        <v>8.1975359245961554E-3</v>
      </c>
      <c r="AZ120" s="5">
        <f>IF($E120&gt;=AZ$2,VLOOKUP($E120-AZ$2,'data input'!$D$3:$E$130,2,FALSE),0)</f>
        <v>1.0035980100274067E-2</v>
      </c>
      <c r="BA120" s="5">
        <f>IF($E120&gt;=BA$2,VLOOKUP($E120-BA$2,'data input'!$D$3:$E$130,2,FALSE),0)</f>
        <v>1.2224472655044671E-2</v>
      </c>
      <c r="BB120" s="5">
        <f>IF($E120&gt;=BB$2,VLOOKUP($E120-BB$2,'data input'!$D$3:$E$130,2,FALSE),0)</f>
        <v>1.4815058192609865E-2</v>
      </c>
      <c r="BC120" s="5">
        <f>IF($E120&gt;=BC$2,VLOOKUP($E120-BC$2,'data input'!$D$3:$E$130,2,FALSE),0)</f>
        <v>1.7864420562816563E-2</v>
      </c>
      <c r="BD120" s="5">
        <f>IF($E120&gt;=BD$2,VLOOKUP($E120-BD$2,'data input'!$D$3:$E$130,2,FALSE),0)</f>
        <v>2.1433682114152974E-2</v>
      </c>
      <c r="BE120" s="5">
        <f>IF($E120&gt;=BE$2,VLOOKUP($E120-BE$2,'data input'!$D$3:$E$130,2,FALSE),0)</f>
        <v>2.5588059521638562E-2</v>
      </c>
      <c r="BF120" s="5">
        <f>IF($E120&gt;=BF$2,VLOOKUP($E120-BF$2,'data input'!$D$3:$E$130,2,FALSE),0)</f>
        <v>3.0396361765261393E-2</v>
      </c>
      <c r="BG120" s="5">
        <f>IF($E120&gt;=BG$2,VLOOKUP($E120-BG$2,'data input'!$D$3:$E$130,2,FALSE),0)</f>
        <v>3.5930319112925768E-2</v>
      </c>
      <c r="BH120" s="5">
        <f>IF($E120&gt;=BH$2,VLOOKUP($E120-BH$2,'data input'!$D$3:$E$130,2,FALSE),0)</f>
        <v>4.2263736257952433E-2</v>
      </c>
      <c r="BI120" s="5">
        <f>IF($E120&gt;=BI$2,VLOOKUP($E120-BI$2,'data input'!$D$3:$E$130,2,FALSE),0)</f>
        <v>4.9471468033648103E-2</v>
      </c>
      <c r="BJ120" s="5">
        <f>IF($E120&gt;=BJ$2,VLOOKUP($E120-BJ$2,'data input'!$D$3:$E$130,2,FALSE),0)</f>
        <v>5.7628222276153163E-2</v>
      </c>
      <c r="BK120" s="5">
        <f>IF($E120&gt;=BK$2,VLOOKUP($E120-BK$2,'data input'!$D$3:$E$130,2,FALSE),0)</f>
        <v>6.6807201268858085E-2</v>
      </c>
      <c r="BL120" s="5">
        <f>IF($E120&gt;=BL$2,VLOOKUP($E120-BL$2,'data input'!$D$3:$E$130,2,FALSE),0)</f>
        <v>7.707860055207183E-2</v>
      </c>
      <c r="BM120" s="5">
        <f>IF($E120&gt;=BM$2,VLOOKUP($E120-BM$2,'data input'!$D$3:$E$130,2,FALSE),0)</f>
        <v>8.8507991437402067E-2</v>
      </c>
      <c r="BN120" s="5">
        <f>IF($E120&gt;=BN$2,VLOOKUP($E120-BN$2,'data input'!$D$3:$E$130,2,FALSE),0)</f>
        <v>0.10115462099558592</v>
      </c>
      <c r="BO120" s="5">
        <f>IF($E120&gt;=BO$2,VLOOKUP($E120-BO$2,'data input'!$D$3:$E$130,2,FALSE),0)</f>
        <v>0.11506967022170822</v>
      </c>
      <c r="BP120" s="5">
        <f>IF($E120&gt;=BP$2,VLOOKUP($E120-BP$2,'data input'!$D$3:$E$130,2,FALSE),0)</f>
        <v>0.13029451713680884</v>
      </c>
      <c r="BQ120" s="5">
        <f>IF($E120&gt;=BQ$2,VLOOKUP($E120-BQ$2,'data input'!$D$3:$E$130,2,FALSE),0)</f>
        <v>0.14685905637589591</v>
      </c>
      <c r="BR120" s="5">
        <f>IF($E120&gt;=BR$2,VLOOKUP($E120-BR$2,'data input'!$D$3:$E$130,2,FALSE),0)</f>
        <v>0.16478012998031033</v>
      </c>
      <c r="BS120" s="5">
        <f>IF($E120&gt;=BS$2,VLOOKUP($E120-BS$2,'data input'!$D$3:$E$130,2,FALSE),0)</f>
        <v>0.18406012534675953</v>
      </c>
      <c r="BT120" s="5">
        <f>IF($E120&gt;=BT$2,VLOOKUP($E120-BT$2,'data input'!$D$3:$E$130,2,FALSE),0)</f>
        <v>0.20468579534725262</v>
      </c>
      <c r="BU120" s="5">
        <f>IF($E120&gt;=BU$2,VLOOKUP($E120-BU$2,'data input'!$D$3:$E$130,2,FALSE),0)</f>
        <v>0.22662735237686826</v>
      </c>
      <c r="BV120" s="5">
        <f>IF($E120&gt;=BV$2,VLOOKUP($E120-BV$2,'data input'!$D$3:$E$130,2,FALSE),0)</f>
        <v>0.24983788247177696</v>
      </c>
      <c r="BW120" s="5">
        <f>IF($E120&gt;=BW$2,VLOOKUP($E120-BW$2,'data input'!$D$3:$E$130,2,FALSE),0)</f>
        <v>0.27425311775007355</v>
      </c>
      <c r="BX120" s="5">
        <f>IF($E120&gt;=BX$2,VLOOKUP($E120-BX$2,'data input'!$D$3:$E$130,2,FALSE),0)</f>
        <v>0.29979159546869583</v>
      </c>
      <c r="BY120" s="5">
        <f>IF($E120&gt;=BY$2,VLOOKUP($E120-BY$2,'data input'!$D$3:$E$130,2,FALSE),0)</f>
        <v>0.32635522028792008</v>
      </c>
      <c r="BZ120" s="5">
        <f>IF($E120&gt;=BZ$2,VLOOKUP($E120-BZ$2,'data input'!$D$3:$E$130,2,FALSE),0)</f>
        <v>0.35383023332727614</v>
      </c>
      <c r="CA120" s="5">
        <f>IF($E120&gt;=CA$2,VLOOKUP($E120-CA$2,'data input'!$D$3:$E$130,2,FALSE),0)</f>
        <v>0.38208857781104733</v>
      </c>
      <c r="CB120" s="5">
        <f>IF($E120&gt;=CB$2,VLOOKUP($E120-CB$2,'data input'!$D$3:$E$130,2,FALSE),0)</f>
        <v>0.41098963713127035</v>
      </c>
      <c r="CC120" s="5">
        <f>IF($E120&gt;=CC$2,VLOOKUP($E120-CC$2,'data input'!$D$3:$E$130,2,FALSE),0)</f>
        <v>0.4403823076297575</v>
      </c>
      <c r="CD120" s="5">
        <f>IF($E120&gt;=CD$2,VLOOKUP($E120-CD$2,'data input'!$D$3:$E$130,2,FALSE),0)</f>
        <v>0.47010735594710518</v>
      </c>
      <c r="CE120" s="5">
        <f>IF($E120&gt;=CE$2,VLOOKUP($E120-CE$2,'data input'!$D$3:$E$130,2,FALSE),0)</f>
        <v>0.5</v>
      </c>
      <c r="CF120" s="5">
        <f>IF($E120&gt;=CF$2,VLOOKUP($E120-CF$2,'data input'!$D$3:$E$130,2,FALSE),0)</f>
        <v>0.52989264405289482</v>
      </c>
      <c r="CG120" s="5">
        <f>IF($E120&gt;=CG$2,VLOOKUP($E120-CG$2,'data input'!$D$3:$E$130,2,FALSE),0)</f>
        <v>0.5596176923702425</v>
      </c>
      <c r="CH120" s="5">
        <f>IF($E120&gt;=CH$2,VLOOKUP($E120-CH$2,'data input'!$D$3:$E$130,2,FALSE),0)</f>
        <v>0.58901036286872965</v>
      </c>
      <c r="CI120" s="5">
        <f>IF($E120&gt;=CI$2,VLOOKUP($E120-CI$2,'data input'!$D$3:$E$130,2,FALSE),0)</f>
        <v>0.61791142218895267</v>
      </c>
      <c r="CJ120" s="5">
        <f>IF($E120&gt;=CJ$2,VLOOKUP($E120-CJ$2,'data input'!$D$3:$E$130,2,FALSE),0)</f>
        <v>0.64616976667272386</v>
      </c>
      <c r="CK120" s="5">
        <f>IF($E120&gt;=CK$2,VLOOKUP($E120-CK$2,'data input'!$D$3:$E$130,2,FALSE),0)</f>
        <v>0.67364477971207992</v>
      </c>
      <c r="CL120" s="5">
        <f>IF($E120&gt;=CL$2,VLOOKUP($E120-CL$2,'data input'!$D$3:$E$130,2,FALSE),0)</f>
        <v>0.70020840453130417</v>
      </c>
      <c r="CM120" s="5">
        <f>IF($E120&gt;=CM$2,VLOOKUP($E120-CM$2,'data input'!$D$3:$E$130,2,FALSE),0)</f>
        <v>0.72574688224992645</v>
      </c>
      <c r="CN120" s="5">
        <f>IF($E120&gt;=CN$2,VLOOKUP($E120-CN$2,'data input'!$D$3:$E$130,2,FALSE),0)</f>
        <v>0.75016211752822304</v>
      </c>
      <c r="CO120" s="5">
        <f>IF($E120&gt;=CO$2,VLOOKUP($E120-CO$2,'data input'!$D$3:$E$130,2,FALSE),0)</f>
        <v>0.77337264762313174</v>
      </c>
      <c r="CP120" s="5">
        <f>IF($E120&gt;=CP$2,VLOOKUP($E120-CP$2,'data input'!$D$3:$E$130,2,FALSE),0)</f>
        <v>0.79531420465274738</v>
      </c>
      <c r="CQ120" s="5">
        <f>IF($E120&gt;=CQ$2,VLOOKUP($E120-CQ$2,'data input'!$D$3:$E$130,2,FALSE),0)</f>
        <v>0.81593987465324047</v>
      </c>
      <c r="CR120" s="5">
        <f>IF($E120&gt;=CR$2,VLOOKUP($E120-CR$2,'data input'!$D$3:$E$130,2,FALSE),0)</f>
        <v>0.83521987001968967</v>
      </c>
      <c r="CS120" s="5">
        <f>IF($E120&gt;=CS$2,VLOOKUP($E120-CS$2,'data input'!$D$3:$E$130,2,FALSE),0)</f>
        <v>0.85314094362410409</v>
      </c>
      <c r="CT120" s="5">
        <f>IF($E120&gt;=CT$2,VLOOKUP($E120-CT$2,'data input'!$D$3:$E$130,2,FALSE),0)</f>
        <v>0.86970548286319116</v>
      </c>
      <c r="CU120" s="5">
        <f>IF($E120&gt;=CU$2,VLOOKUP($E120-CU$2,'data input'!$D$3:$E$130,2,FALSE),0)</f>
        <v>0.88493032977829178</v>
      </c>
      <c r="CV120" s="5">
        <f>IF($E120&gt;=CV$2,VLOOKUP($E120-CV$2,'data input'!$D$3:$E$130,2,FALSE),0)</f>
        <v>0.89884537900441408</v>
      </c>
      <c r="CW120" s="5">
        <f>IF($E120&gt;=CW$2,VLOOKUP($E120-CW$2,'data input'!$D$3:$E$130,2,FALSE),0)</f>
        <v>0.91149200856259793</v>
      </c>
      <c r="CX120" s="5">
        <f>IF($E120&gt;=CX$2,VLOOKUP($E120-CX$2,'data input'!$D$3:$E$130,2,FALSE),0)</f>
        <v>0.92292139944792817</v>
      </c>
      <c r="CY120" s="5">
        <f>IF($E120&gt;=CY$2,VLOOKUP($E120-CY$2,'data input'!$D$3:$E$130,2,FALSE),0)</f>
        <v>0.93319279873114191</v>
      </c>
      <c r="CZ120" s="5">
        <f>IF($E120&gt;=CZ$2,VLOOKUP($E120-CZ$2,'data input'!$D$3:$E$130,2,FALSE),0)</f>
        <v>0.94237177772384684</v>
      </c>
      <c r="DA120" s="5">
        <f>IF($E120&gt;=DA$2,VLOOKUP($E120-DA$2,'data input'!$D$3:$E$130,2,FALSE),0)</f>
        <v>0.9505285319663519</v>
      </c>
      <c r="DB120" s="5">
        <f>IF($E120&gt;=DB$2,VLOOKUP($E120-DB$2,'data input'!$D$3:$E$130,2,FALSE),0)</f>
        <v>0.95773626374204757</v>
      </c>
      <c r="DC120" s="5">
        <f>IF($E120&gt;=DC$2,VLOOKUP($E120-DC$2,'data input'!$D$3:$E$130,2,FALSE),0)</f>
        <v>0.96406968088707423</v>
      </c>
      <c r="DD120" s="5">
        <f>IF($E120&gt;=DD$2,VLOOKUP($E120-DD$2,'data input'!$D$3:$E$130,2,FALSE),0)</f>
        <v>0.96960363823473861</v>
      </c>
      <c r="DE120" s="5">
        <f>IF($E120&gt;=DE$2,VLOOKUP($E120-DE$2,'data input'!$D$3:$E$130,2,FALSE),0)</f>
        <v>0.97441194047836144</v>
      </c>
      <c r="DF120" s="5">
        <f>IF($E120&gt;=DF$2,VLOOKUP($E120-DF$2,'data input'!$D$3:$E$130,2,FALSE),0)</f>
        <v>0.97856631788584703</v>
      </c>
      <c r="DG120" s="5">
        <f>IF($E120&gt;=DG$2,VLOOKUP($E120-DG$2,'data input'!$D$3:$E$130,2,FALSE),0)</f>
        <v>0.98213557943718344</v>
      </c>
      <c r="DH120" s="5">
        <f>IF($E120&gt;=DH$2,VLOOKUP($E120-DH$2,'data input'!$D$3:$E$130,2,FALSE),0)</f>
        <v>0.98518494180739014</v>
      </c>
      <c r="DI120" s="5">
        <f>IF($E120&gt;=DI$2,VLOOKUP($E120-DI$2,'data input'!$D$3:$E$130,2,FALSE),0)</f>
        <v>0.98777552734495533</v>
      </c>
      <c r="DJ120" s="5">
        <f>IF($E120&gt;=DJ$2,VLOOKUP($E120-DJ$2,'data input'!$D$3:$E$130,2,FALSE),0)</f>
        <v>0.98996401989972593</v>
      </c>
      <c r="DK120" s="5">
        <f>IF($E120&gt;=DK$2,VLOOKUP($E120-DK$2,'data input'!$D$3:$E$130,2,FALSE),0)</f>
        <v>0.99180246407540384</v>
      </c>
      <c r="DL120" s="5">
        <f>IF($E120&gt;=DL$2,VLOOKUP($E120-DL$2,'data input'!$D$3:$E$130,2,FALSE),0)</f>
        <v>0.99333819120801725</v>
      </c>
      <c r="DM120" s="5">
        <f>IF($E120&gt;=DM$2,VLOOKUP($E120-DM$2,'data input'!$D$3:$E$130,2,FALSE),0)</f>
        <v>0.99461385404593328</v>
      </c>
      <c r="DN120" s="5">
        <f>IF($E120&gt;=DN$2,VLOOKUP($E120-DN$2,'data input'!$D$3:$E$130,2,FALSE),0)</f>
        <v>0.99566755163698739</v>
      </c>
      <c r="DO120" s="5">
        <f>IF($E120&gt;=DO$2,VLOOKUP($E120-DO$2,'data input'!$D$3:$E$130,2,FALSE),0)</f>
        <v>0.99653302619695938</v>
      </c>
      <c r="DP120" s="5">
        <f>IF($E120&gt;=DP$2,VLOOKUP($E120-DP$2,'data input'!$D$3:$E$130,2,FALSE),0)</f>
        <v>0.99723991460873751</v>
      </c>
      <c r="DQ120" s="5">
        <f>IF($E120&gt;=DQ$2,VLOOKUP($E120-DQ$2,'data input'!$D$3:$E$130,2,FALSE),0)</f>
        <v>0.99781403854508677</v>
      </c>
      <c r="DR120" s="5">
        <f>IF($E120&gt;=DR$2,VLOOKUP($E120-DR$2,'data input'!$D$3:$E$130,2,FALSE),0)</f>
        <v>0.99827771888413241</v>
      </c>
      <c r="DS120" s="5">
        <f>IF($E120&gt;=DS$2,VLOOKUP($E120-DS$2,'data input'!$D$3:$E$130,2,FALSE),0)</f>
        <v>0.9986501019683699</v>
      </c>
      <c r="DT120" s="5">
        <f>IF($E120&gt;=DT$2,VLOOKUP($E120-DT$2,'data input'!$D$3:$E$130,2,FALSE),0)</f>
        <v>0</v>
      </c>
      <c r="DU120" s="5">
        <f>IF($E120&gt;=DU$2,VLOOKUP($E120-DU$2,'data input'!$D$3:$E$130,2,FALSE),0)</f>
        <v>0</v>
      </c>
      <c r="DV120" s="5">
        <f>IF($E120&gt;=DV$2,VLOOKUP($E120-DV$2,'data input'!$D$3:$E$130,2,FALSE),0)</f>
        <v>0</v>
      </c>
      <c r="DW120" s="5">
        <f>IF($E120&gt;=DW$2,VLOOKUP($E120-DW$2,'data input'!$D$3:$E$130,2,FALSE),0)</f>
        <v>0</v>
      </c>
      <c r="DX120" s="5">
        <f>IF($E120&gt;=DX$2,VLOOKUP($E120-DX$2,'data input'!$D$3:$E$130,2,FALSE),0)</f>
        <v>0</v>
      </c>
      <c r="DY120" s="5">
        <f>IF($E120&gt;=DY$2,VLOOKUP($E120-DY$2,'data input'!$D$3:$E$130,2,FALSE),0)</f>
        <v>0</v>
      </c>
      <c r="DZ120" s="5">
        <f>IF($E120&gt;=DZ$2,VLOOKUP($E120-DZ$2,'data input'!$D$3:$E$130,2,FALSE),0)</f>
        <v>0</v>
      </c>
      <c r="EA120" s="5">
        <f>IF($E120&gt;=EA$2,VLOOKUP($E120-EA$2,'data input'!$D$3:$E$130,2,FALSE),0)</f>
        <v>0</v>
      </c>
      <c r="EB120" s="5">
        <f>IF($E120&gt;=EB$2,VLOOKUP($E120-EB$2,'data input'!$D$3:$E$130,2,FALSE),0)</f>
        <v>0</v>
      </c>
      <c r="EC120" s="5">
        <f>IF($E120&gt;=EC$2,VLOOKUP($E120-EC$2,'data input'!$D$3:$E$130,2,FALSE),0)</f>
        <v>0</v>
      </c>
    </row>
    <row r="121" spans="5:133">
      <c r="E121" s="7">
        <f>'data input'!B121</f>
        <v>1996</v>
      </c>
      <c r="F121" s="5">
        <f>IF($E121&gt;=F$2,VLOOKUP($E121-F$2,'data input'!$D$3:$E$130,2,FALSE),0)</f>
        <v>2.4578650226203536E-9</v>
      </c>
      <c r="G121" s="5">
        <f>IF($E121&gt;=G$2,VLOOKUP($E121-G$2,'data input'!$D$3:$E$130,2,FALSE),0)</f>
        <v>3.8476543062770929E-9</v>
      </c>
      <c r="H121" s="5">
        <f>IF($E121&gt;=H$2,VLOOKUP($E121-H$2,'data input'!$D$3:$E$130,2,FALSE),0)</f>
        <v>5.9903714211273495E-9</v>
      </c>
      <c r="I121" s="5">
        <f>IF($E121&gt;=I$2,VLOOKUP($E121-I$2,'data input'!$D$3:$E$130,2,FALSE),0)</f>
        <v>9.2753987823712691E-9</v>
      </c>
      <c r="J121" s="5">
        <f>IF($E121&gt;=J$2,VLOOKUP($E121-J$2,'data input'!$D$3:$E$130,2,FALSE),0)</f>
        <v>1.4283479843335556E-8</v>
      </c>
      <c r="K121" s="5">
        <f>IF($E121&gt;=K$2,VLOOKUP($E121-K$2,'data input'!$D$3:$E$130,2,FALSE),0)</f>
        <v>2.1875580569208353E-8</v>
      </c>
      <c r="L121" s="5">
        <f>IF($E121&gt;=L$2,VLOOKUP($E121-L$2,'data input'!$D$3:$E$130,2,FALSE),0)</f>
        <v>3.3320448511453549E-8</v>
      </c>
      <c r="M121" s="5">
        <f>IF($E121&gt;=M$2,VLOOKUP($E121-M$2,'data input'!$D$3:$E$130,2,FALSE),0)</f>
        <v>5.0476519741771142E-8</v>
      </c>
      <c r="N121" s="5">
        <f>IF($E121&gt;=N$2,VLOOKUP($E121-N$2,'data input'!$D$3:$E$130,2,FALSE),0)</f>
        <v>7.6049605168826417E-8</v>
      </c>
      <c r="O121" s="5">
        <f>IF($E121&gt;=O$2,VLOOKUP($E121-O$2,'data input'!$D$3:$E$130,2,FALSE),0)</f>
        <v>1.1395549048831555E-7</v>
      </c>
      <c r="P121" s="5">
        <f>IF($E121&gt;=P$2,VLOOKUP($E121-P$2,'data input'!$D$3:$E$130,2,FALSE),0)</f>
        <v>1.698267406702314E-7</v>
      </c>
      <c r="Q121" s="5">
        <f>IF($E121&gt;=Q$2,VLOOKUP($E121-Q$2,'data input'!$D$3:$E$130,2,FALSE),0)</f>
        <v>2.5171626816256065E-7</v>
      </c>
      <c r="R121" s="5">
        <f>IF($E121&gt;=R$2,VLOOKUP($E121-R$2,'data input'!$D$3:$E$130,2,FALSE),0)</f>
        <v>3.7106740791159609E-7</v>
      </c>
      <c r="S121" s="5">
        <f>IF($E121&gt;=S$2,VLOOKUP($E121-S$2,'data input'!$D$3:$E$130,2,FALSE),0)</f>
        <v>5.4404227556315021E-7</v>
      </c>
      <c r="T121" s="5">
        <f>IF($E121&gt;=T$2,VLOOKUP($E121-T$2,'data input'!$D$3:$E$130,2,FALSE),0)</f>
        <v>7.9332815194899098E-7</v>
      </c>
      <c r="U121" s="5">
        <f>IF($E121&gt;=U$2,VLOOKUP($E121-U$2,'data input'!$D$3:$E$130,2,FALSE),0)</f>
        <v>1.1505767815167545E-6</v>
      </c>
      <c r="V121" s="5">
        <f>IF($E121&gt;=V$2,VLOOKUP($E121-V$2,'data input'!$D$3:$E$130,2,FALSE),0)</f>
        <v>1.6596751443165303E-6</v>
      </c>
      <c r="W121" s="5">
        <f>IF($E121&gt;=W$2,VLOOKUP($E121-W$2,'data input'!$D$3:$E$130,2,FALSE),0)</f>
        <v>2.3810999327800175E-6</v>
      </c>
      <c r="X121" s="5">
        <f>IF($E121&gt;=X$2,VLOOKUP($E121-X$2,'data input'!$D$3:$E$130,2,FALSE),0)</f>
        <v>3.3976731247387093E-6</v>
      </c>
      <c r="Y121" s="5">
        <f>IF($E121&gt;=Y$2,VLOOKUP($E121-Y$2,'data input'!$D$3:$E$130,2,FALSE),0)</f>
        <v>4.8221141606408224E-6</v>
      </c>
      <c r="Z121" s="5">
        <f>IF($E121&gt;=Z$2,VLOOKUP($E121-Z$2,'data input'!$D$3:$E$130,2,FALSE),0)</f>
        <v>6.8068765993745117E-6</v>
      </c>
      <c r="AA121" s="5">
        <f>IF($E121&gt;=AA$2,VLOOKUP($E121-AA$2,'data input'!$D$3:$E$130,2,FALSE),0)</f>
        <v>9.5568647372479276E-6</v>
      </c>
      <c r="AB121" s="5">
        <f>IF($E121&gt;=AB$2,VLOOKUP($E121-AB$2,'data input'!$D$3:$E$130,2,FALSE),0)</f>
        <v>1.3345749015902797E-5</v>
      </c>
      <c r="AC121" s="5">
        <f>IF($E121&gt;=AC$2,VLOOKUP($E121-AC$2,'data input'!$D$3:$E$130,2,FALSE),0)</f>
        <v>1.8536737846241991E-5</v>
      </c>
      <c r="AD121" s="5">
        <f>IF($E121&gt;=AD$2,VLOOKUP($E121-AD$2,'data input'!$D$3:$E$130,2,FALSE),0)</f>
        <v>2.5608816474065321E-5</v>
      </c>
      <c r="AE121" s="5">
        <f>IF($E121&gt;=AE$2,VLOOKUP($E121-AE$2,'data input'!$D$3:$E$130,2,FALSE),0)</f>
        <v>3.5189628065923628E-5</v>
      </c>
      <c r="AF121" s="5">
        <f>IF($E121&gt;=AF$2,VLOOKUP($E121-AF$2,'data input'!$D$3:$E$130,2,FALSE),0)</f>
        <v>4.8096344017589665E-5</v>
      </c>
      <c r="AG121" s="5">
        <f>IF($E121&gt;=AG$2,VLOOKUP($E121-AG$2,'data input'!$D$3:$E$130,2,FALSE),0)</f>
        <v>6.5386043242687819E-5</v>
      </c>
      <c r="AH121" s="5">
        <f>IF($E121&gt;=AH$2,VLOOKUP($E121-AH$2,'data input'!$D$3:$E$130,2,FALSE),0)</f>
        <v>8.841728520081471E-5</v>
      </c>
      <c r="AI121" s="5">
        <f>IF($E121&gt;=AI$2,VLOOKUP($E121-AI$2,'data input'!$D$3:$E$130,2,FALSE),0)</f>
        <v>1.1892470732677296E-4</v>
      </c>
      <c r="AJ121" s="5">
        <f>IF($E121&gt;=AJ$2,VLOOKUP($E121-AJ$2,'data input'!$D$3:$E$130,2,FALSE),0)</f>
        <v>1.5910859015755285E-4</v>
      </c>
      <c r="AK121" s="5">
        <f>IF($E121&gt;=AK$2,VLOOKUP($E121-AK$2,'data input'!$D$3:$E$130,2,FALSE),0)</f>
        <v>2.1174139572344153E-4</v>
      </c>
      <c r="AL121" s="5">
        <f>IF($E121&gt;=AL$2,VLOOKUP($E121-AL$2,'data input'!$D$3:$E$130,2,FALSE),0)</f>
        <v>2.8029327681622362E-4</v>
      </c>
      <c r="AM121" s="5">
        <f>IF($E121&gt;=AM$2,VLOOKUP($E121-AM$2,'data input'!$D$3:$E$130,2,FALSE),0)</f>
        <v>3.6907845427502917E-4</v>
      </c>
      <c r="AN121" s="5">
        <f>IF($E121&gt;=AN$2,VLOOKUP($E121-AN$2,'data input'!$D$3:$E$130,2,FALSE),0)</f>
        <v>4.8342414238378151E-4</v>
      </c>
      <c r="AO121" s="5">
        <f>IF($E121&gt;=AO$2,VLOOKUP($E121-AO$2,'data input'!$D$3:$E$130,2,FALSE),0)</f>
        <v>6.2986334399772748E-4</v>
      </c>
      <c r="AP121" s="5">
        <f>IF($E121&gt;=AP$2,VLOOKUP($E121-AP$2,'data input'!$D$3:$E$130,2,FALSE),0)</f>
        <v>8.1635231282861653E-4</v>
      </c>
      <c r="AQ121" s="5">
        <f>IF($E121&gt;=AQ$2,VLOOKUP($E121-AQ$2,'data input'!$D$3:$E$130,2,FALSE),0)</f>
        <v>1.0525127683760349E-3</v>
      </c>
      <c r="AR121" s="5">
        <f>IF($E121&gt;=AR$2,VLOOKUP($E121-AR$2,'data input'!$D$3:$E$130,2,FALSE),0)</f>
        <v>1.3498980316301035E-3</v>
      </c>
      <c r="AS121" s="5">
        <f>IF($E121&gt;=AS$2,VLOOKUP($E121-AS$2,'data input'!$D$3:$E$130,2,FALSE),0)</f>
        <v>1.7222811158675855E-3</v>
      </c>
      <c r="AT121" s="5">
        <f>IF($E121&gt;=AT$2,VLOOKUP($E121-AT$2,'data input'!$D$3:$E$130,2,FALSE),0)</f>
        <v>2.1859614549132322E-3</v>
      </c>
      <c r="AU121" s="5">
        <f>IF($E121&gt;=AU$2,VLOOKUP($E121-AU$2,'data input'!$D$3:$E$130,2,FALSE),0)</f>
        <v>2.7600853912624901E-3</v>
      </c>
      <c r="AV121" s="5">
        <f>IF($E121&gt;=AV$2,VLOOKUP($E121-AV$2,'data input'!$D$3:$E$130,2,FALSE),0)</f>
        <v>3.4669738030406183E-3</v>
      </c>
      <c r="AW121" s="5">
        <f>IF($E121&gt;=AW$2,VLOOKUP($E121-AW$2,'data input'!$D$3:$E$130,2,FALSE),0)</f>
        <v>4.3324483630126087E-3</v>
      </c>
      <c r="AX121" s="5">
        <f>IF($E121&gt;=AX$2,VLOOKUP($E121-AX$2,'data input'!$D$3:$E$130,2,FALSE),0)</f>
        <v>5.3861459540667234E-3</v>
      </c>
      <c r="AY121" s="5">
        <f>IF($E121&gt;=AY$2,VLOOKUP($E121-AY$2,'data input'!$D$3:$E$130,2,FALSE),0)</f>
        <v>6.6618087919827484E-3</v>
      </c>
      <c r="AZ121" s="5">
        <f>IF($E121&gt;=AZ$2,VLOOKUP($E121-AZ$2,'data input'!$D$3:$E$130,2,FALSE),0)</f>
        <v>8.1975359245961554E-3</v>
      </c>
      <c r="BA121" s="5">
        <f>IF($E121&gt;=BA$2,VLOOKUP($E121-BA$2,'data input'!$D$3:$E$130,2,FALSE),0)</f>
        <v>1.0035980100274067E-2</v>
      </c>
      <c r="BB121" s="5">
        <f>IF($E121&gt;=BB$2,VLOOKUP($E121-BB$2,'data input'!$D$3:$E$130,2,FALSE),0)</f>
        <v>1.2224472655044671E-2</v>
      </c>
      <c r="BC121" s="5">
        <f>IF($E121&gt;=BC$2,VLOOKUP($E121-BC$2,'data input'!$D$3:$E$130,2,FALSE),0)</f>
        <v>1.4815058192609865E-2</v>
      </c>
      <c r="BD121" s="5">
        <f>IF($E121&gt;=BD$2,VLOOKUP($E121-BD$2,'data input'!$D$3:$E$130,2,FALSE),0)</f>
        <v>1.7864420562816563E-2</v>
      </c>
      <c r="BE121" s="5">
        <f>IF($E121&gt;=BE$2,VLOOKUP($E121-BE$2,'data input'!$D$3:$E$130,2,FALSE),0)</f>
        <v>2.1433682114152974E-2</v>
      </c>
      <c r="BF121" s="5">
        <f>IF($E121&gt;=BF$2,VLOOKUP($E121-BF$2,'data input'!$D$3:$E$130,2,FALSE),0)</f>
        <v>2.5588059521638562E-2</v>
      </c>
      <c r="BG121" s="5">
        <f>IF($E121&gt;=BG$2,VLOOKUP($E121-BG$2,'data input'!$D$3:$E$130,2,FALSE),0)</f>
        <v>3.0396361765261393E-2</v>
      </c>
      <c r="BH121" s="5">
        <f>IF($E121&gt;=BH$2,VLOOKUP($E121-BH$2,'data input'!$D$3:$E$130,2,FALSE),0)</f>
        <v>3.5930319112925768E-2</v>
      </c>
      <c r="BI121" s="5">
        <f>IF($E121&gt;=BI$2,VLOOKUP($E121-BI$2,'data input'!$D$3:$E$130,2,FALSE),0)</f>
        <v>4.2263736257952433E-2</v>
      </c>
      <c r="BJ121" s="5">
        <f>IF($E121&gt;=BJ$2,VLOOKUP($E121-BJ$2,'data input'!$D$3:$E$130,2,FALSE),0)</f>
        <v>4.9471468033648103E-2</v>
      </c>
      <c r="BK121" s="5">
        <f>IF($E121&gt;=BK$2,VLOOKUP($E121-BK$2,'data input'!$D$3:$E$130,2,FALSE),0)</f>
        <v>5.7628222276153163E-2</v>
      </c>
      <c r="BL121" s="5">
        <f>IF($E121&gt;=BL$2,VLOOKUP($E121-BL$2,'data input'!$D$3:$E$130,2,FALSE),0)</f>
        <v>6.6807201268858085E-2</v>
      </c>
      <c r="BM121" s="5">
        <f>IF($E121&gt;=BM$2,VLOOKUP($E121-BM$2,'data input'!$D$3:$E$130,2,FALSE),0)</f>
        <v>7.707860055207183E-2</v>
      </c>
      <c r="BN121" s="5">
        <f>IF($E121&gt;=BN$2,VLOOKUP($E121-BN$2,'data input'!$D$3:$E$130,2,FALSE),0)</f>
        <v>8.8507991437402067E-2</v>
      </c>
      <c r="BO121" s="5">
        <f>IF($E121&gt;=BO$2,VLOOKUP($E121-BO$2,'data input'!$D$3:$E$130,2,FALSE),0)</f>
        <v>0.10115462099558592</v>
      </c>
      <c r="BP121" s="5">
        <f>IF($E121&gt;=BP$2,VLOOKUP($E121-BP$2,'data input'!$D$3:$E$130,2,FALSE),0)</f>
        <v>0.11506967022170822</v>
      </c>
      <c r="BQ121" s="5">
        <f>IF($E121&gt;=BQ$2,VLOOKUP($E121-BQ$2,'data input'!$D$3:$E$130,2,FALSE),0)</f>
        <v>0.13029451713680884</v>
      </c>
      <c r="BR121" s="5">
        <f>IF($E121&gt;=BR$2,VLOOKUP($E121-BR$2,'data input'!$D$3:$E$130,2,FALSE),0)</f>
        <v>0.14685905637589591</v>
      </c>
      <c r="BS121" s="5">
        <f>IF($E121&gt;=BS$2,VLOOKUP($E121-BS$2,'data input'!$D$3:$E$130,2,FALSE),0)</f>
        <v>0.16478012998031033</v>
      </c>
      <c r="BT121" s="5">
        <f>IF($E121&gt;=BT$2,VLOOKUP($E121-BT$2,'data input'!$D$3:$E$130,2,FALSE),0)</f>
        <v>0.18406012534675953</v>
      </c>
      <c r="BU121" s="5">
        <f>IF($E121&gt;=BU$2,VLOOKUP($E121-BU$2,'data input'!$D$3:$E$130,2,FALSE),0)</f>
        <v>0.20468579534725262</v>
      </c>
      <c r="BV121" s="5">
        <f>IF($E121&gt;=BV$2,VLOOKUP($E121-BV$2,'data input'!$D$3:$E$130,2,FALSE),0)</f>
        <v>0.22662735237686826</v>
      </c>
      <c r="BW121" s="5">
        <f>IF($E121&gt;=BW$2,VLOOKUP($E121-BW$2,'data input'!$D$3:$E$130,2,FALSE),0)</f>
        <v>0.24983788247177696</v>
      </c>
      <c r="BX121" s="5">
        <f>IF($E121&gt;=BX$2,VLOOKUP($E121-BX$2,'data input'!$D$3:$E$130,2,FALSE),0)</f>
        <v>0.27425311775007355</v>
      </c>
      <c r="BY121" s="5">
        <f>IF($E121&gt;=BY$2,VLOOKUP($E121-BY$2,'data input'!$D$3:$E$130,2,FALSE),0)</f>
        <v>0.29979159546869583</v>
      </c>
      <c r="BZ121" s="5">
        <f>IF($E121&gt;=BZ$2,VLOOKUP($E121-BZ$2,'data input'!$D$3:$E$130,2,FALSE),0)</f>
        <v>0.32635522028792008</v>
      </c>
      <c r="CA121" s="5">
        <f>IF($E121&gt;=CA$2,VLOOKUP($E121-CA$2,'data input'!$D$3:$E$130,2,FALSE),0)</f>
        <v>0.35383023332727614</v>
      </c>
      <c r="CB121" s="5">
        <f>IF($E121&gt;=CB$2,VLOOKUP($E121-CB$2,'data input'!$D$3:$E$130,2,FALSE),0)</f>
        <v>0.38208857781104733</v>
      </c>
      <c r="CC121" s="5">
        <f>IF($E121&gt;=CC$2,VLOOKUP($E121-CC$2,'data input'!$D$3:$E$130,2,FALSE),0)</f>
        <v>0.41098963713127035</v>
      </c>
      <c r="CD121" s="5">
        <f>IF($E121&gt;=CD$2,VLOOKUP($E121-CD$2,'data input'!$D$3:$E$130,2,FALSE),0)</f>
        <v>0.4403823076297575</v>
      </c>
      <c r="CE121" s="5">
        <f>IF($E121&gt;=CE$2,VLOOKUP($E121-CE$2,'data input'!$D$3:$E$130,2,FALSE),0)</f>
        <v>0.47010735594710518</v>
      </c>
      <c r="CF121" s="5">
        <f>IF($E121&gt;=CF$2,VLOOKUP($E121-CF$2,'data input'!$D$3:$E$130,2,FALSE),0)</f>
        <v>0.5</v>
      </c>
      <c r="CG121" s="5">
        <f>IF($E121&gt;=CG$2,VLOOKUP($E121-CG$2,'data input'!$D$3:$E$130,2,FALSE),0)</f>
        <v>0.52989264405289482</v>
      </c>
      <c r="CH121" s="5">
        <f>IF($E121&gt;=CH$2,VLOOKUP($E121-CH$2,'data input'!$D$3:$E$130,2,FALSE),0)</f>
        <v>0.5596176923702425</v>
      </c>
      <c r="CI121" s="5">
        <f>IF($E121&gt;=CI$2,VLOOKUP($E121-CI$2,'data input'!$D$3:$E$130,2,FALSE),0)</f>
        <v>0.58901036286872965</v>
      </c>
      <c r="CJ121" s="5">
        <f>IF($E121&gt;=CJ$2,VLOOKUP($E121-CJ$2,'data input'!$D$3:$E$130,2,FALSE),0)</f>
        <v>0.61791142218895267</v>
      </c>
      <c r="CK121" s="5">
        <f>IF($E121&gt;=CK$2,VLOOKUP($E121-CK$2,'data input'!$D$3:$E$130,2,FALSE),0)</f>
        <v>0.64616976667272386</v>
      </c>
      <c r="CL121" s="5">
        <f>IF($E121&gt;=CL$2,VLOOKUP($E121-CL$2,'data input'!$D$3:$E$130,2,FALSE),0)</f>
        <v>0.67364477971207992</v>
      </c>
      <c r="CM121" s="5">
        <f>IF($E121&gt;=CM$2,VLOOKUP($E121-CM$2,'data input'!$D$3:$E$130,2,FALSE),0)</f>
        <v>0.70020840453130417</v>
      </c>
      <c r="CN121" s="5">
        <f>IF($E121&gt;=CN$2,VLOOKUP($E121-CN$2,'data input'!$D$3:$E$130,2,FALSE),0)</f>
        <v>0.72574688224992645</v>
      </c>
      <c r="CO121" s="5">
        <f>IF($E121&gt;=CO$2,VLOOKUP($E121-CO$2,'data input'!$D$3:$E$130,2,FALSE),0)</f>
        <v>0.75016211752822304</v>
      </c>
      <c r="CP121" s="5">
        <f>IF($E121&gt;=CP$2,VLOOKUP($E121-CP$2,'data input'!$D$3:$E$130,2,FALSE),0)</f>
        <v>0.77337264762313174</v>
      </c>
      <c r="CQ121" s="5">
        <f>IF($E121&gt;=CQ$2,VLOOKUP($E121-CQ$2,'data input'!$D$3:$E$130,2,FALSE),0)</f>
        <v>0.79531420465274738</v>
      </c>
      <c r="CR121" s="5">
        <f>IF($E121&gt;=CR$2,VLOOKUP($E121-CR$2,'data input'!$D$3:$E$130,2,FALSE),0)</f>
        <v>0.81593987465324047</v>
      </c>
      <c r="CS121" s="5">
        <f>IF($E121&gt;=CS$2,VLOOKUP($E121-CS$2,'data input'!$D$3:$E$130,2,FALSE),0)</f>
        <v>0.83521987001968967</v>
      </c>
      <c r="CT121" s="5">
        <f>IF($E121&gt;=CT$2,VLOOKUP($E121-CT$2,'data input'!$D$3:$E$130,2,FALSE),0)</f>
        <v>0.85314094362410409</v>
      </c>
      <c r="CU121" s="5">
        <f>IF($E121&gt;=CU$2,VLOOKUP($E121-CU$2,'data input'!$D$3:$E$130,2,FALSE),0)</f>
        <v>0.86970548286319116</v>
      </c>
      <c r="CV121" s="5">
        <f>IF($E121&gt;=CV$2,VLOOKUP($E121-CV$2,'data input'!$D$3:$E$130,2,FALSE),0)</f>
        <v>0.88493032977829178</v>
      </c>
      <c r="CW121" s="5">
        <f>IF($E121&gt;=CW$2,VLOOKUP($E121-CW$2,'data input'!$D$3:$E$130,2,FALSE),0)</f>
        <v>0.89884537900441408</v>
      </c>
      <c r="CX121" s="5">
        <f>IF($E121&gt;=CX$2,VLOOKUP($E121-CX$2,'data input'!$D$3:$E$130,2,FALSE),0)</f>
        <v>0.91149200856259793</v>
      </c>
      <c r="CY121" s="5">
        <f>IF($E121&gt;=CY$2,VLOOKUP($E121-CY$2,'data input'!$D$3:$E$130,2,FALSE),0)</f>
        <v>0.92292139944792817</v>
      </c>
      <c r="CZ121" s="5">
        <f>IF($E121&gt;=CZ$2,VLOOKUP($E121-CZ$2,'data input'!$D$3:$E$130,2,FALSE),0)</f>
        <v>0.93319279873114191</v>
      </c>
      <c r="DA121" s="5">
        <f>IF($E121&gt;=DA$2,VLOOKUP($E121-DA$2,'data input'!$D$3:$E$130,2,FALSE),0)</f>
        <v>0.94237177772384684</v>
      </c>
      <c r="DB121" s="5">
        <f>IF($E121&gt;=DB$2,VLOOKUP($E121-DB$2,'data input'!$D$3:$E$130,2,FALSE),0)</f>
        <v>0.9505285319663519</v>
      </c>
      <c r="DC121" s="5">
        <f>IF($E121&gt;=DC$2,VLOOKUP($E121-DC$2,'data input'!$D$3:$E$130,2,FALSE),0)</f>
        <v>0.95773626374204757</v>
      </c>
      <c r="DD121" s="5">
        <f>IF($E121&gt;=DD$2,VLOOKUP($E121-DD$2,'data input'!$D$3:$E$130,2,FALSE),0)</f>
        <v>0.96406968088707423</v>
      </c>
      <c r="DE121" s="5">
        <f>IF($E121&gt;=DE$2,VLOOKUP($E121-DE$2,'data input'!$D$3:$E$130,2,FALSE),0)</f>
        <v>0.96960363823473861</v>
      </c>
      <c r="DF121" s="5">
        <f>IF($E121&gt;=DF$2,VLOOKUP($E121-DF$2,'data input'!$D$3:$E$130,2,FALSE),0)</f>
        <v>0.97441194047836144</v>
      </c>
      <c r="DG121" s="5">
        <f>IF($E121&gt;=DG$2,VLOOKUP($E121-DG$2,'data input'!$D$3:$E$130,2,FALSE),0)</f>
        <v>0.97856631788584703</v>
      </c>
      <c r="DH121" s="5">
        <f>IF($E121&gt;=DH$2,VLOOKUP($E121-DH$2,'data input'!$D$3:$E$130,2,FALSE),0)</f>
        <v>0.98213557943718344</v>
      </c>
      <c r="DI121" s="5">
        <f>IF($E121&gt;=DI$2,VLOOKUP($E121-DI$2,'data input'!$D$3:$E$130,2,FALSE),0)</f>
        <v>0.98518494180739014</v>
      </c>
      <c r="DJ121" s="5">
        <f>IF($E121&gt;=DJ$2,VLOOKUP($E121-DJ$2,'data input'!$D$3:$E$130,2,FALSE),0)</f>
        <v>0.98777552734495533</v>
      </c>
      <c r="DK121" s="5">
        <f>IF($E121&gt;=DK$2,VLOOKUP($E121-DK$2,'data input'!$D$3:$E$130,2,FALSE),0)</f>
        <v>0.98996401989972593</v>
      </c>
      <c r="DL121" s="5">
        <f>IF($E121&gt;=DL$2,VLOOKUP($E121-DL$2,'data input'!$D$3:$E$130,2,FALSE),0)</f>
        <v>0.99180246407540384</v>
      </c>
      <c r="DM121" s="5">
        <f>IF($E121&gt;=DM$2,VLOOKUP($E121-DM$2,'data input'!$D$3:$E$130,2,FALSE),0)</f>
        <v>0.99333819120801725</v>
      </c>
      <c r="DN121" s="5">
        <f>IF($E121&gt;=DN$2,VLOOKUP($E121-DN$2,'data input'!$D$3:$E$130,2,FALSE),0)</f>
        <v>0.99461385404593328</v>
      </c>
      <c r="DO121" s="5">
        <f>IF($E121&gt;=DO$2,VLOOKUP($E121-DO$2,'data input'!$D$3:$E$130,2,FALSE),0)</f>
        <v>0.99566755163698739</v>
      </c>
      <c r="DP121" s="5">
        <f>IF($E121&gt;=DP$2,VLOOKUP($E121-DP$2,'data input'!$D$3:$E$130,2,FALSE),0)</f>
        <v>0.99653302619695938</v>
      </c>
      <c r="DQ121" s="5">
        <f>IF($E121&gt;=DQ$2,VLOOKUP($E121-DQ$2,'data input'!$D$3:$E$130,2,FALSE),0)</f>
        <v>0.99723991460873751</v>
      </c>
      <c r="DR121" s="5">
        <f>IF($E121&gt;=DR$2,VLOOKUP($E121-DR$2,'data input'!$D$3:$E$130,2,FALSE),0)</f>
        <v>0.99781403854508677</v>
      </c>
      <c r="DS121" s="5">
        <f>IF($E121&gt;=DS$2,VLOOKUP($E121-DS$2,'data input'!$D$3:$E$130,2,FALSE),0)</f>
        <v>0.99827771888413241</v>
      </c>
      <c r="DT121" s="5">
        <f>IF($E121&gt;=DT$2,VLOOKUP($E121-DT$2,'data input'!$D$3:$E$130,2,FALSE),0)</f>
        <v>0.9986501019683699</v>
      </c>
      <c r="DU121" s="5">
        <f>IF($E121&gt;=DU$2,VLOOKUP($E121-DU$2,'data input'!$D$3:$E$130,2,FALSE),0)</f>
        <v>0</v>
      </c>
      <c r="DV121" s="5">
        <f>IF($E121&gt;=DV$2,VLOOKUP($E121-DV$2,'data input'!$D$3:$E$130,2,FALSE),0)</f>
        <v>0</v>
      </c>
      <c r="DW121" s="5">
        <f>IF($E121&gt;=DW$2,VLOOKUP($E121-DW$2,'data input'!$D$3:$E$130,2,FALSE),0)</f>
        <v>0</v>
      </c>
      <c r="DX121" s="5">
        <f>IF($E121&gt;=DX$2,VLOOKUP($E121-DX$2,'data input'!$D$3:$E$130,2,FALSE),0)</f>
        <v>0</v>
      </c>
      <c r="DY121" s="5">
        <f>IF($E121&gt;=DY$2,VLOOKUP($E121-DY$2,'data input'!$D$3:$E$130,2,FALSE),0)</f>
        <v>0</v>
      </c>
      <c r="DZ121" s="5">
        <f>IF($E121&gt;=DZ$2,VLOOKUP($E121-DZ$2,'data input'!$D$3:$E$130,2,FALSE),0)</f>
        <v>0</v>
      </c>
      <c r="EA121" s="5">
        <f>IF($E121&gt;=EA$2,VLOOKUP($E121-EA$2,'data input'!$D$3:$E$130,2,FALSE),0)</f>
        <v>0</v>
      </c>
      <c r="EB121" s="5">
        <f>IF($E121&gt;=EB$2,VLOOKUP($E121-EB$2,'data input'!$D$3:$E$130,2,FALSE),0)</f>
        <v>0</v>
      </c>
      <c r="EC121" s="5">
        <f>IF($E121&gt;=EC$2,VLOOKUP($E121-EC$2,'data input'!$D$3:$E$130,2,FALSE),0)</f>
        <v>0</v>
      </c>
    </row>
    <row r="122" spans="5:133">
      <c r="E122" s="7">
        <f>'data input'!B122</f>
        <v>1997</v>
      </c>
      <c r="F122" s="5">
        <f>IF($E122&gt;=F$2,VLOOKUP($E122-F$2,'data input'!$D$3:$E$130,2,FALSE),0)</f>
        <v>1.5614869397495568E-9</v>
      </c>
      <c r="G122" s="5">
        <f>IF($E122&gt;=G$2,VLOOKUP($E122-G$2,'data input'!$D$3:$E$130,2,FALSE),0)</f>
        <v>2.4578650226203536E-9</v>
      </c>
      <c r="H122" s="5">
        <f>IF($E122&gt;=H$2,VLOOKUP($E122-H$2,'data input'!$D$3:$E$130,2,FALSE),0)</f>
        <v>3.8476543062770929E-9</v>
      </c>
      <c r="I122" s="5">
        <f>IF($E122&gt;=I$2,VLOOKUP($E122-I$2,'data input'!$D$3:$E$130,2,FALSE),0)</f>
        <v>5.9903714211273495E-9</v>
      </c>
      <c r="J122" s="5">
        <f>IF($E122&gt;=J$2,VLOOKUP($E122-J$2,'data input'!$D$3:$E$130,2,FALSE),0)</f>
        <v>9.2753987823712691E-9</v>
      </c>
      <c r="K122" s="5">
        <f>IF($E122&gt;=K$2,VLOOKUP($E122-K$2,'data input'!$D$3:$E$130,2,FALSE),0)</f>
        <v>1.4283479843335556E-8</v>
      </c>
      <c r="L122" s="5">
        <f>IF($E122&gt;=L$2,VLOOKUP($E122-L$2,'data input'!$D$3:$E$130,2,FALSE),0)</f>
        <v>2.1875580569208353E-8</v>
      </c>
      <c r="M122" s="5">
        <f>IF($E122&gt;=M$2,VLOOKUP($E122-M$2,'data input'!$D$3:$E$130,2,FALSE),0)</f>
        <v>3.3320448511453549E-8</v>
      </c>
      <c r="N122" s="5">
        <f>IF($E122&gt;=N$2,VLOOKUP($E122-N$2,'data input'!$D$3:$E$130,2,FALSE),0)</f>
        <v>5.0476519741771142E-8</v>
      </c>
      <c r="O122" s="5">
        <f>IF($E122&gt;=O$2,VLOOKUP($E122-O$2,'data input'!$D$3:$E$130,2,FALSE),0)</f>
        <v>7.6049605168826417E-8</v>
      </c>
      <c r="P122" s="5">
        <f>IF($E122&gt;=P$2,VLOOKUP($E122-P$2,'data input'!$D$3:$E$130,2,FALSE),0)</f>
        <v>1.1395549048831555E-7</v>
      </c>
      <c r="Q122" s="5">
        <f>IF($E122&gt;=Q$2,VLOOKUP($E122-Q$2,'data input'!$D$3:$E$130,2,FALSE),0)</f>
        <v>1.698267406702314E-7</v>
      </c>
      <c r="R122" s="5">
        <f>IF($E122&gt;=R$2,VLOOKUP($E122-R$2,'data input'!$D$3:$E$130,2,FALSE),0)</f>
        <v>2.5171626816256065E-7</v>
      </c>
      <c r="S122" s="5">
        <f>IF($E122&gt;=S$2,VLOOKUP($E122-S$2,'data input'!$D$3:$E$130,2,FALSE),0)</f>
        <v>3.7106740791159609E-7</v>
      </c>
      <c r="T122" s="5">
        <f>IF($E122&gt;=T$2,VLOOKUP($E122-T$2,'data input'!$D$3:$E$130,2,FALSE),0)</f>
        <v>5.4404227556315021E-7</v>
      </c>
      <c r="U122" s="5">
        <f>IF($E122&gt;=U$2,VLOOKUP($E122-U$2,'data input'!$D$3:$E$130,2,FALSE),0)</f>
        <v>7.9332815194899098E-7</v>
      </c>
      <c r="V122" s="5">
        <f>IF($E122&gt;=V$2,VLOOKUP($E122-V$2,'data input'!$D$3:$E$130,2,FALSE),0)</f>
        <v>1.1505767815167545E-6</v>
      </c>
      <c r="W122" s="5">
        <f>IF($E122&gt;=W$2,VLOOKUP($E122-W$2,'data input'!$D$3:$E$130,2,FALSE),0)</f>
        <v>1.6596751443165303E-6</v>
      </c>
      <c r="X122" s="5">
        <f>IF($E122&gt;=X$2,VLOOKUP($E122-X$2,'data input'!$D$3:$E$130,2,FALSE),0)</f>
        <v>2.3810999327800175E-6</v>
      </c>
      <c r="Y122" s="5">
        <f>IF($E122&gt;=Y$2,VLOOKUP($E122-Y$2,'data input'!$D$3:$E$130,2,FALSE),0)</f>
        <v>3.3976731247387093E-6</v>
      </c>
      <c r="Z122" s="5">
        <f>IF($E122&gt;=Z$2,VLOOKUP($E122-Z$2,'data input'!$D$3:$E$130,2,FALSE),0)</f>
        <v>4.8221141606408224E-6</v>
      </c>
      <c r="AA122" s="5">
        <f>IF($E122&gt;=AA$2,VLOOKUP($E122-AA$2,'data input'!$D$3:$E$130,2,FALSE),0)</f>
        <v>6.8068765993745117E-6</v>
      </c>
      <c r="AB122" s="5">
        <f>IF($E122&gt;=AB$2,VLOOKUP($E122-AB$2,'data input'!$D$3:$E$130,2,FALSE),0)</f>
        <v>9.5568647372479276E-6</v>
      </c>
      <c r="AC122" s="5">
        <f>IF($E122&gt;=AC$2,VLOOKUP($E122-AC$2,'data input'!$D$3:$E$130,2,FALSE),0)</f>
        <v>1.3345749015902797E-5</v>
      </c>
      <c r="AD122" s="5">
        <f>IF($E122&gt;=AD$2,VLOOKUP($E122-AD$2,'data input'!$D$3:$E$130,2,FALSE),0)</f>
        <v>1.8536737846241991E-5</v>
      </c>
      <c r="AE122" s="5">
        <f>IF($E122&gt;=AE$2,VLOOKUP($E122-AE$2,'data input'!$D$3:$E$130,2,FALSE),0)</f>
        <v>2.5608816474065321E-5</v>
      </c>
      <c r="AF122" s="5">
        <f>IF($E122&gt;=AF$2,VLOOKUP($E122-AF$2,'data input'!$D$3:$E$130,2,FALSE),0)</f>
        <v>3.5189628065923628E-5</v>
      </c>
      <c r="AG122" s="5">
        <f>IF($E122&gt;=AG$2,VLOOKUP($E122-AG$2,'data input'!$D$3:$E$130,2,FALSE),0)</f>
        <v>4.8096344017589665E-5</v>
      </c>
      <c r="AH122" s="5">
        <f>IF($E122&gt;=AH$2,VLOOKUP($E122-AH$2,'data input'!$D$3:$E$130,2,FALSE),0)</f>
        <v>6.5386043242687819E-5</v>
      </c>
      <c r="AI122" s="5">
        <f>IF($E122&gt;=AI$2,VLOOKUP($E122-AI$2,'data input'!$D$3:$E$130,2,FALSE),0)</f>
        <v>8.841728520081471E-5</v>
      </c>
      <c r="AJ122" s="5">
        <f>IF($E122&gt;=AJ$2,VLOOKUP($E122-AJ$2,'data input'!$D$3:$E$130,2,FALSE),0)</f>
        <v>1.1892470732677296E-4</v>
      </c>
      <c r="AK122" s="5">
        <f>IF($E122&gt;=AK$2,VLOOKUP($E122-AK$2,'data input'!$D$3:$E$130,2,FALSE),0)</f>
        <v>1.5910859015755285E-4</v>
      </c>
      <c r="AL122" s="5">
        <f>IF($E122&gt;=AL$2,VLOOKUP($E122-AL$2,'data input'!$D$3:$E$130,2,FALSE),0)</f>
        <v>2.1174139572344153E-4</v>
      </c>
      <c r="AM122" s="5">
        <f>IF($E122&gt;=AM$2,VLOOKUP($E122-AM$2,'data input'!$D$3:$E$130,2,FALSE),0)</f>
        <v>2.8029327681622362E-4</v>
      </c>
      <c r="AN122" s="5">
        <f>IF($E122&gt;=AN$2,VLOOKUP($E122-AN$2,'data input'!$D$3:$E$130,2,FALSE),0)</f>
        <v>3.6907845427502917E-4</v>
      </c>
      <c r="AO122" s="5">
        <f>IF($E122&gt;=AO$2,VLOOKUP($E122-AO$2,'data input'!$D$3:$E$130,2,FALSE),0)</f>
        <v>4.8342414238378151E-4</v>
      </c>
      <c r="AP122" s="5">
        <f>IF($E122&gt;=AP$2,VLOOKUP($E122-AP$2,'data input'!$D$3:$E$130,2,FALSE),0)</f>
        <v>6.2986334399772748E-4</v>
      </c>
      <c r="AQ122" s="5">
        <f>IF($E122&gt;=AQ$2,VLOOKUP($E122-AQ$2,'data input'!$D$3:$E$130,2,FALSE),0)</f>
        <v>8.1635231282861653E-4</v>
      </c>
      <c r="AR122" s="5">
        <f>IF($E122&gt;=AR$2,VLOOKUP($E122-AR$2,'data input'!$D$3:$E$130,2,FALSE),0)</f>
        <v>1.0525127683760349E-3</v>
      </c>
      <c r="AS122" s="5">
        <f>IF($E122&gt;=AS$2,VLOOKUP($E122-AS$2,'data input'!$D$3:$E$130,2,FALSE),0)</f>
        <v>1.3498980316301035E-3</v>
      </c>
      <c r="AT122" s="5">
        <f>IF($E122&gt;=AT$2,VLOOKUP($E122-AT$2,'data input'!$D$3:$E$130,2,FALSE),0)</f>
        <v>1.7222811158675855E-3</v>
      </c>
      <c r="AU122" s="5">
        <f>IF($E122&gt;=AU$2,VLOOKUP($E122-AU$2,'data input'!$D$3:$E$130,2,FALSE),0)</f>
        <v>2.1859614549132322E-3</v>
      </c>
      <c r="AV122" s="5">
        <f>IF($E122&gt;=AV$2,VLOOKUP($E122-AV$2,'data input'!$D$3:$E$130,2,FALSE),0)</f>
        <v>2.7600853912624901E-3</v>
      </c>
      <c r="AW122" s="5">
        <f>IF($E122&gt;=AW$2,VLOOKUP($E122-AW$2,'data input'!$D$3:$E$130,2,FALSE),0)</f>
        <v>3.4669738030406183E-3</v>
      </c>
      <c r="AX122" s="5">
        <f>IF($E122&gt;=AX$2,VLOOKUP($E122-AX$2,'data input'!$D$3:$E$130,2,FALSE),0)</f>
        <v>4.3324483630126087E-3</v>
      </c>
      <c r="AY122" s="5">
        <f>IF($E122&gt;=AY$2,VLOOKUP($E122-AY$2,'data input'!$D$3:$E$130,2,FALSE),0)</f>
        <v>5.3861459540667234E-3</v>
      </c>
      <c r="AZ122" s="5">
        <f>IF($E122&gt;=AZ$2,VLOOKUP($E122-AZ$2,'data input'!$D$3:$E$130,2,FALSE),0)</f>
        <v>6.6618087919827484E-3</v>
      </c>
      <c r="BA122" s="5">
        <f>IF($E122&gt;=BA$2,VLOOKUP($E122-BA$2,'data input'!$D$3:$E$130,2,FALSE),0)</f>
        <v>8.1975359245961554E-3</v>
      </c>
      <c r="BB122" s="5">
        <f>IF($E122&gt;=BB$2,VLOOKUP($E122-BB$2,'data input'!$D$3:$E$130,2,FALSE),0)</f>
        <v>1.0035980100274067E-2</v>
      </c>
      <c r="BC122" s="5">
        <f>IF($E122&gt;=BC$2,VLOOKUP($E122-BC$2,'data input'!$D$3:$E$130,2,FALSE),0)</f>
        <v>1.2224472655044671E-2</v>
      </c>
      <c r="BD122" s="5">
        <f>IF($E122&gt;=BD$2,VLOOKUP($E122-BD$2,'data input'!$D$3:$E$130,2,FALSE),0)</f>
        <v>1.4815058192609865E-2</v>
      </c>
      <c r="BE122" s="5">
        <f>IF($E122&gt;=BE$2,VLOOKUP($E122-BE$2,'data input'!$D$3:$E$130,2,FALSE),0)</f>
        <v>1.7864420562816563E-2</v>
      </c>
      <c r="BF122" s="5">
        <f>IF($E122&gt;=BF$2,VLOOKUP($E122-BF$2,'data input'!$D$3:$E$130,2,FALSE),0)</f>
        <v>2.1433682114152974E-2</v>
      </c>
      <c r="BG122" s="5">
        <f>IF($E122&gt;=BG$2,VLOOKUP($E122-BG$2,'data input'!$D$3:$E$130,2,FALSE),0)</f>
        <v>2.5588059521638562E-2</v>
      </c>
      <c r="BH122" s="5">
        <f>IF($E122&gt;=BH$2,VLOOKUP($E122-BH$2,'data input'!$D$3:$E$130,2,FALSE),0)</f>
        <v>3.0396361765261393E-2</v>
      </c>
      <c r="BI122" s="5">
        <f>IF($E122&gt;=BI$2,VLOOKUP($E122-BI$2,'data input'!$D$3:$E$130,2,FALSE),0)</f>
        <v>3.5930319112925768E-2</v>
      </c>
      <c r="BJ122" s="5">
        <f>IF($E122&gt;=BJ$2,VLOOKUP($E122-BJ$2,'data input'!$D$3:$E$130,2,FALSE),0)</f>
        <v>4.2263736257952433E-2</v>
      </c>
      <c r="BK122" s="5">
        <f>IF($E122&gt;=BK$2,VLOOKUP($E122-BK$2,'data input'!$D$3:$E$130,2,FALSE),0)</f>
        <v>4.9471468033648103E-2</v>
      </c>
      <c r="BL122" s="5">
        <f>IF($E122&gt;=BL$2,VLOOKUP($E122-BL$2,'data input'!$D$3:$E$130,2,FALSE),0)</f>
        <v>5.7628222276153163E-2</v>
      </c>
      <c r="BM122" s="5">
        <f>IF($E122&gt;=BM$2,VLOOKUP($E122-BM$2,'data input'!$D$3:$E$130,2,FALSE),0)</f>
        <v>6.6807201268858085E-2</v>
      </c>
      <c r="BN122" s="5">
        <f>IF($E122&gt;=BN$2,VLOOKUP($E122-BN$2,'data input'!$D$3:$E$130,2,FALSE),0)</f>
        <v>7.707860055207183E-2</v>
      </c>
      <c r="BO122" s="5">
        <f>IF($E122&gt;=BO$2,VLOOKUP($E122-BO$2,'data input'!$D$3:$E$130,2,FALSE),0)</f>
        <v>8.8507991437402067E-2</v>
      </c>
      <c r="BP122" s="5">
        <f>IF($E122&gt;=BP$2,VLOOKUP($E122-BP$2,'data input'!$D$3:$E$130,2,FALSE),0)</f>
        <v>0.10115462099558592</v>
      </c>
      <c r="BQ122" s="5">
        <f>IF($E122&gt;=BQ$2,VLOOKUP($E122-BQ$2,'data input'!$D$3:$E$130,2,FALSE),0)</f>
        <v>0.11506967022170822</v>
      </c>
      <c r="BR122" s="5">
        <f>IF($E122&gt;=BR$2,VLOOKUP($E122-BR$2,'data input'!$D$3:$E$130,2,FALSE),0)</f>
        <v>0.13029451713680884</v>
      </c>
      <c r="BS122" s="5">
        <f>IF($E122&gt;=BS$2,VLOOKUP($E122-BS$2,'data input'!$D$3:$E$130,2,FALSE),0)</f>
        <v>0.14685905637589591</v>
      </c>
      <c r="BT122" s="5">
        <f>IF($E122&gt;=BT$2,VLOOKUP($E122-BT$2,'data input'!$D$3:$E$130,2,FALSE),0)</f>
        <v>0.16478012998031033</v>
      </c>
      <c r="BU122" s="5">
        <f>IF($E122&gt;=BU$2,VLOOKUP($E122-BU$2,'data input'!$D$3:$E$130,2,FALSE),0)</f>
        <v>0.18406012534675953</v>
      </c>
      <c r="BV122" s="5">
        <f>IF($E122&gt;=BV$2,VLOOKUP($E122-BV$2,'data input'!$D$3:$E$130,2,FALSE),0)</f>
        <v>0.20468579534725262</v>
      </c>
      <c r="BW122" s="5">
        <f>IF($E122&gt;=BW$2,VLOOKUP($E122-BW$2,'data input'!$D$3:$E$130,2,FALSE),0)</f>
        <v>0.22662735237686826</v>
      </c>
      <c r="BX122" s="5">
        <f>IF($E122&gt;=BX$2,VLOOKUP($E122-BX$2,'data input'!$D$3:$E$130,2,FALSE),0)</f>
        <v>0.24983788247177696</v>
      </c>
      <c r="BY122" s="5">
        <f>IF($E122&gt;=BY$2,VLOOKUP($E122-BY$2,'data input'!$D$3:$E$130,2,FALSE),0)</f>
        <v>0.27425311775007355</v>
      </c>
      <c r="BZ122" s="5">
        <f>IF($E122&gt;=BZ$2,VLOOKUP($E122-BZ$2,'data input'!$D$3:$E$130,2,FALSE),0)</f>
        <v>0.29979159546869583</v>
      </c>
      <c r="CA122" s="5">
        <f>IF($E122&gt;=CA$2,VLOOKUP($E122-CA$2,'data input'!$D$3:$E$130,2,FALSE),0)</f>
        <v>0.32635522028792008</v>
      </c>
      <c r="CB122" s="5">
        <f>IF($E122&gt;=CB$2,VLOOKUP($E122-CB$2,'data input'!$D$3:$E$130,2,FALSE),0)</f>
        <v>0.35383023332727614</v>
      </c>
      <c r="CC122" s="5">
        <f>IF($E122&gt;=CC$2,VLOOKUP($E122-CC$2,'data input'!$D$3:$E$130,2,FALSE),0)</f>
        <v>0.38208857781104733</v>
      </c>
      <c r="CD122" s="5">
        <f>IF($E122&gt;=CD$2,VLOOKUP($E122-CD$2,'data input'!$D$3:$E$130,2,FALSE),0)</f>
        <v>0.41098963713127035</v>
      </c>
      <c r="CE122" s="5">
        <f>IF($E122&gt;=CE$2,VLOOKUP($E122-CE$2,'data input'!$D$3:$E$130,2,FALSE),0)</f>
        <v>0.4403823076297575</v>
      </c>
      <c r="CF122" s="5">
        <f>IF($E122&gt;=CF$2,VLOOKUP($E122-CF$2,'data input'!$D$3:$E$130,2,FALSE),0)</f>
        <v>0.47010735594710518</v>
      </c>
      <c r="CG122" s="5">
        <f>IF($E122&gt;=CG$2,VLOOKUP($E122-CG$2,'data input'!$D$3:$E$130,2,FALSE),0)</f>
        <v>0.5</v>
      </c>
      <c r="CH122" s="5">
        <f>IF($E122&gt;=CH$2,VLOOKUP($E122-CH$2,'data input'!$D$3:$E$130,2,FALSE),0)</f>
        <v>0.52989264405289482</v>
      </c>
      <c r="CI122" s="5">
        <f>IF($E122&gt;=CI$2,VLOOKUP($E122-CI$2,'data input'!$D$3:$E$130,2,FALSE),0)</f>
        <v>0.5596176923702425</v>
      </c>
      <c r="CJ122" s="5">
        <f>IF($E122&gt;=CJ$2,VLOOKUP($E122-CJ$2,'data input'!$D$3:$E$130,2,FALSE),0)</f>
        <v>0.58901036286872965</v>
      </c>
      <c r="CK122" s="5">
        <f>IF($E122&gt;=CK$2,VLOOKUP($E122-CK$2,'data input'!$D$3:$E$130,2,FALSE),0)</f>
        <v>0.61791142218895267</v>
      </c>
      <c r="CL122" s="5">
        <f>IF($E122&gt;=CL$2,VLOOKUP($E122-CL$2,'data input'!$D$3:$E$130,2,FALSE),0)</f>
        <v>0.64616976667272386</v>
      </c>
      <c r="CM122" s="5">
        <f>IF($E122&gt;=CM$2,VLOOKUP($E122-CM$2,'data input'!$D$3:$E$130,2,FALSE),0)</f>
        <v>0.67364477971207992</v>
      </c>
      <c r="CN122" s="5">
        <f>IF($E122&gt;=CN$2,VLOOKUP($E122-CN$2,'data input'!$D$3:$E$130,2,FALSE),0)</f>
        <v>0.70020840453130417</v>
      </c>
      <c r="CO122" s="5">
        <f>IF($E122&gt;=CO$2,VLOOKUP($E122-CO$2,'data input'!$D$3:$E$130,2,FALSE),0)</f>
        <v>0.72574688224992645</v>
      </c>
      <c r="CP122" s="5">
        <f>IF($E122&gt;=CP$2,VLOOKUP($E122-CP$2,'data input'!$D$3:$E$130,2,FALSE),0)</f>
        <v>0.75016211752822304</v>
      </c>
      <c r="CQ122" s="5">
        <f>IF($E122&gt;=CQ$2,VLOOKUP($E122-CQ$2,'data input'!$D$3:$E$130,2,FALSE),0)</f>
        <v>0.77337264762313174</v>
      </c>
      <c r="CR122" s="5">
        <f>IF($E122&gt;=CR$2,VLOOKUP($E122-CR$2,'data input'!$D$3:$E$130,2,FALSE),0)</f>
        <v>0.79531420465274738</v>
      </c>
      <c r="CS122" s="5">
        <f>IF($E122&gt;=CS$2,VLOOKUP($E122-CS$2,'data input'!$D$3:$E$130,2,FALSE),0)</f>
        <v>0.81593987465324047</v>
      </c>
      <c r="CT122" s="5">
        <f>IF($E122&gt;=CT$2,VLOOKUP($E122-CT$2,'data input'!$D$3:$E$130,2,FALSE),0)</f>
        <v>0.83521987001968967</v>
      </c>
      <c r="CU122" s="5">
        <f>IF($E122&gt;=CU$2,VLOOKUP($E122-CU$2,'data input'!$D$3:$E$130,2,FALSE),0)</f>
        <v>0.85314094362410409</v>
      </c>
      <c r="CV122" s="5">
        <f>IF($E122&gt;=CV$2,VLOOKUP($E122-CV$2,'data input'!$D$3:$E$130,2,FALSE),0)</f>
        <v>0.86970548286319116</v>
      </c>
      <c r="CW122" s="5">
        <f>IF($E122&gt;=CW$2,VLOOKUP($E122-CW$2,'data input'!$D$3:$E$130,2,FALSE),0)</f>
        <v>0.88493032977829178</v>
      </c>
      <c r="CX122" s="5">
        <f>IF($E122&gt;=CX$2,VLOOKUP($E122-CX$2,'data input'!$D$3:$E$130,2,FALSE),0)</f>
        <v>0.89884537900441408</v>
      </c>
      <c r="CY122" s="5">
        <f>IF($E122&gt;=CY$2,VLOOKUP($E122-CY$2,'data input'!$D$3:$E$130,2,FALSE),0)</f>
        <v>0.91149200856259793</v>
      </c>
      <c r="CZ122" s="5">
        <f>IF($E122&gt;=CZ$2,VLOOKUP($E122-CZ$2,'data input'!$D$3:$E$130,2,FALSE),0)</f>
        <v>0.92292139944792817</v>
      </c>
      <c r="DA122" s="5">
        <f>IF($E122&gt;=DA$2,VLOOKUP($E122-DA$2,'data input'!$D$3:$E$130,2,FALSE),0)</f>
        <v>0.93319279873114191</v>
      </c>
      <c r="DB122" s="5">
        <f>IF($E122&gt;=DB$2,VLOOKUP($E122-DB$2,'data input'!$D$3:$E$130,2,FALSE),0)</f>
        <v>0.94237177772384684</v>
      </c>
      <c r="DC122" s="5">
        <f>IF($E122&gt;=DC$2,VLOOKUP($E122-DC$2,'data input'!$D$3:$E$130,2,FALSE),0)</f>
        <v>0.9505285319663519</v>
      </c>
      <c r="DD122" s="5">
        <f>IF($E122&gt;=DD$2,VLOOKUP($E122-DD$2,'data input'!$D$3:$E$130,2,FALSE),0)</f>
        <v>0.95773626374204757</v>
      </c>
      <c r="DE122" s="5">
        <f>IF($E122&gt;=DE$2,VLOOKUP($E122-DE$2,'data input'!$D$3:$E$130,2,FALSE),0)</f>
        <v>0.96406968088707423</v>
      </c>
      <c r="DF122" s="5">
        <f>IF($E122&gt;=DF$2,VLOOKUP($E122-DF$2,'data input'!$D$3:$E$130,2,FALSE),0)</f>
        <v>0.96960363823473861</v>
      </c>
      <c r="DG122" s="5">
        <f>IF($E122&gt;=DG$2,VLOOKUP($E122-DG$2,'data input'!$D$3:$E$130,2,FALSE),0)</f>
        <v>0.97441194047836144</v>
      </c>
      <c r="DH122" s="5">
        <f>IF($E122&gt;=DH$2,VLOOKUP($E122-DH$2,'data input'!$D$3:$E$130,2,FALSE),0)</f>
        <v>0.97856631788584703</v>
      </c>
      <c r="DI122" s="5">
        <f>IF($E122&gt;=DI$2,VLOOKUP($E122-DI$2,'data input'!$D$3:$E$130,2,FALSE),0)</f>
        <v>0.98213557943718344</v>
      </c>
      <c r="DJ122" s="5">
        <f>IF($E122&gt;=DJ$2,VLOOKUP($E122-DJ$2,'data input'!$D$3:$E$130,2,FALSE),0)</f>
        <v>0.98518494180739014</v>
      </c>
      <c r="DK122" s="5">
        <f>IF($E122&gt;=DK$2,VLOOKUP($E122-DK$2,'data input'!$D$3:$E$130,2,FALSE),0)</f>
        <v>0.98777552734495533</v>
      </c>
      <c r="DL122" s="5">
        <f>IF($E122&gt;=DL$2,VLOOKUP($E122-DL$2,'data input'!$D$3:$E$130,2,FALSE),0)</f>
        <v>0.98996401989972593</v>
      </c>
      <c r="DM122" s="5">
        <f>IF($E122&gt;=DM$2,VLOOKUP($E122-DM$2,'data input'!$D$3:$E$130,2,FALSE),0)</f>
        <v>0.99180246407540384</v>
      </c>
      <c r="DN122" s="5">
        <f>IF($E122&gt;=DN$2,VLOOKUP($E122-DN$2,'data input'!$D$3:$E$130,2,FALSE),0)</f>
        <v>0.99333819120801725</v>
      </c>
      <c r="DO122" s="5">
        <f>IF($E122&gt;=DO$2,VLOOKUP($E122-DO$2,'data input'!$D$3:$E$130,2,FALSE),0)</f>
        <v>0.99461385404593328</v>
      </c>
      <c r="DP122" s="5">
        <f>IF($E122&gt;=DP$2,VLOOKUP($E122-DP$2,'data input'!$D$3:$E$130,2,FALSE),0)</f>
        <v>0.99566755163698739</v>
      </c>
      <c r="DQ122" s="5">
        <f>IF($E122&gt;=DQ$2,VLOOKUP($E122-DQ$2,'data input'!$D$3:$E$130,2,FALSE),0)</f>
        <v>0.99653302619695938</v>
      </c>
      <c r="DR122" s="5">
        <f>IF($E122&gt;=DR$2,VLOOKUP($E122-DR$2,'data input'!$D$3:$E$130,2,FALSE),0)</f>
        <v>0.99723991460873751</v>
      </c>
      <c r="DS122" s="5">
        <f>IF($E122&gt;=DS$2,VLOOKUP($E122-DS$2,'data input'!$D$3:$E$130,2,FALSE),0)</f>
        <v>0.99781403854508677</v>
      </c>
      <c r="DT122" s="5">
        <f>IF($E122&gt;=DT$2,VLOOKUP($E122-DT$2,'data input'!$D$3:$E$130,2,FALSE),0)</f>
        <v>0.99827771888413241</v>
      </c>
      <c r="DU122" s="5">
        <f>IF($E122&gt;=DU$2,VLOOKUP($E122-DU$2,'data input'!$D$3:$E$130,2,FALSE),0)</f>
        <v>0.9986501019683699</v>
      </c>
      <c r="DV122" s="5">
        <f>IF($E122&gt;=DV$2,VLOOKUP($E122-DV$2,'data input'!$D$3:$E$130,2,FALSE),0)</f>
        <v>0</v>
      </c>
      <c r="DW122" s="5">
        <f>IF($E122&gt;=DW$2,VLOOKUP($E122-DW$2,'data input'!$D$3:$E$130,2,FALSE),0)</f>
        <v>0</v>
      </c>
      <c r="DX122" s="5">
        <f>IF($E122&gt;=DX$2,VLOOKUP($E122-DX$2,'data input'!$D$3:$E$130,2,FALSE),0)</f>
        <v>0</v>
      </c>
      <c r="DY122" s="5">
        <f>IF($E122&gt;=DY$2,VLOOKUP($E122-DY$2,'data input'!$D$3:$E$130,2,FALSE),0)</f>
        <v>0</v>
      </c>
      <c r="DZ122" s="5">
        <f>IF($E122&gt;=DZ$2,VLOOKUP($E122-DZ$2,'data input'!$D$3:$E$130,2,FALSE),0)</f>
        <v>0</v>
      </c>
      <c r="EA122" s="5">
        <f>IF($E122&gt;=EA$2,VLOOKUP($E122-EA$2,'data input'!$D$3:$E$130,2,FALSE),0)</f>
        <v>0</v>
      </c>
      <c r="EB122" s="5">
        <f>IF($E122&gt;=EB$2,VLOOKUP($E122-EB$2,'data input'!$D$3:$E$130,2,FALSE),0)</f>
        <v>0</v>
      </c>
      <c r="EC122" s="5">
        <f>IF($E122&gt;=EC$2,VLOOKUP($E122-EC$2,'data input'!$D$3:$E$130,2,FALSE),0)</f>
        <v>0</v>
      </c>
    </row>
    <row r="123" spans="5:133">
      <c r="E123" s="7">
        <f>'data input'!B123</f>
        <v>1998</v>
      </c>
      <c r="F123" s="5">
        <f>IF($E123&gt;=F$2,VLOOKUP($E123-F$2,'data input'!$D$3:$E$130,2,FALSE),0)</f>
        <v>9.8658770042447941E-10</v>
      </c>
      <c r="G123" s="5">
        <f>IF($E123&gt;=G$2,VLOOKUP($E123-G$2,'data input'!$D$3:$E$130,2,FALSE),0)</f>
        <v>1.5614869397495568E-9</v>
      </c>
      <c r="H123" s="5">
        <f>IF($E123&gt;=H$2,VLOOKUP($E123-H$2,'data input'!$D$3:$E$130,2,FALSE),0)</f>
        <v>2.4578650226203536E-9</v>
      </c>
      <c r="I123" s="5">
        <f>IF($E123&gt;=I$2,VLOOKUP($E123-I$2,'data input'!$D$3:$E$130,2,FALSE),0)</f>
        <v>3.8476543062770929E-9</v>
      </c>
      <c r="J123" s="5">
        <f>IF($E123&gt;=J$2,VLOOKUP($E123-J$2,'data input'!$D$3:$E$130,2,FALSE),0)</f>
        <v>5.9903714211273495E-9</v>
      </c>
      <c r="K123" s="5">
        <f>IF($E123&gt;=K$2,VLOOKUP($E123-K$2,'data input'!$D$3:$E$130,2,FALSE),0)</f>
        <v>9.2753987823712691E-9</v>
      </c>
      <c r="L123" s="5">
        <f>IF($E123&gt;=L$2,VLOOKUP($E123-L$2,'data input'!$D$3:$E$130,2,FALSE),0)</f>
        <v>1.4283479843335556E-8</v>
      </c>
      <c r="M123" s="5">
        <f>IF($E123&gt;=M$2,VLOOKUP($E123-M$2,'data input'!$D$3:$E$130,2,FALSE),0)</f>
        <v>2.1875580569208353E-8</v>
      </c>
      <c r="N123" s="5">
        <f>IF($E123&gt;=N$2,VLOOKUP($E123-N$2,'data input'!$D$3:$E$130,2,FALSE),0)</f>
        <v>3.3320448511453549E-8</v>
      </c>
      <c r="O123" s="5">
        <f>IF($E123&gt;=O$2,VLOOKUP($E123-O$2,'data input'!$D$3:$E$130,2,FALSE),0)</f>
        <v>5.0476519741771142E-8</v>
      </c>
      <c r="P123" s="5">
        <f>IF($E123&gt;=P$2,VLOOKUP($E123-P$2,'data input'!$D$3:$E$130,2,FALSE),0)</f>
        <v>7.6049605168826417E-8</v>
      </c>
      <c r="Q123" s="5">
        <f>IF($E123&gt;=Q$2,VLOOKUP($E123-Q$2,'data input'!$D$3:$E$130,2,FALSE),0)</f>
        <v>1.1395549048831555E-7</v>
      </c>
      <c r="R123" s="5">
        <f>IF($E123&gt;=R$2,VLOOKUP($E123-R$2,'data input'!$D$3:$E$130,2,FALSE),0)</f>
        <v>1.698267406702314E-7</v>
      </c>
      <c r="S123" s="5">
        <f>IF($E123&gt;=S$2,VLOOKUP($E123-S$2,'data input'!$D$3:$E$130,2,FALSE),0)</f>
        <v>2.5171626816256065E-7</v>
      </c>
      <c r="T123" s="5">
        <f>IF($E123&gt;=T$2,VLOOKUP($E123-T$2,'data input'!$D$3:$E$130,2,FALSE),0)</f>
        <v>3.7106740791159609E-7</v>
      </c>
      <c r="U123" s="5">
        <f>IF($E123&gt;=U$2,VLOOKUP($E123-U$2,'data input'!$D$3:$E$130,2,FALSE),0)</f>
        <v>5.4404227556315021E-7</v>
      </c>
      <c r="V123" s="5">
        <f>IF($E123&gt;=V$2,VLOOKUP($E123-V$2,'data input'!$D$3:$E$130,2,FALSE),0)</f>
        <v>7.9332815194899098E-7</v>
      </c>
      <c r="W123" s="5">
        <f>IF($E123&gt;=W$2,VLOOKUP($E123-W$2,'data input'!$D$3:$E$130,2,FALSE),0)</f>
        <v>1.1505767815167545E-6</v>
      </c>
      <c r="X123" s="5">
        <f>IF($E123&gt;=X$2,VLOOKUP($E123-X$2,'data input'!$D$3:$E$130,2,FALSE),0)</f>
        <v>1.6596751443165303E-6</v>
      </c>
      <c r="Y123" s="5">
        <f>IF($E123&gt;=Y$2,VLOOKUP($E123-Y$2,'data input'!$D$3:$E$130,2,FALSE),0)</f>
        <v>2.3810999327800175E-6</v>
      </c>
      <c r="Z123" s="5">
        <f>IF($E123&gt;=Z$2,VLOOKUP($E123-Z$2,'data input'!$D$3:$E$130,2,FALSE),0)</f>
        <v>3.3976731247387093E-6</v>
      </c>
      <c r="AA123" s="5">
        <f>IF($E123&gt;=AA$2,VLOOKUP($E123-AA$2,'data input'!$D$3:$E$130,2,FALSE),0)</f>
        <v>4.8221141606408224E-6</v>
      </c>
      <c r="AB123" s="5">
        <f>IF($E123&gt;=AB$2,VLOOKUP($E123-AB$2,'data input'!$D$3:$E$130,2,FALSE),0)</f>
        <v>6.8068765993745117E-6</v>
      </c>
      <c r="AC123" s="5">
        <f>IF($E123&gt;=AC$2,VLOOKUP($E123-AC$2,'data input'!$D$3:$E$130,2,FALSE),0)</f>
        <v>9.5568647372479276E-6</v>
      </c>
      <c r="AD123" s="5">
        <f>IF($E123&gt;=AD$2,VLOOKUP($E123-AD$2,'data input'!$D$3:$E$130,2,FALSE),0)</f>
        <v>1.3345749015902797E-5</v>
      </c>
      <c r="AE123" s="5">
        <f>IF($E123&gt;=AE$2,VLOOKUP($E123-AE$2,'data input'!$D$3:$E$130,2,FALSE),0)</f>
        <v>1.8536737846241991E-5</v>
      </c>
      <c r="AF123" s="5">
        <f>IF($E123&gt;=AF$2,VLOOKUP($E123-AF$2,'data input'!$D$3:$E$130,2,FALSE),0)</f>
        <v>2.5608816474065321E-5</v>
      </c>
      <c r="AG123" s="5">
        <f>IF($E123&gt;=AG$2,VLOOKUP($E123-AG$2,'data input'!$D$3:$E$130,2,FALSE),0)</f>
        <v>3.5189628065923628E-5</v>
      </c>
      <c r="AH123" s="5">
        <f>IF($E123&gt;=AH$2,VLOOKUP($E123-AH$2,'data input'!$D$3:$E$130,2,FALSE),0)</f>
        <v>4.8096344017589665E-5</v>
      </c>
      <c r="AI123" s="5">
        <f>IF($E123&gt;=AI$2,VLOOKUP($E123-AI$2,'data input'!$D$3:$E$130,2,FALSE),0)</f>
        <v>6.5386043242687819E-5</v>
      </c>
      <c r="AJ123" s="5">
        <f>IF($E123&gt;=AJ$2,VLOOKUP($E123-AJ$2,'data input'!$D$3:$E$130,2,FALSE),0)</f>
        <v>8.841728520081471E-5</v>
      </c>
      <c r="AK123" s="5">
        <f>IF($E123&gt;=AK$2,VLOOKUP($E123-AK$2,'data input'!$D$3:$E$130,2,FALSE),0)</f>
        <v>1.1892470732677296E-4</v>
      </c>
      <c r="AL123" s="5">
        <f>IF($E123&gt;=AL$2,VLOOKUP($E123-AL$2,'data input'!$D$3:$E$130,2,FALSE),0)</f>
        <v>1.5910859015755285E-4</v>
      </c>
      <c r="AM123" s="5">
        <f>IF($E123&gt;=AM$2,VLOOKUP($E123-AM$2,'data input'!$D$3:$E$130,2,FALSE),0)</f>
        <v>2.1174139572344153E-4</v>
      </c>
      <c r="AN123" s="5">
        <f>IF($E123&gt;=AN$2,VLOOKUP($E123-AN$2,'data input'!$D$3:$E$130,2,FALSE),0)</f>
        <v>2.8029327681622362E-4</v>
      </c>
      <c r="AO123" s="5">
        <f>IF($E123&gt;=AO$2,VLOOKUP($E123-AO$2,'data input'!$D$3:$E$130,2,FALSE),0)</f>
        <v>3.6907845427502917E-4</v>
      </c>
      <c r="AP123" s="5">
        <f>IF($E123&gt;=AP$2,VLOOKUP($E123-AP$2,'data input'!$D$3:$E$130,2,FALSE),0)</f>
        <v>4.8342414238378151E-4</v>
      </c>
      <c r="AQ123" s="5">
        <f>IF($E123&gt;=AQ$2,VLOOKUP($E123-AQ$2,'data input'!$D$3:$E$130,2,FALSE),0)</f>
        <v>6.2986334399772748E-4</v>
      </c>
      <c r="AR123" s="5">
        <f>IF($E123&gt;=AR$2,VLOOKUP($E123-AR$2,'data input'!$D$3:$E$130,2,FALSE),0)</f>
        <v>8.1635231282861653E-4</v>
      </c>
      <c r="AS123" s="5">
        <f>IF($E123&gt;=AS$2,VLOOKUP($E123-AS$2,'data input'!$D$3:$E$130,2,FALSE),0)</f>
        <v>1.0525127683760349E-3</v>
      </c>
      <c r="AT123" s="5">
        <f>IF($E123&gt;=AT$2,VLOOKUP($E123-AT$2,'data input'!$D$3:$E$130,2,FALSE),0)</f>
        <v>1.3498980316301035E-3</v>
      </c>
      <c r="AU123" s="5">
        <f>IF($E123&gt;=AU$2,VLOOKUP($E123-AU$2,'data input'!$D$3:$E$130,2,FALSE),0)</f>
        <v>1.7222811158675855E-3</v>
      </c>
      <c r="AV123" s="5">
        <f>IF($E123&gt;=AV$2,VLOOKUP($E123-AV$2,'data input'!$D$3:$E$130,2,FALSE),0)</f>
        <v>2.1859614549132322E-3</v>
      </c>
      <c r="AW123" s="5">
        <f>IF($E123&gt;=AW$2,VLOOKUP($E123-AW$2,'data input'!$D$3:$E$130,2,FALSE),0)</f>
        <v>2.7600853912624901E-3</v>
      </c>
      <c r="AX123" s="5">
        <f>IF($E123&gt;=AX$2,VLOOKUP($E123-AX$2,'data input'!$D$3:$E$130,2,FALSE),0)</f>
        <v>3.4669738030406183E-3</v>
      </c>
      <c r="AY123" s="5">
        <f>IF($E123&gt;=AY$2,VLOOKUP($E123-AY$2,'data input'!$D$3:$E$130,2,FALSE),0)</f>
        <v>4.3324483630126087E-3</v>
      </c>
      <c r="AZ123" s="5">
        <f>IF($E123&gt;=AZ$2,VLOOKUP($E123-AZ$2,'data input'!$D$3:$E$130,2,FALSE),0)</f>
        <v>5.3861459540667234E-3</v>
      </c>
      <c r="BA123" s="5">
        <f>IF($E123&gt;=BA$2,VLOOKUP($E123-BA$2,'data input'!$D$3:$E$130,2,FALSE),0)</f>
        <v>6.6618087919827484E-3</v>
      </c>
      <c r="BB123" s="5">
        <f>IF($E123&gt;=BB$2,VLOOKUP($E123-BB$2,'data input'!$D$3:$E$130,2,FALSE),0)</f>
        <v>8.1975359245961554E-3</v>
      </c>
      <c r="BC123" s="5">
        <f>IF($E123&gt;=BC$2,VLOOKUP($E123-BC$2,'data input'!$D$3:$E$130,2,FALSE),0)</f>
        <v>1.0035980100274067E-2</v>
      </c>
      <c r="BD123" s="5">
        <f>IF($E123&gt;=BD$2,VLOOKUP($E123-BD$2,'data input'!$D$3:$E$130,2,FALSE),0)</f>
        <v>1.2224472655044671E-2</v>
      </c>
      <c r="BE123" s="5">
        <f>IF($E123&gt;=BE$2,VLOOKUP($E123-BE$2,'data input'!$D$3:$E$130,2,FALSE),0)</f>
        <v>1.4815058192609865E-2</v>
      </c>
      <c r="BF123" s="5">
        <f>IF($E123&gt;=BF$2,VLOOKUP($E123-BF$2,'data input'!$D$3:$E$130,2,FALSE),0)</f>
        <v>1.7864420562816563E-2</v>
      </c>
      <c r="BG123" s="5">
        <f>IF($E123&gt;=BG$2,VLOOKUP($E123-BG$2,'data input'!$D$3:$E$130,2,FALSE),0)</f>
        <v>2.1433682114152974E-2</v>
      </c>
      <c r="BH123" s="5">
        <f>IF($E123&gt;=BH$2,VLOOKUP($E123-BH$2,'data input'!$D$3:$E$130,2,FALSE),0)</f>
        <v>2.5588059521638562E-2</v>
      </c>
      <c r="BI123" s="5">
        <f>IF($E123&gt;=BI$2,VLOOKUP($E123-BI$2,'data input'!$D$3:$E$130,2,FALSE),0)</f>
        <v>3.0396361765261393E-2</v>
      </c>
      <c r="BJ123" s="5">
        <f>IF($E123&gt;=BJ$2,VLOOKUP($E123-BJ$2,'data input'!$D$3:$E$130,2,FALSE),0)</f>
        <v>3.5930319112925768E-2</v>
      </c>
      <c r="BK123" s="5">
        <f>IF($E123&gt;=BK$2,VLOOKUP($E123-BK$2,'data input'!$D$3:$E$130,2,FALSE),0)</f>
        <v>4.2263736257952433E-2</v>
      </c>
      <c r="BL123" s="5">
        <f>IF($E123&gt;=BL$2,VLOOKUP($E123-BL$2,'data input'!$D$3:$E$130,2,FALSE),0)</f>
        <v>4.9471468033648103E-2</v>
      </c>
      <c r="BM123" s="5">
        <f>IF($E123&gt;=BM$2,VLOOKUP($E123-BM$2,'data input'!$D$3:$E$130,2,FALSE),0)</f>
        <v>5.7628222276153163E-2</v>
      </c>
      <c r="BN123" s="5">
        <f>IF($E123&gt;=BN$2,VLOOKUP($E123-BN$2,'data input'!$D$3:$E$130,2,FALSE),0)</f>
        <v>6.6807201268858085E-2</v>
      </c>
      <c r="BO123" s="5">
        <f>IF($E123&gt;=BO$2,VLOOKUP($E123-BO$2,'data input'!$D$3:$E$130,2,FALSE),0)</f>
        <v>7.707860055207183E-2</v>
      </c>
      <c r="BP123" s="5">
        <f>IF($E123&gt;=BP$2,VLOOKUP($E123-BP$2,'data input'!$D$3:$E$130,2,FALSE),0)</f>
        <v>8.8507991437402067E-2</v>
      </c>
      <c r="BQ123" s="5">
        <f>IF($E123&gt;=BQ$2,VLOOKUP($E123-BQ$2,'data input'!$D$3:$E$130,2,FALSE),0)</f>
        <v>0.10115462099558592</v>
      </c>
      <c r="BR123" s="5">
        <f>IF($E123&gt;=BR$2,VLOOKUP($E123-BR$2,'data input'!$D$3:$E$130,2,FALSE),0)</f>
        <v>0.11506967022170822</v>
      </c>
      <c r="BS123" s="5">
        <f>IF($E123&gt;=BS$2,VLOOKUP($E123-BS$2,'data input'!$D$3:$E$130,2,FALSE),0)</f>
        <v>0.13029451713680884</v>
      </c>
      <c r="BT123" s="5">
        <f>IF($E123&gt;=BT$2,VLOOKUP($E123-BT$2,'data input'!$D$3:$E$130,2,FALSE),0)</f>
        <v>0.14685905637589591</v>
      </c>
      <c r="BU123" s="5">
        <f>IF($E123&gt;=BU$2,VLOOKUP($E123-BU$2,'data input'!$D$3:$E$130,2,FALSE),0)</f>
        <v>0.16478012998031033</v>
      </c>
      <c r="BV123" s="5">
        <f>IF($E123&gt;=BV$2,VLOOKUP($E123-BV$2,'data input'!$D$3:$E$130,2,FALSE),0)</f>
        <v>0.18406012534675953</v>
      </c>
      <c r="BW123" s="5">
        <f>IF($E123&gt;=BW$2,VLOOKUP($E123-BW$2,'data input'!$D$3:$E$130,2,FALSE),0)</f>
        <v>0.20468579534725262</v>
      </c>
      <c r="BX123" s="5">
        <f>IF($E123&gt;=BX$2,VLOOKUP($E123-BX$2,'data input'!$D$3:$E$130,2,FALSE),0)</f>
        <v>0.22662735237686826</v>
      </c>
      <c r="BY123" s="5">
        <f>IF($E123&gt;=BY$2,VLOOKUP($E123-BY$2,'data input'!$D$3:$E$130,2,FALSE),0)</f>
        <v>0.24983788247177696</v>
      </c>
      <c r="BZ123" s="5">
        <f>IF($E123&gt;=BZ$2,VLOOKUP($E123-BZ$2,'data input'!$D$3:$E$130,2,FALSE),0)</f>
        <v>0.27425311775007355</v>
      </c>
      <c r="CA123" s="5">
        <f>IF($E123&gt;=CA$2,VLOOKUP($E123-CA$2,'data input'!$D$3:$E$130,2,FALSE),0)</f>
        <v>0.29979159546869583</v>
      </c>
      <c r="CB123" s="5">
        <f>IF($E123&gt;=CB$2,VLOOKUP($E123-CB$2,'data input'!$D$3:$E$130,2,FALSE),0)</f>
        <v>0.32635522028792008</v>
      </c>
      <c r="CC123" s="5">
        <f>IF($E123&gt;=CC$2,VLOOKUP($E123-CC$2,'data input'!$D$3:$E$130,2,FALSE),0)</f>
        <v>0.35383023332727614</v>
      </c>
      <c r="CD123" s="5">
        <f>IF($E123&gt;=CD$2,VLOOKUP($E123-CD$2,'data input'!$D$3:$E$130,2,FALSE),0)</f>
        <v>0.38208857781104733</v>
      </c>
      <c r="CE123" s="5">
        <f>IF($E123&gt;=CE$2,VLOOKUP($E123-CE$2,'data input'!$D$3:$E$130,2,FALSE),0)</f>
        <v>0.41098963713127035</v>
      </c>
      <c r="CF123" s="5">
        <f>IF($E123&gt;=CF$2,VLOOKUP($E123-CF$2,'data input'!$D$3:$E$130,2,FALSE),0)</f>
        <v>0.4403823076297575</v>
      </c>
      <c r="CG123" s="5">
        <f>IF($E123&gt;=CG$2,VLOOKUP($E123-CG$2,'data input'!$D$3:$E$130,2,FALSE),0)</f>
        <v>0.47010735594710518</v>
      </c>
      <c r="CH123" s="5">
        <f>IF($E123&gt;=CH$2,VLOOKUP($E123-CH$2,'data input'!$D$3:$E$130,2,FALSE),0)</f>
        <v>0.5</v>
      </c>
      <c r="CI123" s="5">
        <f>IF($E123&gt;=CI$2,VLOOKUP($E123-CI$2,'data input'!$D$3:$E$130,2,FALSE),0)</f>
        <v>0.52989264405289482</v>
      </c>
      <c r="CJ123" s="5">
        <f>IF($E123&gt;=CJ$2,VLOOKUP($E123-CJ$2,'data input'!$D$3:$E$130,2,FALSE),0)</f>
        <v>0.5596176923702425</v>
      </c>
      <c r="CK123" s="5">
        <f>IF($E123&gt;=CK$2,VLOOKUP($E123-CK$2,'data input'!$D$3:$E$130,2,FALSE),0)</f>
        <v>0.58901036286872965</v>
      </c>
      <c r="CL123" s="5">
        <f>IF($E123&gt;=CL$2,VLOOKUP($E123-CL$2,'data input'!$D$3:$E$130,2,FALSE),0)</f>
        <v>0.61791142218895267</v>
      </c>
      <c r="CM123" s="5">
        <f>IF($E123&gt;=CM$2,VLOOKUP($E123-CM$2,'data input'!$D$3:$E$130,2,FALSE),0)</f>
        <v>0.64616976667272386</v>
      </c>
      <c r="CN123" s="5">
        <f>IF($E123&gt;=CN$2,VLOOKUP($E123-CN$2,'data input'!$D$3:$E$130,2,FALSE),0)</f>
        <v>0.67364477971207992</v>
      </c>
      <c r="CO123" s="5">
        <f>IF($E123&gt;=CO$2,VLOOKUP($E123-CO$2,'data input'!$D$3:$E$130,2,FALSE),0)</f>
        <v>0.70020840453130417</v>
      </c>
      <c r="CP123" s="5">
        <f>IF($E123&gt;=CP$2,VLOOKUP($E123-CP$2,'data input'!$D$3:$E$130,2,FALSE),0)</f>
        <v>0.72574688224992645</v>
      </c>
      <c r="CQ123" s="5">
        <f>IF($E123&gt;=CQ$2,VLOOKUP($E123-CQ$2,'data input'!$D$3:$E$130,2,FALSE),0)</f>
        <v>0.75016211752822304</v>
      </c>
      <c r="CR123" s="5">
        <f>IF($E123&gt;=CR$2,VLOOKUP($E123-CR$2,'data input'!$D$3:$E$130,2,FALSE),0)</f>
        <v>0.77337264762313174</v>
      </c>
      <c r="CS123" s="5">
        <f>IF($E123&gt;=CS$2,VLOOKUP($E123-CS$2,'data input'!$D$3:$E$130,2,FALSE),0)</f>
        <v>0.79531420465274738</v>
      </c>
      <c r="CT123" s="5">
        <f>IF($E123&gt;=CT$2,VLOOKUP($E123-CT$2,'data input'!$D$3:$E$130,2,FALSE),0)</f>
        <v>0.81593987465324047</v>
      </c>
      <c r="CU123" s="5">
        <f>IF($E123&gt;=CU$2,VLOOKUP($E123-CU$2,'data input'!$D$3:$E$130,2,FALSE),0)</f>
        <v>0.83521987001968967</v>
      </c>
      <c r="CV123" s="5">
        <f>IF($E123&gt;=CV$2,VLOOKUP($E123-CV$2,'data input'!$D$3:$E$130,2,FALSE),0)</f>
        <v>0.85314094362410409</v>
      </c>
      <c r="CW123" s="5">
        <f>IF($E123&gt;=CW$2,VLOOKUP($E123-CW$2,'data input'!$D$3:$E$130,2,FALSE),0)</f>
        <v>0.86970548286319116</v>
      </c>
      <c r="CX123" s="5">
        <f>IF($E123&gt;=CX$2,VLOOKUP($E123-CX$2,'data input'!$D$3:$E$130,2,FALSE),0)</f>
        <v>0.88493032977829178</v>
      </c>
      <c r="CY123" s="5">
        <f>IF($E123&gt;=CY$2,VLOOKUP($E123-CY$2,'data input'!$D$3:$E$130,2,FALSE),0)</f>
        <v>0.89884537900441408</v>
      </c>
      <c r="CZ123" s="5">
        <f>IF($E123&gt;=CZ$2,VLOOKUP($E123-CZ$2,'data input'!$D$3:$E$130,2,FALSE),0)</f>
        <v>0.91149200856259793</v>
      </c>
      <c r="DA123" s="5">
        <f>IF($E123&gt;=DA$2,VLOOKUP($E123-DA$2,'data input'!$D$3:$E$130,2,FALSE),0)</f>
        <v>0.92292139944792817</v>
      </c>
      <c r="DB123" s="5">
        <f>IF($E123&gt;=DB$2,VLOOKUP($E123-DB$2,'data input'!$D$3:$E$130,2,FALSE),0)</f>
        <v>0.93319279873114191</v>
      </c>
      <c r="DC123" s="5">
        <f>IF($E123&gt;=DC$2,VLOOKUP($E123-DC$2,'data input'!$D$3:$E$130,2,FALSE),0)</f>
        <v>0.94237177772384684</v>
      </c>
      <c r="DD123" s="5">
        <f>IF($E123&gt;=DD$2,VLOOKUP($E123-DD$2,'data input'!$D$3:$E$130,2,FALSE),0)</f>
        <v>0.9505285319663519</v>
      </c>
      <c r="DE123" s="5">
        <f>IF($E123&gt;=DE$2,VLOOKUP($E123-DE$2,'data input'!$D$3:$E$130,2,FALSE),0)</f>
        <v>0.95773626374204757</v>
      </c>
      <c r="DF123" s="5">
        <f>IF($E123&gt;=DF$2,VLOOKUP($E123-DF$2,'data input'!$D$3:$E$130,2,FALSE),0)</f>
        <v>0.96406968088707423</v>
      </c>
      <c r="DG123" s="5">
        <f>IF($E123&gt;=DG$2,VLOOKUP($E123-DG$2,'data input'!$D$3:$E$130,2,FALSE),0)</f>
        <v>0.96960363823473861</v>
      </c>
      <c r="DH123" s="5">
        <f>IF($E123&gt;=DH$2,VLOOKUP($E123-DH$2,'data input'!$D$3:$E$130,2,FALSE),0)</f>
        <v>0.97441194047836144</v>
      </c>
      <c r="DI123" s="5">
        <f>IF($E123&gt;=DI$2,VLOOKUP($E123-DI$2,'data input'!$D$3:$E$130,2,FALSE),0)</f>
        <v>0.97856631788584703</v>
      </c>
      <c r="DJ123" s="5">
        <f>IF($E123&gt;=DJ$2,VLOOKUP($E123-DJ$2,'data input'!$D$3:$E$130,2,FALSE),0)</f>
        <v>0.98213557943718344</v>
      </c>
      <c r="DK123" s="5">
        <f>IF($E123&gt;=DK$2,VLOOKUP($E123-DK$2,'data input'!$D$3:$E$130,2,FALSE),0)</f>
        <v>0.98518494180739014</v>
      </c>
      <c r="DL123" s="5">
        <f>IF($E123&gt;=DL$2,VLOOKUP($E123-DL$2,'data input'!$D$3:$E$130,2,FALSE),0)</f>
        <v>0.98777552734495533</v>
      </c>
      <c r="DM123" s="5">
        <f>IF($E123&gt;=DM$2,VLOOKUP($E123-DM$2,'data input'!$D$3:$E$130,2,FALSE),0)</f>
        <v>0.98996401989972593</v>
      </c>
      <c r="DN123" s="5">
        <f>IF($E123&gt;=DN$2,VLOOKUP($E123-DN$2,'data input'!$D$3:$E$130,2,FALSE),0)</f>
        <v>0.99180246407540384</v>
      </c>
      <c r="DO123" s="5">
        <f>IF($E123&gt;=DO$2,VLOOKUP($E123-DO$2,'data input'!$D$3:$E$130,2,FALSE),0)</f>
        <v>0.99333819120801725</v>
      </c>
      <c r="DP123" s="5">
        <f>IF($E123&gt;=DP$2,VLOOKUP($E123-DP$2,'data input'!$D$3:$E$130,2,FALSE),0)</f>
        <v>0.99461385404593328</v>
      </c>
      <c r="DQ123" s="5">
        <f>IF($E123&gt;=DQ$2,VLOOKUP($E123-DQ$2,'data input'!$D$3:$E$130,2,FALSE),0)</f>
        <v>0.99566755163698739</v>
      </c>
      <c r="DR123" s="5">
        <f>IF($E123&gt;=DR$2,VLOOKUP($E123-DR$2,'data input'!$D$3:$E$130,2,FALSE),0)</f>
        <v>0.99653302619695938</v>
      </c>
      <c r="DS123" s="5">
        <f>IF($E123&gt;=DS$2,VLOOKUP($E123-DS$2,'data input'!$D$3:$E$130,2,FALSE),0)</f>
        <v>0.99723991460873751</v>
      </c>
      <c r="DT123" s="5">
        <f>IF($E123&gt;=DT$2,VLOOKUP($E123-DT$2,'data input'!$D$3:$E$130,2,FALSE),0)</f>
        <v>0.99781403854508677</v>
      </c>
      <c r="DU123" s="5">
        <f>IF($E123&gt;=DU$2,VLOOKUP($E123-DU$2,'data input'!$D$3:$E$130,2,FALSE),0)</f>
        <v>0.99827771888413241</v>
      </c>
      <c r="DV123" s="5">
        <f>IF($E123&gt;=DV$2,VLOOKUP($E123-DV$2,'data input'!$D$3:$E$130,2,FALSE),0)</f>
        <v>0.9986501019683699</v>
      </c>
      <c r="DW123" s="5">
        <f>IF($E123&gt;=DW$2,VLOOKUP($E123-DW$2,'data input'!$D$3:$E$130,2,FALSE),0)</f>
        <v>0</v>
      </c>
      <c r="DX123" s="5">
        <f>IF($E123&gt;=DX$2,VLOOKUP($E123-DX$2,'data input'!$D$3:$E$130,2,FALSE),0)</f>
        <v>0</v>
      </c>
      <c r="DY123" s="5">
        <f>IF($E123&gt;=DY$2,VLOOKUP($E123-DY$2,'data input'!$D$3:$E$130,2,FALSE),0)</f>
        <v>0</v>
      </c>
      <c r="DZ123" s="5">
        <f>IF($E123&gt;=DZ$2,VLOOKUP($E123-DZ$2,'data input'!$D$3:$E$130,2,FALSE),0)</f>
        <v>0</v>
      </c>
      <c r="EA123" s="5">
        <f>IF($E123&gt;=EA$2,VLOOKUP($E123-EA$2,'data input'!$D$3:$E$130,2,FALSE),0)</f>
        <v>0</v>
      </c>
      <c r="EB123" s="5">
        <f>IF($E123&gt;=EB$2,VLOOKUP($E123-EB$2,'data input'!$D$3:$E$130,2,FALSE),0)</f>
        <v>0</v>
      </c>
      <c r="EC123" s="5">
        <f>IF($E123&gt;=EC$2,VLOOKUP($E123-EC$2,'data input'!$D$3:$E$130,2,FALSE),0)</f>
        <v>0</v>
      </c>
    </row>
    <row r="124" spans="5:133">
      <c r="E124" s="7">
        <f>'data input'!B124</f>
        <v>1999</v>
      </c>
      <c r="F124" s="5">
        <f>IF($E124&gt;=F$2,VLOOKUP($E124-F$2,'data input'!$D$3:$E$130,2,FALSE),0)</f>
        <v>6.1993865596576825E-10</v>
      </c>
      <c r="G124" s="5">
        <f>IF($E124&gt;=G$2,VLOOKUP($E124-G$2,'data input'!$D$3:$E$130,2,FALSE),0)</f>
        <v>9.8658770042447941E-10</v>
      </c>
      <c r="H124" s="5">
        <f>IF($E124&gt;=H$2,VLOOKUP($E124-H$2,'data input'!$D$3:$E$130,2,FALSE),0)</f>
        <v>1.5614869397495568E-9</v>
      </c>
      <c r="I124" s="5">
        <f>IF($E124&gt;=I$2,VLOOKUP($E124-I$2,'data input'!$D$3:$E$130,2,FALSE),0)</f>
        <v>2.4578650226203536E-9</v>
      </c>
      <c r="J124" s="5">
        <f>IF($E124&gt;=J$2,VLOOKUP($E124-J$2,'data input'!$D$3:$E$130,2,FALSE),0)</f>
        <v>3.8476543062770929E-9</v>
      </c>
      <c r="K124" s="5">
        <f>IF($E124&gt;=K$2,VLOOKUP($E124-K$2,'data input'!$D$3:$E$130,2,FALSE),0)</f>
        <v>5.9903714211273495E-9</v>
      </c>
      <c r="L124" s="5">
        <f>IF($E124&gt;=L$2,VLOOKUP($E124-L$2,'data input'!$D$3:$E$130,2,FALSE),0)</f>
        <v>9.2753987823712691E-9</v>
      </c>
      <c r="M124" s="5">
        <f>IF($E124&gt;=M$2,VLOOKUP($E124-M$2,'data input'!$D$3:$E$130,2,FALSE),0)</f>
        <v>1.4283479843335556E-8</v>
      </c>
      <c r="N124" s="5">
        <f>IF($E124&gt;=N$2,VLOOKUP($E124-N$2,'data input'!$D$3:$E$130,2,FALSE),0)</f>
        <v>2.1875580569208353E-8</v>
      </c>
      <c r="O124" s="5">
        <f>IF($E124&gt;=O$2,VLOOKUP($E124-O$2,'data input'!$D$3:$E$130,2,FALSE),0)</f>
        <v>3.3320448511453549E-8</v>
      </c>
      <c r="P124" s="5">
        <f>IF($E124&gt;=P$2,VLOOKUP($E124-P$2,'data input'!$D$3:$E$130,2,FALSE),0)</f>
        <v>5.0476519741771142E-8</v>
      </c>
      <c r="Q124" s="5">
        <f>IF($E124&gt;=Q$2,VLOOKUP($E124-Q$2,'data input'!$D$3:$E$130,2,FALSE),0)</f>
        <v>7.6049605168826417E-8</v>
      </c>
      <c r="R124" s="5">
        <f>IF($E124&gt;=R$2,VLOOKUP($E124-R$2,'data input'!$D$3:$E$130,2,FALSE),0)</f>
        <v>1.1395549048831555E-7</v>
      </c>
      <c r="S124" s="5">
        <f>IF($E124&gt;=S$2,VLOOKUP($E124-S$2,'data input'!$D$3:$E$130,2,FALSE),0)</f>
        <v>1.698267406702314E-7</v>
      </c>
      <c r="T124" s="5">
        <f>IF($E124&gt;=T$2,VLOOKUP($E124-T$2,'data input'!$D$3:$E$130,2,FALSE),0)</f>
        <v>2.5171626816256065E-7</v>
      </c>
      <c r="U124" s="5">
        <f>IF($E124&gt;=U$2,VLOOKUP($E124-U$2,'data input'!$D$3:$E$130,2,FALSE),0)</f>
        <v>3.7106740791159609E-7</v>
      </c>
      <c r="V124" s="5">
        <f>IF($E124&gt;=V$2,VLOOKUP($E124-V$2,'data input'!$D$3:$E$130,2,FALSE),0)</f>
        <v>5.4404227556315021E-7</v>
      </c>
      <c r="W124" s="5">
        <f>IF($E124&gt;=W$2,VLOOKUP($E124-W$2,'data input'!$D$3:$E$130,2,FALSE),0)</f>
        <v>7.9332815194899098E-7</v>
      </c>
      <c r="X124" s="5">
        <f>IF($E124&gt;=X$2,VLOOKUP($E124-X$2,'data input'!$D$3:$E$130,2,FALSE),0)</f>
        <v>1.1505767815167545E-6</v>
      </c>
      <c r="Y124" s="5">
        <f>IF($E124&gt;=Y$2,VLOOKUP($E124-Y$2,'data input'!$D$3:$E$130,2,FALSE),0)</f>
        <v>1.6596751443165303E-6</v>
      </c>
      <c r="Z124" s="5">
        <f>IF($E124&gt;=Z$2,VLOOKUP($E124-Z$2,'data input'!$D$3:$E$130,2,FALSE),0)</f>
        <v>2.3810999327800175E-6</v>
      </c>
      <c r="AA124" s="5">
        <f>IF($E124&gt;=AA$2,VLOOKUP($E124-AA$2,'data input'!$D$3:$E$130,2,FALSE),0)</f>
        <v>3.3976731247387093E-6</v>
      </c>
      <c r="AB124" s="5">
        <f>IF($E124&gt;=AB$2,VLOOKUP($E124-AB$2,'data input'!$D$3:$E$130,2,FALSE),0)</f>
        <v>4.8221141606408224E-6</v>
      </c>
      <c r="AC124" s="5">
        <f>IF($E124&gt;=AC$2,VLOOKUP($E124-AC$2,'data input'!$D$3:$E$130,2,FALSE),0)</f>
        <v>6.8068765993745117E-6</v>
      </c>
      <c r="AD124" s="5">
        <f>IF($E124&gt;=AD$2,VLOOKUP($E124-AD$2,'data input'!$D$3:$E$130,2,FALSE),0)</f>
        <v>9.5568647372479276E-6</v>
      </c>
      <c r="AE124" s="5">
        <f>IF($E124&gt;=AE$2,VLOOKUP($E124-AE$2,'data input'!$D$3:$E$130,2,FALSE),0)</f>
        <v>1.3345749015902797E-5</v>
      </c>
      <c r="AF124" s="5">
        <f>IF($E124&gt;=AF$2,VLOOKUP($E124-AF$2,'data input'!$D$3:$E$130,2,FALSE),0)</f>
        <v>1.8536737846241991E-5</v>
      </c>
      <c r="AG124" s="5">
        <f>IF($E124&gt;=AG$2,VLOOKUP($E124-AG$2,'data input'!$D$3:$E$130,2,FALSE),0)</f>
        <v>2.5608816474065321E-5</v>
      </c>
      <c r="AH124" s="5">
        <f>IF($E124&gt;=AH$2,VLOOKUP($E124-AH$2,'data input'!$D$3:$E$130,2,FALSE),0)</f>
        <v>3.5189628065923628E-5</v>
      </c>
      <c r="AI124" s="5">
        <f>IF($E124&gt;=AI$2,VLOOKUP($E124-AI$2,'data input'!$D$3:$E$130,2,FALSE),0)</f>
        <v>4.8096344017589665E-5</v>
      </c>
      <c r="AJ124" s="5">
        <f>IF($E124&gt;=AJ$2,VLOOKUP($E124-AJ$2,'data input'!$D$3:$E$130,2,FALSE),0)</f>
        <v>6.5386043242687819E-5</v>
      </c>
      <c r="AK124" s="5">
        <f>IF($E124&gt;=AK$2,VLOOKUP($E124-AK$2,'data input'!$D$3:$E$130,2,FALSE),0)</f>
        <v>8.841728520081471E-5</v>
      </c>
      <c r="AL124" s="5">
        <f>IF($E124&gt;=AL$2,VLOOKUP($E124-AL$2,'data input'!$D$3:$E$130,2,FALSE),0)</f>
        <v>1.1892470732677296E-4</v>
      </c>
      <c r="AM124" s="5">
        <f>IF($E124&gt;=AM$2,VLOOKUP($E124-AM$2,'data input'!$D$3:$E$130,2,FALSE),0)</f>
        <v>1.5910859015755285E-4</v>
      </c>
      <c r="AN124" s="5">
        <f>IF($E124&gt;=AN$2,VLOOKUP($E124-AN$2,'data input'!$D$3:$E$130,2,FALSE),0)</f>
        <v>2.1174139572344153E-4</v>
      </c>
      <c r="AO124" s="5">
        <f>IF($E124&gt;=AO$2,VLOOKUP($E124-AO$2,'data input'!$D$3:$E$130,2,FALSE),0)</f>
        <v>2.8029327681622362E-4</v>
      </c>
      <c r="AP124" s="5">
        <f>IF($E124&gt;=AP$2,VLOOKUP($E124-AP$2,'data input'!$D$3:$E$130,2,FALSE),0)</f>
        <v>3.6907845427502917E-4</v>
      </c>
      <c r="AQ124" s="5">
        <f>IF($E124&gt;=AQ$2,VLOOKUP($E124-AQ$2,'data input'!$D$3:$E$130,2,FALSE),0)</f>
        <v>4.8342414238378151E-4</v>
      </c>
      <c r="AR124" s="5">
        <f>IF($E124&gt;=AR$2,VLOOKUP($E124-AR$2,'data input'!$D$3:$E$130,2,FALSE),0)</f>
        <v>6.2986334399772748E-4</v>
      </c>
      <c r="AS124" s="5">
        <f>IF($E124&gt;=AS$2,VLOOKUP($E124-AS$2,'data input'!$D$3:$E$130,2,FALSE),0)</f>
        <v>8.1635231282861653E-4</v>
      </c>
      <c r="AT124" s="5">
        <f>IF($E124&gt;=AT$2,VLOOKUP($E124-AT$2,'data input'!$D$3:$E$130,2,FALSE),0)</f>
        <v>1.0525127683760349E-3</v>
      </c>
      <c r="AU124" s="5">
        <f>IF($E124&gt;=AU$2,VLOOKUP($E124-AU$2,'data input'!$D$3:$E$130,2,FALSE),0)</f>
        <v>1.3498980316301035E-3</v>
      </c>
      <c r="AV124" s="5">
        <f>IF($E124&gt;=AV$2,VLOOKUP($E124-AV$2,'data input'!$D$3:$E$130,2,FALSE),0)</f>
        <v>1.7222811158675855E-3</v>
      </c>
      <c r="AW124" s="5">
        <f>IF($E124&gt;=AW$2,VLOOKUP($E124-AW$2,'data input'!$D$3:$E$130,2,FALSE),0)</f>
        <v>2.1859614549132322E-3</v>
      </c>
      <c r="AX124" s="5">
        <f>IF($E124&gt;=AX$2,VLOOKUP($E124-AX$2,'data input'!$D$3:$E$130,2,FALSE),0)</f>
        <v>2.7600853912624901E-3</v>
      </c>
      <c r="AY124" s="5">
        <f>IF($E124&gt;=AY$2,VLOOKUP($E124-AY$2,'data input'!$D$3:$E$130,2,FALSE),0)</f>
        <v>3.4669738030406183E-3</v>
      </c>
      <c r="AZ124" s="5">
        <f>IF($E124&gt;=AZ$2,VLOOKUP($E124-AZ$2,'data input'!$D$3:$E$130,2,FALSE),0)</f>
        <v>4.3324483630126087E-3</v>
      </c>
      <c r="BA124" s="5">
        <f>IF($E124&gt;=BA$2,VLOOKUP($E124-BA$2,'data input'!$D$3:$E$130,2,FALSE),0)</f>
        <v>5.3861459540667234E-3</v>
      </c>
      <c r="BB124" s="5">
        <f>IF($E124&gt;=BB$2,VLOOKUP($E124-BB$2,'data input'!$D$3:$E$130,2,FALSE),0)</f>
        <v>6.6618087919827484E-3</v>
      </c>
      <c r="BC124" s="5">
        <f>IF($E124&gt;=BC$2,VLOOKUP($E124-BC$2,'data input'!$D$3:$E$130,2,FALSE),0)</f>
        <v>8.1975359245961554E-3</v>
      </c>
      <c r="BD124" s="5">
        <f>IF($E124&gt;=BD$2,VLOOKUP($E124-BD$2,'data input'!$D$3:$E$130,2,FALSE),0)</f>
        <v>1.0035980100274067E-2</v>
      </c>
      <c r="BE124" s="5">
        <f>IF($E124&gt;=BE$2,VLOOKUP($E124-BE$2,'data input'!$D$3:$E$130,2,FALSE),0)</f>
        <v>1.2224472655044671E-2</v>
      </c>
      <c r="BF124" s="5">
        <f>IF($E124&gt;=BF$2,VLOOKUP($E124-BF$2,'data input'!$D$3:$E$130,2,FALSE),0)</f>
        <v>1.4815058192609865E-2</v>
      </c>
      <c r="BG124" s="5">
        <f>IF($E124&gt;=BG$2,VLOOKUP($E124-BG$2,'data input'!$D$3:$E$130,2,FALSE),0)</f>
        <v>1.7864420562816563E-2</v>
      </c>
      <c r="BH124" s="5">
        <f>IF($E124&gt;=BH$2,VLOOKUP($E124-BH$2,'data input'!$D$3:$E$130,2,FALSE),0)</f>
        <v>2.1433682114152974E-2</v>
      </c>
      <c r="BI124" s="5">
        <f>IF($E124&gt;=BI$2,VLOOKUP($E124-BI$2,'data input'!$D$3:$E$130,2,FALSE),0)</f>
        <v>2.5588059521638562E-2</v>
      </c>
      <c r="BJ124" s="5">
        <f>IF($E124&gt;=BJ$2,VLOOKUP($E124-BJ$2,'data input'!$D$3:$E$130,2,FALSE),0)</f>
        <v>3.0396361765261393E-2</v>
      </c>
      <c r="BK124" s="5">
        <f>IF($E124&gt;=BK$2,VLOOKUP($E124-BK$2,'data input'!$D$3:$E$130,2,FALSE),0)</f>
        <v>3.5930319112925768E-2</v>
      </c>
      <c r="BL124" s="5">
        <f>IF($E124&gt;=BL$2,VLOOKUP($E124-BL$2,'data input'!$D$3:$E$130,2,FALSE),0)</f>
        <v>4.2263736257952433E-2</v>
      </c>
      <c r="BM124" s="5">
        <f>IF($E124&gt;=BM$2,VLOOKUP($E124-BM$2,'data input'!$D$3:$E$130,2,FALSE),0)</f>
        <v>4.9471468033648103E-2</v>
      </c>
      <c r="BN124" s="5">
        <f>IF($E124&gt;=BN$2,VLOOKUP($E124-BN$2,'data input'!$D$3:$E$130,2,FALSE),0)</f>
        <v>5.7628222276153163E-2</v>
      </c>
      <c r="BO124" s="5">
        <f>IF($E124&gt;=BO$2,VLOOKUP($E124-BO$2,'data input'!$D$3:$E$130,2,FALSE),0)</f>
        <v>6.6807201268858085E-2</v>
      </c>
      <c r="BP124" s="5">
        <f>IF($E124&gt;=BP$2,VLOOKUP($E124-BP$2,'data input'!$D$3:$E$130,2,FALSE),0)</f>
        <v>7.707860055207183E-2</v>
      </c>
      <c r="BQ124" s="5">
        <f>IF($E124&gt;=BQ$2,VLOOKUP($E124-BQ$2,'data input'!$D$3:$E$130,2,FALSE),0)</f>
        <v>8.8507991437402067E-2</v>
      </c>
      <c r="BR124" s="5">
        <f>IF($E124&gt;=BR$2,VLOOKUP($E124-BR$2,'data input'!$D$3:$E$130,2,FALSE),0)</f>
        <v>0.10115462099558592</v>
      </c>
      <c r="BS124" s="5">
        <f>IF($E124&gt;=BS$2,VLOOKUP($E124-BS$2,'data input'!$D$3:$E$130,2,FALSE),0)</f>
        <v>0.11506967022170822</v>
      </c>
      <c r="BT124" s="5">
        <f>IF($E124&gt;=BT$2,VLOOKUP($E124-BT$2,'data input'!$D$3:$E$130,2,FALSE),0)</f>
        <v>0.13029451713680884</v>
      </c>
      <c r="BU124" s="5">
        <f>IF($E124&gt;=BU$2,VLOOKUP($E124-BU$2,'data input'!$D$3:$E$130,2,FALSE),0)</f>
        <v>0.14685905637589591</v>
      </c>
      <c r="BV124" s="5">
        <f>IF($E124&gt;=BV$2,VLOOKUP($E124-BV$2,'data input'!$D$3:$E$130,2,FALSE),0)</f>
        <v>0.16478012998031033</v>
      </c>
      <c r="BW124" s="5">
        <f>IF($E124&gt;=BW$2,VLOOKUP($E124-BW$2,'data input'!$D$3:$E$130,2,FALSE),0)</f>
        <v>0.18406012534675953</v>
      </c>
      <c r="BX124" s="5">
        <f>IF($E124&gt;=BX$2,VLOOKUP($E124-BX$2,'data input'!$D$3:$E$130,2,FALSE),0)</f>
        <v>0.20468579534725262</v>
      </c>
      <c r="BY124" s="5">
        <f>IF($E124&gt;=BY$2,VLOOKUP($E124-BY$2,'data input'!$D$3:$E$130,2,FALSE),0)</f>
        <v>0.22662735237686826</v>
      </c>
      <c r="BZ124" s="5">
        <f>IF($E124&gt;=BZ$2,VLOOKUP($E124-BZ$2,'data input'!$D$3:$E$130,2,FALSE),0)</f>
        <v>0.24983788247177696</v>
      </c>
      <c r="CA124" s="5">
        <f>IF($E124&gt;=CA$2,VLOOKUP($E124-CA$2,'data input'!$D$3:$E$130,2,FALSE),0)</f>
        <v>0.27425311775007355</v>
      </c>
      <c r="CB124" s="5">
        <f>IF($E124&gt;=CB$2,VLOOKUP($E124-CB$2,'data input'!$D$3:$E$130,2,FALSE),0)</f>
        <v>0.29979159546869583</v>
      </c>
      <c r="CC124" s="5">
        <f>IF($E124&gt;=CC$2,VLOOKUP($E124-CC$2,'data input'!$D$3:$E$130,2,FALSE),0)</f>
        <v>0.32635522028792008</v>
      </c>
      <c r="CD124" s="5">
        <f>IF($E124&gt;=CD$2,VLOOKUP($E124-CD$2,'data input'!$D$3:$E$130,2,FALSE),0)</f>
        <v>0.35383023332727614</v>
      </c>
      <c r="CE124" s="5">
        <f>IF($E124&gt;=CE$2,VLOOKUP($E124-CE$2,'data input'!$D$3:$E$130,2,FALSE),0)</f>
        <v>0.38208857781104733</v>
      </c>
      <c r="CF124" s="5">
        <f>IF($E124&gt;=CF$2,VLOOKUP($E124-CF$2,'data input'!$D$3:$E$130,2,FALSE),0)</f>
        <v>0.41098963713127035</v>
      </c>
      <c r="CG124" s="5">
        <f>IF($E124&gt;=CG$2,VLOOKUP($E124-CG$2,'data input'!$D$3:$E$130,2,FALSE),0)</f>
        <v>0.4403823076297575</v>
      </c>
      <c r="CH124" s="5">
        <f>IF($E124&gt;=CH$2,VLOOKUP($E124-CH$2,'data input'!$D$3:$E$130,2,FALSE),0)</f>
        <v>0.47010735594710518</v>
      </c>
      <c r="CI124" s="5">
        <f>IF($E124&gt;=CI$2,VLOOKUP($E124-CI$2,'data input'!$D$3:$E$130,2,FALSE),0)</f>
        <v>0.5</v>
      </c>
      <c r="CJ124" s="5">
        <f>IF($E124&gt;=CJ$2,VLOOKUP($E124-CJ$2,'data input'!$D$3:$E$130,2,FALSE),0)</f>
        <v>0.52989264405289482</v>
      </c>
      <c r="CK124" s="5">
        <f>IF($E124&gt;=CK$2,VLOOKUP($E124-CK$2,'data input'!$D$3:$E$130,2,FALSE),0)</f>
        <v>0.5596176923702425</v>
      </c>
      <c r="CL124" s="5">
        <f>IF($E124&gt;=CL$2,VLOOKUP($E124-CL$2,'data input'!$D$3:$E$130,2,FALSE),0)</f>
        <v>0.58901036286872965</v>
      </c>
      <c r="CM124" s="5">
        <f>IF($E124&gt;=CM$2,VLOOKUP($E124-CM$2,'data input'!$D$3:$E$130,2,FALSE),0)</f>
        <v>0.61791142218895267</v>
      </c>
      <c r="CN124" s="5">
        <f>IF($E124&gt;=CN$2,VLOOKUP($E124-CN$2,'data input'!$D$3:$E$130,2,FALSE),0)</f>
        <v>0.64616976667272386</v>
      </c>
      <c r="CO124" s="5">
        <f>IF($E124&gt;=CO$2,VLOOKUP($E124-CO$2,'data input'!$D$3:$E$130,2,FALSE),0)</f>
        <v>0.67364477971207992</v>
      </c>
      <c r="CP124" s="5">
        <f>IF($E124&gt;=CP$2,VLOOKUP($E124-CP$2,'data input'!$D$3:$E$130,2,FALSE),0)</f>
        <v>0.70020840453130417</v>
      </c>
      <c r="CQ124" s="5">
        <f>IF($E124&gt;=CQ$2,VLOOKUP($E124-CQ$2,'data input'!$D$3:$E$130,2,FALSE),0)</f>
        <v>0.72574688224992645</v>
      </c>
      <c r="CR124" s="5">
        <f>IF($E124&gt;=CR$2,VLOOKUP($E124-CR$2,'data input'!$D$3:$E$130,2,FALSE),0)</f>
        <v>0.75016211752822304</v>
      </c>
      <c r="CS124" s="5">
        <f>IF($E124&gt;=CS$2,VLOOKUP($E124-CS$2,'data input'!$D$3:$E$130,2,FALSE),0)</f>
        <v>0.77337264762313174</v>
      </c>
      <c r="CT124" s="5">
        <f>IF($E124&gt;=CT$2,VLOOKUP($E124-CT$2,'data input'!$D$3:$E$130,2,FALSE),0)</f>
        <v>0.79531420465274738</v>
      </c>
      <c r="CU124" s="5">
        <f>IF($E124&gt;=CU$2,VLOOKUP($E124-CU$2,'data input'!$D$3:$E$130,2,FALSE),0)</f>
        <v>0.81593987465324047</v>
      </c>
      <c r="CV124" s="5">
        <f>IF($E124&gt;=CV$2,VLOOKUP($E124-CV$2,'data input'!$D$3:$E$130,2,FALSE),0)</f>
        <v>0.83521987001968967</v>
      </c>
      <c r="CW124" s="5">
        <f>IF($E124&gt;=CW$2,VLOOKUP($E124-CW$2,'data input'!$D$3:$E$130,2,FALSE),0)</f>
        <v>0.85314094362410409</v>
      </c>
      <c r="CX124" s="5">
        <f>IF($E124&gt;=CX$2,VLOOKUP($E124-CX$2,'data input'!$D$3:$E$130,2,FALSE),0)</f>
        <v>0.86970548286319116</v>
      </c>
      <c r="CY124" s="5">
        <f>IF($E124&gt;=CY$2,VLOOKUP($E124-CY$2,'data input'!$D$3:$E$130,2,FALSE),0)</f>
        <v>0.88493032977829178</v>
      </c>
      <c r="CZ124" s="5">
        <f>IF($E124&gt;=CZ$2,VLOOKUP($E124-CZ$2,'data input'!$D$3:$E$130,2,FALSE),0)</f>
        <v>0.89884537900441408</v>
      </c>
      <c r="DA124" s="5">
        <f>IF($E124&gt;=DA$2,VLOOKUP($E124-DA$2,'data input'!$D$3:$E$130,2,FALSE),0)</f>
        <v>0.91149200856259793</v>
      </c>
      <c r="DB124" s="5">
        <f>IF($E124&gt;=DB$2,VLOOKUP($E124-DB$2,'data input'!$D$3:$E$130,2,FALSE),0)</f>
        <v>0.92292139944792817</v>
      </c>
      <c r="DC124" s="5">
        <f>IF($E124&gt;=DC$2,VLOOKUP($E124-DC$2,'data input'!$D$3:$E$130,2,FALSE),0)</f>
        <v>0.93319279873114191</v>
      </c>
      <c r="DD124" s="5">
        <f>IF($E124&gt;=DD$2,VLOOKUP($E124-DD$2,'data input'!$D$3:$E$130,2,FALSE),0)</f>
        <v>0.94237177772384684</v>
      </c>
      <c r="DE124" s="5">
        <f>IF($E124&gt;=DE$2,VLOOKUP($E124-DE$2,'data input'!$D$3:$E$130,2,FALSE),0)</f>
        <v>0.9505285319663519</v>
      </c>
      <c r="DF124" s="5">
        <f>IF($E124&gt;=DF$2,VLOOKUP($E124-DF$2,'data input'!$D$3:$E$130,2,FALSE),0)</f>
        <v>0.95773626374204757</v>
      </c>
      <c r="DG124" s="5">
        <f>IF($E124&gt;=DG$2,VLOOKUP($E124-DG$2,'data input'!$D$3:$E$130,2,FALSE),0)</f>
        <v>0.96406968088707423</v>
      </c>
      <c r="DH124" s="5">
        <f>IF($E124&gt;=DH$2,VLOOKUP($E124-DH$2,'data input'!$D$3:$E$130,2,FALSE),0)</f>
        <v>0.96960363823473861</v>
      </c>
      <c r="DI124" s="5">
        <f>IF($E124&gt;=DI$2,VLOOKUP($E124-DI$2,'data input'!$D$3:$E$130,2,FALSE),0)</f>
        <v>0.97441194047836144</v>
      </c>
      <c r="DJ124" s="5">
        <f>IF($E124&gt;=DJ$2,VLOOKUP($E124-DJ$2,'data input'!$D$3:$E$130,2,FALSE),0)</f>
        <v>0.97856631788584703</v>
      </c>
      <c r="DK124" s="5">
        <f>IF($E124&gt;=DK$2,VLOOKUP($E124-DK$2,'data input'!$D$3:$E$130,2,FALSE),0)</f>
        <v>0.98213557943718344</v>
      </c>
      <c r="DL124" s="5">
        <f>IF($E124&gt;=DL$2,VLOOKUP($E124-DL$2,'data input'!$D$3:$E$130,2,FALSE),0)</f>
        <v>0.98518494180739014</v>
      </c>
      <c r="DM124" s="5">
        <f>IF($E124&gt;=DM$2,VLOOKUP($E124-DM$2,'data input'!$D$3:$E$130,2,FALSE),0)</f>
        <v>0.98777552734495533</v>
      </c>
      <c r="DN124" s="5">
        <f>IF($E124&gt;=DN$2,VLOOKUP($E124-DN$2,'data input'!$D$3:$E$130,2,FALSE),0)</f>
        <v>0.98996401989972593</v>
      </c>
      <c r="DO124" s="5">
        <f>IF($E124&gt;=DO$2,VLOOKUP($E124-DO$2,'data input'!$D$3:$E$130,2,FALSE),0)</f>
        <v>0.99180246407540384</v>
      </c>
      <c r="DP124" s="5">
        <f>IF($E124&gt;=DP$2,VLOOKUP($E124-DP$2,'data input'!$D$3:$E$130,2,FALSE),0)</f>
        <v>0.99333819120801725</v>
      </c>
      <c r="DQ124" s="5">
        <f>IF($E124&gt;=DQ$2,VLOOKUP($E124-DQ$2,'data input'!$D$3:$E$130,2,FALSE),0)</f>
        <v>0.99461385404593328</v>
      </c>
      <c r="DR124" s="5">
        <f>IF($E124&gt;=DR$2,VLOOKUP($E124-DR$2,'data input'!$D$3:$E$130,2,FALSE),0)</f>
        <v>0.99566755163698739</v>
      </c>
      <c r="DS124" s="5">
        <f>IF($E124&gt;=DS$2,VLOOKUP($E124-DS$2,'data input'!$D$3:$E$130,2,FALSE),0)</f>
        <v>0.99653302619695938</v>
      </c>
      <c r="DT124" s="5">
        <f>IF($E124&gt;=DT$2,VLOOKUP($E124-DT$2,'data input'!$D$3:$E$130,2,FALSE),0)</f>
        <v>0.99723991460873751</v>
      </c>
      <c r="DU124" s="5">
        <f>IF($E124&gt;=DU$2,VLOOKUP($E124-DU$2,'data input'!$D$3:$E$130,2,FALSE),0)</f>
        <v>0.99781403854508677</v>
      </c>
      <c r="DV124" s="5">
        <f>IF($E124&gt;=DV$2,VLOOKUP($E124-DV$2,'data input'!$D$3:$E$130,2,FALSE),0)</f>
        <v>0.99827771888413241</v>
      </c>
      <c r="DW124" s="5">
        <f>IF($E124&gt;=DW$2,VLOOKUP($E124-DW$2,'data input'!$D$3:$E$130,2,FALSE),0)</f>
        <v>0.9986501019683699</v>
      </c>
      <c r="DX124" s="5">
        <f>IF($E124&gt;=DX$2,VLOOKUP($E124-DX$2,'data input'!$D$3:$E$130,2,FALSE),0)</f>
        <v>0</v>
      </c>
      <c r="DY124" s="5">
        <f>IF($E124&gt;=DY$2,VLOOKUP($E124-DY$2,'data input'!$D$3:$E$130,2,FALSE),0)</f>
        <v>0</v>
      </c>
      <c r="DZ124" s="5">
        <f>IF($E124&gt;=DZ$2,VLOOKUP($E124-DZ$2,'data input'!$D$3:$E$130,2,FALSE),0)</f>
        <v>0</v>
      </c>
      <c r="EA124" s="5">
        <f>IF($E124&gt;=EA$2,VLOOKUP($E124-EA$2,'data input'!$D$3:$E$130,2,FALSE),0)</f>
        <v>0</v>
      </c>
      <c r="EB124" s="5">
        <f>IF($E124&gt;=EB$2,VLOOKUP($E124-EB$2,'data input'!$D$3:$E$130,2,FALSE),0)</f>
        <v>0</v>
      </c>
      <c r="EC124" s="5">
        <f>IF($E124&gt;=EC$2,VLOOKUP($E124-EC$2,'data input'!$D$3:$E$130,2,FALSE),0)</f>
        <v>0</v>
      </c>
    </row>
    <row r="125" spans="5:133">
      <c r="E125" s="7">
        <f>'data input'!B125</f>
        <v>2000</v>
      </c>
      <c r="F125" s="5">
        <f>IF($E125&gt;=F$2,VLOOKUP($E125-F$2,'data input'!$D$3:$E$130,2,FALSE),0)</f>
        <v>3.8741476693360255E-10</v>
      </c>
      <c r="G125" s="5">
        <f>IF($E125&gt;=G$2,VLOOKUP($E125-G$2,'data input'!$D$3:$E$130,2,FALSE),0)</f>
        <v>6.1993865596576825E-10</v>
      </c>
      <c r="H125" s="5">
        <f>IF($E125&gt;=H$2,VLOOKUP($E125-H$2,'data input'!$D$3:$E$130,2,FALSE),0)</f>
        <v>9.8658770042447941E-10</v>
      </c>
      <c r="I125" s="5">
        <f>IF($E125&gt;=I$2,VLOOKUP($E125-I$2,'data input'!$D$3:$E$130,2,FALSE),0)</f>
        <v>1.5614869397495568E-9</v>
      </c>
      <c r="J125" s="5">
        <f>IF($E125&gt;=J$2,VLOOKUP($E125-J$2,'data input'!$D$3:$E$130,2,FALSE),0)</f>
        <v>2.4578650226203536E-9</v>
      </c>
      <c r="K125" s="5">
        <f>IF($E125&gt;=K$2,VLOOKUP($E125-K$2,'data input'!$D$3:$E$130,2,FALSE),0)</f>
        <v>3.8476543062770929E-9</v>
      </c>
      <c r="L125" s="5">
        <f>IF($E125&gt;=L$2,VLOOKUP($E125-L$2,'data input'!$D$3:$E$130,2,FALSE),0)</f>
        <v>5.9903714211273495E-9</v>
      </c>
      <c r="M125" s="5">
        <f>IF($E125&gt;=M$2,VLOOKUP($E125-M$2,'data input'!$D$3:$E$130,2,FALSE),0)</f>
        <v>9.2753987823712691E-9</v>
      </c>
      <c r="N125" s="5">
        <f>IF($E125&gt;=N$2,VLOOKUP($E125-N$2,'data input'!$D$3:$E$130,2,FALSE),0)</f>
        <v>1.4283479843335556E-8</v>
      </c>
      <c r="O125" s="5">
        <f>IF($E125&gt;=O$2,VLOOKUP($E125-O$2,'data input'!$D$3:$E$130,2,FALSE),0)</f>
        <v>2.1875580569208353E-8</v>
      </c>
      <c r="P125" s="5">
        <f>IF($E125&gt;=P$2,VLOOKUP($E125-P$2,'data input'!$D$3:$E$130,2,FALSE),0)</f>
        <v>3.3320448511453549E-8</v>
      </c>
      <c r="Q125" s="5">
        <f>IF($E125&gt;=Q$2,VLOOKUP($E125-Q$2,'data input'!$D$3:$E$130,2,FALSE),0)</f>
        <v>5.0476519741771142E-8</v>
      </c>
      <c r="R125" s="5">
        <f>IF($E125&gt;=R$2,VLOOKUP($E125-R$2,'data input'!$D$3:$E$130,2,FALSE),0)</f>
        <v>7.6049605168826417E-8</v>
      </c>
      <c r="S125" s="5">
        <f>IF($E125&gt;=S$2,VLOOKUP($E125-S$2,'data input'!$D$3:$E$130,2,FALSE),0)</f>
        <v>1.1395549048831555E-7</v>
      </c>
      <c r="T125" s="5">
        <f>IF($E125&gt;=T$2,VLOOKUP($E125-T$2,'data input'!$D$3:$E$130,2,FALSE),0)</f>
        <v>1.698267406702314E-7</v>
      </c>
      <c r="U125" s="5">
        <f>IF($E125&gt;=U$2,VLOOKUP($E125-U$2,'data input'!$D$3:$E$130,2,FALSE),0)</f>
        <v>2.5171626816256065E-7</v>
      </c>
      <c r="V125" s="5">
        <f>IF($E125&gt;=V$2,VLOOKUP($E125-V$2,'data input'!$D$3:$E$130,2,FALSE),0)</f>
        <v>3.7106740791159609E-7</v>
      </c>
      <c r="W125" s="5">
        <f>IF($E125&gt;=W$2,VLOOKUP($E125-W$2,'data input'!$D$3:$E$130,2,FALSE),0)</f>
        <v>5.4404227556315021E-7</v>
      </c>
      <c r="X125" s="5">
        <f>IF($E125&gt;=X$2,VLOOKUP($E125-X$2,'data input'!$D$3:$E$130,2,FALSE),0)</f>
        <v>7.9332815194899098E-7</v>
      </c>
      <c r="Y125" s="5">
        <f>IF($E125&gt;=Y$2,VLOOKUP($E125-Y$2,'data input'!$D$3:$E$130,2,FALSE),0)</f>
        <v>1.1505767815167545E-6</v>
      </c>
      <c r="Z125" s="5">
        <f>IF($E125&gt;=Z$2,VLOOKUP($E125-Z$2,'data input'!$D$3:$E$130,2,FALSE),0)</f>
        <v>1.6596751443165303E-6</v>
      </c>
      <c r="AA125" s="5">
        <f>IF($E125&gt;=AA$2,VLOOKUP($E125-AA$2,'data input'!$D$3:$E$130,2,FALSE),0)</f>
        <v>2.3810999327800175E-6</v>
      </c>
      <c r="AB125" s="5">
        <f>IF($E125&gt;=AB$2,VLOOKUP($E125-AB$2,'data input'!$D$3:$E$130,2,FALSE),0)</f>
        <v>3.3976731247387093E-6</v>
      </c>
      <c r="AC125" s="5">
        <f>IF($E125&gt;=AC$2,VLOOKUP($E125-AC$2,'data input'!$D$3:$E$130,2,FALSE),0)</f>
        <v>4.8221141606408224E-6</v>
      </c>
      <c r="AD125" s="5">
        <f>IF($E125&gt;=AD$2,VLOOKUP($E125-AD$2,'data input'!$D$3:$E$130,2,FALSE),0)</f>
        <v>6.8068765993745117E-6</v>
      </c>
      <c r="AE125" s="5">
        <f>IF($E125&gt;=AE$2,VLOOKUP($E125-AE$2,'data input'!$D$3:$E$130,2,FALSE),0)</f>
        <v>9.5568647372479276E-6</v>
      </c>
      <c r="AF125" s="5">
        <f>IF($E125&gt;=AF$2,VLOOKUP($E125-AF$2,'data input'!$D$3:$E$130,2,FALSE),0)</f>
        <v>1.3345749015902797E-5</v>
      </c>
      <c r="AG125" s="5">
        <f>IF($E125&gt;=AG$2,VLOOKUP($E125-AG$2,'data input'!$D$3:$E$130,2,FALSE),0)</f>
        <v>1.8536737846241991E-5</v>
      </c>
      <c r="AH125" s="5">
        <f>IF($E125&gt;=AH$2,VLOOKUP($E125-AH$2,'data input'!$D$3:$E$130,2,FALSE),0)</f>
        <v>2.5608816474065321E-5</v>
      </c>
      <c r="AI125" s="5">
        <f>IF($E125&gt;=AI$2,VLOOKUP($E125-AI$2,'data input'!$D$3:$E$130,2,FALSE),0)</f>
        <v>3.5189628065923628E-5</v>
      </c>
      <c r="AJ125" s="5">
        <f>IF($E125&gt;=AJ$2,VLOOKUP($E125-AJ$2,'data input'!$D$3:$E$130,2,FALSE),0)</f>
        <v>4.8096344017589665E-5</v>
      </c>
      <c r="AK125" s="5">
        <f>IF($E125&gt;=AK$2,VLOOKUP($E125-AK$2,'data input'!$D$3:$E$130,2,FALSE),0)</f>
        <v>6.5386043242687819E-5</v>
      </c>
      <c r="AL125" s="5">
        <f>IF($E125&gt;=AL$2,VLOOKUP($E125-AL$2,'data input'!$D$3:$E$130,2,FALSE),0)</f>
        <v>8.841728520081471E-5</v>
      </c>
      <c r="AM125" s="5">
        <f>IF($E125&gt;=AM$2,VLOOKUP($E125-AM$2,'data input'!$D$3:$E$130,2,FALSE),0)</f>
        <v>1.1892470732677296E-4</v>
      </c>
      <c r="AN125" s="5">
        <f>IF($E125&gt;=AN$2,VLOOKUP($E125-AN$2,'data input'!$D$3:$E$130,2,FALSE),0)</f>
        <v>1.5910859015755285E-4</v>
      </c>
      <c r="AO125" s="5">
        <f>IF($E125&gt;=AO$2,VLOOKUP($E125-AO$2,'data input'!$D$3:$E$130,2,FALSE),0)</f>
        <v>2.1174139572344153E-4</v>
      </c>
      <c r="AP125" s="5">
        <f>IF($E125&gt;=AP$2,VLOOKUP($E125-AP$2,'data input'!$D$3:$E$130,2,FALSE),0)</f>
        <v>2.8029327681622362E-4</v>
      </c>
      <c r="AQ125" s="5">
        <f>IF($E125&gt;=AQ$2,VLOOKUP($E125-AQ$2,'data input'!$D$3:$E$130,2,FALSE),0)</f>
        <v>3.6907845427502917E-4</v>
      </c>
      <c r="AR125" s="5">
        <f>IF($E125&gt;=AR$2,VLOOKUP($E125-AR$2,'data input'!$D$3:$E$130,2,FALSE),0)</f>
        <v>4.8342414238378151E-4</v>
      </c>
      <c r="AS125" s="5">
        <f>IF($E125&gt;=AS$2,VLOOKUP($E125-AS$2,'data input'!$D$3:$E$130,2,FALSE),0)</f>
        <v>6.2986334399772748E-4</v>
      </c>
      <c r="AT125" s="5">
        <f>IF($E125&gt;=AT$2,VLOOKUP($E125-AT$2,'data input'!$D$3:$E$130,2,FALSE),0)</f>
        <v>8.1635231282861653E-4</v>
      </c>
      <c r="AU125" s="5">
        <f>IF($E125&gt;=AU$2,VLOOKUP($E125-AU$2,'data input'!$D$3:$E$130,2,FALSE),0)</f>
        <v>1.0525127683760349E-3</v>
      </c>
      <c r="AV125" s="5">
        <f>IF($E125&gt;=AV$2,VLOOKUP($E125-AV$2,'data input'!$D$3:$E$130,2,FALSE),0)</f>
        <v>1.3498980316301035E-3</v>
      </c>
      <c r="AW125" s="5">
        <f>IF($E125&gt;=AW$2,VLOOKUP($E125-AW$2,'data input'!$D$3:$E$130,2,FALSE),0)</f>
        <v>1.7222811158675855E-3</v>
      </c>
      <c r="AX125" s="5">
        <f>IF($E125&gt;=AX$2,VLOOKUP($E125-AX$2,'data input'!$D$3:$E$130,2,FALSE),0)</f>
        <v>2.1859614549132322E-3</v>
      </c>
      <c r="AY125" s="5">
        <f>IF($E125&gt;=AY$2,VLOOKUP($E125-AY$2,'data input'!$D$3:$E$130,2,FALSE),0)</f>
        <v>2.7600853912624901E-3</v>
      </c>
      <c r="AZ125" s="5">
        <f>IF($E125&gt;=AZ$2,VLOOKUP($E125-AZ$2,'data input'!$D$3:$E$130,2,FALSE),0)</f>
        <v>3.4669738030406183E-3</v>
      </c>
      <c r="BA125" s="5">
        <f>IF($E125&gt;=BA$2,VLOOKUP($E125-BA$2,'data input'!$D$3:$E$130,2,FALSE),0)</f>
        <v>4.3324483630126087E-3</v>
      </c>
      <c r="BB125" s="5">
        <f>IF($E125&gt;=BB$2,VLOOKUP($E125-BB$2,'data input'!$D$3:$E$130,2,FALSE),0)</f>
        <v>5.3861459540667234E-3</v>
      </c>
      <c r="BC125" s="5">
        <f>IF($E125&gt;=BC$2,VLOOKUP($E125-BC$2,'data input'!$D$3:$E$130,2,FALSE),0)</f>
        <v>6.6618087919827484E-3</v>
      </c>
      <c r="BD125" s="5">
        <f>IF($E125&gt;=BD$2,VLOOKUP($E125-BD$2,'data input'!$D$3:$E$130,2,FALSE),0)</f>
        <v>8.1975359245961554E-3</v>
      </c>
      <c r="BE125" s="5">
        <f>IF($E125&gt;=BE$2,VLOOKUP($E125-BE$2,'data input'!$D$3:$E$130,2,FALSE),0)</f>
        <v>1.0035980100274067E-2</v>
      </c>
      <c r="BF125" s="5">
        <f>IF($E125&gt;=BF$2,VLOOKUP($E125-BF$2,'data input'!$D$3:$E$130,2,FALSE),0)</f>
        <v>1.2224472655044671E-2</v>
      </c>
      <c r="BG125" s="5">
        <f>IF($E125&gt;=BG$2,VLOOKUP($E125-BG$2,'data input'!$D$3:$E$130,2,FALSE),0)</f>
        <v>1.4815058192609865E-2</v>
      </c>
      <c r="BH125" s="5">
        <f>IF($E125&gt;=BH$2,VLOOKUP($E125-BH$2,'data input'!$D$3:$E$130,2,FALSE),0)</f>
        <v>1.7864420562816563E-2</v>
      </c>
      <c r="BI125" s="5">
        <f>IF($E125&gt;=BI$2,VLOOKUP($E125-BI$2,'data input'!$D$3:$E$130,2,FALSE),0)</f>
        <v>2.1433682114152974E-2</v>
      </c>
      <c r="BJ125" s="5">
        <f>IF($E125&gt;=BJ$2,VLOOKUP($E125-BJ$2,'data input'!$D$3:$E$130,2,FALSE),0)</f>
        <v>2.5588059521638562E-2</v>
      </c>
      <c r="BK125" s="5">
        <f>IF($E125&gt;=BK$2,VLOOKUP($E125-BK$2,'data input'!$D$3:$E$130,2,FALSE),0)</f>
        <v>3.0396361765261393E-2</v>
      </c>
      <c r="BL125" s="5">
        <f>IF($E125&gt;=BL$2,VLOOKUP($E125-BL$2,'data input'!$D$3:$E$130,2,FALSE),0)</f>
        <v>3.5930319112925768E-2</v>
      </c>
      <c r="BM125" s="5">
        <f>IF($E125&gt;=BM$2,VLOOKUP($E125-BM$2,'data input'!$D$3:$E$130,2,FALSE),0)</f>
        <v>4.2263736257952433E-2</v>
      </c>
      <c r="BN125" s="5">
        <f>IF($E125&gt;=BN$2,VLOOKUP($E125-BN$2,'data input'!$D$3:$E$130,2,FALSE),0)</f>
        <v>4.9471468033648103E-2</v>
      </c>
      <c r="BO125" s="5">
        <f>IF($E125&gt;=BO$2,VLOOKUP($E125-BO$2,'data input'!$D$3:$E$130,2,FALSE),0)</f>
        <v>5.7628222276153163E-2</v>
      </c>
      <c r="BP125" s="5">
        <f>IF($E125&gt;=BP$2,VLOOKUP($E125-BP$2,'data input'!$D$3:$E$130,2,FALSE),0)</f>
        <v>6.6807201268858085E-2</v>
      </c>
      <c r="BQ125" s="5">
        <f>IF($E125&gt;=BQ$2,VLOOKUP($E125-BQ$2,'data input'!$D$3:$E$130,2,FALSE),0)</f>
        <v>7.707860055207183E-2</v>
      </c>
      <c r="BR125" s="5">
        <f>IF($E125&gt;=BR$2,VLOOKUP($E125-BR$2,'data input'!$D$3:$E$130,2,FALSE),0)</f>
        <v>8.8507991437402067E-2</v>
      </c>
      <c r="BS125" s="5">
        <f>IF($E125&gt;=BS$2,VLOOKUP($E125-BS$2,'data input'!$D$3:$E$130,2,FALSE),0)</f>
        <v>0.10115462099558592</v>
      </c>
      <c r="BT125" s="5">
        <f>IF($E125&gt;=BT$2,VLOOKUP($E125-BT$2,'data input'!$D$3:$E$130,2,FALSE),0)</f>
        <v>0.11506967022170822</v>
      </c>
      <c r="BU125" s="5">
        <f>IF($E125&gt;=BU$2,VLOOKUP($E125-BU$2,'data input'!$D$3:$E$130,2,FALSE),0)</f>
        <v>0.13029451713680884</v>
      </c>
      <c r="BV125" s="5">
        <f>IF($E125&gt;=BV$2,VLOOKUP($E125-BV$2,'data input'!$D$3:$E$130,2,FALSE),0)</f>
        <v>0.14685905637589591</v>
      </c>
      <c r="BW125" s="5">
        <f>IF($E125&gt;=BW$2,VLOOKUP($E125-BW$2,'data input'!$D$3:$E$130,2,FALSE),0)</f>
        <v>0.16478012998031033</v>
      </c>
      <c r="BX125" s="5">
        <f>IF($E125&gt;=BX$2,VLOOKUP($E125-BX$2,'data input'!$D$3:$E$130,2,FALSE),0)</f>
        <v>0.18406012534675953</v>
      </c>
      <c r="BY125" s="5">
        <f>IF($E125&gt;=BY$2,VLOOKUP($E125-BY$2,'data input'!$D$3:$E$130,2,FALSE),0)</f>
        <v>0.20468579534725262</v>
      </c>
      <c r="BZ125" s="5">
        <f>IF($E125&gt;=BZ$2,VLOOKUP($E125-BZ$2,'data input'!$D$3:$E$130,2,FALSE),0)</f>
        <v>0.22662735237686826</v>
      </c>
      <c r="CA125" s="5">
        <f>IF($E125&gt;=CA$2,VLOOKUP($E125-CA$2,'data input'!$D$3:$E$130,2,FALSE),0)</f>
        <v>0.24983788247177696</v>
      </c>
      <c r="CB125" s="5">
        <f>IF($E125&gt;=CB$2,VLOOKUP($E125-CB$2,'data input'!$D$3:$E$130,2,FALSE),0)</f>
        <v>0.27425311775007355</v>
      </c>
      <c r="CC125" s="5">
        <f>IF($E125&gt;=CC$2,VLOOKUP($E125-CC$2,'data input'!$D$3:$E$130,2,FALSE),0)</f>
        <v>0.29979159546869583</v>
      </c>
      <c r="CD125" s="5">
        <f>IF($E125&gt;=CD$2,VLOOKUP($E125-CD$2,'data input'!$D$3:$E$130,2,FALSE),0)</f>
        <v>0.32635522028792008</v>
      </c>
      <c r="CE125" s="5">
        <f>IF($E125&gt;=CE$2,VLOOKUP($E125-CE$2,'data input'!$D$3:$E$130,2,FALSE),0)</f>
        <v>0.35383023332727614</v>
      </c>
      <c r="CF125" s="5">
        <f>IF($E125&gt;=CF$2,VLOOKUP($E125-CF$2,'data input'!$D$3:$E$130,2,FALSE),0)</f>
        <v>0.38208857781104733</v>
      </c>
      <c r="CG125" s="5">
        <f>IF($E125&gt;=CG$2,VLOOKUP($E125-CG$2,'data input'!$D$3:$E$130,2,FALSE),0)</f>
        <v>0.41098963713127035</v>
      </c>
      <c r="CH125" s="5">
        <f>IF($E125&gt;=CH$2,VLOOKUP($E125-CH$2,'data input'!$D$3:$E$130,2,FALSE),0)</f>
        <v>0.4403823076297575</v>
      </c>
      <c r="CI125" s="5">
        <f>IF($E125&gt;=CI$2,VLOOKUP($E125-CI$2,'data input'!$D$3:$E$130,2,FALSE),0)</f>
        <v>0.47010735594710518</v>
      </c>
      <c r="CJ125" s="5">
        <f>IF($E125&gt;=CJ$2,VLOOKUP($E125-CJ$2,'data input'!$D$3:$E$130,2,FALSE),0)</f>
        <v>0.5</v>
      </c>
      <c r="CK125" s="5">
        <f>IF($E125&gt;=CK$2,VLOOKUP($E125-CK$2,'data input'!$D$3:$E$130,2,FALSE),0)</f>
        <v>0.52989264405289482</v>
      </c>
      <c r="CL125" s="5">
        <f>IF($E125&gt;=CL$2,VLOOKUP($E125-CL$2,'data input'!$D$3:$E$130,2,FALSE),0)</f>
        <v>0.5596176923702425</v>
      </c>
      <c r="CM125" s="5">
        <f>IF($E125&gt;=CM$2,VLOOKUP($E125-CM$2,'data input'!$D$3:$E$130,2,FALSE),0)</f>
        <v>0.58901036286872965</v>
      </c>
      <c r="CN125" s="5">
        <f>IF($E125&gt;=CN$2,VLOOKUP($E125-CN$2,'data input'!$D$3:$E$130,2,FALSE),0)</f>
        <v>0.61791142218895267</v>
      </c>
      <c r="CO125" s="5">
        <f>IF($E125&gt;=CO$2,VLOOKUP($E125-CO$2,'data input'!$D$3:$E$130,2,FALSE),0)</f>
        <v>0.64616976667272386</v>
      </c>
      <c r="CP125" s="5">
        <f>IF($E125&gt;=CP$2,VLOOKUP($E125-CP$2,'data input'!$D$3:$E$130,2,FALSE),0)</f>
        <v>0.67364477971207992</v>
      </c>
      <c r="CQ125" s="5">
        <f>IF($E125&gt;=CQ$2,VLOOKUP($E125-CQ$2,'data input'!$D$3:$E$130,2,FALSE),0)</f>
        <v>0.70020840453130417</v>
      </c>
      <c r="CR125" s="5">
        <f>IF($E125&gt;=CR$2,VLOOKUP($E125-CR$2,'data input'!$D$3:$E$130,2,FALSE),0)</f>
        <v>0.72574688224992645</v>
      </c>
      <c r="CS125" s="5">
        <f>IF($E125&gt;=CS$2,VLOOKUP($E125-CS$2,'data input'!$D$3:$E$130,2,FALSE),0)</f>
        <v>0.75016211752822304</v>
      </c>
      <c r="CT125" s="5">
        <f>IF($E125&gt;=CT$2,VLOOKUP($E125-CT$2,'data input'!$D$3:$E$130,2,FALSE),0)</f>
        <v>0.77337264762313174</v>
      </c>
      <c r="CU125" s="5">
        <f>IF($E125&gt;=CU$2,VLOOKUP($E125-CU$2,'data input'!$D$3:$E$130,2,FALSE),0)</f>
        <v>0.79531420465274738</v>
      </c>
      <c r="CV125" s="5">
        <f>IF($E125&gt;=CV$2,VLOOKUP($E125-CV$2,'data input'!$D$3:$E$130,2,FALSE),0)</f>
        <v>0.81593987465324047</v>
      </c>
      <c r="CW125" s="5">
        <f>IF($E125&gt;=CW$2,VLOOKUP($E125-CW$2,'data input'!$D$3:$E$130,2,FALSE),0)</f>
        <v>0.83521987001968967</v>
      </c>
      <c r="CX125" s="5">
        <f>IF($E125&gt;=CX$2,VLOOKUP($E125-CX$2,'data input'!$D$3:$E$130,2,FALSE),0)</f>
        <v>0.85314094362410409</v>
      </c>
      <c r="CY125" s="5">
        <f>IF($E125&gt;=CY$2,VLOOKUP($E125-CY$2,'data input'!$D$3:$E$130,2,FALSE),0)</f>
        <v>0.86970548286319116</v>
      </c>
      <c r="CZ125" s="5">
        <f>IF($E125&gt;=CZ$2,VLOOKUP($E125-CZ$2,'data input'!$D$3:$E$130,2,FALSE),0)</f>
        <v>0.88493032977829178</v>
      </c>
      <c r="DA125" s="5">
        <f>IF($E125&gt;=DA$2,VLOOKUP($E125-DA$2,'data input'!$D$3:$E$130,2,FALSE),0)</f>
        <v>0.89884537900441408</v>
      </c>
      <c r="DB125" s="5">
        <f>IF($E125&gt;=DB$2,VLOOKUP($E125-DB$2,'data input'!$D$3:$E$130,2,FALSE),0)</f>
        <v>0.91149200856259793</v>
      </c>
      <c r="DC125" s="5">
        <f>IF($E125&gt;=DC$2,VLOOKUP($E125-DC$2,'data input'!$D$3:$E$130,2,FALSE),0)</f>
        <v>0.92292139944792817</v>
      </c>
      <c r="DD125" s="5">
        <f>IF($E125&gt;=DD$2,VLOOKUP($E125-DD$2,'data input'!$D$3:$E$130,2,FALSE),0)</f>
        <v>0.93319279873114191</v>
      </c>
      <c r="DE125" s="5">
        <f>IF($E125&gt;=DE$2,VLOOKUP($E125-DE$2,'data input'!$D$3:$E$130,2,FALSE),0)</f>
        <v>0.94237177772384684</v>
      </c>
      <c r="DF125" s="5">
        <f>IF($E125&gt;=DF$2,VLOOKUP($E125-DF$2,'data input'!$D$3:$E$130,2,FALSE),0)</f>
        <v>0.9505285319663519</v>
      </c>
      <c r="DG125" s="5">
        <f>IF($E125&gt;=DG$2,VLOOKUP($E125-DG$2,'data input'!$D$3:$E$130,2,FALSE),0)</f>
        <v>0.95773626374204757</v>
      </c>
      <c r="DH125" s="5">
        <f>IF($E125&gt;=DH$2,VLOOKUP($E125-DH$2,'data input'!$D$3:$E$130,2,FALSE),0)</f>
        <v>0.96406968088707423</v>
      </c>
      <c r="DI125" s="5">
        <f>IF($E125&gt;=DI$2,VLOOKUP($E125-DI$2,'data input'!$D$3:$E$130,2,FALSE),0)</f>
        <v>0.96960363823473861</v>
      </c>
      <c r="DJ125" s="5">
        <f>IF($E125&gt;=DJ$2,VLOOKUP($E125-DJ$2,'data input'!$D$3:$E$130,2,FALSE),0)</f>
        <v>0.97441194047836144</v>
      </c>
      <c r="DK125" s="5">
        <f>IF($E125&gt;=DK$2,VLOOKUP($E125-DK$2,'data input'!$D$3:$E$130,2,FALSE),0)</f>
        <v>0.97856631788584703</v>
      </c>
      <c r="DL125" s="5">
        <f>IF($E125&gt;=DL$2,VLOOKUP($E125-DL$2,'data input'!$D$3:$E$130,2,FALSE),0)</f>
        <v>0.98213557943718344</v>
      </c>
      <c r="DM125" s="5">
        <f>IF($E125&gt;=DM$2,VLOOKUP($E125-DM$2,'data input'!$D$3:$E$130,2,FALSE),0)</f>
        <v>0.98518494180739014</v>
      </c>
      <c r="DN125" s="5">
        <f>IF($E125&gt;=DN$2,VLOOKUP($E125-DN$2,'data input'!$D$3:$E$130,2,FALSE),0)</f>
        <v>0.98777552734495533</v>
      </c>
      <c r="DO125" s="5">
        <f>IF($E125&gt;=DO$2,VLOOKUP($E125-DO$2,'data input'!$D$3:$E$130,2,FALSE),0)</f>
        <v>0.98996401989972593</v>
      </c>
      <c r="DP125" s="5">
        <f>IF($E125&gt;=DP$2,VLOOKUP($E125-DP$2,'data input'!$D$3:$E$130,2,FALSE),0)</f>
        <v>0.99180246407540384</v>
      </c>
      <c r="DQ125" s="5">
        <f>IF($E125&gt;=DQ$2,VLOOKUP($E125-DQ$2,'data input'!$D$3:$E$130,2,FALSE),0)</f>
        <v>0.99333819120801725</v>
      </c>
      <c r="DR125" s="5">
        <f>IF($E125&gt;=DR$2,VLOOKUP($E125-DR$2,'data input'!$D$3:$E$130,2,FALSE),0)</f>
        <v>0.99461385404593328</v>
      </c>
      <c r="DS125" s="5">
        <f>IF($E125&gt;=DS$2,VLOOKUP($E125-DS$2,'data input'!$D$3:$E$130,2,FALSE),0)</f>
        <v>0.99566755163698739</v>
      </c>
      <c r="DT125" s="5">
        <f>IF($E125&gt;=DT$2,VLOOKUP($E125-DT$2,'data input'!$D$3:$E$130,2,FALSE),0)</f>
        <v>0.99653302619695938</v>
      </c>
      <c r="DU125" s="5">
        <f>IF($E125&gt;=DU$2,VLOOKUP($E125-DU$2,'data input'!$D$3:$E$130,2,FALSE),0)</f>
        <v>0.99723991460873751</v>
      </c>
      <c r="DV125" s="5">
        <f>IF($E125&gt;=DV$2,VLOOKUP($E125-DV$2,'data input'!$D$3:$E$130,2,FALSE),0)</f>
        <v>0.99781403854508677</v>
      </c>
      <c r="DW125" s="5">
        <f>IF($E125&gt;=DW$2,VLOOKUP($E125-DW$2,'data input'!$D$3:$E$130,2,FALSE),0)</f>
        <v>0.99827771888413241</v>
      </c>
      <c r="DX125" s="5">
        <f>IF($E125&gt;=DX$2,VLOOKUP($E125-DX$2,'data input'!$D$3:$E$130,2,FALSE),0)</f>
        <v>0.9986501019683699</v>
      </c>
      <c r="DY125" s="5">
        <f>IF($E125&gt;=DY$2,VLOOKUP($E125-DY$2,'data input'!$D$3:$E$130,2,FALSE),0)</f>
        <v>0</v>
      </c>
      <c r="DZ125" s="5">
        <f>IF($E125&gt;=DZ$2,VLOOKUP($E125-DZ$2,'data input'!$D$3:$E$130,2,FALSE),0)</f>
        <v>0</v>
      </c>
      <c r="EA125" s="5">
        <f>IF($E125&gt;=EA$2,VLOOKUP($E125-EA$2,'data input'!$D$3:$E$130,2,FALSE),0)</f>
        <v>0</v>
      </c>
      <c r="EB125" s="5">
        <f>IF($E125&gt;=EB$2,VLOOKUP($E125-EB$2,'data input'!$D$3:$E$130,2,FALSE),0)</f>
        <v>0</v>
      </c>
      <c r="EC125" s="5">
        <f>IF($E125&gt;=EC$2,VLOOKUP($E125-EC$2,'data input'!$D$3:$E$130,2,FALSE),0)</f>
        <v>0</v>
      </c>
    </row>
    <row r="126" spans="5:133">
      <c r="E126" s="7">
        <f>'data input'!B126</f>
        <v>2001</v>
      </c>
      <c r="F126" s="5">
        <f>IF($E126&gt;=F$2,VLOOKUP($E126-F$2,'data input'!$D$3:$E$130,2,FALSE),0)</f>
        <v>2.4077795313104389E-10</v>
      </c>
      <c r="G126" s="5">
        <f>IF($E126&gt;=G$2,VLOOKUP($E126-G$2,'data input'!$D$3:$E$130,2,FALSE),0)</f>
        <v>3.8741476693360255E-10</v>
      </c>
      <c r="H126" s="5">
        <f>IF($E126&gt;=H$2,VLOOKUP($E126-H$2,'data input'!$D$3:$E$130,2,FALSE),0)</f>
        <v>6.1993865596576825E-10</v>
      </c>
      <c r="I126" s="5">
        <f>IF($E126&gt;=I$2,VLOOKUP($E126-I$2,'data input'!$D$3:$E$130,2,FALSE),0)</f>
        <v>9.8658770042447941E-10</v>
      </c>
      <c r="J126" s="5">
        <f>IF($E126&gt;=J$2,VLOOKUP($E126-J$2,'data input'!$D$3:$E$130,2,FALSE),0)</f>
        <v>1.5614869397495568E-9</v>
      </c>
      <c r="K126" s="5">
        <f>IF($E126&gt;=K$2,VLOOKUP($E126-K$2,'data input'!$D$3:$E$130,2,FALSE),0)</f>
        <v>2.4578650226203536E-9</v>
      </c>
      <c r="L126" s="5">
        <f>IF($E126&gt;=L$2,VLOOKUP($E126-L$2,'data input'!$D$3:$E$130,2,FALSE),0)</f>
        <v>3.8476543062770929E-9</v>
      </c>
      <c r="M126" s="5">
        <f>IF($E126&gt;=M$2,VLOOKUP($E126-M$2,'data input'!$D$3:$E$130,2,FALSE),0)</f>
        <v>5.9903714211273495E-9</v>
      </c>
      <c r="N126" s="5">
        <f>IF($E126&gt;=N$2,VLOOKUP($E126-N$2,'data input'!$D$3:$E$130,2,FALSE),0)</f>
        <v>9.2753987823712691E-9</v>
      </c>
      <c r="O126" s="5">
        <f>IF($E126&gt;=O$2,VLOOKUP($E126-O$2,'data input'!$D$3:$E$130,2,FALSE),0)</f>
        <v>1.4283479843335556E-8</v>
      </c>
      <c r="P126" s="5">
        <f>IF($E126&gt;=P$2,VLOOKUP($E126-P$2,'data input'!$D$3:$E$130,2,FALSE),0)</f>
        <v>2.1875580569208353E-8</v>
      </c>
      <c r="Q126" s="5">
        <f>IF($E126&gt;=Q$2,VLOOKUP($E126-Q$2,'data input'!$D$3:$E$130,2,FALSE),0)</f>
        <v>3.3320448511453549E-8</v>
      </c>
      <c r="R126" s="5">
        <f>IF($E126&gt;=R$2,VLOOKUP($E126-R$2,'data input'!$D$3:$E$130,2,FALSE),0)</f>
        <v>5.0476519741771142E-8</v>
      </c>
      <c r="S126" s="5">
        <f>IF($E126&gt;=S$2,VLOOKUP($E126-S$2,'data input'!$D$3:$E$130,2,FALSE),0)</f>
        <v>7.6049605168826417E-8</v>
      </c>
      <c r="T126" s="5">
        <f>IF($E126&gt;=T$2,VLOOKUP($E126-T$2,'data input'!$D$3:$E$130,2,FALSE),0)</f>
        <v>1.1395549048831555E-7</v>
      </c>
      <c r="U126" s="5">
        <f>IF($E126&gt;=U$2,VLOOKUP($E126-U$2,'data input'!$D$3:$E$130,2,FALSE),0)</f>
        <v>1.698267406702314E-7</v>
      </c>
      <c r="V126" s="5">
        <f>IF($E126&gt;=V$2,VLOOKUP($E126-V$2,'data input'!$D$3:$E$130,2,FALSE),0)</f>
        <v>2.5171626816256065E-7</v>
      </c>
      <c r="W126" s="5">
        <f>IF($E126&gt;=W$2,VLOOKUP($E126-W$2,'data input'!$D$3:$E$130,2,FALSE),0)</f>
        <v>3.7106740791159609E-7</v>
      </c>
      <c r="X126" s="5">
        <f>IF($E126&gt;=X$2,VLOOKUP($E126-X$2,'data input'!$D$3:$E$130,2,FALSE),0)</f>
        <v>5.4404227556315021E-7</v>
      </c>
      <c r="Y126" s="5">
        <f>IF($E126&gt;=Y$2,VLOOKUP($E126-Y$2,'data input'!$D$3:$E$130,2,FALSE),0)</f>
        <v>7.9332815194899098E-7</v>
      </c>
      <c r="Z126" s="5">
        <f>IF($E126&gt;=Z$2,VLOOKUP($E126-Z$2,'data input'!$D$3:$E$130,2,FALSE),0)</f>
        <v>1.1505767815167545E-6</v>
      </c>
      <c r="AA126" s="5">
        <f>IF($E126&gt;=AA$2,VLOOKUP($E126-AA$2,'data input'!$D$3:$E$130,2,FALSE),0)</f>
        <v>1.6596751443165303E-6</v>
      </c>
      <c r="AB126" s="5">
        <f>IF($E126&gt;=AB$2,VLOOKUP($E126-AB$2,'data input'!$D$3:$E$130,2,FALSE),0)</f>
        <v>2.3810999327800175E-6</v>
      </c>
      <c r="AC126" s="5">
        <f>IF($E126&gt;=AC$2,VLOOKUP($E126-AC$2,'data input'!$D$3:$E$130,2,FALSE),0)</f>
        <v>3.3976731247387093E-6</v>
      </c>
      <c r="AD126" s="5">
        <f>IF($E126&gt;=AD$2,VLOOKUP($E126-AD$2,'data input'!$D$3:$E$130,2,FALSE),0)</f>
        <v>4.8221141606408224E-6</v>
      </c>
      <c r="AE126" s="5">
        <f>IF($E126&gt;=AE$2,VLOOKUP($E126-AE$2,'data input'!$D$3:$E$130,2,FALSE),0)</f>
        <v>6.8068765993745117E-6</v>
      </c>
      <c r="AF126" s="5">
        <f>IF($E126&gt;=AF$2,VLOOKUP($E126-AF$2,'data input'!$D$3:$E$130,2,FALSE),0)</f>
        <v>9.5568647372479276E-6</v>
      </c>
      <c r="AG126" s="5">
        <f>IF($E126&gt;=AG$2,VLOOKUP($E126-AG$2,'data input'!$D$3:$E$130,2,FALSE),0)</f>
        <v>1.3345749015902797E-5</v>
      </c>
      <c r="AH126" s="5">
        <f>IF($E126&gt;=AH$2,VLOOKUP($E126-AH$2,'data input'!$D$3:$E$130,2,FALSE),0)</f>
        <v>1.8536737846241991E-5</v>
      </c>
      <c r="AI126" s="5">
        <f>IF($E126&gt;=AI$2,VLOOKUP($E126-AI$2,'data input'!$D$3:$E$130,2,FALSE),0)</f>
        <v>2.5608816474065321E-5</v>
      </c>
      <c r="AJ126" s="5">
        <f>IF($E126&gt;=AJ$2,VLOOKUP($E126-AJ$2,'data input'!$D$3:$E$130,2,FALSE),0)</f>
        <v>3.5189628065923628E-5</v>
      </c>
      <c r="AK126" s="5">
        <f>IF($E126&gt;=AK$2,VLOOKUP($E126-AK$2,'data input'!$D$3:$E$130,2,FALSE),0)</f>
        <v>4.8096344017589665E-5</v>
      </c>
      <c r="AL126" s="5">
        <f>IF($E126&gt;=AL$2,VLOOKUP($E126-AL$2,'data input'!$D$3:$E$130,2,FALSE),0)</f>
        <v>6.5386043242687819E-5</v>
      </c>
      <c r="AM126" s="5">
        <f>IF($E126&gt;=AM$2,VLOOKUP($E126-AM$2,'data input'!$D$3:$E$130,2,FALSE),0)</f>
        <v>8.841728520081471E-5</v>
      </c>
      <c r="AN126" s="5">
        <f>IF($E126&gt;=AN$2,VLOOKUP($E126-AN$2,'data input'!$D$3:$E$130,2,FALSE),0)</f>
        <v>1.1892470732677296E-4</v>
      </c>
      <c r="AO126" s="5">
        <f>IF($E126&gt;=AO$2,VLOOKUP($E126-AO$2,'data input'!$D$3:$E$130,2,FALSE),0)</f>
        <v>1.5910859015755285E-4</v>
      </c>
      <c r="AP126" s="5">
        <f>IF($E126&gt;=AP$2,VLOOKUP($E126-AP$2,'data input'!$D$3:$E$130,2,FALSE),0)</f>
        <v>2.1174139572344153E-4</v>
      </c>
      <c r="AQ126" s="5">
        <f>IF($E126&gt;=AQ$2,VLOOKUP($E126-AQ$2,'data input'!$D$3:$E$130,2,FALSE),0)</f>
        <v>2.8029327681622362E-4</v>
      </c>
      <c r="AR126" s="5">
        <f>IF($E126&gt;=AR$2,VLOOKUP($E126-AR$2,'data input'!$D$3:$E$130,2,FALSE),0)</f>
        <v>3.6907845427502917E-4</v>
      </c>
      <c r="AS126" s="5">
        <f>IF($E126&gt;=AS$2,VLOOKUP($E126-AS$2,'data input'!$D$3:$E$130,2,FALSE),0)</f>
        <v>4.8342414238378151E-4</v>
      </c>
      <c r="AT126" s="5">
        <f>IF($E126&gt;=AT$2,VLOOKUP($E126-AT$2,'data input'!$D$3:$E$130,2,FALSE),0)</f>
        <v>6.2986334399772748E-4</v>
      </c>
      <c r="AU126" s="5">
        <f>IF($E126&gt;=AU$2,VLOOKUP($E126-AU$2,'data input'!$D$3:$E$130,2,FALSE),0)</f>
        <v>8.1635231282861653E-4</v>
      </c>
      <c r="AV126" s="5">
        <f>IF($E126&gt;=AV$2,VLOOKUP($E126-AV$2,'data input'!$D$3:$E$130,2,FALSE),0)</f>
        <v>1.0525127683760349E-3</v>
      </c>
      <c r="AW126" s="5">
        <f>IF($E126&gt;=AW$2,VLOOKUP($E126-AW$2,'data input'!$D$3:$E$130,2,FALSE),0)</f>
        <v>1.3498980316301035E-3</v>
      </c>
      <c r="AX126" s="5">
        <f>IF($E126&gt;=AX$2,VLOOKUP($E126-AX$2,'data input'!$D$3:$E$130,2,FALSE),0)</f>
        <v>1.7222811158675855E-3</v>
      </c>
      <c r="AY126" s="5">
        <f>IF($E126&gt;=AY$2,VLOOKUP($E126-AY$2,'data input'!$D$3:$E$130,2,FALSE),0)</f>
        <v>2.1859614549132322E-3</v>
      </c>
      <c r="AZ126" s="5">
        <f>IF($E126&gt;=AZ$2,VLOOKUP($E126-AZ$2,'data input'!$D$3:$E$130,2,FALSE),0)</f>
        <v>2.7600853912624901E-3</v>
      </c>
      <c r="BA126" s="5">
        <f>IF($E126&gt;=BA$2,VLOOKUP($E126-BA$2,'data input'!$D$3:$E$130,2,FALSE),0)</f>
        <v>3.4669738030406183E-3</v>
      </c>
      <c r="BB126" s="5">
        <f>IF($E126&gt;=BB$2,VLOOKUP($E126-BB$2,'data input'!$D$3:$E$130,2,FALSE),0)</f>
        <v>4.3324483630126087E-3</v>
      </c>
      <c r="BC126" s="5">
        <f>IF($E126&gt;=BC$2,VLOOKUP($E126-BC$2,'data input'!$D$3:$E$130,2,FALSE),0)</f>
        <v>5.3861459540667234E-3</v>
      </c>
      <c r="BD126" s="5">
        <f>IF($E126&gt;=BD$2,VLOOKUP($E126-BD$2,'data input'!$D$3:$E$130,2,FALSE),0)</f>
        <v>6.6618087919827484E-3</v>
      </c>
      <c r="BE126" s="5">
        <f>IF($E126&gt;=BE$2,VLOOKUP($E126-BE$2,'data input'!$D$3:$E$130,2,FALSE),0)</f>
        <v>8.1975359245961554E-3</v>
      </c>
      <c r="BF126" s="5">
        <f>IF($E126&gt;=BF$2,VLOOKUP($E126-BF$2,'data input'!$D$3:$E$130,2,FALSE),0)</f>
        <v>1.0035980100274067E-2</v>
      </c>
      <c r="BG126" s="5">
        <f>IF($E126&gt;=BG$2,VLOOKUP($E126-BG$2,'data input'!$D$3:$E$130,2,FALSE),0)</f>
        <v>1.2224472655044671E-2</v>
      </c>
      <c r="BH126" s="5">
        <f>IF($E126&gt;=BH$2,VLOOKUP($E126-BH$2,'data input'!$D$3:$E$130,2,FALSE),0)</f>
        <v>1.4815058192609865E-2</v>
      </c>
      <c r="BI126" s="5">
        <f>IF($E126&gt;=BI$2,VLOOKUP($E126-BI$2,'data input'!$D$3:$E$130,2,FALSE),0)</f>
        <v>1.7864420562816563E-2</v>
      </c>
      <c r="BJ126" s="5">
        <f>IF($E126&gt;=BJ$2,VLOOKUP($E126-BJ$2,'data input'!$D$3:$E$130,2,FALSE),0)</f>
        <v>2.1433682114152974E-2</v>
      </c>
      <c r="BK126" s="5">
        <f>IF($E126&gt;=BK$2,VLOOKUP($E126-BK$2,'data input'!$D$3:$E$130,2,FALSE),0)</f>
        <v>2.5588059521638562E-2</v>
      </c>
      <c r="BL126" s="5">
        <f>IF($E126&gt;=BL$2,VLOOKUP($E126-BL$2,'data input'!$D$3:$E$130,2,FALSE),0)</f>
        <v>3.0396361765261393E-2</v>
      </c>
      <c r="BM126" s="5">
        <f>IF($E126&gt;=BM$2,VLOOKUP($E126-BM$2,'data input'!$D$3:$E$130,2,FALSE),0)</f>
        <v>3.5930319112925768E-2</v>
      </c>
      <c r="BN126" s="5">
        <f>IF($E126&gt;=BN$2,VLOOKUP($E126-BN$2,'data input'!$D$3:$E$130,2,FALSE),0)</f>
        <v>4.2263736257952433E-2</v>
      </c>
      <c r="BO126" s="5">
        <f>IF($E126&gt;=BO$2,VLOOKUP($E126-BO$2,'data input'!$D$3:$E$130,2,FALSE),0)</f>
        <v>4.9471468033648103E-2</v>
      </c>
      <c r="BP126" s="5">
        <f>IF($E126&gt;=BP$2,VLOOKUP($E126-BP$2,'data input'!$D$3:$E$130,2,FALSE),0)</f>
        <v>5.7628222276153163E-2</v>
      </c>
      <c r="BQ126" s="5">
        <f>IF($E126&gt;=BQ$2,VLOOKUP($E126-BQ$2,'data input'!$D$3:$E$130,2,FALSE),0)</f>
        <v>6.6807201268858085E-2</v>
      </c>
      <c r="BR126" s="5">
        <f>IF($E126&gt;=BR$2,VLOOKUP($E126-BR$2,'data input'!$D$3:$E$130,2,FALSE),0)</f>
        <v>7.707860055207183E-2</v>
      </c>
      <c r="BS126" s="5">
        <f>IF($E126&gt;=BS$2,VLOOKUP($E126-BS$2,'data input'!$D$3:$E$130,2,FALSE),0)</f>
        <v>8.8507991437402067E-2</v>
      </c>
      <c r="BT126" s="5">
        <f>IF($E126&gt;=BT$2,VLOOKUP($E126-BT$2,'data input'!$D$3:$E$130,2,FALSE),0)</f>
        <v>0.10115462099558592</v>
      </c>
      <c r="BU126" s="5">
        <f>IF($E126&gt;=BU$2,VLOOKUP($E126-BU$2,'data input'!$D$3:$E$130,2,FALSE),0)</f>
        <v>0.11506967022170822</v>
      </c>
      <c r="BV126" s="5">
        <f>IF($E126&gt;=BV$2,VLOOKUP($E126-BV$2,'data input'!$D$3:$E$130,2,FALSE),0)</f>
        <v>0.13029451713680884</v>
      </c>
      <c r="BW126" s="5">
        <f>IF($E126&gt;=BW$2,VLOOKUP($E126-BW$2,'data input'!$D$3:$E$130,2,FALSE),0)</f>
        <v>0.14685905637589591</v>
      </c>
      <c r="BX126" s="5">
        <f>IF($E126&gt;=BX$2,VLOOKUP($E126-BX$2,'data input'!$D$3:$E$130,2,FALSE),0)</f>
        <v>0.16478012998031033</v>
      </c>
      <c r="BY126" s="5">
        <f>IF($E126&gt;=BY$2,VLOOKUP($E126-BY$2,'data input'!$D$3:$E$130,2,FALSE),0)</f>
        <v>0.18406012534675953</v>
      </c>
      <c r="BZ126" s="5">
        <f>IF($E126&gt;=BZ$2,VLOOKUP($E126-BZ$2,'data input'!$D$3:$E$130,2,FALSE),0)</f>
        <v>0.20468579534725262</v>
      </c>
      <c r="CA126" s="5">
        <f>IF($E126&gt;=CA$2,VLOOKUP($E126-CA$2,'data input'!$D$3:$E$130,2,FALSE),0)</f>
        <v>0.22662735237686826</v>
      </c>
      <c r="CB126" s="5">
        <f>IF($E126&gt;=CB$2,VLOOKUP($E126-CB$2,'data input'!$D$3:$E$130,2,FALSE),0)</f>
        <v>0.24983788247177696</v>
      </c>
      <c r="CC126" s="5">
        <f>IF($E126&gt;=CC$2,VLOOKUP($E126-CC$2,'data input'!$D$3:$E$130,2,FALSE),0)</f>
        <v>0.27425311775007355</v>
      </c>
      <c r="CD126" s="5">
        <f>IF($E126&gt;=CD$2,VLOOKUP($E126-CD$2,'data input'!$D$3:$E$130,2,FALSE),0)</f>
        <v>0.29979159546869583</v>
      </c>
      <c r="CE126" s="5">
        <f>IF($E126&gt;=CE$2,VLOOKUP($E126-CE$2,'data input'!$D$3:$E$130,2,FALSE),0)</f>
        <v>0.32635522028792008</v>
      </c>
      <c r="CF126" s="5">
        <f>IF($E126&gt;=CF$2,VLOOKUP($E126-CF$2,'data input'!$D$3:$E$130,2,FALSE),0)</f>
        <v>0.35383023332727614</v>
      </c>
      <c r="CG126" s="5">
        <f>IF($E126&gt;=CG$2,VLOOKUP($E126-CG$2,'data input'!$D$3:$E$130,2,FALSE),0)</f>
        <v>0.38208857781104733</v>
      </c>
      <c r="CH126" s="5">
        <f>IF($E126&gt;=CH$2,VLOOKUP($E126-CH$2,'data input'!$D$3:$E$130,2,FALSE),0)</f>
        <v>0.41098963713127035</v>
      </c>
      <c r="CI126" s="5">
        <f>IF($E126&gt;=CI$2,VLOOKUP($E126-CI$2,'data input'!$D$3:$E$130,2,FALSE),0)</f>
        <v>0.4403823076297575</v>
      </c>
      <c r="CJ126" s="5">
        <f>IF($E126&gt;=CJ$2,VLOOKUP($E126-CJ$2,'data input'!$D$3:$E$130,2,FALSE),0)</f>
        <v>0.47010735594710518</v>
      </c>
      <c r="CK126" s="5">
        <f>IF($E126&gt;=CK$2,VLOOKUP($E126-CK$2,'data input'!$D$3:$E$130,2,FALSE),0)</f>
        <v>0.5</v>
      </c>
      <c r="CL126" s="5">
        <f>IF($E126&gt;=CL$2,VLOOKUP($E126-CL$2,'data input'!$D$3:$E$130,2,FALSE),0)</f>
        <v>0.52989264405289482</v>
      </c>
      <c r="CM126" s="5">
        <f>IF($E126&gt;=CM$2,VLOOKUP($E126-CM$2,'data input'!$D$3:$E$130,2,FALSE),0)</f>
        <v>0.5596176923702425</v>
      </c>
      <c r="CN126" s="5">
        <f>IF($E126&gt;=CN$2,VLOOKUP($E126-CN$2,'data input'!$D$3:$E$130,2,FALSE),0)</f>
        <v>0.58901036286872965</v>
      </c>
      <c r="CO126" s="5">
        <f>IF($E126&gt;=CO$2,VLOOKUP($E126-CO$2,'data input'!$D$3:$E$130,2,FALSE),0)</f>
        <v>0.61791142218895267</v>
      </c>
      <c r="CP126" s="5">
        <f>IF($E126&gt;=CP$2,VLOOKUP($E126-CP$2,'data input'!$D$3:$E$130,2,FALSE),0)</f>
        <v>0.64616976667272386</v>
      </c>
      <c r="CQ126" s="5">
        <f>IF($E126&gt;=CQ$2,VLOOKUP($E126-CQ$2,'data input'!$D$3:$E$130,2,FALSE),0)</f>
        <v>0.67364477971207992</v>
      </c>
      <c r="CR126" s="5">
        <f>IF($E126&gt;=CR$2,VLOOKUP($E126-CR$2,'data input'!$D$3:$E$130,2,FALSE),0)</f>
        <v>0.70020840453130417</v>
      </c>
      <c r="CS126" s="5">
        <f>IF($E126&gt;=CS$2,VLOOKUP($E126-CS$2,'data input'!$D$3:$E$130,2,FALSE),0)</f>
        <v>0.72574688224992645</v>
      </c>
      <c r="CT126" s="5">
        <f>IF($E126&gt;=CT$2,VLOOKUP($E126-CT$2,'data input'!$D$3:$E$130,2,FALSE),0)</f>
        <v>0.75016211752822304</v>
      </c>
      <c r="CU126" s="5">
        <f>IF($E126&gt;=CU$2,VLOOKUP($E126-CU$2,'data input'!$D$3:$E$130,2,FALSE),0)</f>
        <v>0.77337264762313174</v>
      </c>
      <c r="CV126" s="5">
        <f>IF($E126&gt;=CV$2,VLOOKUP($E126-CV$2,'data input'!$D$3:$E$130,2,FALSE),0)</f>
        <v>0.79531420465274738</v>
      </c>
      <c r="CW126" s="5">
        <f>IF($E126&gt;=CW$2,VLOOKUP($E126-CW$2,'data input'!$D$3:$E$130,2,FALSE),0)</f>
        <v>0.81593987465324047</v>
      </c>
      <c r="CX126" s="5">
        <f>IF($E126&gt;=CX$2,VLOOKUP($E126-CX$2,'data input'!$D$3:$E$130,2,FALSE),0)</f>
        <v>0.83521987001968967</v>
      </c>
      <c r="CY126" s="5">
        <f>IF($E126&gt;=CY$2,VLOOKUP($E126-CY$2,'data input'!$D$3:$E$130,2,FALSE),0)</f>
        <v>0.85314094362410409</v>
      </c>
      <c r="CZ126" s="5">
        <f>IF($E126&gt;=CZ$2,VLOOKUP($E126-CZ$2,'data input'!$D$3:$E$130,2,FALSE),0)</f>
        <v>0.86970548286319116</v>
      </c>
      <c r="DA126" s="5">
        <f>IF($E126&gt;=DA$2,VLOOKUP($E126-DA$2,'data input'!$D$3:$E$130,2,FALSE),0)</f>
        <v>0.88493032977829178</v>
      </c>
      <c r="DB126" s="5">
        <f>IF($E126&gt;=DB$2,VLOOKUP($E126-DB$2,'data input'!$D$3:$E$130,2,FALSE),0)</f>
        <v>0.89884537900441408</v>
      </c>
      <c r="DC126" s="5">
        <f>IF($E126&gt;=DC$2,VLOOKUP($E126-DC$2,'data input'!$D$3:$E$130,2,FALSE),0)</f>
        <v>0.91149200856259793</v>
      </c>
      <c r="DD126" s="5">
        <f>IF($E126&gt;=DD$2,VLOOKUP($E126-DD$2,'data input'!$D$3:$E$130,2,FALSE),0)</f>
        <v>0.92292139944792817</v>
      </c>
      <c r="DE126" s="5">
        <f>IF($E126&gt;=DE$2,VLOOKUP($E126-DE$2,'data input'!$D$3:$E$130,2,FALSE),0)</f>
        <v>0.93319279873114191</v>
      </c>
      <c r="DF126" s="5">
        <f>IF($E126&gt;=DF$2,VLOOKUP($E126-DF$2,'data input'!$D$3:$E$130,2,FALSE),0)</f>
        <v>0.94237177772384684</v>
      </c>
      <c r="DG126" s="5">
        <f>IF($E126&gt;=DG$2,VLOOKUP($E126-DG$2,'data input'!$D$3:$E$130,2,FALSE),0)</f>
        <v>0.9505285319663519</v>
      </c>
      <c r="DH126" s="5">
        <f>IF($E126&gt;=DH$2,VLOOKUP($E126-DH$2,'data input'!$D$3:$E$130,2,FALSE),0)</f>
        <v>0.95773626374204757</v>
      </c>
      <c r="DI126" s="5">
        <f>IF($E126&gt;=DI$2,VLOOKUP($E126-DI$2,'data input'!$D$3:$E$130,2,FALSE),0)</f>
        <v>0.96406968088707423</v>
      </c>
      <c r="DJ126" s="5">
        <f>IF($E126&gt;=DJ$2,VLOOKUP($E126-DJ$2,'data input'!$D$3:$E$130,2,FALSE),0)</f>
        <v>0.96960363823473861</v>
      </c>
      <c r="DK126" s="5">
        <f>IF($E126&gt;=DK$2,VLOOKUP($E126-DK$2,'data input'!$D$3:$E$130,2,FALSE),0)</f>
        <v>0.97441194047836144</v>
      </c>
      <c r="DL126" s="5">
        <f>IF($E126&gt;=DL$2,VLOOKUP($E126-DL$2,'data input'!$D$3:$E$130,2,FALSE),0)</f>
        <v>0.97856631788584703</v>
      </c>
      <c r="DM126" s="5">
        <f>IF($E126&gt;=DM$2,VLOOKUP($E126-DM$2,'data input'!$D$3:$E$130,2,FALSE),0)</f>
        <v>0.98213557943718344</v>
      </c>
      <c r="DN126" s="5">
        <f>IF($E126&gt;=DN$2,VLOOKUP($E126-DN$2,'data input'!$D$3:$E$130,2,FALSE),0)</f>
        <v>0.98518494180739014</v>
      </c>
      <c r="DO126" s="5">
        <f>IF($E126&gt;=DO$2,VLOOKUP($E126-DO$2,'data input'!$D$3:$E$130,2,FALSE),0)</f>
        <v>0.98777552734495533</v>
      </c>
      <c r="DP126" s="5">
        <f>IF($E126&gt;=DP$2,VLOOKUP($E126-DP$2,'data input'!$D$3:$E$130,2,FALSE),0)</f>
        <v>0.98996401989972593</v>
      </c>
      <c r="DQ126" s="5">
        <f>IF($E126&gt;=DQ$2,VLOOKUP($E126-DQ$2,'data input'!$D$3:$E$130,2,FALSE),0)</f>
        <v>0.99180246407540384</v>
      </c>
      <c r="DR126" s="5">
        <f>IF($E126&gt;=DR$2,VLOOKUP($E126-DR$2,'data input'!$D$3:$E$130,2,FALSE),0)</f>
        <v>0.99333819120801725</v>
      </c>
      <c r="DS126" s="5">
        <f>IF($E126&gt;=DS$2,VLOOKUP($E126-DS$2,'data input'!$D$3:$E$130,2,FALSE),0)</f>
        <v>0.99461385404593328</v>
      </c>
      <c r="DT126" s="5">
        <f>IF($E126&gt;=DT$2,VLOOKUP($E126-DT$2,'data input'!$D$3:$E$130,2,FALSE),0)</f>
        <v>0.99566755163698739</v>
      </c>
      <c r="DU126" s="5">
        <f>IF($E126&gt;=DU$2,VLOOKUP($E126-DU$2,'data input'!$D$3:$E$130,2,FALSE),0)</f>
        <v>0.99653302619695938</v>
      </c>
      <c r="DV126" s="5">
        <f>IF($E126&gt;=DV$2,VLOOKUP($E126-DV$2,'data input'!$D$3:$E$130,2,FALSE),0)</f>
        <v>0.99723991460873751</v>
      </c>
      <c r="DW126" s="5">
        <f>IF($E126&gt;=DW$2,VLOOKUP($E126-DW$2,'data input'!$D$3:$E$130,2,FALSE),0)</f>
        <v>0.99781403854508677</v>
      </c>
      <c r="DX126" s="5">
        <f>IF($E126&gt;=DX$2,VLOOKUP($E126-DX$2,'data input'!$D$3:$E$130,2,FALSE),0)</f>
        <v>0.99827771888413241</v>
      </c>
      <c r="DY126" s="5">
        <f>IF($E126&gt;=DY$2,VLOOKUP($E126-DY$2,'data input'!$D$3:$E$130,2,FALSE),0)</f>
        <v>0.9986501019683699</v>
      </c>
      <c r="DZ126" s="5">
        <f>IF($E126&gt;=DZ$2,VLOOKUP($E126-DZ$2,'data input'!$D$3:$E$130,2,FALSE),0)</f>
        <v>0</v>
      </c>
      <c r="EA126" s="5">
        <f>IF($E126&gt;=EA$2,VLOOKUP($E126-EA$2,'data input'!$D$3:$E$130,2,FALSE),0)</f>
        <v>0</v>
      </c>
      <c r="EB126" s="5">
        <f>IF($E126&gt;=EB$2,VLOOKUP($E126-EB$2,'data input'!$D$3:$E$130,2,FALSE),0)</f>
        <v>0</v>
      </c>
      <c r="EC126" s="5">
        <f>IF($E126&gt;=EC$2,VLOOKUP($E126-EC$2,'data input'!$D$3:$E$130,2,FALSE),0)</f>
        <v>0</v>
      </c>
    </row>
    <row r="127" spans="5:133">
      <c r="E127" s="7">
        <f>'data input'!B127</f>
        <v>2002</v>
      </c>
      <c r="F127" s="5">
        <f>IF($E127&gt;=F$2,VLOOKUP($E127-F$2,'data input'!$D$3:$E$130,2,FALSE),0)</f>
        <v>1.488228429380456E-10</v>
      </c>
      <c r="G127" s="5">
        <f>IF($E127&gt;=G$2,VLOOKUP($E127-G$2,'data input'!$D$3:$E$130,2,FALSE),0)</f>
        <v>2.4077795313104389E-10</v>
      </c>
      <c r="H127" s="5">
        <f>IF($E127&gt;=H$2,VLOOKUP($E127-H$2,'data input'!$D$3:$E$130,2,FALSE),0)</f>
        <v>3.8741476693360255E-10</v>
      </c>
      <c r="I127" s="5">
        <f>IF($E127&gt;=I$2,VLOOKUP($E127-I$2,'data input'!$D$3:$E$130,2,FALSE),0)</f>
        <v>6.1993865596576825E-10</v>
      </c>
      <c r="J127" s="5">
        <f>IF($E127&gt;=J$2,VLOOKUP($E127-J$2,'data input'!$D$3:$E$130,2,FALSE),0)</f>
        <v>9.8658770042447941E-10</v>
      </c>
      <c r="K127" s="5">
        <f>IF($E127&gt;=K$2,VLOOKUP($E127-K$2,'data input'!$D$3:$E$130,2,FALSE),0)</f>
        <v>1.5614869397495568E-9</v>
      </c>
      <c r="L127" s="5">
        <f>IF($E127&gt;=L$2,VLOOKUP($E127-L$2,'data input'!$D$3:$E$130,2,FALSE),0)</f>
        <v>2.4578650226203536E-9</v>
      </c>
      <c r="M127" s="5">
        <f>IF($E127&gt;=M$2,VLOOKUP($E127-M$2,'data input'!$D$3:$E$130,2,FALSE),0)</f>
        <v>3.8476543062770929E-9</v>
      </c>
      <c r="N127" s="5">
        <f>IF($E127&gt;=N$2,VLOOKUP($E127-N$2,'data input'!$D$3:$E$130,2,FALSE),0)</f>
        <v>5.9903714211273495E-9</v>
      </c>
      <c r="O127" s="5">
        <f>IF($E127&gt;=O$2,VLOOKUP($E127-O$2,'data input'!$D$3:$E$130,2,FALSE),0)</f>
        <v>9.2753987823712691E-9</v>
      </c>
      <c r="P127" s="5">
        <f>IF($E127&gt;=P$2,VLOOKUP($E127-P$2,'data input'!$D$3:$E$130,2,FALSE),0)</f>
        <v>1.4283479843335556E-8</v>
      </c>
      <c r="Q127" s="5">
        <f>IF($E127&gt;=Q$2,VLOOKUP($E127-Q$2,'data input'!$D$3:$E$130,2,FALSE),0)</f>
        <v>2.1875580569208353E-8</v>
      </c>
      <c r="R127" s="5">
        <f>IF($E127&gt;=R$2,VLOOKUP($E127-R$2,'data input'!$D$3:$E$130,2,FALSE),0)</f>
        <v>3.3320448511453549E-8</v>
      </c>
      <c r="S127" s="5">
        <f>IF($E127&gt;=S$2,VLOOKUP($E127-S$2,'data input'!$D$3:$E$130,2,FALSE),0)</f>
        <v>5.0476519741771142E-8</v>
      </c>
      <c r="T127" s="5">
        <f>IF($E127&gt;=T$2,VLOOKUP($E127-T$2,'data input'!$D$3:$E$130,2,FALSE),0)</f>
        <v>7.6049605168826417E-8</v>
      </c>
      <c r="U127" s="5">
        <f>IF($E127&gt;=U$2,VLOOKUP($E127-U$2,'data input'!$D$3:$E$130,2,FALSE),0)</f>
        <v>1.1395549048831555E-7</v>
      </c>
      <c r="V127" s="5">
        <f>IF($E127&gt;=V$2,VLOOKUP($E127-V$2,'data input'!$D$3:$E$130,2,FALSE),0)</f>
        <v>1.698267406702314E-7</v>
      </c>
      <c r="W127" s="5">
        <f>IF($E127&gt;=W$2,VLOOKUP($E127-W$2,'data input'!$D$3:$E$130,2,FALSE),0)</f>
        <v>2.5171626816256065E-7</v>
      </c>
      <c r="X127" s="5">
        <f>IF($E127&gt;=X$2,VLOOKUP($E127-X$2,'data input'!$D$3:$E$130,2,FALSE),0)</f>
        <v>3.7106740791159609E-7</v>
      </c>
      <c r="Y127" s="5">
        <f>IF($E127&gt;=Y$2,VLOOKUP($E127-Y$2,'data input'!$D$3:$E$130,2,FALSE),0)</f>
        <v>5.4404227556315021E-7</v>
      </c>
      <c r="Z127" s="5">
        <f>IF($E127&gt;=Z$2,VLOOKUP($E127-Z$2,'data input'!$D$3:$E$130,2,FALSE),0)</f>
        <v>7.9332815194899098E-7</v>
      </c>
      <c r="AA127" s="5">
        <f>IF($E127&gt;=AA$2,VLOOKUP($E127-AA$2,'data input'!$D$3:$E$130,2,FALSE),0)</f>
        <v>1.1505767815167545E-6</v>
      </c>
      <c r="AB127" s="5">
        <f>IF($E127&gt;=AB$2,VLOOKUP($E127-AB$2,'data input'!$D$3:$E$130,2,FALSE),0)</f>
        <v>1.6596751443165303E-6</v>
      </c>
      <c r="AC127" s="5">
        <f>IF($E127&gt;=AC$2,VLOOKUP($E127-AC$2,'data input'!$D$3:$E$130,2,FALSE),0)</f>
        <v>2.3810999327800175E-6</v>
      </c>
      <c r="AD127" s="5">
        <f>IF($E127&gt;=AD$2,VLOOKUP($E127-AD$2,'data input'!$D$3:$E$130,2,FALSE),0)</f>
        <v>3.3976731247387093E-6</v>
      </c>
      <c r="AE127" s="5">
        <f>IF($E127&gt;=AE$2,VLOOKUP($E127-AE$2,'data input'!$D$3:$E$130,2,FALSE),0)</f>
        <v>4.8221141606408224E-6</v>
      </c>
      <c r="AF127" s="5">
        <f>IF($E127&gt;=AF$2,VLOOKUP($E127-AF$2,'data input'!$D$3:$E$130,2,FALSE),0)</f>
        <v>6.8068765993745117E-6</v>
      </c>
      <c r="AG127" s="5">
        <f>IF($E127&gt;=AG$2,VLOOKUP($E127-AG$2,'data input'!$D$3:$E$130,2,FALSE),0)</f>
        <v>9.5568647372479276E-6</v>
      </c>
      <c r="AH127" s="5">
        <f>IF($E127&gt;=AH$2,VLOOKUP($E127-AH$2,'data input'!$D$3:$E$130,2,FALSE),0)</f>
        <v>1.3345749015902797E-5</v>
      </c>
      <c r="AI127" s="5">
        <f>IF($E127&gt;=AI$2,VLOOKUP($E127-AI$2,'data input'!$D$3:$E$130,2,FALSE),0)</f>
        <v>1.8536737846241991E-5</v>
      </c>
      <c r="AJ127" s="5">
        <f>IF($E127&gt;=AJ$2,VLOOKUP($E127-AJ$2,'data input'!$D$3:$E$130,2,FALSE),0)</f>
        <v>2.5608816474065321E-5</v>
      </c>
      <c r="AK127" s="5">
        <f>IF($E127&gt;=AK$2,VLOOKUP($E127-AK$2,'data input'!$D$3:$E$130,2,FALSE),0)</f>
        <v>3.5189628065923628E-5</v>
      </c>
      <c r="AL127" s="5">
        <f>IF($E127&gt;=AL$2,VLOOKUP($E127-AL$2,'data input'!$D$3:$E$130,2,FALSE),0)</f>
        <v>4.8096344017589665E-5</v>
      </c>
      <c r="AM127" s="5">
        <f>IF($E127&gt;=AM$2,VLOOKUP($E127-AM$2,'data input'!$D$3:$E$130,2,FALSE),0)</f>
        <v>6.5386043242687819E-5</v>
      </c>
      <c r="AN127" s="5">
        <f>IF($E127&gt;=AN$2,VLOOKUP($E127-AN$2,'data input'!$D$3:$E$130,2,FALSE),0)</f>
        <v>8.841728520081471E-5</v>
      </c>
      <c r="AO127" s="5">
        <f>IF($E127&gt;=AO$2,VLOOKUP($E127-AO$2,'data input'!$D$3:$E$130,2,FALSE),0)</f>
        <v>1.1892470732677296E-4</v>
      </c>
      <c r="AP127" s="5">
        <f>IF($E127&gt;=AP$2,VLOOKUP($E127-AP$2,'data input'!$D$3:$E$130,2,FALSE),0)</f>
        <v>1.5910859015755285E-4</v>
      </c>
      <c r="AQ127" s="5">
        <f>IF($E127&gt;=AQ$2,VLOOKUP($E127-AQ$2,'data input'!$D$3:$E$130,2,FALSE),0)</f>
        <v>2.1174139572344153E-4</v>
      </c>
      <c r="AR127" s="5">
        <f>IF($E127&gt;=AR$2,VLOOKUP($E127-AR$2,'data input'!$D$3:$E$130,2,FALSE),0)</f>
        <v>2.8029327681622362E-4</v>
      </c>
      <c r="AS127" s="5">
        <f>IF($E127&gt;=AS$2,VLOOKUP($E127-AS$2,'data input'!$D$3:$E$130,2,FALSE),0)</f>
        <v>3.6907845427502917E-4</v>
      </c>
      <c r="AT127" s="5">
        <f>IF($E127&gt;=AT$2,VLOOKUP($E127-AT$2,'data input'!$D$3:$E$130,2,FALSE),0)</f>
        <v>4.8342414238378151E-4</v>
      </c>
      <c r="AU127" s="5">
        <f>IF($E127&gt;=AU$2,VLOOKUP($E127-AU$2,'data input'!$D$3:$E$130,2,FALSE),0)</f>
        <v>6.2986334399772748E-4</v>
      </c>
      <c r="AV127" s="5">
        <f>IF($E127&gt;=AV$2,VLOOKUP($E127-AV$2,'data input'!$D$3:$E$130,2,FALSE),0)</f>
        <v>8.1635231282861653E-4</v>
      </c>
      <c r="AW127" s="5">
        <f>IF($E127&gt;=AW$2,VLOOKUP($E127-AW$2,'data input'!$D$3:$E$130,2,FALSE),0)</f>
        <v>1.0525127683760349E-3</v>
      </c>
      <c r="AX127" s="5">
        <f>IF($E127&gt;=AX$2,VLOOKUP($E127-AX$2,'data input'!$D$3:$E$130,2,FALSE),0)</f>
        <v>1.3498980316301035E-3</v>
      </c>
      <c r="AY127" s="5">
        <f>IF($E127&gt;=AY$2,VLOOKUP($E127-AY$2,'data input'!$D$3:$E$130,2,FALSE),0)</f>
        <v>1.7222811158675855E-3</v>
      </c>
      <c r="AZ127" s="5">
        <f>IF($E127&gt;=AZ$2,VLOOKUP($E127-AZ$2,'data input'!$D$3:$E$130,2,FALSE),0)</f>
        <v>2.1859614549132322E-3</v>
      </c>
      <c r="BA127" s="5">
        <f>IF($E127&gt;=BA$2,VLOOKUP($E127-BA$2,'data input'!$D$3:$E$130,2,FALSE),0)</f>
        <v>2.7600853912624901E-3</v>
      </c>
      <c r="BB127" s="5">
        <f>IF($E127&gt;=BB$2,VLOOKUP($E127-BB$2,'data input'!$D$3:$E$130,2,FALSE),0)</f>
        <v>3.4669738030406183E-3</v>
      </c>
      <c r="BC127" s="5">
        <f>IF($E127&gt;=BC$2,VLOOKUP($E127-BC$2,'data input'!$D$3:$E$130,2,FALSE),0)</f>
        <v>4.3324483630126087E-3</v>
      </c>
      <c r="BD127" s="5">
        <f>IF($E127&gt;=BD$2,VLOOKUP($E127-BD$2,'data input'!$D$3:$E$130,2,FALSE),0)</f>
        <v>5.3861459540667234E-3</v>
      </c>
      <c r="BE127" s="5">
        <f>IF($E127&gt;=BE$2,VLOOKUP($E127-BE$2,'data input'!$D$3:$E$130,2,FALSE),0)</f>
        <v>6.6618087919827484E-3</v>
      </c>
      <c r="BF127" s="5">
        <f>IF($E127&gt;=BF$2,VLOOKUP($E127-BF$2,'data input'!$D$3:$E$130,2,FALSE),0)</f>
        <v>8.1975359245961554E-3</v>
      </c>
      <c r="BG127" s="5">
        <f>IF($E127&gt;=BG$2,VLOOKUP($E127-BG$2,'data input'!$D$3:$E$130,2,FALSE),0)</f>
        <v>1.0035980100274067E-2</v>
      </c>
      <c r="BH127" s="5">
        <f>IF($E127&gt;=BH$2,VLOOKUP($E127-BH$2,'data input'!$D$3:$E$130,2,FALSE),0)</f>
        <v>1.2224472655044671E-2</v>
      </c>
      <c r="BI127" s="5">
        <f>IF($E127&gt;=BI$2,VLOOKUP($E127-BI$2,'data input'!$D$3:$E$130,2,FALSE),0)</f>
        <v>1.4815058192609865E-2</v>
      </c>
      <c r="BJ127" s="5">
        <f>IF($E127&gt;=BJ$2,VLOOKUP($E127-BJ$2,'data input'!$D$3:$E$130,2,FALSE),0)</f>
        <v>1.7864420562816563E-2</v>
      </c>
      <c r="BK127" s="5">
        <f>IF($E127&gt;=BK$2,VLOOKUP($E127-BK$2,'data input'!$D$3:$E$130,2,FALSE),0)</f>
        <v>2.1433682114152974E-2</v>
      </c>
      <c r="BL127" s="5">
        <f>IF($E127&gt;=BL$2,VLOOKUP($E127-BL$2,'data input'!$D$3:$E$130,2,FALSE),0)</f>
        <v>2.5588059521638562E-2</v>
      </c>
      <c r="BM127" s="5">
        <f>IF($E127&gt;=BM$2,VLOOKUP($E127-BM$2,'data input'!$D$3:$E$130,2,FALSE),0)</f>
        <v>3.0396361765261393E-2</v>
      </c>
      <c r="BN127" s="5">
        <f>IF($E127&gt;=BN$2,VLOOKUP($E127-BN$2,'data input'!$D$3:$E$130,2,FALSE),0)</f>
        <v>3.5930319112925768E-2</v>
      </c>
      <c r="BO127" s="5">
        <f>IF($E127&gt;=BO$2,VLOOKUP($E127-BO$2,'data input'!$D$3:$E$130,2,FALSE),0)</f>
        <v>4.2263736257952433E-2</v>
      </c>
      <c r="BP127" s="5">
        <f>IF($E127&gt;=BP$2,VLOOKUP($E127-BP$2,'data input'!$D$3:$E$130,2,FALSE),0)</f>
        <v>4.9471468033648103E-2</v>
      </c>
      <c r="BQ127" s="5">
        <f>IF($E127&gt;=BQ$2,VLOOKUP($E127-BQ$2,'data input'!$D$3:$E$130,2,FALSE),0)</f>
        <v>5.7628222276153163E-2</v>
      </c>
      <c r="BR127" s="5">
        <f>IF($E127&gt;=BR$2,VLOOKUP($E127-BR$2,'data input'!$D$3:$E$130,2,FALSE),0)</f>
        <v>6.6807201268858085E-2</v>
      </c>
      <c r="BS127" s="5">
        <f>IF($E127&gt;=BS$2,VLOOKUP($E127-BS$2,'data input'!$D$3:$E$130,2,FALSE),0)</f>
        <v>7.707860055207183E-2</v>
      </c>
      <c r="BT127" s="5">
        <f>IF($E127&gt;=BT$2,VLOOKUP($E127-BT$2,'data input'!$D$3:$E$130,2,FALSE),0)</f>
        <v>8.8507991437402067E-2</v>
      </c>
      <c r="BU127" s="5">
        <f>IF($E127&gt;=BU$2,VLOOKUP($E127-BU$2,'data input'!$D$3:$E$130,2,FALSE),0)</f>
        <v>0.10115462099558592</v>
      </c>
      <c r="BV127" s="5">
        <f>IF($E127&gt;=BV$2,VLOOKUP($E127-BV$2,'data input'!$D$3:$E$130,2,FALSE),0)</f>
        <v>0.11506967022170822</v>
      </c>
      <c r="BW127" s="5">
        <f>IF($E127&gt;=BW$2,VLOOKUP($E127-BW$2,'data input'!$D$3:$E$130,2,FALSE),0)</f>
        <v>0.13029451713680884</v>
      </c>
      <c r="BX127" s="5">
        <f>IF($E127&gt;=BX$2,VLOOKUP($E127-BX$2,'data input'!$D$3:$E$130,2,FALSE),0)</f>
        <v>0.14685905637589591</v>
      </c>
      <c r="BY127" s="5">
        <f>IF($E127&gt;=BY$2,VLOOKUP($E127-BY$2,'data input'!$D$3:$E$130,2,FALSE),0)</f>
        <v>0.16478012998031033</v>
      </c>
      <c r="BZ127" s="5">
        <f>IF($E127&gt;=BZ$2,VLOOKUP($E127-BZ$2,'data input'!$D$3:$E$130,2,FALSE),0)</f>
        <v>0.18406012534675953</v>
      </c>
      <c r="CA127" s="5">
        <f>IF($E127&gt;=CA$2,VLOOKUP($E127-CA$2,'data input'!$D$3:$E$130,2,FALSE),0)</f>
        <v>0.20468579534725262</v>
      </c>
      <c r="CB127" s="5">
        <f>IF($E127&gt;=CB$2,VLOOKUP($E127-CB$2,'data input'!$D$3:$E$130,2,FALSE),0)</f>
        <v>0.22662735237686826</v>
      </c>
      <c r="CC127" s="5">
        <f>IF($E127&gt;=CC$2,VLOOKUP($E127-CC$2,'data input'!$D$3:$E$130,2,FALSE),0)</f>
        <v>0.24983788247177696</v>
      </c>
      <c r="CD127" s="5">
        <f>IF($E127&gt;=CD$2,VLOOKUP($E127-CD$2,'data input'!$D$3:$E$130,2,FALSE),0)</f>
        <v>0.27425311775007355</v>
      </c>
      <c r="CE127" s="5">
        <f>IF($E127&gt;=CE$2,VLOOKUP($E127-CE$2,'data input'!$D$3:$E$130,2,FALSE),0)</f>
        <v>0.29979159546869583</v>
      </c>
      <c r="CF127" s="5">
        <f>IF($E127&gt;=CF$2,VLOOKUP($E127-CF$2,'data input'!$D$3:$E$130,2,FALSE),0)</f>
        <v>0.32635522028792008</v>
      </c>
      <c r="CG127" s="5">
        <f>IF($E127&gt;=CG$2,VLOOKUP($E127-CG$2,'data input'!$D$3:$E$130,2,FALSE),0)</f>
        <v>0.35383023332727614</v>
      </c>
      <c r="CH127" s="5">
        <f>IF($E127&gt;=CH$2,VLOOKUP($E127-CH$2,'data input'!$D$3:$E$130,2,FALSE),0)</f>
        <v>0.38208857781104733</v>
      </c>
      <c r="CI127" s="5">
        <f>IF($E127&gt;=CI$2,VLOOKUP($E127-CI$2,'data input'!$D$3:$E$130,2,FALSE),0)</f>
        <v>0.41098963713127035</v>
      </c>
      <c r="CJ127" s="5">
        <f>IF($E127&gt;=CJ$2,VLOOKUP($E127-CJ$2,'data input'!$D$3:$E$130,2,FALSE),0)</f>
        <v>0.4403823076297575</v>
      </c>
      <c r="CK127" s="5">
        <f>IF($E127&gt;=CK$2,VLOOKUP($E127-CK$2,'data input'!$D$3:$E$130,2,FALSE),0)</f>
        <v>0.47010735594710518</v>
      </c>
      <c r="CL127" s="5">
        <f>IF($E127&gt;=CL$2,VLOOKUP($E127-CL$2,'data input'!$D$3:$E$130,2,FALSE),0)</f>
        <v>0.5</v>
      </c>
      <c r="CM127" s="5">
        <f>IF($E127&gt;=CM$2,VLOOKUP($E127-CM$2,'data input'!$D$3:$E$130,2,FALSE),0)</f>
        <v>0.52989264405289482</v>
      </c>
      <c r="CN127" s="5">
        <f>IF($E127&gt;=CN$2,VLOOKUP($E127-CN$2,'data input'!$D$3:$E$130,2,FALSE),0)</f>
        <v>0.5596176923702425</v>
      </c>
      <c r="CO127" s="5">
        <f>IF($E127&gt;=CO$2,VLOOKUP($E127-CO$2,'data input'!$D$3:$E$130,2,FALSE),0)</f>
        <v>0.58901036286872965</v>
      </c>
      <c r="CP127" s="5">
        <f>IF($E127&gt;=CP$2,VLOOKUP($E127-CP$2,'data input'!$D$3:$E$130,2,FALSE),0)</f>
        <v>0.61791142218895267</v>
      </c>
      <c r="CQ127" s="5">
        <f>IF($E127&gt;=CQ$2,VLOOKUP($E127-CQ$2,'data input'!$D$3:$E$130,2,FALSE),0)</f>
        <v>0.64616976667272386</v>
      </c>
      <c r="CR127" s="5">
        <f>IF($E127&gt;=CR$2,VLOOKUP($E127-CR$2,'data input'!$D$3:$E$130,2,FALSE),0)</f>
        <v>0.67364477971207992</v>
      </c>
      <c r="CS127" s="5">
        <f>IF($E127&gt;=CS$2,VLOOKUP($E127-CS$2,'data input'!$D$3:$E$130,2,FALSE),0)</f>
        <v>0.70020840453130417</v>
      </c>
      <c r="CT127" s="5">
        <f>IF($E127&gt;=CT$2,VLOOKUP($E127-CT$2,'data input'!$D$3:$E$130,2,FALSE),0)</f>
        <v>0.72574688224992645</v>
      </c>
      <c r="CU127" s="5">
        <f>IF($E127&gt;=CU$2,VLOOKUP($E127-CU$2,'data input'!$D$3:$E$130,2,FALSE),0)</f>
        <v>0.75016211752822304</v>
      </c>
      <c r="CV127" s="5">
        <f>IF($E127&gt;=CV$2,VLOOKUP($E127-CV$2,'data input'!$D$3:$E$130,2,FALSE),0)</f>
        <v>0.77337264762313174</v>
      </c>
      <c r="CW127" s="5">
        <f>IF($E127&gt;=CW$2,VLOOKUP($E127-CW$2,'data input'!$D$3:$E$130,2,FALSE),0)</f>
        <v>0.79531420465274738</v>
      </c>
      <c r="CX127" s="5">
        <f>IF($E127&gt;=CX$2,VLOOKUP($E127-CX$2,'data input'!$D$3:$E$130,2,FALSE),0)</f>
        <v>0.81593987465324047</v>
      </c>
      <c r="CY127" s="5">
        <f>IF($E127&gt;=CY$2,VLOOKUP($E127-CY$2,'data input'!$D$3:$E$130,2,FALSE),0)</f>
        <v>0.83521987001968967</v>
      </c>
      <c r="CZ127" s="5">
        <f>IF($E127&gt;=CZ$2,VLOOKUP($E127-CZ$2,'data input'!$D$3:$E$130,2,FALSE),0)</f>
        <v>0.85314094362410409</v>
      </c>
      <c r="DA127" s="5">
        <f>IF($E127&gt;=DA$2,VLOOKUP($E127-DA$2,'data input'!$D$3:$E$130,2,FALSE),0)</f>
        <v>0.86970548286319116</v>
      </c>
      <c r="DB127" s="5">
        <f>IF($E127&gt;=DB$2,VLOOKUP($E127-DB$2,'data input'!$D$3:$E$130,2,FALSE),0)</f>
        <v>0.88493032977829178</v>
      </c>
      <c r="DC127" s="5">
        <f>IF($E127&gt;=DC$2,VLOOKUP($E127-DC$2,'data input'!$D$3:$E$130,2,FALSE),0)</f>
        <v>0.89884537900441408</v>
      </c>
      <c r="DD127" s="5">
        <f>IF($E127&gt;=DD$2,VLOOKUP($E127-DD$2,'data input'!$D$3:$E$130,2,FALSE),0)</f>
        <v>0.91149200856259793</v>
      </c>
      <c r="DE127" s="5">
        <f>IF($E127&gt;=DE$2,VLOOKUP($E127-DE$2,'data input'!$D$3:$E$130,2,FALSE),0)</f>
        <v>0.92292139944792817</v>
      </c>
      <c r="DF127" s="5">
        <f>IF($E127&gt;=DF$2,VLOOKUP($E127-DF$2,'data input'!$D$3:$E$130,2,FALSE),0)</f>
        <v>0.93319279873114191</v>
      </c>
      <c r="DG127" s="5">
        <f>IF($E127&gt;=DG$2,VLOOKUP($E127-DG$2,'data input'!$D$3:$E$130,2,FALSE),0)</f>
        <v>0.94237177772384684</v>
      </c>
      <c r="DH127" s="5">
        <f>IF($E127&gt;=DH$2,VLOOKUP($E127-DH$2,'data input'!$D$3:$E$130,2,FALSE),0)</f>
        <v>0.9505285319663519</v>
      </c>
      <c r="DI127" s="5">
        <f>IF($E127&gt;=DI$2,VLOOKUP($E127-DI$2,'data input'!$D$3:$E$130,2,FALSE),0)</f>
        <v>0.95773626374204757</v>
      </c>
      <c r="DJ127" s="5">
        <f>IF($E127&gt;=DJ$2,VLOOKUP($E127-DJ$2,'data input'!$D$3:$E$130,2,FALSE),0)</f>
        <v>0.96406968088707423</v>
      </c>
      <c r="DK127" s="5">
        <f>IF($E127&gt;=DK$2,VLOOKUP($E127-DK$2,'data input'!$D$3:$E$130,2,FALSE),0)</f>
        <v>0.96960363823473861</v>
      </c>
      <c r="DL127" s="5">
        <f>IF($E127&gt;=DL$2,VLOOKUP($E127-DL$2,'data input'!$D$3:$E$130,2,FALSE),0)</f>
        <v>0.97441194047836144</v>
      </c>
      <c r="DM127" s="5">
        <f>IF($E127&gt;=DM$2,VLOOKUP($E127-DM$2,'data input'!$D$3:$E$130,2,FALSE),0)</f>
        <v>0.97856631788584703</v>
      </c>
      <c r="DN127" s="5">
        <f>IF($E127&gt;=DN$2,VLOOKUP($E127-DN$2,'data input'!$D$3:$E$130,2,FALSE),0)</f>
        <v>0.98213557943718344</v>
      </c>
      <c r="DO127" s="5">
        <f>IF($E127&gt;=DO$2,VLOOKUP($E127-DO$2,'data input'!$D$3:$E$130,2,FALSE),0)</f>
        <v>0.98518494180739014</v>
      </c>
      <c r="DP127" s="5">
        <f>IF($E127&gt;=DP$2,VLOOKUP($E127-DP$2,'data input'!$D$3:$E$130,2,FALSE),0)</f>
        <v>0.98777552734495533</v>
      </c>
      <c r="DQ127" s="5">
        <f>IF($E127&gt;=DQ$2,VLOOKUP($E127-DQ$2,'data input'!$D$3:$E$130,2,FALSE),0)</f>
        <v>0.98996401989972593</v>
      </c>
      <c r="DR127" s="5">
        <f>IF($E127&gt;=DR$2,VLOOKUP($E127-DR$2,'data input'!$D$3:$E$130,2,FALSE),0)</f>
        <v>0.99180246407540384</v>
      </c>
      <c r="DS127" s="5">
        <f>IF($E127&gt;=DS$2,VLOOKUP($E127-DS$2,'data input'!$D$3:$E$130,2,FALSE),0)</f>
        <v>0.99333819120801725</v>
      </c>
      <c r="DT127" s="5">
        <f>IF($E127&gt;=DT$2,VLOOKUP($E127-DT$2,'data input'!$D$3:$E$130,2,FALSE),0)</f>
        <v>0.99461385404593328</v>
      </c>
      <c r="DU127" s="5">
        <f>IF($E127&gt;=DU$2,VLOOKUP($E127-DU$2,'data input'!$D$3:$E$130,2,FALSE),0)</f>
        <v>0.99566755163698739</v>
      </c>
      <c r="DV127" s="5">
        <f>IF($E127&gt;=DV$2,VLOOKUP($E127-DV$2,'data input'!$D$3:$E$130,2,FALSE),0)</f>
        <v>0.99653302619695938</v>
      </c>
      <c r="DW127" s="5">
        <f>IF($E127&gt;=DW$2,VLOOKUP($E127-DW$2,'data input'!$D$3:$E$130,2,FALSE),0)</f>
        <v>0.99723991460873751</v>
      </c>
      <c r="DX127" s="5">
        <f>IF($E127&gt;=DX$2,VLOOKUP($E127-DX$2,'data input'!$D$3:$E$130,2,FALSE),0)</f>
        <v>0.99781403854508677</v>
      </c>
      <c r="DY127" s="5">
        <f>IF($E127&gt;=DY$2,VLOOKUP($E127-DY$2,'data input'!$D$3:$E$130,2,FALSE),0)</f>
        <v>0.99827771888413241</v>
      </c>
      <c r="DZ127" s="5">
        <f>IF($E127&gt;=DZ$2,VLOOKUP($E127-DZ$2,'data input'!$D$3:$E$130,2,FALSE),0)</f>
        <v>0.9986501019683699</v>
      </c>
      <c r="EA127" s="5">
        <f>IF($E127&gt;=EA$2,VLOOKUP($E127-EA$2,'data input'!$D$3:$E$130,2,FALSE),0)</f>
        <v>0</v>
      </c>
      <c r="EB127" s="5">
        <f>IF($E127&gt;=EB$2,VLOOKUP($E127-EB$2,'data input'!$D$3:$E$130,2,FALSE),0)</f>
        <v>0</v>
      </c>
      <c r="EC127" s="5">
        <f>IF($E127&gt;=EC$2,VLOOKUP($E127-EC$2,'data input'!$D$3:$E$130,2,FALSE),0)</f>
        <v>0</v>
      </c>
    </row>
    <row r="128" spans="5:133">
      <c r="E128" s="7">
        <f>'data input'!B128</f>
        <v>2003</v>
      </c>
      <c r="F128" s="5">
        <f>IF($E128&gt;=F$2,VLOOKUP($E128-F$2,'data input'!$D$3:$E$130,2,FALSE),0)</f>
        <v>9.1481489050693199E-11</v>
      </c>
      <c r="G128" s="5">
        <f>IF($E128&gt;=G$2,VLOOKUP($E128-G$2,'data input'!$D$3:$E$130,2,FALSE),0)</f>
        <v>1.488228429380456E-10</v>
      </c>
      <c r="H128" s="5">
        <f>IF($E128&gt;=H$2,VLOOKUP($E128-H$2,'data input'!$D$3:$E$130,2,FALSE),0)</f>
        <v>2.4077795313104389E-10</v>
      </c>
      <c r="I128" s="5">
        <f>IF($E128&gt;=I$2,VLOOKUP($E128-I$2,'data input'!$D$3:$E$130,2,FALSE),0)</f>
        <v>3.8741476693360255E-10</v>
      </c>
      <c r="J128" s="5">
        <f>IF($E128&gt;=J$2,VLOOKUP($E128-J$2,'data input'!$D$3:$E$130,2,FALSE),0)</f>
        <v>6.1993865596576825E-10</v>
      </c>
      <c r="K128" s="5">
        <f>IF($E128&gt;=K$2,VLOOKUP($E128-K$2,'data input'!$D$3:$E$130,2,FALSE),0)</f>
        <v>9.8658770042447941E-10</v>
      </c>
      <c r="L128" s="5">
        <f>IF($E128&gt;=L$2,VLOOKUP($E128-L$2,'data input'!$D$3:$E$130,2,FALSE),0)</f>
        <v>1.5614869397495568E-9</v>
      </c>
      <c r="M128" s="5">
        <f>IF($E128&gt;=M$2,VLOOKUP($E128-M$2,'data input'!$D$3:$E$130,2,FALSE),0)</f>
        <v>2.4578650226203536E-9</v>
      </c>
      <c r="N128" s="5">
        <f>IF($E128&gt;=N$2,VLOOKUP($E128-N$2,'data input'!$D$3:$E$130,2,FALSE),0)</f>
        <v>3.8476543062770929E-9</v>
      </c>
      <c r="O128" s="5">
        <f>IF($E128&gt;=O$2,VLOOKUP($E128-O$2,'data input'!$D$3:$E$130,2,FALSE),0)</f>
        <v>5.9903714211273495E-9</v>
      </c>
      <c r="P128" s="5">
        <f>IF($E128&gt;=P$2,VLOOKUP($E128-P$2,'data input'!$D$3:$E$130,2,FALSE),0)</f>
        <v>9.2753987823712691E-9</v>
      </c>
      <c r="Q128" s="5">
        <f>IF($E128&gt;=Q$2,VLOOKUP($E128-Q$2,'data input'!$D$3:$E$130,2,FALSE),0)</f>
        <v>1.4283479843335556E-8</v>
      </c>
      <c r="R128" s="5">
        <f>IF($E128&gt;=R$2,VLOOKUP($E128-R$2,'data input'!$D$3:$E$130,2,FALSE),0)</f>
        <v>2.1875580569208353E-8</v>
      </c>
      <c r="S128" s="5">
        <f>IF($E128&gt;=S$2,VLOOKUP($E128-S$2,'data input'!$D$3:$E$130,2,FALSE),0)</f>
        <v>3.3320448511453549E-8</v>
      </c>
      <c r="T128" s="5">
        <f>IF($E128&gt;=T$2,VLOOKUP($E128-T$2,'data input'!$D$3:$E$130,2,FALSE),0)</f>
        <v>5.0476519741771142E-8</v>
      </c>
      <c r="U128" s="5">
        <f>IF($E128&gt;=U$2,VLOOKUP($E128-U$2,'data input'!$D$3:$E$130,2,FALSE),0)</f>
        <v>7.6049605168826417E-8</v>
      </c>
      <c r="V128" s="5">
        <f>IF($E128&gt;=V$2,VLOOKUP($E128-V$2,'data input'!$D$3:$E$130,2,FALSE),0)</f>
        <v>1.1395549048831555E-7</v>
      </c>
      <c r="W128" s="5">
        <f>IF($E128&gt;=W$2,VLOOKUP($E128-W$2,'data input'!$D$3:$E$130,2,FALSE),0)</f>
        <v>1.698267406702314E-7</v>
      </c>
      <c r="X128" s="5">
        <f>IF($E128&gt;=X$2,VLOOKUP($E128-X$2,'data input'!$D$3:$E$130,2,FALSE),0)</f>
        <v>2.5171626816256065E-7</v>
      </c>
      <c r="Y128" s="5">
        <f>IF($E128&gt;=Y$2,VLOOKUP($E128-Y$2,'data input'!$D$3:$E$130,2,FALSE),0)</f>
        <v>3.7106740791159609E-7</v>
      </c>
      <c r="Z128" s="5">
        <f>IF($E128&gt;=Z$2,VLOOKUP($E128-Z$2,'data input'!$D$3:$E$130,2,FALSE),0)</f>
        <v>5.4404227556315021E-7</v>
      </c>
      <c r="AA128" s="5">
        <f>IF($E128&gt;=AA$2,VLOOKUP($E128-AA$2,'data input'!$D$3:$E$130,2,FALSE),0)</f>
        <v>7.9332815194899098E-7</v>
      </c>
      <c r="AB128" s="5">
        <f>IF($E128&gt;=AB$2,VLOOKUP($E128-AB$2,'data input'!$D$3:$E$130,2,FALSE),0)</f>
        <v>1.1505767815167545E-6</v>
      </c>
      <c r="AC128" s="5">
        <f>IF($E128&gt;=AC$2,VLOOKUP($E128-AC$2,'data input'!$D$3:$E$130,2,FALSE),0)</f>
        <v>1.6596751443165303E-6</v>
      </c>
      <c r="AD128" s="5">
        <f>IF($E128&gt;=AD$2,VLOOKUP($E128-AD$2,'data input'!$D$3:$E$130,2,FALSE),0)</f>
        <v>2.3810999327800175E-6</v>
      </c>
      <c r="AE128" s="5">
        <f>IF($E128&gt;=AE$2,VLOOKUP($E128-AE$2,'data input'!$D$3:$E$130,2,FALSE),0)</f>
        <v>3.3976731247387093E-6</v>
      </c>
      <c r="AF128" s="5">
        <f>IF($E128&gt;=AF$2,VLOOKUP($E128-AF$2,'data input'!$D$3:$E$130,2,FALSE),0)</f>
        <v>4.8221141606408224E-6</v>
      </c>
      <c r="AG128" s="5">
        <f>IF($E128&gt;=AG$2,VLOOKUP($E128-AG$2,'data input'!$D$3:$E$130,2,FALSE),0)</f>
        <v>6.8068765993745117E-6</v>
      </c>
      <c r="AH128" s="5">
        <f>IF($E128&gt;=AH$2,VLOOKUP($E128-AH$2,'data input'!$D$3:$E$130,2,FALSE),0)</f>
        <v>9.5568647372479276E-6</v>
      </c>
      <c r="AI128" s="5">
        <f>IF($E128&gt;=AI$2,VLOOKUP($E128-AI$2,'data input'!$D$3:$E$130,2,FALSE),0)</f>
        <v>1.3345749015902797E-5</v>
      </c>
      <c r="AJ128" s="5">
        <f>IF($E128&gt;=AJ$2,VLOOKUP($E128-AJ$2,'data input'!$D$3:$E$130,2,FALSE),0)</f>
        <v>1.8536737846241991E-5</v>
      </c>
      <c r="AK128" s="5">
        <f>IF($E128&gt;=AK$2,VLOOKUP($E128-AK$2,'data input'!$D$3:$E$130,2,FALSE),0)</f>
        <v>2.5608816474065321E-5</v>
      </c>
      <c r="AL128" s="5">
        <f>IF($E128&gt;=AL$2,VLOOKUP($E128-AL$2,'data input'!$D$3:$E$130,2,FALSE),0)</f>
        <v>3.5189628065923628E-5</v>
      </c>
      <c r="AM128" s="5">
        <f>IF($E128&gt;=AM$2,VLOOKUP($E128-AM$2,'data input'!$D$3:$E$130,2,FALSE),0)</f>
        <v>4.8096344017589665E-5</v>
      </c>
      <c r="AN128" s="5">
        <f>IF($E128&gt;=AN$2,VLOOKUP($E128-AN$2,'data input'!$D$3:$E$130,2,FALSE),0)</f>
        <v>6.5386043242687819E-5</v>
      </c>
      <c r="AO128" s="5">
        <f>IF($E128&gt;=AO$2,VLOOKUP($E128-AO$2,'data input'!$D$3:$E$130,2,FALSE),0)</f>
        <v>8.841728520081471E-5</v>
      </c>
      <c r="AP128" s="5">
        <f>IF($E128&gt;=AP$2,VLOOKUP($E128-AP$2,'data input'!$D$3:$E$130,2,FALSE),0)</f>
        <v>1.1892470732677296E-4</v>
      </c>
      <c r="AQ128" s="5">
        <f>IF($E128&gt;=AQ$2,VLOOKUP($E128-AQ$2,'data input'!$D$3:$E$130,2,FALSE),0)</f>
        <v>1.5910859015755285E-4</v>
      </c>
      <c r="AR128" s="5">
        <f>IF($E128&gt;=AR$2,VLOOKUP($E128-AR$2,'data input'!$D$3:$E$130,2,FALSE),0)</f>
        <v>2.1174139572344153E-4</v>
      </c>
      <c r="AS128" s="5">
        <f>IF($E128&gt;=AS$2,VLOOKUP($E128-AS$2,'data input'!$D$3:$E$130,2,FALSE),0)</f>
        <v>2.8029327681622362E-4</v>
      </c>
      <c r="AT128" s="5">
        <f>IF($E128&gt;=AT$2,VLOOKUP($E128-AT$2,'data input'!$D$3:$E$130,2,FALSE),0)</f>
        <v>3.6907845427502917E-4</v>
      </c>
      <c r="AU128" s="5">
        <f>IF($E128&gt;=AU$2,VLOOKUP($E128-AU$2,'data input'!$D$3:$E$130,2,FALSE),0)</f>
        <v>4.8342414238378151E-4</v>
      </c>
      <c r="AV128" s="5">
        <f>IF($E128&gt;=AV$2,VLOOKUP($E128-AV$2,'data input'!$D$3:$E$130,2,FALSE),0)</f>
        <v>6.2986334399772748E-4</v>
      </c>
      <c r="AW128" s="5">
        <f>IF($E128&gt;=AW$2,VLOOKUP($E128-AW$2,'data input'!$D$3:$E$130,2,FALSE),0)</f>
        <v>8.1635231282861653E-4</v>
      </c>
      <c r="AX128" s="5">
        <f>IF($E128&gt;=AX$2,VLOOKUP($E128-AX$2,'data input'!$D$3:$E$130,2,FALSE),0)</f>
        <v>1.0525127683760349E-3</v>
      </c>
      <c r="AY128" s="5">
        <f>IF($E128&gt;=AY$2,VLOOKUP($E128-AY$2,'data input'!$D$3:$E$130,2,FALSE),0)</f>
        <v>1.3498980316301035E-3</v>
      </c>
      <c r="AZ128" s="5">
        <f>IF($E128&gt;=AZ$2,VLOOKUP($E128-AZ$2,'data input'!$D$3:$E$130,2,FALSE),0)</f>
        <v>1.7222811158675855E-3</v>
      </c>
      <c r="BA128" s="5">
        <f>IF($E128&gt;=BA$2,VLOOKUP($E128-BA$2,'data input'!$D$3:$E$130,2,FALSE),0)</f>
        <v>2.1859614549132322E-3</v>
      </c>
      <c r="BB128" s="5">
        <f>IF($E128&gt;=BB$2,VLOOKUP($E128-BB$2,'data input'!$D$3:$E$130,2,FALSE),0)</f>
        <v>2.7600853912624901E-3</v>
      </c>
      <c r="BC128" s="5">
        <f>IF($E128&gt;=BC$2,VLOOKUP($E128-BC$2,'data input'!$D$3:$E$130,2,FALSE),0)</f>
        <v>3.4669738030406183E-3</v>
      </c>
      <c r="BD128" s="5">
        <f>IF($E128&gt;=BD$2,VLOOKUP($E128-BD$2,'data input'!$D$3:$E$130,2,FALSE),0)</f>
        <v>4.3324483630126087E-3</v>
      </c>
      <c r="BE128" s="5">
        <f>IF($E128&gt;=BE$2,VLOOKUP($E128-BE$2,'data input'!$D$3:$E$130,2,FALSE),0)</f>
        <v>5.3861459540667234E-3</v>
      </c>
      <c r="BF128" s="5">
        <f>IF($E128&gt;=BF$2,VLOOKUP($E128-BF$2,'data input'!$D$3:$E$130,2,FALSE),0)</f>
        <v>6.6618087919827484E-3</v>
      </c>
      <c r="BG128" s="5">
        <f>IF($E128&gt;=BG$2,VLOOKUP($E128-BG$2,'data input'!$D$3:$E$130,2,FALSE),0)</f>
        <v>8.1975359245961554E-3</v>
      </c>
      <c r="BH128" s="5">
        <f>IF($E128&gt;=BH$2,VLOOKUP($E128-BH$2,'data input'!$D$3:$E$130,2,FALSE),0)</f>
        <v>1.0035980100274067E-2</v>
      </c>
      <c r="BI128" s="5">
        <f>IF($E128&gt;=BI$2,VLOOKUP($E128-BI$2,'data input'!$D$3:$E$130,2,FALSE),0)</f>
        <v>1.2224472655044671E-2</v>
      </c>
      <c r="BJ128" s="5">
        <f>IF($E128&gt;=BJ$2,VLOOKUP($E128-BJ$2,'data input'!$D$3:$E$130,2,FALSE),0)</f>
        <v>1.4815058192609865E-2</v>
      </c>
      <c r="BK128" s="5">
        <f>IF($E128&gt;=BK$2,VLOOKUP($E128-BK$2,'data input'!$D$3:$E$130,2,FALSE),0)</f>
        <v>1.7864420562816563E-2</v>
      </c>
      <c r="BL128" s="5">
        <f>IF($E128&gt;=BL$2,VLOOKUP($E128-BL$2,'data input'!$D$3:$E$130,2,FALSE),0)</f>
        <v>2.1433682114152974E-2</v>
      </c>
      <c r="BM128" s="5">
        <f>IF($E128&gt;=BM$2,VLOOKUP($E128-BM$2,'data input'!$D$3:$E$130,2,FALSE),0)</f>
        <v>2.5588059521638562E-2</v>
      </c>
      <c r="BN128" s="5">
        <f>IF($E128&gt;=BN$2,VLOOKUP($E128-BN$2,'data input'!$D$3:$E$130,2,FALSE),0)</f>
        <v>3.0396361765261393E-2</v>
      </c>
      <c r="BO128" s="5">
        <f>IF($E128&gt;=BO$2,VLOOKUP($E128-BO$2,'data input'!$D$3:$E$130,2,FALSE),0)</f>
        <v>3.5930319112925768E-2</v>
      </c>
      <c r="BP128" s="5">
        <f>IF($E128&gt;=BP$2,VLOOKUP($E128-BP$2,'data input'!$D$3:$E$130,2,FALSE),0)</f>
        <v>4.2263736257952433E-2</v>
      </c>
      <c r="BQ128" s="5">
        <f>IF($E128&gt;=BQ$2,VLOOKUP($E128-BQ$2,'data input'!$D$3:$E$130,2,FALSE),0)</f>
        <v>4.9471468033648103E-2</v>
      </c>
      <c r="BR128" s="5">
        <f>IF($E128&gt;=BR$2,VLOOKUP($E128-BR$2,'data input'!$D$3:$E$130,2,FALSE),0)</f>
        <v>5.7628222276153163E-2</v>
      </c>
      <c r="BS128" s="5">
        <f>IF($E128&gt;=BS$2,VLOOKUP($E128-BS$2,'data input'!$D$3:$E$130,2,FALSE),0)</f>
        <v>6.6807201268858085E-2</v>
      </c>
      <c r="BT128" s="5">
        <f>IF($E128&gt;=BT$2,VLOOKUP($E128-BT$2,'data input'!$D$3:$E$130,2,FALSE),0)</f>
        <v>7.707860055207183E-2</v>
      </c>
      <c r="BU128" s="5">
        <f>IF($E128&gt;=BU$2,VLOOKUP($E128-BU$2,'data input'!$D$3:$E$130,2,FALSE),0)</f>
        <v>8.8507991437402067E-2</v>
      </c>
      <c r="BV128" s="5">
        <f>IF($E128&gt;=BV$2,VLOOKUP($E128-BV$2,'data input'!$D$3:$E$130,2,FALSE),0)</f>
        <v>0.10115462099558592</v>
      </c>
      <c r="BW128" s="5">
        <f>IF($E128&gt;=BW$2,VLOOKUP($E128-BW$2,'data input'!$D$3:$E$130,2,FALSE),0)</f>
        <v>0.11506967022170822</v>
      </c>
      <c r="BX128" s="5">
        <f>IF($E128&gt;=BX$2,VLOOKUP($E128-BX$2,'data input'!$D$3:$E$130,2,FALSE),0)</f>
        <v>0.13029451713680884</v>
      </c>
      <c r="BY128" s="5">
        <f>IF($E128&gt;=BY$2,VLOOKUP($E128-BY$2,'data input'!$D$3:$E$130,2,FALSE),0)</f>
        <v>0.14685905637589591</v>
      </c>
      <c r="BZ128" s="5">
        <f>IF($E128&gt;=BZ$2,VLOOKUP($E128-BZ$2,'data input'!$D$3:$E$130,2,FALSE),0)</f>
        <v>0.16478012998031033</v>
      </c>
      <c r="CA128" s="5">
        <f>IF($E128&gt;=CA$2,VLOOKUP($E128-CA$2,'data input'!$D$3:$E$130,2,FALSE),0)</f>
        <v>0.18406012534675953</v>
      </c>
      <c r="CB128" s="5">
        <f>IF($E128&gt;=CB$2,VLOOKUP($E128-CB$2,'data input'!$D$3:$E$130,2,FALSE),0)</f>
        <v>0.20468579534725262</v>
      </c>
      <c r="CC128" s="5">
        <f>IF($E128&gt;=CC$2,VLOOKUP($E128-CC$2,'data input'!$D$3:$E$130,2,FALSE),0)</f>
        <v>0.22662735237686826</v>
      </c>
      <c r="CD128" s="5">
        <f>IF($E128&gt;=CD$2,VLOOKUP($E128-CD$2,'data input'!$D$3:$E$130,2,FALSE),0)</f>
        <v>0.24983788247177696</v>
      </c>
      <c r="CE128" s="5">
        <f>IF($E128&gt;=CE$2,VLOOKUP($E128-CE$2,'data input'!$D$3:$E$130,2,FALSE),0)</f>
        <v>0.27425311775007355</v>
      </c>
      <c r="CF128" s="5">
        <f>IF($E128&gt;=CF$2,VLOOKUP($E128-CF$2,'data input'!$D$3:$E$130,2,FALSE),0)</f>
        <v>0.29979159546869583</v>
      </c>
      <c r="CG128" s="5">
        <f>IF($E128&gt;=CG$2,VLOOKUP($E128-CG$2,'data input'!$D$3:$E$130,2,FALSE),0)</f>
        <v>0.32635522028792008</v>
      </c>
      <c r="CH128" s="5">
        <f>IF($E128&gt;=CH$2,VLOOKUP($E128-CH$2,'data input'!$D$3:$E$130,2,FALSE),0)</f>
        <v>0.35383023332727614</v>
      </c>
      <c r="CI128" s="5">
        <f>IF($E128&gt;=CI$2,VLOOKUP($E128-CI$2,'data input'!$D$3:$E$130,2,FALSE),0)</f>
        <v>0.38208857781104733</v>
      </c>
      <c r="CJ128" s="5">
        <f>IF($E128&gt;=CJ$2,VLOOKUP($E128-CJ$2,'data input'!$D$3:$E$130,2,FALSE),0)</f>
        <v>0.41098963713127035</v>
      </c>
      <c r="CK128" s="5">
        <f>IF($E128&gt;=CK$2,VLOOKUP($E128-CK$2,'data input'!$D$3:$E$130,2,FALSE),0)</f>
        <v>0.4403823076297575</v>
      </c>
      <c r="CL128" s="5">
        <f>IF($E128&gt;=CL$2,VLOOKUP($E128-CL$2,'data input'!$D$3:$E$130,2,FALSE),0)</f>
        <v>0.47010735594710518</v>
      </c>
      <c r="CM128" s="5">
        <f>IF($E128&gt;=CM$2,VLOOKUP($E128-CM$2,'data input'!$D$3:$E$130,2,FALSE),0)</f>
        <v>0.5</v>
      </c>
      <c r="CN128" s="5">
        <f>IF($E128&gt;=CN$2,VLOOKUP($E128-CN$2,'data input'!$D$3:$E$130,2,FALSE),0)</f>
        <v>0.52989264405289482</v>
      </c>
      <c r="CO128" s="5">
        <f>IF($E128&gt;=CO$2,VLOOKUP($E128-CO$2,'data input'!$D$3:$E$130,2,FALSE),0)</f>
        <v>0.5596176923702425</v>
      </c>
      <c r="CP128" s="5">
        <f>IF($E128&gt;=CP$2,VLOOKUP($E128-CP$2,'data input'!$D$3:$E$130,2,FALSE),0)</f>
        <v>0.58901036286872965</v>
      </c>
      <c r="CQ128" s="5">
        <f>IF($E128&gt;=CQ$2,VLOOKUP($E128-CQ$2,'data input'!$D$3:$E$130,2,FALSE),0)</f>
        <v>0.61791142218895267</v>
      </c>
      <c r="CR128" s="5">
        <f>IF($E128&gt;=CR$2,VLOOKUP($E128-CR$2,'data input'!$D$3:$E$130,2,FALSE),0)</f>
        <v>0.64616976667272386</v>
      </c>
      <c r="CS128" s="5">
        <f>IF($E128&gt;=CS$2,VLOOKUP($E128-CS$2,'data input'!$D$3:$E$130,2,FALSE),0)</f>
        <v>0.67364477971207992</v>
      </c>
      <c r="CT128" s="5">
        <f>IF($E128&gt;=CT$2,VLOOKUP($E128-CT$2,'data input'!$D$3:$E$130,2,FALSE),0)</f>
        <v>0.70020840453130417</v>
      </c>
      <c r="CU128" s="5">
        <f>IF($E128&gt;=CU$2,VLOOKUP($E128-CU$2,'data input'!$D$3:$E$130,2,FALSE),0)</f>
        <v>0.72574688224992645</v>
      </c>
      <c r="CV128" s="5">
        <f>IF($E128&gt;=CV$2,VLOOKUP($E128-CV$2,'data input'!$D$3:$E$130,2,FALSE),0)</f>
        <v>0.75016211752822304</v>
      </c>
      <c r="CW128" s="5">
        <f>IF($E128&gt;=CW$2,VLOOKUP($E128-CW$2,'data input'!$D$3:$E$130,2,FALSE),0)</f>
        <v>0.77337264762313174</v>
      </c>
      <c r="CX128" s="5">
        <f>IF($E128&gt;=CX$2,VLOOKUP($E128-CX$2,'data input'!$D$3:$E$130,2,FALSE),0)</f>
        <v>0.79531420465274738</v>
      </c>
      <c r="CY128" s="5">
        <f>IF($E128&gt;=CY$2,VLOOKUP($E128-CY$2,'data input'!$D$3:$E$130,2,FALSE),0)</f>
        <v>0.81593987465324047</v>
      </c>
      <c r="CZ128" s="5">
        <f>IF($E128&gt;=CZ$2,VLOOKUP($E128-CZ$2,'data input'!$D$3:$E$130,2,FALSE),0)</f>
        <v>0.83521987001968967</v>
      </c>
      <c r="DA128" s="5">
        <f>IF($E128&gt;=DA$2,VLOOKUP($E128-DA$2,'data input'!$D$3:$E$130,2,FALSE),0)</f>
        <v>0.85314094362410409</v>
      </c>
      <c r="DB128" s="5">
        <f>IF($E128&gt;=DB$2,VLOOKUP($E128-DB$2,'data input'!$D$3:$E$130,2,FALSE),0)</f>
        <v>0.86970548286319116</v>
      </c>
      <c r="DC128" s="5">
        <f>IF($E128&gt;=DC$2,VLOOKUP($E128-DC$2,'data input'!$D$3:$E$130,2,FALSE),0)</f>
        <v>0.88493032977829178</v>
      </c>
      <c r="DD128" s="5">
        <f>IF($E128&gt;=DD$2,VLOOKUP($E128-DD$2,'data input'!$D$3:$E$130,2,FALSE),0)</f>
        <v>0.89884537900441408</v>
      </c>
      <c r="DE128" s="5">
        <f>IF($E128&gt;=DE$2,VLOOKUP($E128-DE$2,'data input'!$D$3:$E$130,2,FALSE),0)</f>
        <v>0.91149200856259793</v>
      </c>
      <c r="DF128" s="5">
        <f>IF($E128&gt;=DF$2,VLOOKUP($E128-DF$2,'data input'!$D$3:$E$130,2,FALSE),0)</f>
        <v>0.92292139944792817</v>
      </c>
      <c r="DG128" s="5">
        <f>IF($E128&gt;=DG$2,VLOOKUP($E128-DG$2,'data input'!$D$3:$E$130,2,FALSE),0)</f>
        <v>0.93319279873114191</v>
      </c>
      <c r="DH128" s="5">
        <f>IF($E128&gt;=DH$2,VLOOKUP($E128-DH$2,'data input'!$D$3:$E$130,2,FALSE),0)</f>
        <v>0.94237177772384684</v>
      </c>
      <c r="DI128" s="5">
        <f>IF($E128&gt;=DI$2,VLOOKUP($E128-DI$2,'data input'!$D$3:$E$130,2,FALSE),0)</f>
        <v>0.9505285319663519</v>
      </c>
      <c r="DJ128" s="5">
        <f>IF($E128&gt;=DJ$2,VLOOKUP($E128-DJ$2,'data input'!$D$3:$E$130,2,FALSE),0)</f>
        <v>0.95773626374204757</v>
      </c>
      <c r="DK128" s="5">
        <f>IF($E128&gt;=DK$2,VLOOKUP($E128-DK$2,'data input'!$D$3:$E$130,2,FALSE),0)</f>
        <v>0.96406968088707423</v>
      </c>
      <c r="DL128" s="5">
        <f>IF($E128&gt;=DL$2,VLOOKUP($E128-DL$2,'data input'!$D$3:$E$130,2,FALSE),0)</f>
        <v>0.96960363823473861</v>
      </c>
      <c r="DM128" s="5">
        <f>IF($E128&gt;=DM$2,VLOOKUP($E128-DM$2,'data input'!$D$3:$E$130,2,FALSE),0)</f>
        <v>0.97441194047836144</v>
      </c>
      <c r="DN128" s="5">
        <f>IF($E128&gt;=DN$2,VLOOKUP($E128-DN$2,'data input'!$D$3:$E$130,2,FALSE),0)</f>
        <v>0.97856631788584703</v>
      </c>
      <c r="DO128" s="5">
        <f>IF($E128&gt;=DO$2,VLOOKUP($E128-DO$2,'data input'!$D$3:$E$130,2,FALSE),0)</f>
        <v>0.98213557943718344</v>
      </c>
      <c r="DP128" s="5">
        <f>IF($E128&gt;=DP$2,VLOOKUP($E128-DP$2,'data input'!$D$3:$E$130,2,FALSE),0)</f>
        <v>0.98518494180739014</v>
      </c>
      <c r="DQ128" s="5">
        <f>IF($E128&gt;=DQ$2,VLOOKUP($E128-DQ$2,'data input'!$D$3:$E$130,2,FALSE),0)</f>
        <v>0.98777552734495533</v>
      </c>
      <c r="DR128" s="5">
        <f>IF($E128&gt;=DR$2,VLOOKUP($E128-DR$2,'data input'!$D$3:$E$130,2,FALSE),0)</f>
        <v>0.98996401989972593</v>
      </c>
      <c r="DS128" s="5">
        <f>IF($E128&gt;=DS$2,VLOOKUP($E128-DS$2,'data input'!$D$3:$E$130,2,FALSE),0)</f>
        <v>0.99180246407540384</v>
      </c>
      <c r="DT128" s="5">
        <f>IF($E128&gt;=DT$2,VLOOKUP($E128-DT$2,'data input'!$D$3:$E$130,2,FALSE),0)</f>
        <v>0.99333819120801725</v>
      </c>
      <c r="DU128" s="5">
        <f>IF($E128&gt;=DU$2,VLOOKUP($E128-DU$2,'data input'!$D$3:$E$130,2,FALSE),0)</f>
        <v>0.99461385404593328</v>
      </c>
      <c r="DV128" s="5">
        <f>IF($E128&gt;=DV$2,VLOOKUP($E128-DV$2,'data input'!$D$3:$E$130,2,FALSE),0)</f>
        <v>0.99566755163698739</v>
      </c>
      <c r="DW128" s="5">
        <f>IF($E128&gt;=DW$2,VLOOKUP($E128-DW$2,'data input'!$D$3:$E$130,2,FALSE),0)</f>
        <v>0.99653302619695938</v>
      </c>
      <c r="DX128" s="5">
        <f>IF($E128&gt;=DX$2,VLOOKUP($E128-DX$2,'data input'!$D$3:$E$130,2,FALSE),0)</f>
        <v>0.99723991460873751</v>
      </c>
      <c r="DY128" s="5">
        <f>IF($E128&gt;=DY$2,VLOOKUP($E128-DY$2,'data input'!$D$3:$E$130,2,FALSE),0)</f>
        <v>0.99781403854508677</v>
      </c>
      <c r="DZ128" s="5">
        <f>IF($E128&gt;=DZ$2,VLOOKUP($E128-DZ$2,'data input'!$D$3:$E$130,2,FALSE),0)</f>
        <v>0.99827771888413241</v>
      </c>
      <c r="EA128" s="5">
        <f>IF($E128&gt;=EA$2,VLOOKUP($E128-EA$2,'data input'!$D$3:$E$130,2,FALSE),0)</f>
        <v>0.9986501019683699</v>
      </c>
      <c r="EB128" s="5">
        <f>IF($E128&gt;=EB$2,VLOOKUP($E128-EB$2,'data input'!$D$3:$E$130,2,FALSE),0)</f>
        <v>0</v>
      </c>
      <c r="EC128" s="5">
        <f>IF($E128&gt;=EC$2,VLOOKUP($E128-EC$2,'data input'!$D$3:$E$130,2,FALSE),0)</f>
        <v>0</v>
      </c>
    </row>
    <row r="129" spans="5:133">
      <c r="E129" s="7">
        <f>'data input'!B129</f>
        <v>2004</v>
      </c>
      <c r="F129" s="5">
        <f>IF($E129&gt;=F$2,VLOOKUP($E129-F$2,'data input'!$D$3:$E$130,2,FALSE),0)</f>
        <v>5.5925042374838085E-11</v>
      </c>
      <c r="G129" s="5">
        <f>IF($E129&gt;=G$2,VLOOKUP($E129-G$2,'data input'!$D$3:$E$130,2,FALSE),0)</f>
        <v>9.1481489050693199E-11</v>
      </c>
      <c r="H129" s="5">
        <f>IF($E129&gt;=H$2,VLOOKUP($E129-H$2,'data input'!$D$3:$E$130,2,FALSE),0)</f>
        <v>1.488228429380456E-10</v>
      </c>
      <c r="I129" s="5">
        <f>IF($E129&gt;=I$2,VLOOKUP($E129-I$2,'data input'!$D$3:$E$130,2,FALSE),0)</f>
        <v>2.4077795313104389E-10</v>
      </c>
      <c r="J129" s="5">
        <f>IF($E129&gt;=J$2,VLOOKUP($E129-J$2,'data input'!$D$3:$E$130,2,FALSE),0)</f>
        <v>3.8741476693360255E-10</v>
      </c>
      <c r="K129" s="5">
        <f>IF($E129&gt;=K$2,VLOOKUP($E129-K$2,'data input'!$D$3:$E$130,2,FALSE),0)</f>
        <v>6.1993865596576825E-10</v>
      </c>
      <c r="L129" s="5">
        <f>IF($E129&gt;=L$2,VLOOKUP($E129-L$2,'data input'!$D$3:$E$130,2,FALSE),0)</f>
        <v>9.8658770042447941E-10</v>
      </c>
      <c r="M129" s="5">
        <f>IF($E129&gt;=M$2,VLOOKUP($E129-M$2,'data input'!$D$3:$E$130,2,FALSE),0)</f>
        <v>1.5614869397495568E-9</v>
      </c>
      <c r="N129" s="5">
        <f>IF($E129&gt;=N$2,VLOOKUP($E129-N$2,'data input'!$D$3:$E$130,2,FALSE),0)</f>
        <v>2.4578650226203536E-9</v>
      </c>
      <c r="O129" s="5">
        <f>IF($E129&gt;=O$2,VLOOKUP($E129-O$2,'data input'!$D$3:$E$130,2,FALSE),0)</f>
        <v>3.8476543062770929E-9</v>
      </c>
      <c r="P129" s="5">
        <f>IF($E129&gt;=P$2,VLOOKUP($E129-P$2,'data input'!$D$3:$E$130,2,FALSE),0)</f>
        <v>5.9903714211273495E-9</v>
      </c>
      <c r="Q129" s="5">
        <f>IF($E129&gt;=Q$2,VLOOKUP($E129-Q$2,'data input'!$D$3:$E$130,2,FALSE),0)</f>
        <v>9.2753987823712691E-9</v>
      </c>
      <c r="R129" s="5">
        <f>IF($E129&gt;=R$2,VLOOKUP($E129-R$2,'data input'!$D$3:$E$130,2,FALSE),0)</f>
        <v>1.4283479843335556E-8</v>
      </c>
      <c r="S129" s="5">
        <f>IF($E129&gt;=S$2,VLOOKUP($E129-S$2,'data input'!$D$3:$E$130,2,FALSE),0)</f>
        <v>2.1875580569208353E-8</v>
      </c>
      <c r="T129" s="5">
        <f>IF($E129&gt;=T$2,VLOOKUP($E129-T$2,'data input'!$D$3:$E$130,2,FALSE),0)</f>
        <v>3.3320448511453549E-8</v>
      </c>
      <c r="U129" s="5">
        <f>IF($E129&gt;=U$2,VLOOKUP($E129-U$2,'data input'!$D$3:$E$130,2,FALSE),0)</f>
        <v>5.0476519741771142E-8</v>
      </c>
      <c r="V129" s="5">
        <f>IF($E129&gt;=V$2,VLOOKUP($E129-V$2,'data input'!$D$3:$E$130,2,FALSE),0)</f>
        <v>7.6049605168826417E-8</v>
      </c>
      <c r="W129" s="5">
        <f>IF($E129&gt;=W$2,VLOOKUP($E129-W$2,'data input'!$D$3:$E$130,2,FALSE),0)</f>
        <v>1.1395549048831555E-7</v>
      </c>
      <c r="X129" s="5">
        <f>IF($E129&gt;=X$2,VLOOKUP($E129-X$2,'data input'!$D$3:$E$130,2,FALSE),0)</f>
        <v>1.698267406702314E-7</v>
      </c>
      <c r="Y129" s="5">
        <f>IF($E129&gt;=Y$2,VLOOKUP($E129-Y$2,'data input'!$D$3:$E$130,2,FALSE),0)</f>
        <v>2.5171626816256065E-7</v>
      </c>
      <c r="Z129" s="5">
        <f>IF($E129&gt;=Z$2,VLOOKUP($E129-Z$2,'data input'!$D$3:$E$130,2,FALSE),0)</f>
        <v>3.7106740791159609E-7</v>
      </c>
      <c r="AA129" s="5">
        <f>IF($E129&gt;=AA$2,VLOOKUP($E129-AA$2,'data input'!$D$3:$E$130,2,FALSE),0)</f>
        <v>5.4404227556315021E-7</v>
      </c>
      <c r="AB129" s="5">
        <f>IF($E129&gt;=AB$2,VLOOKUP($E129-AB$2,'data input'!$D$3:$E$130,2,FALSE),0)</f>
        <v>7.9332815194899098E-7</v>
      </c>
      <c r="AC129" s="5">
        <f>IF($E129&gt;=AC$2,VLOOKUP($E129-AC$2,'data input'!$D$3:$E$130,2,FALSE),0)</f>
        <v>1.1505767815167545E-6</v>
      </c>
      <c r="AD129" s="5">
        <f>IF($E129&gt;=AD$2,VLOOKUP($E129-AD$2,'data input'!$D$3:$E$130,2,FALSE),0)</f>
        <v>1.6596751443165303E-6</v>
      </c>
      <c r="AE129" s="5">
        <f>IF($E129&gt;=AE$2,VLOOKUP($E129-AE$2,'data input'!$D$3:$E$130,2,FALSE),0)</f>
        <v>2.3810999327800175E-6</v>
      </c>
      <c r="AF129" s="5">
        <f>IF($E129&gt;=AF$2,VLOOKUP($E129-AF$2,'data input'!$D$3:$E$130,2,FALSE),0)</f>
        <v>3.3976731247387093E-6</v>
      </c>
      <c r="AG129" s="5">
        <f>IF($E129&gt;=AG$2,VLOOKUP($E129-AG$2,'data input'!$D$3:$E$130,2,FALSE),0)</f>
        <v>4.8221141606408224E-6</v>
      </c>
      <c r="AH129" s="5">
        <f>IF($E129&gt;=AH$2,VLOOKUP($E129-AH$2,'data input'!$D$3:$E$130,2,FALSE),0)</f>
        <v>6.8068765993745117E-6</v>
      </c>
      <c r="AI129" s="5">
        <f>IF($E129&gt;=AI$2,VLOOKUP($E129-AI$2,'data input'!$D$3:$E$130,2,FALSE),0)</f>
        <v>9.5568647372479276E-6</v>
      </c>
      <c r="AJ129" s="5">
        <f>IF($E129&gt;=AJ$2,VLOOKUP($E129-AJ$2,'data input'!$D$3:$E$130,2,FALSE),0)</f>
        <v>1.3345749015902797E-5</v>
      </c>
      <c r="AK129" s="5">
        <f>IF($E129&gt;=AK$2,VLOOKUP($E129-AK$2,'data input'!$D$3:$E$130,2,FALSE),0)</f>
        <v>1.8536737846241991E-5</v>
      </c>
      <c r="AL129" s="5">
        <f>IF($E129&gt;=AL$2,VLOOKUP($E129-AL$2,'data input'!$D$3:$E$130,2,FALSE),0)</f>
        <v>2.5608816474065321E-5</v>
      </c>
      <c r="AM129" s="5">
        <f>IF($E129&gt;=AM$2,VLOOKUP($E129-AM$2,'data input'!$D$3:$E$130,2,FALSE),0)</f>
        <v>3.5189628065923628E-5</v>
      </c>
      <c r="AN129" s="5">
        <f>IF($E129&gt;=AN$2,VLOOKUP($E129-AN$2,'data input'!$D$3:$E$130,2,FALSE),0)</f>
        <v>4.8096344017589665E-5</v>
      </c>
      <c r="AO129" s="5">
        <f>IF($E129&gt;=AO$2,VLOOKUP($E129-AO$2,'data input'!$D$3:$E$130,2,FALSE),0)</f>
        <v>6.5386043242687819E-5</v>
      </c>
      <c r="AP129" s="5">
        <f>IF($E129&gt;=AP$2,VLOOKUP($E129-AP$2,'data input'!$D$3:$E$130,2,FALSE),0)</f>
        <v>8.841728520081471E-5</v>
      </c>
      <c r="AQ129" s="5">
        <f>IF($E129&gt;=AQ$2,VLOOKUP($E129-AQ$2,'data input'!$D$3:$E$130,2,FALSE),0)</f>
        <v>1.1892470732677296E-4</v>
      </c>
      <c r="AR129" s="5">
        <f>IF($E129&gt;=AR$2,VLOOKUP($E129-AR$2,'data input'!$D$3:$E$130,2,FALSE),0)</f>
        <v>1.5910859015755285E-4</v>
      </c>
      <c r="AS129" s="5">
        <f>IF($E129&gt;=AS$2,VLOOKUP($E129-AS$2,'data input'!$D$3:$E$130,2,FALSE),0)</f>
        <v>2.1174139572344153E-4</v>
      </c>
      <c r="AT129" s="5">
        <f>IF($E129&gt;=AT$2,VLOOKUP($E129-AT$2,'data input'!$D$3:$E$130,2,FALSE),0)</f>
        <v>2.8029327681622362E-4</v>
      </c>
      <c r="AU129" s="5">
        <f>IF($E129&gt;=AU$2,VLOOKUP($E129-AU$2,'data input'!$D$3:$E$130,2,FALSE),0)</f>
        <v>3.6907845427502917E-4</v>
      </c>
      <c r="AV129" s="5">
        <f>IF($E129&gt;=AV$2,VLOOKUP($E129-AV$2,'data input'!$D$3:$E$130,2,FALSE),0)</f>
        <v>4.8342414238378151E-4</v>
      </c>
      <c r="AW129" s="5">
        <f>IF($E129&gt;=AW$2,VLOOKUP($E129-AW$2,'data input'!$D$3:$E$130,2,FALSE),0)</f>
        <v>6.2986334399772748E-4</v>
      </c>
      <c r="AX129" s="5">
        <f>IF($E129&gt;=AX$2,VLOOKUP($E129-AX$2,'data input'!$D$3:$E$130,2,FALSE),0)</f>
        <v>8.1635231282861653E-4</v>
      </c>
      <c r="AY129" s="5">
        <f>IF($E129&gt;=AY$2,VLOOKUP($E129-AY$2,'data input'!$D$3:$E$130,2,FALSE),0)</f>
        <v>1.0525127683760349E-3</v>
      </c>
      <c r="AZ129" s="5">
        <f>IF($E129&gt;=AZ$2,VLOOKUP($E129-AZ$2,'data input'!$D$3:$E$130,2,FALSE),0)</f>
        <v>1.3498980316301035E-3</v>
      </c>
      <c r="BA129" s="5">
        <f>IF($E129&gt;=BA$2,VLOOKUP($E129-BA$2,'data input'!$D$3:$E$130,2,FALSE),0)</f>
        <v>1.7222811158675855E-3</v>
      </c>
      <c r="BB129" s="5">
        <f>IF($E129&gt;=BB$2,VLOOKUP($E129-BB$2,'data input'!$D$3:$E$130,2,FALSE),0)</f>
        <v>2.1859614549132322E-3</v>
      </c>
      <c r="BC129" s="5">
        <f>IF($E129&gt;=BC$2,VLOOKUP($E129-BC$2,'data input'!$D$3:$E$130,2,FALSE),0)</f>
        <v>2.7600853912624901E-3</v>
      </c>
      <c r="BD129" s="5">
        <f>IF($E129&gt;=BD$2,VLOOKUP($E129-BD$2,'data input'!$D$3:$E$130,2,FALSE),0)</f>
        <v>3.4669738030406183E-3</v>
      </c>
      <c r="BE129" s="5">
        <f>IF($E129&gt;=BE$2,VLOOKUP($E129-BE$2,'data input'!$D$3:$E$130,2,FALSE),0)</f>
        <v>4.3324483630126087E-3</v>
      </c>
      <c r="BF129" s="5">
        <f>IF($E129&gt;=BF$2,VLOOKUP($E129-BF$2,'data input'!$D$3:$E$130,2,FALSE),0)</f>
        <v>5.3861459540667234E-3</v>
      </c>
      <c r="BG129" s="5">
        <f>IF($E129&gt;=BG$2,VLOOKUP($E129-BG$2,'data input'!$D$3:$E$130,2,FALSE),0)</f>
        <v>6.6618087919827484E-3</v>
      </c>
      <c r="BH129" s="5">
        <f>IF($E129&gt;=BH$2,VLOOKUP($E129-BH$2,'data input'!$D$3:$E$130,2,FALSE),0)</f>
        <v>8.1975359245961554E-3</v>
      </c>
      <c r="BI129" s="5">
        <f>IF($E129&gt;=BI$2,VLOOKUP($E129-BI$2,'data input'!$D$3:$E$130,2,FALSE),0)</f>
        <v>1.0035980100274067E-2</v>
      </c>
      <c r="BJ129" s="5">
        <f>IF($E129&gt;=BJ$2,VLOOKUP($E129-BJ$2,'data input'!$D$3:$E$130,2,FALSE),0)</f>
        <v>1.2224472655044671E-2</v>
      </c>
      <c r="BK129" s="5">
        <f>IF($E129&gt;=BK$2,VLOOKUP($E129-BK$2,'data input'!$D$3:$E$130,2,FALSE),0)</f>
        <v>1.4815058192609865E-2</v>
      </c>
      <c r="BL129" s="5">
        <f>IF($E129&gt;=BL$2,VLOOKUP($E129-BL$2,'data input'!$D$3:$E$130,2,FALSE),0)</f>
        <v>1.7864420562816563E-2</v>
      </c>
      <c r="BM129" s="5">
        <f>IF($E129&gt;=BM$2,VLOOKUP($E129-BM$2,'data input'!$D$3:$E$130,2,FALSE),0)</f>
        <v>2.1433682114152974E-2</v>
      </c>
      <c r="BN129" s="5">
        <f>IF($E129&gt;=BN$2,VLOOKUP($E129-BN$2,'data input'!$D$3:$E$130,2,FALSE),0)</f>
        <v>2.5588059521638562E-2</v>
      </c>
      <c r="BO129" s="5">
        <f>IF($E129&gt;=BO$2,VLOOKUP($E129-BO$2,'data input'!$D$3:$E$130,2,FALSE),0)</f>
        <v>3.0396361765261393E-2</v>
      </c>
      <c r="BP129" s="5">
        <f>IF($E129&gt;=BP$2,VLOOKUP($E129-BP$2,'data input'!$D$3:$E$130,2,FALSE),0)</f>
        <v>3.5930319112925768E-2</v>
      </c>
      <c r="BQ129" s="5">
        <f>IF($E129&gt;=BQ$2,VLOOKUP($E129-BQ$2,'data input'!$D$3:$E$130,2,FALSE),0)</f>
        <v>4.2263736257952433E-2</v>
      </c>
      <c r="BR129" s="5">
        <f>IF($E129&gt;=BR$2,VLOOKUP($E129-BR$2,'data input'!$D$3:$E$130,2,FALSE),0)</f>
        <v>4.9471468033648103E-2</v>
      </c>
      <c r="BS129" s="5">
        <f>IF($E129&gt;=BS$2,VLOOKUP($E129-BS$2,'data input'!$D$3:$E$130,2,FALSE),0)</f>
        <v>5.7628222276153163E-2</v>
      </c>
      <c r="BT129" s="5">
        <f>IF($E129&gt;=BT$2,VLOOKUP($E129-BT$2,'data input'!$D$3:$E$130,2,FALSE),0)</f>
        <v>6.6807201268858085E-2</v>
      </c>
      <c r="BU129" s="5">
        <f>IF($E129&gt;=BU$2,VLOOKUP($E129-BU$2,'data input'!$D$3:$E$130,2,FALSE),0)</f>
        <v>7.707860055207183E-2</v>
      </c>
      <c r="BV129" s="5">
        <f>IF($E129&gt;=BV$2,VLOOKUP($E129-BV$2,'data input'!$D$3:$E$130,2,FALSE),0)</f>
        <v>8.8507991437402067E-2</v>
      </c>
      <c r="BW129" s="5">
        <f>IF($E129&gt;=BW$2,VLOOKUP($E129-BW$2,'data input'!$D$3:$E$130,2,FALSE),0)</f>
        <v>0.10115462099558592</v>
      </c>
      <c r="BX129" s="5">
        <f>IF($E129&gt;=BX$2,VLOOKUP($E129-BX$2,'data input'!$D$3:$E$130,2,FALSE),0)</f>
        <v>0.11506967022170822</v>
      </c>
      <c r="BY129" s="5">
        <f>IF($E129&gt;=BY$2,VLOOKUP($E129-BY$2,'data input'!$D$3:$E$130,2,FALSE),0)</f>
        <v>0.13029451713680884</v>
      </c>
      <c r="BZ129" s="5">
        <f>IF($E129&gt;=BZ$2,VLOOKUP($E129-BZ$2,'data input'!$D$3:$E$130,2,FALSE),0)</f>
        <v>0.14685905637589591</v>
      </c>
      <c r="CA129" s="5">
        <f>IF($E129&gt;=CA$2,VLOOKUP($E129-CA$2,'data input'!$D$3:$E$130,2,FALSE),0)</f>
        <v>0.16478012998031033</v>
      </c>
      <c r="CB129" s="5">
        <f>IF($E129&gt;=CB$2,VLOOKUP($E129-CB$2,'data input'!$D$3:$E$130,2,FALSE),0)</f>
        <v>0.18406012534675953</v>
      </c>
      <c r="CC129" s="5">
        <f>IF($E129&gt;=CC$2,VLOOKUP($E129-CC$2,'data input'!$D$3:$E$130,2,FALSE),0)</f>
        <v>0.20468579534725262</v>
      </c>
      <c r="CD129" s="5">
        <f>IF($E129&gt;=CD$2,VLOOKUP($E129-CD$2,'data input'!$D$3:$E$130,2,FALSE),0)</f>
        <v>0.22662735237686826</v>
      </c>
      <c r="CE129" s="5">
        <f>IF($E129&gt;=CE$2,VLOOKUP($E129-CE$2,'data input'!$D$3:$E$130,2,FALSE),0)</f>
        <v>0.24983788247177696</v>
      </c>
      <c r="CF129" s="5">
        <f>IF($E129&gt;=CF$2,VLOOKUP($E129-CF$2,'data input'!$D$3:$E$130,2,FALSE),0)</f>
        <v>0.27425311775007355</v>
      </c>
      <c r="CG129" s="5">
        <f>IF($E129&gt;=CG$2,VLOOKUP($E129-CG$2,'data input'!$D$3:$E$130,2,FALSE),0)</f>
        <v>0.29979159546869583</v>
      </c>
      <c r="CH129" s="5">
        <f>IF($E129&gt;=CH$2,VLOOKUP($E129-CH$2,'data input'!$D$3:$E$130,2,FALSE),0)</f>
        <v>0.32635522028792008</v>
      </c>
      <c r="CI129" s="5">
        <f>IF($E129&gt;=CI$2,VLOOKUP($E129-CI$2,'data input'!$D$3:$E$130,2,FALSE),0)</f>
        <v>0.35383023332727614</v>
      </c>
      <c r="CJ129" s="5">
        <f>IF($E129&gt;=CJ$2,VLOOKUP($E129-CJ$2,'data input'!$D$3:$E$130,2,FALSE),0)</f>
        <v>0.38208857781104733</v>
      </c>
      <c r="CK129" s="5">
        <f>IF($E129&gt;=CK$2,VLOOKUP($E129-CK$2,'data input'!$D$3:$E$130,2,FALSE),0)</f>
        <v>0.41098963713127035</v>
      </c>
      <c r="CL129" s="5">
        <f>IF($E129&gt;=CL$2,VLOOKUP($E129-CL$2,'data input'!$D$3:$E$130,2,FALSE),0)</f>
        <v>0.4403823076297575</v>
      </c>
      <c r="CM129" s="5">
        <f>IF($E129&gt;=CM$2,VLOOKUP($E129-CM$2,'data input'!$D$3:$E$130,2,FALSE),0)</f>
        <v>0.47010735594710518</v>
      </c>
      <c r="CN129" s="5">
        <f>IF($E129&gt;=CN$2,VLOOKUP($E129-CN$2,'data input'!$D$3:$E$130,2,FALSE),0)</f>
        <v>0.5</v>
      </c>
      <c r="CO129" s="5">
        <f>IF($E129&gt;=CO$2,VLOOKUP($E129-CO$2,'data input'!$D$3:$E$130,2,FALSE),0)</f>
        <v>0.52989264405289482</v>
      </c>
      <c r="CP129" s="5">
        <f>IF($E129&gt;=CP$2,VLOOKUP($E129-CP$2,'data input'!$D$3:$E$130,2,FALSE),0)</f>
        <v>0.5596176923702425</v>
      </c>
      <c r="CQ129" s="5">
        <f>IF($E129&gt;=CQ$2,VLOOKUP($E129-CQ$2,'data input'!$D$3:$E$130,2,FALSE),0)</f>
        <v>0.58901036286872965</v>
      </c>
      <c r="CR129" s="5">
        <f>IF($E129&gt;=CR$2,VLOOKUP($E129-CR$2,'data input'!$D$3:$E$130,2,FALSE),0)</f>
        <v>0.61791142218895267</v>
      </c>
      <c r="CS129" s="5">
        <f>IF($E129&gt;=CS$2,VLOOKUP($E129-CS$2,'data input'!$D$3:$E$130,2,FALSE),0)</f>
        <v>0.64616976667272386</v>
      </c>
      <c r="CT129" s="5">
        <f>IF($E129&gt;=CT$2,VLOOKUP($E129-CT$2,'data input'!$D$3:$E$130,2,FALSE),0)</f>
        <v>0.67364477971207992</v>
      </c>
      <c r="CU129" s="5">
        <f>IF($E129&gt;=CU$2,VLOOKUP($E129-CU$2,'data input'!$D$3:$E$130,2,FALSE),0)</f>
        <v>0.70020840453130417</v>
      </c>
      <c r="CV129" s="5">
        <f>IF($E129&gt;=CV$2,VLOOKUP($E129-CV$2,'data input'!$D$3:$E$130,2,FALSE),0)</f>
        <v>0.72574688224992645</v>
      </c>
      <c r="CW129" s="5">
        <f>IF($E129&gt;=CW$2,VLOOKUP($E129-CW$2,'data input'!$D$3:$E$130,2,FALSE),0)</f>
        <v>0.75016211752822304</v>
      </c>
      <c r="CX129" s="5">
        <f>IF($E129&gt;=CX$2,VLOOKUP($E129-CX$2,'data input'!$D$3:$E$130,2,FALSE),0)</f>
        <v>0.77337264762313174</v>
      </c>
      <c r="CY129" s="5">
        <f>IF($E129&gt;=CY$2,VLOOKUP($E129-CY$2,'data input'!$D$3:$E$130,2,FALSE),0)</f>
        <v>0.79531420465274738</v>
      </c>
      <c r="CZ129" s="5">
        <f>IF($E129&gt;=CZ$2,VLOOKUP($E129-CZ$2,'data input'!$D$3:$E$130,2,FALSE),0)</f>
        <v>0.81593987465324047</v>
      </c>
      <c r="DA129" s="5">
        <f>IF($E129&gt;=DA$2,VLOOKUP($E129-DA$2,'data input'!$D$3:$E$130,2,FALSE),0)</f>
        <v>0.83521987001968967</v>
      </c>
      <c r="DB129" s="5">
        <f>IF($E129&gt;=DB$2,VLOOKUP($E129-DB$2,'data input'!$D$3:$E$130,2,FALSE),0)</f>
        <v>0.85314094362410409</v>
      </c>
      <c r="DC129" s="5">
        <f>IF($E129&gt;=DC$2,VLOOKUP($E129-DC$2,'data input'!$D$3:$E$130,2,FALSE),0)</f>
        <v>0.86970548286319116</v>
      </c>
      <c r="DD129" s="5">
        <f>IF($E129&gt;=DD$2,VLOOKUP($E129-DD$2,'data input'!$D$3:$E$130,2,FALSE),0)</f>
        <v>0.88493032977829178</v>
      </c>
      <c r="DE129" s="5">
        <f>IF($E129&gt;=DE$2,VLOOKUP($E129-DE$2,'data input'!$D$3:$E$130,2,FALSE),0)</f>
        <v>0.89884537900441408</v>
      </c>
      <c r="DF129" s="5">
        <f>IF($E129&gt;=DF$2,VLOOKUP($E129-DF$2,'data input'!$D$3:$E$130,2,FALSE),0)</f>
        <v>0.91149200856259793</v>
      </c>
      <c r="DG129" s="5">
        <f>IF($E129&gt;=DG$2,VLOOKUP($E129-DG$2,'data input'!$D$3:$E$130,2,FALSE),0)</f>
        <v>0.92292139944792817</v>
      </c>
      <c r="DH129" s="5">
        <f>IF($E129&gt;=DH$2,VLOOKUP($E129-DH$2,'data input'!$D$3:$E$130,2,FALSE),0)</f>
        <v>0.93319279873114191</v>
      </c>
      <c r="DI129" s="5">
        <f>IF($E129&gt;=DI$2,VLOOKUP($E129-DI$2,'data input'!$D$3:$E$130,2,FALSE),0)</f>
        <v>0.94237177772384684</v>
      </c>
      <c r="DJ129" s="5">
        <f>IF($E129&gt;=DJ$2,VLOOKUP($E129-DJ$2,'data input'!$D$3:$E$130,2,FALSE),0)</f>
        <v>0.9505285319663519</v>
      </c>
      <c r="DK129" s="5">
        <f>IF($E129&gt;=DK$2,VLOOKUP($E129-DK$2,'data input'!$D$3:$E$130,2,FALSE),0)</f>
        <v>0.95773626374204757</v>
      </c>
      <c r="DL129" s="5">
        <f>IF($E129&gt;=DL$2,VLOOKUP($E129-DL$2,'data input'!$D$3:$E$130,2,FALSE),0)</f>
        <v>0.96406968088707423</v>
      </c>
      <c r="DM129" s="5">
        <f>IF($E129&gt;=DM$2,VLOOKUP($E129-DM$2,'data input'!$D$3:$E$130,2,FALSE),0)</f>
        <v>0.96960363823473861</v>
      </c>
      <c r="DN129" s="5">
        <f>IF($E129&gt;=DN$2,VLOOKUP($E129-DN$2,'data input'!$D$3:$E$130,2,FALSE),0)</f>
        <v>0.97441194047836144</v>
      </c>
      <c r="DO129" s="5">
        <f>IF($E129&gt;=DO$2,VLOOKUP($E129-DO$2,'data input'!$D$3:$E$130,2,FALSE),0)</f>
        <v>0.97856631788584703</v>
      </c>
      <c r="DP129" s="5">
        <f>IF($E129&gt;=DP$2,VLOOKUP($E129-DP$2,'data input'!$D$3:$E$130,2,FALSE),0)</f>
        <v>0.98213557943718344</v>
      </c>
      <c r="DQ129" s="5">
        <f>IF($E129&gt;=DQ$2,VLOOKUP($E129-DQ$2,'data input'!$D$3:$E$130,2,FALSE),0)</f>
        <v>0.98518494180739014</v>
      </c>
      <c r="DR129" s="5">
        <f>IF($E129&gt;=DR$2,VLOOKUP($E129-DR$2,'data input'!$D$3:$E$130,2,FALSE),0)</f>
        <v>0.98777552734495533</v>
      </c>
      <c r="DS129" s="5">
        <f>IF($E129&gt;=DS$2,VLOOKUP($E129-DS$2,'data input'!$D$3:$E$130,2,FALSE),0)</f>
        <v>0.98996401989972593</v>
      </c>
      <c r="DT129" s="5">
        <f>IF($E129&gt;=DT$2,VLOOKUP($E129-DT$2,'data input'!$D$3:$E$130,2,FALSE),0)</f>
        <v>0.99180246407540384</v>
      </c>
      <c r="DU129" s="5">
        <f>IF($E129&gt;=DU$2,VLOOKUP($E129-DU$2,'data input'!$D$3:$E$130,2,FALSE),0)</f>
        <v>0.99333819120801725</v>
      </c>
      <c r="DV129" s="5">
        <f>IF($E129&gt;=DV$2,VLOOKUP($E129-DV$2,'data input'!$D$3:$E$130,2,FALSE),0)</f>
        <v>0.99461385404593328</v>
      </c>
      <c r="DW129" s="5">
        <f>IF($E129&gt;=DW$2,VLOOKUP($E129-DW$2,'data input'!$D$3:$E$130,2,FALSE),0)</f>
        <v>0.99566755163698739</v>
      </c>
      <c r="DX129" s="5">
        <f>IF($E129&gt;=DX$2,VLOOKUP($E129-DX$2,'data input'!$D$3:$E$130,2,FALSE),0)</f>
        <v>0.99653302619695938</v>
      </c>
      <c r="DY129" s="5">
        <f>IF($E129&gt;=DY$2,VLOOKUP($E129-DY$2,'data input'!$D$3:$E$130,2,FALSE),0)</f>
        <v>0.99723991460873751</v>
      </c>
      <c r="DZ129" s="5">
        <f>IF($E129&gt;=DZ$2,VLOOKUP($E129-DZ$2,'data input'!$D$3:$E$130,2,FALSE),0)</f>
        <v>0.99781403854508677</v>
      </c>
      <c r="EA129" s="5">
        <f>IF($E129&gt;=EA$2,VLOOKUP($E129-EA$2,'data input'!$D$3:$E$130,2,FALSE),0)</f>
        <v>0.99827771888413241</v>
      </c>
      <c r="EB129" s="5">
        <f>IF($E129&gt;=EB$2,VLOOKUP($E129-EB$2,'data input'!$D$3:$E$130,2,FALSE),0)</f>
        <v>0.9986501019683699</v>
      </c>
      <c r="EC129" s="5">
        <f>IF($E129&gt;=EC$2,VLOOKUP($E129-EC$2,'data input'!$D$3:$E$130,2,FALSE),0)</f>
        <v>0</v>
      </c>
    </row>
    <row r="130" spans="5:133">
      <c r="E130" s="7">
        <f>'data input'!B130</f>
        <v>2005</v>
      </c>
      <c r="F130" s="5">
        <f>IF($E130&gt;=F$2,VLOOKUP($E130-F$2,'data input'!$D$3:$E$130,2,FALSE),0)</f>
        <v>3.4000802173750344E-11</v>
      </c>
      <c r="G130" s="5">
        <f>IF($E130&gt;=G$2,VLOOKUP($E130-G$2,'data input'!$D$3:$E$130,2,FALSE),0)</f>
        <v>5.5925042374838085E-11</v>
      </c>
      <c r="H130" s="5">
        <f>IF($E130&gt;=H$2,VLOOKUP($E130-H$2,'data input'!$D$3:$E$130,2,FALSE),0)</f>
        <v>9.1481489050693199E-11</v>
      </c>
      <c r="I130" s="5">
        <f>IF($E130&gt;=I$2,VLOOKUP($E130-I$2,'data input'!$D$3:$E$130,2,FALSE),0)</f>
        <v>1.488228429380456E-10</v>
      </c>
      <c r="J130" s="5">
        <f>IF($E130&gt;=J$2,VLOOKUP($E130-J$2,'data input'!$D$3:$E$130,2,FALSE),0)</f>
        <v>2.4077795313104389E-10</v>
      </c>
      <c r="K130" s="5">
        <f>IF($E130&gt;=K$2,VLOOKUP($E130-K$2,'data input'!$D$3:$E$130,2,FALSE),0)</f>
        <v>3.8741476693360255E-10</v>
      </c>
      <c r="L130" s="5">
        <f>IF($E130&gt;=L$2,VLOOKUP($E130-L$2,'data input'!$D$3:$E$130,2,FALSE),0)</f>
        <v>6.1993865596576825E-10</v>
      </c>
      <c r="M130" s="5">
        <f>IF($E130&gt;=M$2,VLOOKUP($E130-M$2,'data input'!$D$3:$E$130,2,FALSE),0)</f>
        <v>9.8658770042447941E-10</v>
      </c>
      <c r="N130" s="5">
        <f>IF($E130&gt;=N$2,VLOOKUP($E130-N$2,'data input'!$D$3:$E$130,2,FALSE),0)</f>
        <v>1.5614869397495568E-9</v>
      </c>
      <c r="O130" s="5">
        <f>IF($E130&gt;=O$2,VLOOKUP($E130-O$2,'data input'!$D$3:$E$130,2,FALSE),0)</f>
        <v>2.4578650226203536E-9</v>
      </c>
      <c r="P130" s="5">
        <f>IF($E130&gt;=P$2,VLOOKUP($E130-P$2,'data input'!$D$3:$E$130,2,FALSE),0)</f>
        <v>3.8476543062770929E-9</v>
      </c>
      <c r="Q130" s="5">
        <f>IF($E130&gt;=Q$2,VLOOKUP($E130-Q$2,'data input'!$D$3:$E$130,2,FALSE),0)</f>
        <v>5.9903714211273495E-9</v>
      </c>
      <c r="R130" s="5">
        <f>IF($E130&gt;=R$2,VLOOKUP($E130-R$2,'data input'!$D$3:$E$130,2,FALSE),0)</f>
        <v>9.2753987823712691E-9</v>
      </c>
      <c r="S130" s="5">
        <f>IF($E130&gt;=S$2,VLOOKUP($E130-S$2,'data input'!$D$3:$E$130,2,FALSE),0)</f>
        <v>1.4283479843335556E-8</v>
      </c>
      <c r="T130" s="5">
        <f>IF($E130&gt;=T$2,VLOOKUP($E130-T$2,'data input'!$D$3:$E$130,2,FALSE),0)</f>
        <v>2.1875580569208353E-8</v>
      </c>
      <c r="U130" s="5">
        <f>IF($E130&gt;=U$2,VLOOKUP($E130-U$2,'data input'!$D$3:$E$130,2,FALSE),0)</f>
        <v>3.3320448511453549E-8</v>
      </c>
      <c r="V130" s="5">
        <f>IF($E130&gt;=V$2,VLOOKUP($E130-V$2,'data input'!$D$3:$E$130,2,FALSE),0)</f>
        <v>5.0476519741771142E-8</v>
      </c>
      <c r="W130" s="5">
        <f>IF($E130&gt;=W$2,VLOOKUP($E130-W$2,'data input'!$D$3:$E$130,2,FALSE),0)</f>
        <v>7.6049605168826417E-8</v>
      </c>
      <c r="X130" s="5">
        <f>IF($E130&gt;=X$2,VLOOKUP($E130-X$2,'data input'!$D$3:$E$130,2,FALSE),0)</f>
        <v>1.1395549048831555E-7</v>
      </c>
      <c r="Y130" s="5">
        <f>IF($E130&gt;=Y$2,VLOOKUP($E130-Y$2,'data input'!$D$3:$E$130,2,FALSE),0)</f>
        <v>1.698267406702314E-7</v>
      </c>
      <c r="Z130" s="5">
        <f>IF($E130&gt;=Z$2,VLOOKUP($E130-Z$2,'data input'!$D$3:$E$130,2,FALSE),0)</f>
        <v>2.5171626816256065E-7</v>
      </c>
      <c r="AA130" s="5">
        <f>IF($E130&gt;=AA$2,VLOOKUP($E130-AA$2,'data input'!$D$3:$E$130,2,FALSE),0)</f>
        <v>3.7106740791159609E-7</v>
      </c>
      <c r="AB130" s="5">
        <f>IF($E130&gt;=AB$2,VLOOKUP($E130-AB$2,'data input'!$D$3:$E$130,2,FALSE),0)</f>
        <v>5.4404227556315021E-7</v>
      </c>
      <c r="AC130" s="5">
        <f>IF($E130&gt;=AC$2,VLOOKUP($E130-AC$2,'data input'!$D$3:$E$130,2,FALSE),0)</f>
        <v>7.9332815194899098E-7</v>
      </c>
      <c r="AD130" s="5">
        <f>IF($E130&gt;=AD$2,VLOOKUP($E130-AD$2,'data input'!$D$3:$E$130,2,FALSE),0)</f>
        <v>1.1505767815167545E-6</v>
      </c>
      <c r="AE130" s="5">
        <f>IF($E130&gt;=AE$2,VLOOKUP($E130-AE$2,'data input'!$D$3:$E$130,2,FALSE),0)</f>
        <v>1.6596751443165303E-6</v>
      </c>
      <c r="AF130" s="5">
        <f>IF($E130&gt;=AF$2,VLOOKUP($E130-AF$2,'data input'!$D$3:$E$130,2,FALSE),0)</f>
        <v>2.3810999327800175E-6</v>
      </c>
      <c r="AG130" s="5">
        <f>IF($E130&gt;=AG$2,VLOOKUP($E130-AG$2,'data input'!$D$3:$E$130,2,FALSE),0)</f>
        <v>3.3976731247387093E-6</v>
      </c>
      <c r="AH130" s="5">
        <f>IF($E130&gt;=AH$2,VLOOKUP($E130-AH$2,'data input'!$D$3:$E$130,2,FALSE),0)</f>
        <v>4.8221141606408224E-6</v>
      </c>
      <c r="AI130" s="5">
        <f>IF($E130&gt;=AI$2,VLOOKUP($E130-AI$2,'data input'!$D$3:$E$130,2,FALSE),0)</f>
        <v>6.8068765993745117E-6</v>
      </c>
      <c r="AJ130" s="5">
        <f>IF($E130&gt;=AJ$2,VLOOKUP($E130-AJ$2,'data input'!$D$3:$E$130,2,FALSE),0)</f>
        <v>9.5568647372479276E-6</v>
      </c>
      <c r="AK130" s="5">
        <f>IF($E130&gt;=AK$2,VLOOKUP($E130-AK$2,'data input'!$D$3:$E$130,2,FALSE),0)</f>
        <v>1.3345749015902797E-5</v>
      </c>
      <c r="AL130" s="5">
        <f>IF($E130&gt;=AL$2,VLOOKUP($E130-AL$2,'data input'!$D$3:$E$130,2,FALSE),0)</f>
        <v>1.8536737846241991E-5</v>
      </c>
      <c r="AM130" s="5">
        <f>IF($E130&gt;=AM$2,VLOOKUP($E130-AM$2,'data input'!$D$3:$E$130,2,FALSE),0)</f>
        <v>2.5608816474065321E-5</v>
      </c>
      <c r="AN130" s="5">
        <f>IF($E130&gt;=AN$2,VLOOKUP($E130-AN$2,'data input'!$D$3:$E$130,2,FALSE),0)</f>
        <v>3.5189628065923628E-5</v>
      </c>
      <c r="AO130" s="5">
        <f>IF($E130&gt;=AO$2,VLOOKUP($E130-AO$2,'data input'!$D$3:$E$130,2,FALSE),0)</f>
        <v>4.8096344017589665E-5</v>
      </c>
      <c r="AP130" s="5">
        <f>IF($E130&gt;=AP$2,VLOOKUP($E130-AP$2,'data input'!$D$3:$E$130,2,FALSE),0)</f>
        <v>6.5386043242687819E-5</v>
      </c>
      <c r="AQ130" s="5">
        <f>IF($E130&gt;=AQ$2,VLOOKUP($E130-AQ$2,'data input'!$D$3:$E$130,2,FALSE),0)</f>
        <v>8.841728520081471E-5</v>
      </c>
      <c r="AR130" s="5">
        <f>IF($E130&gt;=AR$2,VLOOKUP($E130-AR$2,'data input'!$D$3:$E$130,2,FALSE),0)</f>
        <v>1.1892470732677296E-4</v>
      </c>
      <c r="AS130" s="5">
        <f>IF($E130&gt;=AS$2,VLOOKUP($E130-AS$2,'data input'!$D$3:$E$130,2,FALSE),0)</f>
        <v>1.5910859015755285E-4</v>
      </c>
      <c r="AT130" s="5">
        <f>IF($E130&gt;=AT$2,VLOOKUP($E130-AT$2,'data input'!$D$3:$E$130,2,FALSE),0)</f>
        <v>2.1174139572344153E-4</v>
      </c>
      <c r="AU130" s="5">
        <f>IF($E130&gt;=AU$2,VLOOKUP($E130-AU$2,'data input'!$D$3:$E$130,2,FALSE),0)</f>
        <v>2.8029327681622362E-4</v>
      </c>
      <c r="AV130" s="5">
        <f>IF($E130&gt;=AV$2,VLOOKUP($E130-AV$2,'data input'!$D$3:$E$130,2,FALSE),0)</f>
        <v>3.6907845427502917E-4</v>
      </c>
      <c r="AW130" s="5">
        <f>IF($E130&gt;=AW$2,VLOOKUP($E130-AW$2,'data input'!$D$3:$E$130,2,FALSE),0)</f>
        <v>4.8342414238378151E-4</v>
      </c>
      <c r="AX130" s="5">
        <f>IF($E130&gt;=AX$2,VLOOKUP($E130-AX$2,'data input'!$D$3:$E$130,2,FALSE),0)</f>
        <v>6.2986334399772748E-4</v>
      </c>
      <c r="AY130" s="5">
        <f>IF($E130&gt;=AY$2,VLOOKUP($E130-AY$2,'data input'!$D$3:$E$130,2,FALSE),0)</f>
        <v>8.1635231282861653E-4</v>
      </c>
      <c r="AZ130" s="5">
        <f>IF($E130&gt;=AZ$2,VLOOKUP($E130-AZ$2,'data input'!$D$3:$E$130,2,FALSE),0)</f>
        <v>1.0525127683760349E-3</v>
      </c>
      <c r="BA130" s="5">
        <f>IF($E130&gt;=BA$2,VLOOKUP($E130-BA$2,'data input'!$D$3:$E$130,2,FALSE),0)</f>
        <v>1.3498980316301035E-3</v>
      </c>
      <c r="BB130" s="5">
        <f>IF($E130&gt;=BB$2,VLOOKUP($E130-BB$2,'data input'!$D$3:$E$130,2,FALSE),0)</f>
        <v>1.7222811158675855E-3</v>
      </c>
      <c r="BC130" s="5">
        <f>IF($E130&gt;=BC$2,VLOOKUP($E130-BC$2,'data input'!$D$3:$E$130,2,FALSE),0)</f>
        <v>2.1859614549132322E-3</v>
      </c>
      <c r="BD130" s="5">
        <f>IF($E130&gt;=BD$2,VLOOKUP($E130-BD$2,'data input'!$D$3:$E$130,2,FALSE),0)</f>
        <v>2.7600853912624901E-3</v>
      </c>
      <c r="BE130" s="5">
        <f>IF($E130&gt;=BE$2,VLOOKUP($E130-BE$2,'data input'!$D$3:$E$130,2,FALSE),0)</f>
        <v>3.4669738030406183E-3</v>
      </c>
      <c r="BF130" s="5">
        <f>IF($E130&gt;=BF$2,VLOOKUP($E130-BF$2,'data input'!$D$3:$E$130,2,FALSE),0)</f>
        <v>4.3324483630126087E-3</v>
      </c>
      <c r="BG130" s="5">
        <f>IF($E130&gt;=BG$2,VLOOKUP($E130-BG$2,'data input'!$D$3:$E$130,2,FALSE),0)</f>
        <v>5.3861459540667234E-3</v>
      </c>
      <c r="BH130" s="5">
        <f>IF($E130&gt;=BH$2,VLOOKUP($E130-BH$2,'data input'!$D$3:$E$130,2,FALSE),0)</f>
        <v>6.6618087919827484E-3</v>
      </c>
      <c r="BI130" s="5">
        <f>IF($E130&gt;=BI$2,VLOOKUP($E130-BI$2,'data input'!$D$3:$E$130,2,FALSE),0)</f>
        <v>8.1975359245961554E-3</v>
      </c>
      <c r="BJ130" s="5">
        <f>IF($E130&gt;=BJ$2,VLOOKUP($E130-BJ$2,'data input'!$D$3:$E$130,2,FALSE),0)</f>
        <v>1.0035980100274067E-2</v>
      </c>
      <c r="BK130" s="5">
        <f>IF($E130&gt;=BK$2,VLOOKUP($E130-BK$2,'data input'!$D$3:$E$130,2,FALSE),0)</f>
        <v>1.2224472655044671E-2</v>
      </c>
      <c r="BL130" s="5">
        <f>IF($E130&gt;=BL$2,VLOOKUP($E130-BL$2,'data input'!$D$3:$E$130,2,FALSE),0)</f>
        <v>1.4815058192609865E-2</v>
      </c>
      <c r="BM130" s="5">
        <f>IF($E130&gt;=BM$2,VLOOKUP($E130-BM$2,'data input'!$D$3:$E$130,2,FALSE),0)</f>
        <v>1.7864420562816563E-2</v>
      </c>
      <c r="BN130" s="5">
        <f>IF($E130&gt;=BN$2,VLOOKUP($E130-BN$2,'data input'!$D$3:$E$130,2,FALSE),0)</f>
        <v>2.1433682114152974E-2</v>
      </c>
      <c r="BO130" s="5">
        <f>IF($E130&gt;=BO$2,VLOOKUP($E130-BO$2,'data input'!$D$3:$E$130,2,FALSE),0)</f>
        <v>2.5588059521638562E-2</v>
      </c>
      <c r="BP130" s="5">
        <f>IF($E130&gt;=BP$2,VLOOKUP($E130-BP$2,'data input'!$D$3:$E$130,2,FALSE),0)</f>
        <v>3.0396361765261393E-2</v>
      </c>
      <c r="BQ130" s="5">
        <f>IF($E130&gt;=BQ$2,VLOOKUP($E130-BQ$2,'data input'!$D$3:$E$130,2,FALSE),0)</f>
        <v>3.5930319112925768E-2</v>
      </c>
      <c r="BR130" s="5">
        <f>IF($E130&gt;=BR$2,VLOOKUP($E130-BR$2,'data input'!$D$3:$E$130,2,FALSE),0)</f>
        <v>4.2263736257952433E-2</v>
      </c>
      <c r="BS130" s="5">
        <f>IF($E130&gt;=BS$2,VLOOKUP($E130-BS$2,'data input'!$D$3:$E$130,2,FALSE),0)</f>
        <v>4.9471468033648103E-2</v>
      </c>
      <c r="BT130" s="5">
        <f>IF($E130&gt;=BT$2,VLOOKUP($E130-BT$2,'data input'!$D$3:$E$130,2,FALSE),0)</f>
        <v>5.7628222276153163E-2</v>
      </c>
      <c r="BU130" s="5">
        <f>IF($E130&gt;=BU$2,VLOOKUP($E130-BU$2,'data input'!$D$3:$E$130,2,FALSE),0)</f>
        <v>6.6807201268858085E-2</v>
      </c>
      <c r="BV130" s="5">
        <f>IF($E130&gt;=BV$2,VLOOKUP($E130-BV$2,'data input'!$D$3:$E$130,2,FALSE),0)</f>
        <v>7.707860055207183E-2</v>
      </c>
      <c r="BW130" s="5">
        <f>IF($E130&gt;=BW$2,VLOOKUP($E130-BW$2,'data input'!$D$3:$E$130,2,FALSE),0)</f>
        <v>8.8507991437402067E-2</v>
      </c>
      <c r="BX130" s="5">
        <f>IF($E130&gt;=BX$2,VLOOKUP($E130-BX$2,'data input'!$D$3:$E$130,2,FALSE),0)</f>
        <v>0.10115462099558592</v>
      </c>
      <c r="BY130" s="5">
        <f>IF($E130&gt;=BY$2,VLOOKUP($E130-BY$2,'data input'!$D$3:$E$130,2,FALSE),0)</f>
        <v>0.11506967022170822</v>
      </c>
      <c r="BZ130" s="5">
        <f>IF($E130&gt;=BZ$2,VLOOKUP($E130-BZ$2,'data input'!$D$3:$E$130,2,FALSE),0)</f>
        <v>0.13029451713680884</v>
      </c>
      <c r="CA130" s="5">
        <f>IF($E130&gt;=CA$2,VLOOKUP($E130-CA$2,'data input'!$D$3:$E$130,2,FALSE),0)</f>
        <v>0.14685905637589591</v>
      </c>
      <c r="CB130" s="5">
        <f>IF($E130&gt;=CB$2,VLOOKUP($E130-CB$2,'data input'!$D$3:$E$130,2,FALSE),0)</f>
        <v>0.16478012998031033</v>
      </c>
      <c r="CC130" s="5">
        <f>IF($E130&gt;=CC$2,VLOOKUP($E130-CC$2,'data input'!$D$3:$E$130,2,FALSE),0)</f>
        <v>0.18406012534675953</v>
      </c>
      <c r="CD130" s="5">
        <f>IF($E130&gt;=CD$2,VLOOKUP($E130-CD$2,'data input'!$D$3:$E$130,2,FALSE),0)</f>
        <v>0.20468579534725262</v>
      </c>
      <c r="CE130" s="5">
        <f>IF($E130&gt;=CE$2,VLOOKUP($E130-CE$2,'data input'!$D$3:$E$130,2,FALSE),0)</f>
        <v>0.22662735237686826</v>
      </c>
      <c r="CF130" s="5">
        <f>IF($E130&gt;=CF$2,VLOOKUP($E130-CF$2,'data input'!$D$3:$E$130,2,FALSE),0)</f>
        <v>0.24983788247177696</v>
      </c>
      <c r="CG130" s="5">
        <f>IF($E130&gt;=CG$2,VLOOKUP($E130-CG$2,'data input'!$D$3:$E$130,2,FALSE),0)</f>
        <v>0.27425311775007355</v>
      </c>
      <c r="CH130" s="5">
        <f>IF($E130&gt;=CH$2,VLOOKUP($E130-CH$2,'data input'!$D$3:$E$130,2,FALSE),0)</f>
        <v>0.29979159546869583</v>
      </c>
      <c r="CI130" s="5">
        <f>IF($E130&gt;=CI$2,VLOOKUP($E130-CI$2,'data input'!$D$3:$E$130,2,FALSE),0)</f>
        <v>0.32635522028792008</v>
      </c>
      <c r="CJ130" s="5">
        <f>IF($E130&gt;=CJ$2,VLOOKUP($E130-CJ$2,'data input'!$D$3:$E$130,2,FALSE),0)</f>
        <v>0.35383023332727614</v>
      </c>
      <c r="CK130" s="5">
        <f>IF($E130&gt;=CK$2,VLOOKUP($E130-CK$2,'data input'!$D$3:$E$130,2,FALSE),0)</f>
        <v>0.38208857781104733</v>
      </c>
      <c r="CL130" s="5">
        <f>IF($E130&gt;=CL$2,VLOOKUP($E130-CL$2,'data input'!$D$3:$E$130,2,FALSE),0)</f>
        <v>0.41098963713127035</v>
      </c>
      <c r="CM130" s="5">
        <f>IF($E130&gt;=CM$2,VLOOKUP($E130-CM$2,'data input'!$D$3:$E$130,2,FALSE),0)</f>
        <v>0.4403823076297575</v>
      </c>
      <c r="CN130" s="5">
        <f>IF($E130&gt;=CN$2,VLOOKUP($E130-CN$2,'data input'!$D$3:$E$130,2,FALSE),0)</f>
        <v>0.47010735594710518</v>
      </c>
      <c r="CO130" s="5">
        <f>IF($E130&gt;=CO$2,VLOOKUP($E130-CO$2,'data input'!$D$3:$E$130,2,FALSE),0)</f>
        <v>0.5</v>
      </c>
      <c r="CP130" s="5">
        <f>IF($E130&gt;=CP$2,VLOOKUP($E130-CP$2,'data input'!$D$3:$E$130,2,FALSE),0)</f>
        <v>0.52989264405289482</v>
      </c>
      <c r="CQ130" s="5">
        <f>IF($E130&gt;=CQ$2,VLOOKUP($E130-CQ$2,'data input'!$D$3:$E$130,2,FALSE),0)</f>
        <v>0.5596176923702425</v>
      </c>
      <c r="CR130" s="5">
        <f>IF($E130&gt;=CR$2,VLOOKUP($E130-CR$2,'data input'!$D$3:$E$130,2,FALSE),0)</f>
        <v>0.58901036286872965</v>
      </c>
      <c r="CS130" s="5">
        <f>IF($E130&gt;=CS$2,VLOOKUP($E130-CS$2,'data input'!$D$3:$E$130,2,FALSE),0)</f>
        <v>0.61791142218895267</v>
      </c>
      <c r="CT130" s="5">
        <f>IF($E130&gt;=CT$2,VLOOKUP($E130-CT$2,'data input'!$D$3:$E$130,2,FALSE),0)</f>
        <v>0.64616976667272386</v>
      </c>
      <c r="CU130" s="5">
        <f>IF($E130&gt;=CU$2,VLOOKUP($E130-CU$2,'data input'!$D$3:$E$130,2,FALSE),0)</f>
        <v>0.67364477971207992</v>
      </c>
      <c r="CV130" s="5">
        <f>IF($E130&gt;=CV$2,VLOOKUP($E130-CV$2,'data input'!$D$3:$E$130,2,FALSE),0)</f>
        <v>0.70020840453130417</v>
      </c>
      <c r="CW130" s="5">
        <f>IF($E130&gt;=CW$2,VLOOKUP($E130-CW$2,'data input'!$D$3:$E$130,2,FALSE),0)</f>
        <v>0.72574688224992645</v>
      </c>
      <c r="CX130" s="5">
        <f>IF($E130&gt;=CX$2,VLOOKUP($E130-CX$2,'data input'!$D$3:$E$130,2,FALSE),0)</f>
        <v>0.75016211752822304</v>
      </c>
      <c r="CY130" s="5">
        <f>IF($E130&gt;=CY$2,VLOOKUP($E130-CY$2,'data input'!$D$3:$E$130,2,FALSE),0)</f>
        <v>0.77337264762313174</v>
      </c>
      <c r="CZ130" s="5">
        <f>IF($E130&gt;=CZ$2,VLOOKUP($E130-CZ$2,'data input'!$D$3:$E$130,2,FALSE),0)</f>
        <v>0.79531420465274738</v>
      </c>
      <c r="DA130" s="5">
        <f>IF($E130&gt;=DA$2,VLOOKUP($E130-DA$2,'data input'!$D$3:$E$130,2,FALSE),0)</f>
        <v>0.81593987465324047</v>
      </c>
      <c r="DB130" s="5">
        <f>IF($E130&gt;=DB$2,VLOOKUP($E130-DB$2,'data input'!$D$3:$E$130,2,FALSE),0)</f>
        <v>0.83521987001968967</v>
      </c>
      <c r="DC130" s="5">
        <f>IF($E130&gt;=DC$2,VLOOKUP($E130-DC$2,'data input'!$D$3:$E$130,2,FALSE),0)</f>
        <v>0.85314094362410409</v>
      </c>
      <c r="DD130" s="5">
        <f>IF($E130&gt;=DD$2,VLOOKUP($E130-DD$2,'data input'!$D$3:$E$130,2,FALSE),0)</f>
        <v>0.86970548286319116</v>
      </c>
      <c r="DE130" s="5">
        <f>IF($E130&gt;=DE$2,VLOOKUP($E130-DE$2,'data input'!$D$3:$E$130,2,FALSE),0)</f>
        <v>0.88493032977829178</v>
      </c>
      <c r="DF130" s="5">
        <f>IF($E130&gt;=DF$2,VLOOKUP($E130-DF$2,'data input'!$D$3:$E$130,2,FALSE),0)</f>
        <v>0.89884537900441408</v>
      </c>
      <c r="DG130" s="5">
        <f>IF($E130&gt;=DG$2,VLOOKUP($E130-DG$2,'data input'!$D$3:$E$130,2,FALSE),0)</f>
        <v>0.91149200856259793</v>
      </c>
      <c r="DH130" s="5">
        <f>IF($E130&gt;=DH$2,VLOOKUP($E130-DH$2,'data input'!$D$3:$E$130,2,FALSE),0)</f>
        <v>0.92292139944792817</v>
      </c>
      <c r="DI130" s="5">
        <f>IF($E130&gt;=DI$2,VLOOKUP($E130-DI$2,'data input'!$D$3:$E$130,2,FALSE),0)</f>
        <v>0.93319279873114191</v>
      </c>
      <c r="DJ130" s="5">
        <f>IF($E130&gt;=DJ$2,VLOOKUP($E130-DJ$2,'data input'!$D$3:$E$130,2,FALSE),0)</f>
        <v>0.94237177772384684</v>
      </c>
      <c r="DK130" s="5">
        <f>IF($E130&gt;=DK$2,VLOOKUP($E130-DK$2,'data input'!$D$3:$E$130,2,FALSE),0)</f>
        <v>0.9505285319663519</v>
      </c>
      <c r="DL130" s="5">
        <f>IF($E130&gt;=DL$2,VLOOKUP($E130-DL$2,'data input'!$D$3:$E$130,2,FALSE),0)</f>
        <v>0.95773626374204757</v>
      </c>
      <c r="DM130" s="5">
        <f>IF($E130&gt;=DM$2,VLOOKUP($E130-DM$2,'data input'!$D$3:$E$130,2,FALSE),0)</f>
        <v>0.96406968088707423</v>
      </c>
      <c r="DN130" s="5">
        <f>IF($E130&gt;=DN$2,VLOOKUP($E130-DN$2,'data input'!$D$3:$E$130,2,FALSE),0)</f>
        <v>0.96960363823473861</v>
      </c>
      <c r="DO130" s="5">
        <f>IF($E130&gt;=DO$2,VLOOKUP($E130-DO$2,'data input'!$D$3:$E$130,2,FALSE),0)</f>
        <v>0.97441194047836144</v>
      </c>
      <c r="DP130" s="5">
        <f>IF($E130&gt;=DP$2,VLOOKUP($E130-DP$2,'data input'!$D$3:$E$130,2,FALSE),0)</f>
        <v>0.97856631788584703</v>
      </c>
      <c r="DQ130" s="5">
        <f>IF($E130&gt;=DQ$2,VLOOKUP($E130-DQ$2,'data input'!$D$3:$E$130,2,FALSE),0)</f>
        <v>0.98213557943718344</v>
      </c>
      <c r="DR130" s="5">
        <f>IF($E130&gt;=DR$2,VLOOKUP($E130-DR$2,'data input'!$D$3:$E$130,2,FALSE),0)</f>
        <v>0.98518494180739014</v>
      </c>
      <c r="DS130" s="5">
        <f>IF($E130&gt;=DS$2,VLOOKUP($E130-DS$2,'data input'!$D$3:$E$130,2,FALSE),0)</f>
        <v>0.98777552734495533</v>
      </c>
      <c r="DT130" s="5">
        <f>IF($E130&gt;=DT$2,VLOOKUP($E130-DT$2,'data input'!$D$3:$E$130,2,FALSE),0)</f>
        <v>0.98996401989972593</v>
      </c>
      <c r="DU130" s="5">
        <f>IF($E130&gt;=DU$2,VLOOKUP($E130-DU$2,'data input'!$D$3:$E$130,2,FALSE),0)</f>
        <v>0.99180246407540384</v>
      </c>
      <c r="DV130" s="5">
        <f>IF($E130&gt;=DV$2,VLOOKUP($E130-DV$2,'data input'!$D$3:$E$130,2,FALSE),0)</f>
        <v>0.99333819120801725</v>
      </c>
      <c r="DW130" s="5">
        <f>IF($E130&gt;=DW$2,VLOOKUP($E130-DW$2,'data input'!$D$3:$E$130,2,FALSE),0)</f>
        <v>0.99461385404593328</v>
      </c>
      <c r="DX130" s="5">
        <f>IF($E130&gt;=DX$2,VLOOKUP($E130-DX$2,'data input'!$D$3:$E$130,2,FALSE),0)</f>
        <v>0.99566755163698739</v>
      </c>
      <c r="DY130" s="5">
        <f>IF($E130&gt;=DY$2,VLOOKUP($E130-DY$2,'data input'!$D$3:$E$130,2,FALSE),0)</f>
        <v>0.99653302619695938</v>
      </c>
      <c r="DZ130" s="5">
        <f>IF($E130&gt;=DZ$2,VLOOKUP($E130-DZ$2,'data input'!$D$3:$E$130,2,FALSE),0)</f>
        <v>0.99723991460873751</v>
      </c>
      <c r="EA130" s="5">
        <f>IF($E130&gt;=EA$2,VLOOKUP($E130-EA$2,'data input'!$D$3:$E$130,2,FALSE),0)</f>
        <v>0.99781403854508677</v>
      </c>
      <c r="EB130" s="5">
        <f>IF($E130&gt;=EB$2,VLOOKUP($E130-EB$2,'data input'!$D$3:$E$130,2,FALSE),0)</f>
        <v>0.99827771888413241</v>
      </c>
      <c r="EC130" s="5">
        <f>IF($E130&gt;=EC$2,VLOOKUP($E130-EC$2,'data input'!$D$3:$E$130,2,FALSE),0)</f>
        <v>0.9986501019683699</v>
      </c>
    </row>
  </sheetData>
  <conditionalFormatting sqref="F3:EC1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319C-A44B-40F7-BB07-1F0161BF36C0}">
  <dimension ref="A1:EC130"/>
  <sheetViews>
    <sheetView zoomScale="70" zoomScaleNormal="70" workbookViewId="0"/>
    <sheetView tabSelected="1" workbookViewId="1">
      <selection activeCell="C1" sqref="C1"/>
    </sheetView>
  </sheetViews>
  <sheetFormatPr defaultColWidth="5.36328125" defaultRowHeight="14.5"/>
  <cols>
    <col min="1" max="1" width="5.36328125" customWidth="1"/>
    <col min="6" max="6" width="5.36328125" customWidth="1"/>
    <col min="7" max="8" width="7.36328125" bestFit="1" customWidth="1"/>
    <col min="9" max="32" width="8.36328125" bestFit="1" customWidth="1"/>
    <col min="33" max="100" width="9.36328125" bestFit="1" customWidth="1"/>
    <col min="101" max="133" width="10.36328125" bestFit="1" customWidth="1"/>
  </cols>
  <sheetData>
    <row r="1" spans="1:133">
      <c r="E1" s="27" t="s">
        <v>15</v>
      </c>
      <c r="F1" s="10">
        <f>VLOOKUP(F2,'data input'!$B$3:$C$130,2,FALSE)</f>
        <v>3250.546162900926</v>
      </c>
      <c r="G1" s="10">
        <f>VLOOKUP(G2,'data input'!$B$3:$C$130,2,FALSE)</f>
        <v>6526.6640369404358</v>
      </c>
      <c r="H1" s="10">
        <f>VLOOKUP(H2,'data input'!$B$3:$C$130,2,FALSE)</f>
        <v>9817.8901961806278</v>
      </c>
      <c r="I1" s="10">
        <f>VLOOKUP(I2,'data input'!$B$3:$C$130,2,FALSE)</f>
        <v>13135.630589270371</v>
      </c>
      <c r="J1" s="10">
        <f>VLOOKUP(J2,'data input'!$B$3:$C$130,2,FALSE)</f>
        <v>16477.460675834631</v>
      </c>
      <c r="K1" s="10">
        <f>VLOOKUP(K2,'data input'!$B$3:$C$130,2,FALSE)</f>
        <v>19844.284474243581</v>
      </c>
      <c r="L1" s="10">
        <f>VLOOKUP(L2,'data input'!$B$3:$C$130,2,FALSE)</f>
        <v>23242.926836047798</v>
      </c>
      <c r="M1" s="10">
        <f>VLOOKUP(M2,'data input'!$B$3:$C$130,2,FALSE)</f>
        <v>26668.860275157796</v>
      </c>
      <c r="N1" s="10">
        <f>VLOOKUP(N2,'data input'!$B$3:$C$130,2,FALSE)</f>
        <v>30110.14805696805</v>
      </c>
      <c r="O1" s="10">
        <f>VLOOKUP(O2,'data input'!$B$3:$C$130,2,FALSE)</f>
        <v>33559.834518262403</v>
      </c>
      <c r="P1" s="10">
        <f>VLOOKUP(P2,'data input'!$B$3:$C$130,2,FALSE)</f>
        <v>37031.476693948942</v>
      </c>
      <c r="Q1" s="10">
        <f>VLOOKUP(Q2,'data input'!$B$3:$C$130,2,FALSE)</f>
        <v>40534.314183831208</v>
      </c>
      <c r="R1" s="10">
        <f>VLOOKUP(R2,'data input'!$B$3:$C$130,2,FALSE)</f>
        <v>44065.433662495023</v>
      </c>
      <c r="S1" s="10">
        <f>VLOOKUP(S2,'data input'!$B$3:$C$130,2,FALSE)</f>
        <v>47615.868135125631</v>
      </c>
      <c r="T1" s="10">
        <f>VLOOKUP(T2,'data input'!$B$3:$C$130,2,FALSE)</f>
        <v>51175.347620879125</v>
      </c>
      <c r="U1" s="10">
        <f>VLOOKUP(U2,'data input'!$B$3:$C$130,2,FALSE)</f>
        <v>54750.172364717015</v>
      </c>
      <c r="V1" s="10">
        <f>VLOOKUP(V2,'data input'!$B$3:$C$130,2,FALSE)</f>
        <v>58331.55860291468</v>
      </c>
      <c r="W1" s="10">
        <f>VLOOKUP(W2,'data input'!$B$3:$C$130,2,FALSE)</f>
        <v>61928.709928016164</v>
      </c>
      <c r="X1" s="10">
        <f>VLOOKUP(X2,'data input'!$B$3:$C$130,2,FALSE)</f>
        <v>65540.403890407848</v>
      </c>
      <c r="Y1" s="10">
        <f>VLOOKUP(Y2,'data input'!$B$3:$C$130,2,FALSE)</f>
        <v>69160.925075631778</v>
      </c>
      <c r="Z1" s="10">
        <f>VLOOKUP(Z2,'data input'!$B$3:$C$130,2,FALSE)</f>
        <v>72793.730638864989</v>
      </c>
      <c r="AA1" s="10">
        <f>VLOOKUP(AA2,'data input'!$B$3:$C$130,2,FALSE)</f>
        <v>76437.882790353033</v>
      </c>
      <c r="AB1" s="10">
        <f>VLOOKUP(AB2,'data input'!$B$3:$C$130,2,FALSE)</f>
        <v>80082.579883504644</v>
      </c>
      <c r="AC1" s="10">
        <f>VLOOKUP(AC2,'data input'!$B$3:$C$130,2,FALSE)</f>
        <v>84067.725629348221</v>
      </c>
      <c r="AD1" s="10">
        <f>VLOOKUP(AD2,'data input'!$B$3:$C$130,2,FALSE)</f>
        <v>88801.927415177692</v>
      </c>
      <c r="AE1" s="10">
        <f>VLOOKUP(AE2,'data input'!$B$3:$C$130,2,FALSE)</f>
        <v>93467.072046386689</v>
      </c>
      <c r="AF1" s="10">
        <f>VLOOKUP(AF2,'data input'!$B$3:$C$130,2,FALSE)</f>
        <v>97199.091605726528</v>
      </c>
      <c r="AG1" s="10">
        <f>VLOOKUP(AG2,'data input'!$B$3:$C$130,2,FALSE)</f>
        <v>101217.39516120101</v>
      </c>
      <c r="AH1" s="10">
        <f>VLOOKUP(AH2,'data input'!$B$3:$C$130,2,FALSE)</f>
        <v>104879.64637308358</v>
      </c>
      <c r="AI1" s="10">
        <f>VLOOKUP(AI2,'data input'!$B$3:$C$130,2,FALSE)</f>
        <v>110812.4782529643</v>
      </c>
      <c r="AJ1" s="10">
        <f>VLOOKUP(AJ2,'data input'!$B$3:$C$130,2,FALSE)</f>
        <v>114924.65565609437</v>
      </c>
      <c r="AK1" s="10">
        <f>VLOOKUP(AK2,'data input'!$B$3:$C$130,2,FALSE)</f>
        <v>118484.91876070596</v>
      </c>
      <c r="AL1" s="10">
        <f>VLOOKUP(AL2,'data input'!$B$3:$C$130,2,FALSE)</f>
        <v>122197.74458417001</v>
      </c>
      <c r="AM1" s="10">
        <f>VLOOKUP(AM2,'data input'!$B$3:$C$130,2,FALSE)</f>
        <v>126081.31826517344</v>
      </c>
      <c r="AN1" s="10">
        <f>VLOOKUP(AN2,'data input'!$B$3:$C$130,2,FALSE)</f>
        <v>128653.08932904841</v>
      </c>
      <c r="AO1" s="10">
        <f>VLOOKUP(AO2,'data input'!$B$3:$C$130,2,FALSE)</f>
        <v>131068.40097777806</v>
      </c>
      <c r="AP1" s="10">
        <f>VLOOKUP(AP2,'data input'!$B$3:$C$130,2,FALSE)</f>
        <v>132895.66491836752</v>
      </c>
      <c r="AQ1" s="10">
        <f>VLOOKUP(AQ2,'data input'!$B$3:$C$130,2,FALSE)</f>
        <v>135476.33106197993</v>
      </c>
      <c r="AR1" s="10">
        <f>VLOOKUP(AR2,'data input'!$B$3:$C$130,2,FALSE)</f>
        <v>138847.66428085254</v>
      </c>
      <c r="AS1" s="10">
        <f>VLOOKUP(AS2,'data input'!$B$3:$C$130,2,FALSE)</f>
        <v>142189.18477568755</v>
      </c>
      <c r="AT1" s="10">
        <f>VLOOKUP(AT2,'data input'!$B$3:$C$130,2,FALSE)</f>
        <v>147011.67698903236</v>
      </c>
      <c r="AU1" s="10">
        <f>VLOOKUP(AU2,'data input'!$B$3:$C$130,2,FALSE)</f>
        <v>151982.86257007325</v>
      </c>
      <c r="AV1" s="10">
        <f>VLOOKUP(AV2,'data input'!$B$3:$C$130,2,FALSE)</f>
        <v>155974.66100865367</v>
      </c>
      <c r="AW1" s="10">
        <f>VLOOKUP(AW2,'data input'!$B$3:$C$130,2,FALSE)</f>
        <v>160372.21816218839</v>
      </c>
      <c r="AX1" s="10">
        <f>VLOOKUP(AX2,'data input'!$B$3:$C$130,2,FALSE)</f>
        <v>164713.79065050435</v>
      </c>
      <c r="AY1" s="10">
        <f>VLOOKUP(AY2,'data input'!$B$3:$C$130,2,FALSE)</f>
        <v>170151.05531062491</v>
      </c>
      <c r="AZ1" s="10">
        <f>VLOOKUP(AZ2,'data input'!$B$3:$C$130,2,FALSE)</f>
        <v>175090.67210225883</v>
      </c>
      <c r="BA1" s="10">
        <f>VLOOKUP(BA2,'data input'!$B$3:$C$130,2,FALSE)</f>
        <v>179318.64578546511</v>
      </c>
      <c r="BB1" s="10">
        <f>VLOOKUP(BB2,'data input'!$B$3:$C$130,2,FALSE)</f>
        <v>184295.66767213211</v>
      </c>
      <c r="BC1" s="10">
        <f>VLOOKUP(BC2,'data input'!$B$3:$C$130,2,FALSE)</f>
        <v>189446.03593735155</v>
      </c>
      <c r="BD1" s="10">
        <f>VLOOKUP(BD2,'data input'!$B$3:$C$130,2,FALSE)</f>
        <v>195079.57296554314</v>
      </c>
      <c r="BE1" s="10">
        <f>VLOOKUP(BE2,'data input'!$B$3:$C$130,2,FALSE)</f>
        <v>200498.4219661961</v>
      </c>
      <c r="BF1" s="10">
        <f>VLOOKUP(BF2,'data input'!$B$3:$C$130,2,FALSE)</f>
        <v>204940.58636202328</v>
      </c>
      <c r="BG1" s="10">
        <f>VLOOKUP(BG2,'data input'!$B$3:$C$130,2,FALSE)</f>
        <v>209371.37675841388</v>
      </c>
      <c r="BH1" s="10">
        <f>VLOOKUP(BH2,'data input'!$B$3:$C$130,2,FALSE)</f>
        <v>213733.84174126809</v>
      </c>
      <c r="BI1" s="10">
        <f>VLOOKUP(BI2,'data input'!$B$3:$C$130,2,FALSE)</f>
        <v>218595.98215789621</v>
      </c>
      <c r="BJ1" s="10">
        <f>VLOOKUP(BJ2,'data input'!$B$3:$C$130,2,FALSE)</f>
        <v>223874.72794262215</v>
      </c>
      <c r="BK1" s="10">
        <f>VLOOKUP(BK2,'data input'!$B$3:$C$130,2,FALSE)</f>
        <v>229232.47867469641</v>
      </c>
      <c r="BL1" s="10">
        <f>VLOOKUP(BL2,'data input'!$B$3:$C$130,2,FALSE)</f>
        <v>235387.105447701</v>
      </c>
      <c r="BM1" s="10">
        <f>VLOOKUP(BM2,'data input'!$B$3:$C$130,2,FALSE)</f>
        <v>242445.45176849287</v>
      </c>
      <c r="BN1" s="10">
        <f>VLOOKUP(BN2,'data input'!$B$3:$C$130,2,FALSE)</f>
        <v>250779.41555639898</v>
      </c>
      <c r="BO1" s="10">
        <f>VLOOKUP(BO2,'data input'!$B$3:$C$130,2,FALSE)</f>
        <v>261839.46643901055</v>
      </c>
      <c r="BP1" s="10">
        <f>VLOOKUP(BP2,'data input'!$B$3:$C$130,2,FALSE)</f>
        <v>272763.9729427658</v>
      </c>
      <c r="BQ1" s="10">
        <f>VLOOKUP(BQ2,'data input'!$B$3:$C$130,2,FALSE)</f>
        <v>285163.91856959008</v>
      </c>
      <c r="BR1" s="10">
        <f>VLOOKUP(BR2,'data input'!$B$3:$C$130,2,FALSE)</f>
        <v>294310.88147944695</v>
      </c>
      <c r="BS1" s="10">
        <f>VLOOKUP(BS2,'data input'!$B$3:$C$130,2,FALSE)</f>
        <v>308858.62037567282</v>
      </c>
      <c r="BT1" s="10">
        <f>VLOOKUP(BT2,'data input'!$B$3:$C$130,2,FALSE)</f>
        <v>322104.94112684362</v>
      </c>
      <c r="BU1" s="10">
        <f>VLOOKUP(BU2,'data input'!$B$3:$C$130,2,FALSE)</f>
        <v>325428.16494747583</v>
      </c>
      <c r="BV1" s="10">
        <f>VLOOKUP(BV2,'data input'!$B$3:$C$130,2,FALSE)</f>
        <v>330535.25964061462</v>
      </c>
      <c r="BW1" s="10">
        <f>VLOOKUP(BW2,'data input'!$B$3:$C$130,2,FALSE)</f>
        <v>336629.94486201025</v>
      </c>
      <c r="BX1" s="10">
        <f>VLOOKUP(BX2,'data input'!$B$3:$C$130,2,FALSE)</f>
        <v>343349.66988598794</v>
      </c>
      <c r="BY1" s="10">
        <f>VLOOKUP(BY2,'data input'!$B$3:$C$130,2,FALSE)</f>
        <v>351090.79027027084</v>
      </c>
      <c r="BZ1" s="10">
        <f>VLOOKUP(BZ2,'data input'!$B$3:$C$130,2,FALSE)</f>
        <v>362901.62116343644</v>
      </c>
      <c r="CA1" s="10">
        <f>VLOOKUP(CA2,'data input'!$B$3:$C$130,2,FALSE)</f>
        <v>380638.00541386323</v>
      </c>
      <c r="CB1" s="10">
        <f>VLOOKUP(CB2,'data input'!$B$3:$C$130,2,FALSE)</f>
        <v>397522.32242475491</v>
      </c>
      <c r="CC1" s="10">
        <f>VLOOKUP(CC2,'data input'!$B$3:$C$130,2,FALSE)</f>
        <v>417015.14645795553</v>
      </c>
      <c r="CD1" s="10">
        <f>VLOOKUP(CD2,'data input'!$B$3:$C$130,2,FALSE)</f>
        <v>434558.09459958103</v>
      </c>
      <c r="CE1" s="10">
        <f>VLOOKUP(CE2,'data input'!$B$3:$C$130,2,FALSE)</f>
        <v>453642.40970206988</v>
      </c>
      <c r="CF1" s="10">
        <f>VLOOKUP(CF2,'data input'!$B$3:$C$130,2,FALSE)</f>
        <v>473986.87675339752</v>
      </c>
      <c r="CG1" s="10">
        <f>VLOOKUP(CG2,'data input'!$B$3:$C$130,2,FALSE)</f>
        <v>495600.17012444441</v>
      </c>
      <c r="CH1" s="10">
        <f>VLOOKUP(CH2,'data input'!$B$3:$C$130,2,FALSE)</f>
        <v>514736.86171015492</v>
      </c>
      <c r="CI1" s="10">
        <f>VLOOKUP(CI2,'data input'!$B$3:$C$130,2,FALSE)</f>
        <v>534637.76938929514</v>
      </c>
      <c r="CJ1" s="10">
        <f>VLOOKUP(CJ2,'data input'!$B$3:$C$130,2,FALSE)</f>
        <v>556129.49497393717</v>
      </c>
      <c r="CK1" s="10">
        <f>VLOOKUP(CK2,'data input'!$B$3:$C$130,2,FALSE)</f>
        <v>578208.12848345248</v>
      </c>
      <c r="CL1" s="10">
        <f>VLOOKUP(CL2,'data input'!$B$3:$C$130,2,FALSE)</f>
        <v>605771.80507718993</v>
      </c>
      <c r="CM1" s="10">
        <f>VLOOKUP(CM2,'data input'!$B$3:$C$130,2,FALSE)</f>
        <v>636129.69962289743</v>
      </c>
      <c r="CN1" s="10">
        <f>VLOOKUP(CN2,'data input'!$B$3:$C$130,2,FALSE)</f>
        <v>665702.98990406771</v>
      </c>
      <c r="CO1" s="10">
        <f>VLOOKUP(CO2,'data input'!$B$3:$C$130,2,FALSE)</f>
        <v>697304.89767083782</v>
      </c>
      <c r="CP1" s="10">
        <f>VLOOKUP(CP2,'data input'!$B$3:$C$130,2,FALSE)</f>
        <v>732513.20721288421</v>
      </c>
      <c r="CQ1" s="10">
        <f>VLOOKUP(CQ2,'data input'!$B$3:$C$130,2,FALSE)</f>
        <v>772172.19023072289</v>
      </c>
      <c r="CR1" s="10">
        <f>VLOOKUP(CR2,'data input'!$B$3:$C$130,2,FALSE)</f>
        <v>812919.09325780091</v>
      </c>
      <c r="CS1" s="10">
        <f>VLOOKUP(CS2,'data input'!$B$3:$C$130,2,FALSE)</f>
        <v>853605.04412127798</v>
      </c>
      <c r="CT1" s="10">
        <f>VLOOKUP(CT2,'data input'!$B$3:$C$130,2,FALSE)</f>
        <v>897864.14653953933</v>
      </c>
      <c r="CU1" s="10">
        <f>VLOOKUP(CU2,'data input'!$B$3:$C$130,2,FALSE)</f>
        <v>940376.05932987994</v>
      </c>
      <c r="CV1" s="10">
        <f>VLOOKUP(CV2,'data input'!$B$3:$C$130,2,FALSE)</f>
        <v>984266.9609248176</v>
      </c>
      <c r="CW1" s="10">
        <f>VLOOKUP(CW2,'data input'!$B$3:$C$130,2,FALSE)</f>
        <v>1031548.9588011784</v>
      </c>
      <c r="CX1" s="10">
        <f>VLOOKUP(CX2,'data input'!$B$3:$C$130,2,FALSE)</f>
        <v>1073840.7523882496</v>
      </c>
      <c r="CY1" s="10">
        <f>VLOOKUP(CY2,'data input'!$B$3:$C$130,2,FALSE)</f>
        <v>1106799.3627719062</v>
      </c>
      <c r="CZ1" s="10">
        <f>VLOOKUP(CZ2,'data input'!$B$3:$C$130,2,FALSE)</f>
        <v>1154806.5236675595</v>
      </c>
      <c r="DA1" s="10">
        <f>VLOOKUP(DA2,'data input'!$B$3:$C$130,2,FALSE)</f>
        <v>1184951.33454638</v>
      </c>
      <c r="DB1" s="10">
        <f>VLOOKUP(DB2,'data input'!$B$3:$C$130,2,FALSE)</f>
        <v>1221150.1351589758</v>
      </c>
      <c r="DC1" s="10">
        <f>VLOOKUP(DC2,'data input'!$B$3:$C$130,2,FALSE)</f>
        <v>1259440.602027467</v>
      </c>
      <c r="DD1" s="10">
        <f>VLOOKUP(DD2,'data input'!$B$3:$C$130,2,FALSE)</f>
        <v>1292964.6434829384</v>
      </c>
      <c r="DE1" s="10">
        <f>VLOOKUP(DE2,'data input'!$B$3:$C$130,2,FALSE)</f>
        <v>1317881.888923666</v>
      </c>
      <c r="DF1" s="10">
        <f>VLOOKUP(DF2,'data input'!$B$3:$C$130,2,FALSE)</f>
        <v>1343760.6299748099</v>
      </c>
      <c r="DG1" s="10">
        <f>VLOOKUP(DG2,'data input'!$B$3:$C$130,2,FALSE)</f>
        <v>1368384.7154099254</v>
      </c>
      <c r="DH1" s="10">
        <f>VLOOKUP(DH2,'data input'!$B$3:$C$130,2,FALSE)</f>
        <v>1391588.8835480448</v>
      </c>
      <c r="DI1" s="10">
        <f>VLOOKUP(DI2,'data input'!$B$3:$C$130,2,FALSE)</f>
        <v>1414989.0069484261</v>
      </c>
      <c r="DJ1" s="10">
        <f>VLOOKUP(DJ2,'data input'!$B$3:$C$130,2,FALSE)</f>
        <v>1436834.7673733823</v>
      </c>
      <c r="DK1" s="10">
        <f>VLOOKUP(DK2,'data input'!$B$3:$C$130,2,FALSE)</f>
        <v>1460693.9580714335</v>
      </c>
      <c r="DL1" s="10">
        <f>VLOOKUP(DL2,'data input'!$B$3:$C$130,2,FALSE)</f>
        <v>1482594.5292667579</v>
      </c>
      <c r="DM1" s="10">
        <f>VLOOKUP(DM2,'data input'!$B$3:$C$130,2,FALSE)</f>
        <v>1505159.749849343</v>
      </c>
      <c r="DN1" s="10">
        <f>VLOOKUP(DN2,'data input'!$B$3:$C$130,2,FALSE)</f>
        <v>1524289.5639477617</v>
      </c>
      <c r="DO1" s="10">
        <f>VLOOKUP(DO2,'data input'!$B$3:$C$130,2,FALSE)</f>
        <v>1540245.9763468944</v>
      </c>
      <c r="DP1" s="10">
        <f>VLOOKUP(DP2,'data input'!$B$3:$C$130,2,FALSE)</f>
        <v>1551201.7090346084</v>
      </c>
      <c r="DQ1" s="10">
        <f>VLOOKUP(DQ2,'data input'!$B$3:$C$130,2,FALSE)</f>
        <v>1562605.8746096075</v>
      </c>
      <c r="DR1" s="10">
        <f>VLOOKUP(DR2,'data input'!$B$3:$C$130,2,FALSE)</f>
        <v>1571774.9965905659</v>
      </c>
      <c r="DS1" s="10">
        <f>VLOOKUP(DS2,'data input'!$B$3:$C$130,2,FALSE)</f>
        <v>1579328.5964599177</v>
      </c>
      <c r="DT1" s="10">
        <f>VLOOKUP(DT2,'data input'!$B$3:$C$130,2,FALSE)</f>
        <v>1585090.467790815</v>
      </c>
      <c r="DU1" s="10">
        <f>VLOOKUP(DU2,'data input'!$B$3:$C$130,2,FALSE)</f>
        <v>1589232.4898749911</v>
      </c>
      <c r="DV1" s="10">
        <f>VLOOKUP(DV2,'data input'!$B$3:$C$130,2,FALSE)</f>
        <v>1585115.0897971143</v>
      </c>
      <c r="DW1" s="10">
        <f>VLOOKUP(DW2,'data input'!$B$3:$C$130,2,FALSE)</f>
        <v>1581633.7540776941</v>
      </c>
      <c r="DX1" s="10">
        <f>VLOOKUP(DX2,'data input'!$B$3:$C$130,2,FALSE)</f>
        <v>1576665.8911700146</v>
      </c>
      <c r="DY1" s="10">
        <f>VLOOKUP(DY2,'data input'!$B$3:$C$130,2,FALSE)</f>
        <v>1567597.5126003181</v>
      </c>
      <c r="DZ1" s="10">
        <f>VLOOKUP(DZ2,'data input'!$B$3:$C$130,2,FALSE)</f>
        <v>1557245.2357424945</v>
      </c>
      <c r="EA1" s="10">
        <f>VLOOKUP(EA2,'data input'!$B$3:$C$130,2,FALSE)</f>
        <v>1546241.882897659</v>
      </c>
      <c r="EB1" s="10">
        <f>VLOOKUP(EB2,'data input'!$B$3:$C$130,2,FALSE)</f>
        <v>1534800.875351374</v>
      </c>
      <c r="EC1" s="10">
        <f>VLOOKUP(EC2,'data input'!$B$3:$C$130,2,FALSE)</f>
        <v>1521833.06146915</v>
      </c>
    </row>
    <row r="2" spans="1:133">
      <c r="A2" s="26" t="s">
        <v>28</v>
      </c>
      <c r="B2" s="26" t="s">
        <v>27</v>
      </c>
      <c r="C2" s="26" t="s">
        <v>26</v>
      </c>
      <c r="F2" s="7">
        <f>E3</f>
        <v>1878</v>
      </c>
      <c r="G2" s="7">
        <f>F2+1</f>
        <v>1879</v>
      </c>
      <c r="H2" s="7">
        <f t="shared" ref="H2:BS2" si="0">G2+1</f>
        <v>1880</v>
      </c>
      <c r="I2" s="7">
        <f t="shared" si="0"/>
        <v>1881</v>
      </c>
      <c r="J2" s="7">
        <f t="shared" si="0"/>
        <v>1882</v>
      </c>
      <c r="K2" s="7">
        <f t="shared" si="0"/>
        <v>1883</v>
      </c>
      <c r="L2" s="7">
        <f t="shared" si="0"/>
        <v>1884</v>
      </c>
      <c r="M2" s="7">
        <f t="shared" si="0"/>
        <v>1885</v>
      </c>
      <c r="N2" s="7">
        <f t="shared" si="0"/>
        <v>1886</v>
      </c>
      <c r="O2" s="7">
        <f t="shared" si="0"/>
        <v>1887</v>
      </c>
      <c r="P2" s="7">
        <f t="shared" si="0"/>
        <v>1888</v>
      </c>
      <c r="Q2" s="7">
        <f t="shared" si="0"/>
        <v>1889</v>
      </c>
      <c r="R2" s="7">
        <f t="shared" si="0"/>
        <v>1890</v>
      </c>
      <c r="S2" s="7">
        <f t="shared" si="0"/>
        <v>1891</v>
      </c>
      <c r="T2" s="7">
        <f t="shared" si="0"/>
        <v>1892</v>
      </c>
      <c r="U2" s="7">
        <f t="shared" si="0"/>
        <v>1893</v>
      </c>
      <c r="V2" s="7">
        <f t="shared" si="0"/>
        <v>1894</v>
      </c>
      <c r="W2" s="7">
        <f t="shared" si="0"/>
        <v>1895</v>
      </c>
      <c r="X2" s="7">
        <f t="shared" si="0"/>
        <v>1896</v>
      </c>
      <c r="Y2" s="7">
        <f t="shared" si="0"/>
        <v>1897</v>
      </c>
      <c r="Z2" s="7">
        <f t="shared" si="0"/>
        <v>1898</v>
      </c>
      <c r="AA2" s="7">
        <f t="shared" si="0"/>
        <v>1899</v>
      </c>
      <c r="AB2" s="7">
        <f t="shared" si="0"/>
        <v>1900</v>
      </c>
      <c r="AC2" s="7">
        <f t="shared" si="0"/>
        <v>1901</v>
      </c>
      <c r="AD2" s="7">
        <f t="shared" si="0"/>
        <v>1902</v>
      </c>
      <c r="AE2" s="7">
        <f t="shared" si="0"/>
        <v>1903</v>
      </c>
      <c r="AF2" s="7">
        <f t="shared" si="0"/>
        <v>1904</v>
      </c>
      <c r="AG2" s="7">
        <f t="shared" si="0"/>
        <v>1905</v>
      </c>
      <c r="AH2" s="7">
        <f t="shared" si="0"/>
        <v>1906</v>
      </c>
      <c r="AI2" s="7">
        <f t="shared" si="0"/>
        <v>1907</v>
      </c>
      <c r="AJ2" s="7">
        <f t="shared" si="0"/>
        <v>1908</v>
      </c>
      <c r="AK2" s="7">
        <f t="shared" si="0"/>
        <v>1909</v>
      </c>
      <c r="AL2" s="7">
        <f t="shared" si="0"/>
        <v>1910</v>
      </c>
      <c r="AM2" s="7">
        <f t="shared" si="0"/>
        <v>1911</v>
      </c>
      <c r="AN2" s="7">
        <f t="shared" si="0"/>
        <v>1912</v>
      </c>
      <c r="AO2" s="7">
        <f t="shared" si="0"/>
        <v>1913</v>
      </c>
      <c r="AP2" s="7">
        <f t="shared" si="0"/>
        <v>1914</v>
      </c>
      <c r="AQ2" s="7">
        <f t="shared" si="0"/>
        <v>1915</v>
      </c>
      <c r="AR2" s="7">
        <f t="shared" si="0"/>
        <v>1916</v>
      </c>
      <c r="AS2" s="7">
        <f t="shared" si="0"/>
        <v>1917</v>
      </c>
      <c r="AT2" s="7">
        <f t="shared" si="0"/>
        <v>1918</v>
      </c>
      <c r="AU2" s="7">
        <f t="shared" si="0"/>
        <v>1919</v>
      </c>
      <c r="AV2" s="7">
        <f t="shared" si="0"/>
        <v>1920</v>
      </c>
      <c r="AW2" s="7">
        <f t="shared" si="0"/>
        <v>1921</v>
      </c>
      <c r="AX2" s="7">
        <f t="shared" si="0"/>
        <v>1922</v>
      </c>
      <c r="AY2" s="7">
        <f t="shared" si="0"/>
        <v>1923</v>
      </c>
      <c r="AZ2" s="7">
        <f t="shared" si="0"/>
        <v>1924</v>
      </c>
      <c r="BA2" s="7">
        <f t="shared" si="0"/>
        <v>1925</v>
      </c>
      <c r="BB2" s="7">
        <f t="shared" si="0"/>
        <v>1926</v>
      </c>
      <c r="BC2" s="7">
        <f t="shared" si="0"/>
        <v>1927</v>
      </c>
      <c r="BD2" s="7">
        <f t="shared" si="0"/>
        <v>1928</v>
      </c>
      <c r="BE2" s="7">
        <f t="shared" si="0"/>
        <v>1929</v>
      </c>
      <c r="BF2" s="7">
        <f t="shared" si="0"/>
        <v>1930</v>
      </c>
      <c r="BG2" s="7">
        <f t="shared" si="0"/>
        <v>1931</v>
      </c>
      <c r="BH2" s="7">
        <f t="shared" si="0"/>
        <v>1932</v>
      </c>
      <c r="BI2" s="7">
        <f t="shared" si="0"/>
        <v>1933</v>
      </c>
      <c r="BJ2" s="7">
        <f t="shared" si="0"/>
        <v>1934</v>
      </c>
      <c r="BK2" s="7">
        <f t="shared" si="0"/>
        <v>1935</v>
      </c>
      <c r="BL2" s="7">
        <f t="shared" si="0"/>
        <v>1936</v>
      </c>
      <c r="BM2" s="7">
        <f t="shared" si="0"/>
        <v>1937</v>
      </c>
      <c r="BN2" s="7">
        <f t="shared" si="0"/>
        <v>1938</v>
      </c>
      <c r="BO2" s="7">
        <f t="shared" si="0"/>
        <v>1939</v>
      </c>
      <c r="BP2" s="7">
        <f t="shared" si="0"/>
        <v>1940</v>
      </c>
      <c r="BQ2" s="7">
        <f t="shared" si="0"/>
        <v>1941</v>
      </c>
      <c r="BR2" s="7">
        <f t="shared" si="0"/>
        <v>1942</v>
      </c>
      <c r="BS2" s="7">
        <f t="shared" si="0"/>
        <v>1943</v>
      </c>
      <c r="BT2" s="7">
        <f t="shared" ref="BT2:EE2" si="1">BS2+1</f>
        <v>1944</v>
      </c>
      <c r="BU2" s="7">
        <f t="shared" si="1"/>
        <v>1945</v>
      </c>
      <c r="BV2" s="7">
        <f t="shared" si="1"/>
        <v>1946</v>
      </c>
      <c r="BW2" s="7">
        <f t="shared" si="1"/>
        <v>1947</v>
      </c>
      <c r="BX2" s="7">
        <f t="shared" si="1"/>
        <v>1948</v>
      </c>
      <c r="BY2" s="7">
        <f t="shared" si="1"/>
        <v>1949</v>
      </c>
      <c r="BZ2" s="7">
        <f t="shared" si="1"/>
        <v>1950</v>
      </c>
      <c r="CA2" s="7">
        <f t="shared" si="1"/>
        <v>1951</v>
      </c>
      <c r="CB2" s="7">
        <f t="shared" si="1"/>
        <v>1952</v>
      </c>
      <c r="CC2" s="7">
        <f t="shared" si="1"/>
        <v>1953</v>
      </c>
      <c r="CD2" s="7">
        <f t="shared" si="1"/>
        <v>1954</v>
      </c>
      <c r="CE2" s="7">
        <f t="shared" si="1"/>
        <v>1955</v>
      </c>
      <c r="CF2" s="7">
        <f t="shared" si="1"/>
        <v>1956</v>
      </c>
      <c r="CG2" s="7">
        <f t="shared" si="1"/>
        <v>1957</v>
      </c>
      <c r="CH2" s="7">
        <f t="shared" si="1"/>
        <v>1958</v>
      </c>
      <c r="CI2" s="7">
        <f t="shared" si="1"/>
        <v>1959</v>
      </c>
      <c r="CJ2" s="7">
        <f t="shared" si="1"/>
        <v>1960</v>
      </c>
      <c r="CK2" s="7">
        <f t="shared" si="1"/>
        <v>1961</v>
      </c>
      <c r="CL2" s="7">
        <f t="shared" si="1"/>
        <v>1962</v>
      </c>
      <c r="CM2" s="7">
        <f t="shared" si="1"/>
        <v>1963</v>
      </c>
      <c r="CN2" s="7">
        <f t="shared" si="1"/>
        <v>1964</v>
      </c>
      <c r="CO2" s="7">
        <f t="shared" si="1"/>
        <v>1965</v>
      </c>
      <c r="CP2" s="7">
        <f t="shared" si="1"/>
        <v>1966</v>
      </c>
      <c r="CQ2" s="7">
        <f t="shared" si="1"/>
        <v>1967</v>
      </c>
      <c r="CR2" s="7">
        <f t="shared" si="1"/>
        <v>1968</v>
      </c>
      <c r="CS2" s="7">
        <f t="shared" si="1"/>
        <v>1969</v>
      </c>
      <c r="CT2" s="7">
        <f t="shared" si="1"/>
        <v>1970</v>
      </c>
      <c r="CU2" s="7">
        <f t="shared" si="1"/>
        <v>1971</v>
      </c>
      <c r="CV2" s="7">
        <f t="shared" si="1"/>
        <v>1972</v>
      </c>
      <c r="CW2" s="7">
        <f t="shared" si="1"/>
        <v>1973</v>
      </c>
      <c r="CX2" s="7">
        <f t="shared" si="1"/>
        <v>1974</v>
      </c>
      <c r="CY2" s="7">
        <f t="shared" si="1"/>
        <v>1975</v>
      </c>
      <c r="CZ2" s="7">
        <f t="shared" si="1"/>
        <v>1976</v>
      </c>
      <c r="DA2" s="7">
        <f t="shared" si="1"/>
        <v>1977</v>
      </c>
      <c r="DB2" s="7">
        <f t="shared" si="1"/>
        <v>1978</v>
      </c>
      <c r="DC2" s="7">
        <f t="shared" si="1"/>
        <v>1979</v>
      </c>
      <c r="DD2" s="7">
        <f t="shared" si="1"/>
        <v>1980</v>
      </c>
      <c r="DE2" s="7">
        <f t="shared" si="1"/>
        <v>1981</v>
      </c>
      <c r="DF2" s="7">
        <f t="shared" si="1"/>
        <v>1982</v>
      </c>
      <c r="DG2" s="7">
        <f t="shared" si="1"/>
        <v>1983</v>
      </c>
      <c r="DH2" s="7">
        <f t="shared" si="1"/>
        <v>1984</v>
      </c>
      <c r="DI2" s="7">
        <f t="shared" si="1"/>
        <v>1985</v>
      </c>
      <c r="DJ2" s="7">
        <f t="shared" si="1"/>
        <v>1986</v>
      </c>
      <c r="DK2" s="7">
        <f t="shared" si="1"/>
        <v>1987</v>
      </c>
      <c r="DL2" s="7">
        <f t="shared" si="1"/>
        <v>1988</v>
      </c>
      <c r="DM2" s="7">
        <f t="shared" si="1"/>
        <v>1989</v>
      </c>
      <c r="DN2" s="7">
        <f t="shared" si="1"/>
        <v>1990</v>
      </c>
      <c r="DO2" s="7">
        <f t="shared" si="1"/>
        <v>1991</v>
      </c>
      <c r="DP2" s="7">
        <f t="shared" si="1"/>
        <v>1992</v>
      </c>
      <c r="DQ2" s="7">
        <f t="shared" si="1"/>
        <v>1993</v>
      </c>
      <c r="DR2" s="7">
        <f t="shared" si="1"/>
        <v>1994</v>
      </c>
      <c r="DS2" s="7">
        <f t="shared" si="1"/>
        <v>1995</v>
      </c>
      <c r="DT2" s="7">
        <f t="shared" si="1"/>
        <v>1996</v>
      </c>
      <c r="DU2" s="7">
        <f t="shared" si="1"/>
        <v>1997</v>
      </c>
      <c r="DV2" s="7">
        <f t="shared" si="1"/>
        <v>1998</v>
      </c>
      <c r="DW2" s="7">
        <f t="shared" si="1"/>
        <v>1999</v>
      </c>
      <c r="DX2" s="7">
        <f t="shared" si="1"/>
        <v>2000</v>
      </c>
      <c r="DY2" s="7">
        <f t="shared" si="1"/>
        <v>2001</v>
      </c>
      <c r="DZ2" s="7">
        <f t="shared" si="1"/>
        <v>2002</v>
      </c>
      <c r="EA2" s="7">
        <f t="shared" si="1"/>
        <v>2003</v>
      </c>
      <c r="EB2" s="7">
        <f t="shared" si="1"/>
        <v>2004</v>
      </c>
      <c r="EC2" s="7">
        <f t="shared" si="1"/>
        <v>2005</v>
      </c>
    </row>
    <row r="3" spans="1:133">
      <c r="A3" s="12">
        <f>'data input'!C3-B3</f>
        <v>4.3879058670227096</v>
      </c>
      <c r="B3" s="14">
        <f>C3</f>
        <v>3246.1582570339033</v>
      </c>
      <c r="C3" s="11">
        <f>SUM(F3:EC3)</f>
        <v>3246.1582570339033</v>
      </c>
      <c r="E3" s="7">
        <f>'data input'!B3</f>
        <v>1878</v>
      </c>
      <c r="F3" s="6">
        <f>F$1*'survival matrix'!F3</f>
        <v>3246.1582570339033</v>
      </c>
      <c r="G3" s="6">
        <f>G$1*'survival matrix'!G3</f>
        <v>0</v>
      </c>
      <c r="H3" s="6">
        <f>H$1*'survival matrix'!H3</f>
        <v>0</v>
      </c>
      <c r="I3" s="6">
        <f>I$1*'survival matrix'!I3</f>
        <v>0</v>
      </c>
      <c r="J3" s="6">
        <f>J$1*'survival matrix'!J3</f>
        <v>0</v>
      </c>
      <c r="K3" s="6">
        <f>K$1*'survival matrix'!K3</f>
        <v>0</v>
      </c>
      <c r="L3" s="6">
        <f>L$1*'survival matrix'!L3</f>
        <v>0</v>
      </c>
      <c r="M3" s="6">
        <f>M$1*'survival matrix'!M3</f>
        <v>0</v>
      </c>
      <c r="N3" s="6">
        <f>N$1*'survival matrix'!N3</f>
        <v>0</v>
      </c>
      <c r="O3" s="6">
        <f>O$1*'survival matrix'!O3</f>
        <v>0</v>
      </c>
      <c r="P3" s="6">
        <f>P$1*'survival matrix'!P3</f>
        <v>0</v>
      </c>
      <c r="Q3" s="6">
        <f>Q$1*'survival matrix'!Q3</f>
        <v>0</v>
      </c>
      <c r="R3" s="6">
        <f>R$1*'survival matrix'!R3</f>
        <v>0</v>
      </c>
      <c r="S3" s="6">
        <f>S$1*'survival matrix'!S3</f>
        <v>0</v>
      </c>
      <c r="T3" s="6">
        <f>T$1*'survival matrix'!T3</f>
        <v>0</v>
      </c>
      <c r="U3" s="6">
        <f>U$1*'survival matrix'!U3</f>
        <v>0</v>
      </c>
      <c r="V3" s="6">
        <f>V$1*'survival matrix'!V3</f>
        <v>0</v>
      </c>
      <c r="W3" s="6">
        <f>W$1*'survival matrix'!W3</f>
        <v>0</v>
      </c>
      <c r="X3" s="6">
        <f>X$1*'survival matrix'!X3</f>
        <v>0</v>
      </c>
      <c r="Y3" s="6">
        <f>Y$1*'survival matrix'!Y3</f>
        <v>0</v>
      </c>
      <c r="Z3" s="6">
        <f>Z$1*'survival matrix'!Z3</f>
        <v>0</v>
      </c>
      <c r="AA3" s="6">
        <f>AA$1*'survival matrix'!AA3</f>
        <v>0</v>
      </c>
      <c r="AB3" s="6">
        <f>AB$1*'survival matrix'!AB3</f>
        <v>0</v>
      </c>
      <c r="AC3" s="6">
        <f>AC$1*'survival matrix'!AC3</f>
        <v>0</v>
      </c>
      <c r="AD3" s="6">
        <f>AD$1*'survival matrix'!AD3</f>
        <v>0</v>
      </c>
      <c r="AE3" s="6">
        <f>AE$1*'survival matrix'!AE3</f>
        <v>0</v>
      </c>
      <c r="AF3" s="6">
        <f>AF$1*'survival matrix'!AF3</f>
        <v>0</v>
      </c>
      <c r="AG3" s="6">
        <f>AG$1*'survival matrix'!AG3</f>
        <v>0</v>
      </c>
      <c r="AH3" s="6">
        <f>AH$1*'survival matrix'!AH3</f>
        <v>0</v>
      </c>
      <c r="AI3" s="6">
        <f>AI$1*'survival matrix'!AI3</f>
        <v>0</v>
      </c>
      <c r="AJ3" s="6">
        <f>AJ$1*'survival matrix'!AJ3</f>
        <v>0</v>
      </c>
      <c r="AK3" s="6">
        <f>AK$1*'survival matrix'!AK3</f>
        <v>0</v>
      </c>
      <c r="AL3" s="6">
        <f>AL$1*'survival matrix'!AL3</f>
        <v>0</v>
      </c>
      <c r="AM3" s="6">
        <f>AM$1*'survival matrix'!AM3</f>
        <v>0</v>
      </c>
      <c r="AN3" s="6">
        <f>AN$1*'survival matrix'!AN3</f>
        <v>0</v>
      </c>
      <c r="AO3" s="6">
        <f>AO$1*'survival matrix'!AO3</f>
        <v>0</v>
      </c>
      <c r="AP3" s="6">
        <f>AP$1*'survival matrix'!AP3</f>
        <v>0</v>
      </c>
      <c r="AQ3" s="6">
        <f>AQ$1*'survival matrix'!AQ3</f>
        <v>0</v>
      </c>
      <c r="AR3" s="6">
        <f>AR$1*'survival matrix'!AR3</f>
        <v>0</v>
      </c>
      <c r="AS3" s="6">
        <f>AS$1*'survival matrix'!AS3</f>
        <v>0</v>
      </c>
      <c r="AT3" s="6">
        <f>AT$1*'survival matrix'!AT3</f>
        <v>0</v>
      </c>
      <c r="AU3" s="6">
        <f>AU$1*'survival matrix'!AU3</f>
        <v>0</v>
      </c>
      <c r="AV3" s="6">
        <f>AV$1*'survival matrix'!AV3</f>
        <v>0</v>
      </c>
      <c r="AW3" s="6">
        <f>AW$1*'survival matrix'!AW3</f>
        <v>0</v>
      </c>
      <c r="AX3" s="6">
        <f>AX$1*'survival matrix'!AX3</f>
        <v>0</v>
      </c>
      <c r="AY3" s="6">
        <f>AY$1*'survival matrix'!AY3</f>
        <v>0</v>
      </c>
      <c r="AZ3" s="6">
        <f>AZ$1*'survival matrix'!AZ3</f>
        <v>0</v>
      </c>
      <c r="BA3" s="6">
        <f>BA$1*'survival matrix'!BA3</f>
        <v>0</v>
      </c>
      <c r="BB3" s="6">
        <f>BB$1*'survival matrix'!BB3</f>
        <v>0</v>
      </c>
      <c r="BC3" s="6">
        <f>BC$1*'survival matrix'!BC3</f>
        <v>0</v>
      </c>
      <c r="BD3" s="6">
        <f>BD$1*'survival matrix'!BD3</f>
        <v>0</v>
      </c>
      <c r="BE3" s="6">
        <f>BE$1*'survival matrix'!BE3</f>
        <v>0</v>
      </c>
      <c r="BF3" s="6">
        <f>BF$1*'survival matrix'!BF3</f>
        <v>0</v>
      </c>
      <c r="BG3" s="6">
        <f>BG$1*'survival matrix'!BG3</f>
        <v>0</v>
      </c>
      <c r="BH3" s="6">
        <f>BH$1*'survival matrix'!BH3</f>
        <v>0</v>
      </c>
      <c r="BI3" s="6">
        <f>BI$1*'survival matrix'!BI3</f>
        <v>0</v>
      </c>
      <c r="BJ3" s="6">
        <f>BJ$1*'survival matrix'!BJ3</f>
        <v>0</v>
      </c>
      <c r="BK3" s="6">
        <f>BK$1*'survival matrix'!BK3</f>
        <v>0</v>
      </c>
      <c r="BL3" s="6">
        <f>BL$1*'survival matrix'!BL3</f>
        <v>0</v>
      </c>
      <c r="BM3" s="6">
        <f>BM$1*'survival matrix'!BM3</f>
        <v>0</v>
      </c>
      <c r="BN3" s="6">
        <f>BN$1*'survival matrix'!BN3</f>
        <v>0</v>
      </c>
      <c r="BO3" s="6">
        <f>BO$1*'survival matrix'!BO3</f>
        <v>0</v>
      </c>
      <c r="BP3" s="6">
        <f>BP$1*'survival matrix'!BP3</f>
        <v>0</v>
      </c>
      <c r="BQ3" s="6">
        <f>BQ$1*'survival matrix'!BQ3</f>
        <v>0</v>
      </c>
      <c r="BR3" s="6">
        <f>BR$1*'survival matrix'!BR3</f>
        <v>0</v>
      </c>
      <c r="BS3" s="6">
        <f>BS$1*'survival matrix'!BS3</f>
        <v>0</v>
      </c>
      <c r="BT3" s="6">
        <f>BT$1*'survival matrix'!BT3</f>
        <v>0</v>
      </c>
      <c r="BU3" s="6">
        <f>BU$1*'survival matrix'!BU3</f>
        <v>0</v>
      </c>
      <c r="BV3" s="6">
        <f>BV$1*'survival matrix'!BV3</f>
        <v>0</v>
      </c>
      <c r="BW3" s="6">
        <f>BW$1*'survival matrix'!BW3</f>
        <v>0</v>
      </c>
      <c r="BX3" s="6">
        <f>BX$1*'survival matrix'!BX3</f>
        <v>0</v>
      </c>
      <c r="BY3" s="6">
        <f>BY$1*'survival matrix'!BY3</f>
        <v>0</v>
      </c>
      <c r="BZ3" s="6">
        <f>BZ$1*'survival matrix'!BZ3</f>
        <v>0</v>
      </c>
      <c r="CA3" s="6">
        <f>CA$1*'survival matrix'!CA3</f>
        <v>0</v>
      </c>
      <c r="CB3" s="6">
        <f>CB$1*'survival matrix'!CB3</f>
        <v>0</v>
      </c>
      <c r="CC3" s="6">
        <f>CC$1*'survival matrix'!CC3</f>
        <v>0</v>
      </c>
      <c r="CD3" s="6">
        <f>CD$1*'survival matrix'!CD3</f>
        <v>0</v>
      </c>
      <c r="CE3" s="6">
        <f>CE$1*'survival matrix'!CE3</f>
        <v>0</v>
      </c>
      <c r="CF3" s="6">
        <f>CF$1*'survival matrix'!CF3</f>
        <v>0</v>
      </c>
      <c r="CG3" s="6">
        <f>CG$1*'survival matrix'!CG3</f>
        <v>0</v>
      </c>
      <c r="CH3" s="6">
        <f>CH$1*'survival matrix'!CH3</f>
        <v>0</v>
      </c>
      <c r="CI3" s="6">
        <f>CI$1*'survival matrix'!CI3</f>
        <v>0</v>
      </c>
      <c r="CJ3" s="6">
        <f>CJ$1*'survival matrix'!CJ3</f>
        <v>0</v>
      </c>
      <c r="CK3" s="6">
        <f>CK$1*'survival matrix'!CK3</f>
        <v>0</v>
      </c>
      <c r="CL3" s="6">
        <f>CL$1*'survival matrix'!CL3</f>
        <v>0</v>
      </c>
      <c r="CM3" s="6">
        <f>CM$1*'survival matrix'!CM3</f>
        <v>0</v>
      </c>
      <c r="CN3" s="6">
        <f>CN$1*'survival matrix'!CN3</f>
        <v>0</v>
      </c>
      <c r="CO3" s="6">
        <f>CO$1*'survival matrix'!CO3</f>
        <v>0</v>
      </c>
      <c r="CP3" s="6">
        <f>CP$1*'survival matrix'!CP3</f>
        <v>0</v>
      </c>
      <c r="CQ3" s="6">
        <f>CQ$1*'survival matrix'!CQ3</f>
        <v>0</v>
      </c>
      <c r="CR3" s="6">
        <f>CR$1*'survival matrix'!CR3</f>
        <v>0</v>
      </c>
      <c r="CS3" s="6">
        <f>CS$1*'survival matrix'!CS3</f>
        <v>0</v>
      </c>
      <c r="CT3" s="6">
        <f>CT$1*'survival matrix'!CT3</f>
        <v>0</v>
      </c>
      <c r="CU3" s="6">
        <f>CU$1*'survival matrix'!CU3</f>
        <v>0</v>
      </c>
      <c r="CV3" s="6">
        <f>CV$1*'survival matrix'!CV3</f>
        <v>0</v>
      </c>
      <c r="CW3" s="6">
        <f>CW$1*'survival matrix'!CW3</f>
        <v>0</v>
      </c>
      <c r="CX3" s="6">
        <f>CX$1*'survival matrix'!CX3</f>
        <v>0</v>
      </c>
      <c r="CY3" s="6">
        <f>CY$1*'survival matrix'!CY3</f>
        <v>0</v>
      </c>
      <c r="CZ3" s="6">
        <f>CZ$1*'survival matrix'!CZ3</f>
        <v>0</v>
      </c>
      <c r="DA3" s="6">
        <f>DA$1*'survival matrix'!DA3</f>
        <v>0</v>
      </c>
      <c r="DB3" s="6">
        <f>DB$1*'survival matrix'!DB3</f>
        <v>0</v>
      </c>
      <c r="DC3" s="6">
        <f>DC$1*'survival matrix'!DC3</f>
        <v>0</v>
      </c>
      <c r="DD3" s="6">
        <f>DD$1*'survival matrix'!DD3</f>
        <v>0</v>
      </c>
      <c r="DE3" s="6">
        <f>DE$1*'survival matrix'!DE3</f>
        <v>0</v>
      </c>
      <c r="DF3" s="6">
        <f>DF$1*'survival matrix'!DF3</f>
        <v>0</v>
      </c>
      <c r="DG3" s="6">
        <f>DG$1*'survival matrix'!DG3</f>
        <v>0</v>
      </c>
      <c r="DH3" s="6">
        <f>DH$1*'survival matrix'!DH3</f>
        <v>0</v>
      </c>
      <c r="DI3" s="6">
        <f>DI$1*'survival matrix'!DI3</f>
        <v>0</v>
      </c>
      <c r="DJ3" s="6">
        <f>DJ$1*'survival matrix'!DJ3</f>
        <v>0</v>
      </c>
      <c r="DK3" s="6">
        <f>DK$1*'survival matrix'!DK3</f>
        <v>0</v>
      </c>
      <c r="DL3" s="6">
        <f>DL$1*'survival matrix'!DL3</f>
        <v>0</v>
      </c>
      <c r="DM3" s="6">
        <f>DM$1*'survival matrix'!DM3</f>
        <v>0</v>
      </c>
      <c r="DN3" s="6">
        <f>DN$1*'survival matrix'!DN3</f>
        <v>0</v>
      </c>
      <c r="DO3" s="6">
        <f>DO$1*'survival matrix'!DO3</f>
        <v>0</v>
      </c>
      <c r="DP3" s="6">
        <f>DP$1*'survival matrix'!DP3</f>
        <v>0</v>
      </c>
      <c r="DQ3" s="6">
        <f>DQ$1*'survival matrix'!DQ3</f>
        <v>0</v>
      </c>
      <c r="DR3" s="6">
        <f>DR$1*'survival matrix'!DR3</f>
        <v>0</v>
      </c>
      <c r="DS3" s="6">
        <f>DS$1*'survival matrix'!DS3</f>
        <v>0</v>
      </c>
      <c r="DT3" s="6">
        <f>DT$1*'survival matrix'!DT3</f>
        <v>0</v>
      </c>
      <c r="DU3" s="6">
        <f>DU$1*'survival matrix'!DU3</f>
        <v>0</v>
      </c>
      <c r="DV3" s="6">
        <f>DV$1*'survival matrix'!DV3</f>
        <v>0</v>
      </c>
      <c r="DW3" s="6">
        <f>DW$1*'survival matrix'!DW3</f>
        <v>0</v>
      </c>
      <c r="DX3" s="6">
        <f>DX$1*'survival matrix'!DX3</f>
        <v>0</v>
      </c>
      <c r="DY3" s="6">
        <f>DY$1*'survival matrix'!DY3</f>
        <v>0</v>
      </c>
      <c r="DZ3" s="6">
        <f>DZ$1*'survival matrix'!DZ3</f>
        <v>0</v>
      </c>
      <c r="EA3" s="6">
        <f>EA$1*'survival matrix'!EA3</f>
        <v>0</v>
      </c>
      <c r="EB3" s="6">
        <f>EB$1*'survival matrix'!EB3</f>
        <v>0</v>
      </c>
      <c r="EC3" s="6">
        <f>EC$1*'survival matrix'!EC3</f>
        <v>0</v>
      </c>
    </row>
    <row r="4" spans="1:133">
      <c r="A4" s="12">
        <f>'data input'!C4-B4</f>
        <v>10.020779342174137</v>
      </c>
      <c r="B4" s="14">
        <f>C4-C3</f>
        <v>6516.6432575982617</v>
      </c>
      <c r="C4" s="11">
        <f>SUM(F4:EC4)</f>
        <v>9762.801514632165</v>
      </c>
      <c r="E4" s="7">
        <f>'data input'!B4</f>
        <v>1879</v>
      </c>
      <c r="F4" s="6">
        <f>F$1*'survival matrix'!F4</f>
        <v>3244.9478086283057</v>
      </c>
      <c r="G4" s="6">
        <f>G$1*'survival matrix'!G4</f>
        <v>6517.8537060038589</v>
      </c>
      <c r="H4" s="6">
        <f>H$1*'survival matrix'!H4</f>
        <v>0</v>
      </c>
      <c r="I4" s="6">
        <f>I$1*'survival matrix'!I4</f>
        <v>0</v>
      </c>
      <c r="J4" s="6">
        <f>J$1*'survival matrix'!J4</f>
        <v>0</v>
      </c>
      <c r="K4" s="6">
        <f>K$1*'survival matrix'!K4</f>
        <v>0</v>
      </c>
      <c r="L4" s="6">
        <f>L$1*'survival matrix'!L4</f>
        <v>0</v>
      </c>
      <c r="M4" s="6">
        <f>M$1*'survival matrix'!M4</f>
        <v>0</v>
      </c>
      <c r="N4" s="6">
        <f>N$1*'survival matrix'!N4</f>
        <v>0</v>
      </c>
      <c r="O4" s="6">
        <f>O$1*'survival matrix'!O4</f>
        <v>0</v>
      </c>
      <c r="P4" s="6">
        <f>P$1*'survival matrix'!P4</f>
        <v>0</v>
      </c>
      <c r="Q4" s="6">
        <f>Q$1*'survival matrix'!Q4</f>
        <v>0</v>
      </c>
      <c r="R4" s="6">
        <f>R$1*'survival matrix'!R4</f>
        <v>0</v>
      </c>
      <c r="S4" s="6">
        <f>S$1*'survival matrix'!S4</f>
        <v>0</v>
      </c>
      <c r="T4" s="6">
        <f>T$1*'survival matrix'!T4</f>
        <v>0</v>
      </c>
      <c r="U4" s="6">
        <f>U$1*'survival matrix'!U4</f>
        <v>0</v>
      </c>
      <c r="V4" s="6">
        <f>V$1*'survival matrix'!V4</f>
        <v>0</v>
      </c>
      <c r="W4" s="6">
        <f>W$1*'survival matrix'!W4</f>
        <v>0</v>
      </c>
      <c r="X4" s="6">
        <f>X$1*'survival matrix'!X4</f>
        <v>0</v>
      </c>
      <c r="Y4" s="6">
        <f>Y$1*'survival matrix'!Y4</f>
        <v>0</v>
      </c>
      <c r="Z4" s="6">
        <f>Z$1*'survival matrix'!Z4</f>
        <v>0</v>
      </c>
      <c r="AA4" s="6">
        <f>AA$1*'survival matrix'!AA4</f>
        <v>0</v>
      </c>
      <c r="AB4" s="6">
        <f>AB$1*'survival matrix'!AB4</f>
        <v>0</v>
      </c>
      <c r="AC4" s="6">
        <f>AC$1*'survival matrix'!AC4</f>
        <v>0</v>
      </c>
      <c r="AD4" s="6">
        <f>AD$1*'survival matrix'!AD4</f>
        <v>0</v>
      </c>
      <c r="AE4" s="6">
        <f>AE$1*'survival matrix'!AE4</f>
        <v>0</v>
      </c>
      <c r="AF4" s="6">
        <f>AF$1*'survival matrix'!AF4</f>
        <v>0</v>
      </c>
      <c r="AG4" s="6">
        <f>AG$1*'survival matrix'!AG4</f>
        <v>0</v>
      </c>
      <c r="AH4" s="6">
        <f>AH$1*'survival matrix'!AH4</f>
        <v>0</v>
      </c>
      <c r="AI4" s="6">
        <f>AI$1*'survival matrix'!AI4</f>
        <v>0</v>
      </c>
      <c r="AJ4" s="6">
        <f>AJ$1*'survival matrix'!AJ4</f>
        <v>0</v>
      </c>
      <c r="AK4" s="6">
        <f>AK$1*'survival matrix'!AK4</f>
        <v>0</v>
      </c>
      <c r="AL4" s="6">
        <f>AL$1*'survival matrix'!AL4</f>
        <v>0</v>
      </c>
      <c r="AM4" s="6">
        <f>AM$1*'survival matrix'!AM4</f>
        <v>0</v>
      </c>
      <c r="AN4" s="6">
        <f>AN$1*'survival matrix'!AN4</f>
        <v>0</v>
      </c>
      <c r="AO4" s="6">
        <f>AO$1*'survival matrix'!AO4</f>
        <v>0</v>
      </c>
      <c r="AP4" s="6">
        <f>AP$1*'survival matrix'!AP4</f>
        <v>0</v>
      </c>
      <c r="AQ4" s="6">
        <f>AQ$1*'survival matrix'!AQ4</f>
        <v>0</v>
      </c>
      <c r="AR4" s="6">
        <f>AR$1*'survival matrix'!AR4</f>
        <v>0</v>
      </c>
      <c r="AS4" s="6">
        <f>AS$1*'survival matrix'!AS4</f>
        <v>0</v>
      </c>
      <c r="AT4" s="6">
        <f>AT$1*'survival matrix'!AT4</f>
        <v>0</v>
      </c>
      <c r="AU4" s="6">
        <f>AU$1*'survival matrix'!AU4</f>
        <v>0</v>
      </c>
      <c r="AV4" s="6">
        <f>AV$1*'survival matrix'!AV4</f>
        <v>0</v>
      </c>
      <c r="AW4" s="6">
        <f>AW$1*'survival matrix'!AW4</f>
        <v>0</v>
      </c>
      <c r="AX4" s="6">
        <f>AX$1*'survival matrix'!AX4</f>
        <v>0</v>
      </c>
      <c r="AY4" s="6">
        <f>AY$1*'survival matrix'!AY4</f>
        <v>0</v>
      </c>
      <c r="AZ4" s="6">
        <f>AZ$1*'survival matrix'!AZ4</f>
        <v>0</v>
      </c>
      <c r="BA4" s="6">
        <f>BA$1*'survival matrix'!BA4</f>
        <v>0</v>
      </c>
      <c r="BB4" s="6">
        <f>BB$1*'survival matrix'!BB4</f>
        <v>0</v>
      </c>
      <c r="BC4" s="6">
        <f>BC$1*'survival matrix'!BC4</f>
        <v>0</v>
      </c>
      <c r="BD4" s="6">
        <f>BD$1*'survival matrix'!BD4</f>
        <v>0</v>
      </c>
      <c r="BE4" s="6">
        <f>BE$1*'survival matrix'!BE4</f>
        <v>0</v>
      </c>
      <c r="BF4" s="6">
        <f>BF$1*'survival matrix'!BF4</f>
        <v>0</v>
      </c>
      <c r="BG4" s="6">
        <f>BG$1*'survival matrix'!BG4</f>
        <v>0</v>
      </c>
      <c r="BH4" s="6">
        <f>BH$1*'survival matrix'!BH4</f>
        <v>0</v>
      </c>
      <c r="BI4" s="6">
        <f>BI$1*'survival matrix'!BI4</f>
        <v>0</v>
      </c>
      <c r="BJ4" s="6">
        <f>BJ$1*'survival matrix'!BJ4</f>
        <v>0</v>
      </c>
      <c r="BK4" s="6">
        <f>BK$1*'survival matrix'!BK4</f>
        <v>0</v>
      </c>
      <c r="BL4" s="6">
        <f>BL$1*'survival matrix'!BL4</f>
        <v>0</v>
      </c>
      <c r="BM4" s="6">
        <f>BM$1*'survival matrix'!BM4</f>
        <v>0</v>
      </c>
      <c r="BN4" s="6">
        <f>BN$1*'survival matrix'!BN4</f>
        <v>0</v>
      </c>
      <c r="BO4" s="6">
        <f>BO$1*'survival matrix'!BO4</f>
        <v>0</v>
      </c>
      <c r="BP4" s="6">
        <f>BP$1*'survival matrix'!BP4</f>
        <v>0</v>
      </c>
      <c r="BQ4" s="6">
        <f>BQ$1*'survival matrix'!BQ4</f>
        <v>0</v>
      </c>
      <c r="BR4" s="6">
        <f>BR$1*'survival matrix'!BR4</f>
        <v>0</v>
      </c>
      <c r="BS4" s="6">
        <f>BS$1*'survival matrix'!BS4</f>
        <v>0</v>
      </c>
      <c r="BT4" s="6">
        <f>BT$1*'survival matrix'!BT4</f>
        <v>0</v>
      </c>
      <c r="BU4" s="6">
        <f>BU$1*'survival matrix'!BU4</f>
        <v>0</v>
      </c>
      <c r="BV4" s="6">
        <f>BV$1*'survival matrix'!BV4</f>
        <v>0</v>
      </c>
      <c r="BW4" s="6">
        <f>BW$1*'survival matrix'!BW4</f>
        <v>0</v>
      </c>
      <c r="BX4" s="6">
        <f>BX$1*'survival matrix'!BX4</f>
        <v>0</v>
      </c>
      <c r="BY4" s="6">
        <f>BY$1*'survival matrix'!BY4</f>
        <v>0</v>
      </c>
      <c r="BZ4" s="6">
        <f>BZ$1*'survival matrix'!BZ4</f>
        <v>0</v>
      </c>
      <c r="CA4" s="6">
        <f>CA$1*'survival matrix'!CA4</f>
        <v>0</v>
      </c>
      <c r="CB4" s="6">
        <f>CB$1*'survival matrix'!CB4</f>
        <v>0</v>
      </c>
      <c r="CC4" s="6">
        <f>CC$1*'survival matrix'!CC4</f>
        <v>0</v>
      </c>
      <c r="CD4" s="6">
        <f>CD$1*'survival matrix'!CD4</f>
        <v>0</v>
      </c>
      <c r="CE4" s="6">
        <f>CE$1*'survival matrix'!CE4</f>
        <v>0</v>
      </c>
      <c r="CF4" s="6">
        <f>CF$1*'survival matrix'!CF4</f>
        <v>0</v>
      </c>
      <c r="CG4" s="6">
        <f>CG$1*'survival matrix'!CG4</f>
        <v>0</v>
      </c>
      <c r="CH4" s="6">
        <f>CH$1*'survival matrix'!CH4</f>
        <v>0</v>
      </c>
      <c r="CI4" s="6">
        <f>CI$1*'survival matrix'!CI4</f>
        <v>0</v>
      </c>
      <c r="CJ4" s="6">
        <f>CJ$1*'survival matrix'!CJ4</f>
        <v>0</v>
      </c>
      <c r="CK4" s="6">
        <f>CK$1*'survival matrix'!CK4</f>
        <v>0</v>
      </c>
      <c r="CL4" s="6">
        <f>CL$1*'survival matrix'!CL4</f>
        <v>0</v>
      </c>
      <c r="CM4" s="6">
        <f>CM$1*'survival matrix'!CM4</f>
        <v>0</v>
      </c>
      <c r="CN4" s="6">
        <f>CN$1*'survival matrix'!CN4</f>
        <v>0</v>
      </c>
      <c r="CO4" s="6">
        <f>CO$1*'survival matrix'!CO4</f>
        <v>0</v>
      </c>
      <c r="CP4" s="6">
        <f>CP$1*'survival matrix'!CP4</f>
        <v>0</v>
      </c>
      <c r="CQ4" s="6">
        <f>CQ$1*'survival matrix'!CQ4</f>
        <v>0</v>
      </c>
      <c r="CR4" s="6">
        <f>CR$1*'survival matrix'!CR4</f>
        <v>0</v>
      </c>
      <c r="CS4" s="6">
        <f>CS$1*'survival matrix'!CS4</f>
        <v>0</v>
      </c>
      <c r="CT4" s="6">
        <f>CT$1*'survival matrix'!CT4</f>
        <v>0</v>
      </c>
      <c r="CU4" s="6">
        <f>CU$1*'survival matrix'!CU4</f>
        <v>0</v>
      </c>
      <c r="CV4" s="6">
        <f>CV$1*'survival matrix'!CV4</f>
        <v>0</v>
      </c>
      <c r="CW4" s="6">
        <f>CW$1*'survival matrix'!CW4</f>
        <v>0</v>
      </c>
      <c r="CX4" s="6">
        <f>CX$1*'survival matrix'!CX4</f>
        <v>0</v>
      </c>
      <c r="CY4" s="6">
        <f>CY$1*'survival matrix'!CY4</f>
        <v>0</v>
      </c>
      <c r="CZ4" s="6">
        <f>CZ$1*'survival matrix'!CZ4</f>
        <v>0</v>
      </c>
      <c r="DA4" s="6">
        <f>DA$1*'survival matrix'!DA4</f>
        <v>0</v>
      </c>
      <c r="DB4" s="6">
        <f>DB$1*'survival matrix'!DB4</f>
        <v>0</v>
      </c>
      <c r="DC4" s="6">
        <f>DC$1*'survival matrix'!DC4</f>
        <v>0</v>
      </c>
      <c r="DD4" s="6">
        <f>DD$1*'survival matrix'!DD4</f>
        <v>0</v>
      </c>
      <c r="DE4" s="6">
        <f>DE$1*'survival matrix'!DE4</f>
        <v>0</v>
      </c>
      <c r="DF4" s="6">
        <f>DF$1*'survival matrix'!DF4</f>
        <v>0</v>
      </c>
      <c r="DG4" s="6">
        <f>DG$1*'survival matrix'!DG4</f>
        <v>0</v>
      </c>
      <c r="DH4" s="6">
        <f>DH$1*'survival matrix'!DH4</f>
        <v>0</v>
      </c>
      <c r="DI4" s="6">
        <f>DI$1*'survival matrix'!DI4</f>
        <v>0</v>
      </c>
      <c r="DJ4" s="6">
        <f>DJ$1*'survival matrix'!DJ4</f>
        <v>0</v>
      </c>
      <c r="DK4" s="6">
        <f>DK$1*'survival matrix'!DK4</f>
        <v>0</v>
      </c>
      <c r="DL4" s="6">
        <f>DL$1*'survival matrix'!DL4</f>
        <v>0</v>
      </c>
      <c r="DM4" s="6">
        <f>DM$1*'survival matrix'!DM4</f>
        <v>0</v>
      </c>
      <c r="DN4" s="6">
        <f>DN$1*'survival matrix'!DN4</f>
        <v>0</v>
      </c>
      <c r="DO4" s="6">
        <f>DO$1*'survival matrix'!DO4</f>
        <v>0</v>
      </c>
      <c r="DP4" s="6">
        <f>DP$1*'survival matrix'!DP4</f>
        <v>0</v>
      </c>
      <c r="DQ4" s="6">
        <f>DQ$1*'survival matrix'!DQ4</f>
        <v>0</v>
      </c>
      <c r="DR4" s="6">
        <f>DR$1*'survival matrix'!DR4</f>
        <v>0</v>
      </c>
      <c r="DS4" s="6">
        <f>DS$1*'survival matrix'!DS4</f>
        <v>0</v>
      </c>
      <c r="DT4" s="6">
        <f>DT$1*'survival matrix'!DT4</f>
        <v>0</v>
      </c>
      <c r="DU4" s="6">
        <f>DU$1*'survival matrix'!DU4</f>
        <v>0</v>
      </c>
      <c r="DV4" s="6">
        <f>DV$1*'survival matrix'!DV4</f>
        <v>0</v>
      </c>
      <c r="DW4" s="6">
        <f>DW$1*'survival matrix'!DW4</f>
        <v>0</v>
      </c>
      <c r="DX4" s="6">
        <f>DX$1*'survival matrix'!DX4</f>
        <v>0</v>
      </c>
      <c r="DY4" s="6">
        <f>DY$1*'survival matrix'!DY4</f>
        <v>0</v>
      </c>
      <c r="DZ4" s="6">
        <f>DZ$1*'survival matrix'!DZ4</f>
        <v>0</v>
      </c>
      <c r="EA4" s="6">
        <f>EA$1*'survival matrix'!EA4</f>
        <v>0</v>
      </c>
      <c r="EB4" s="6">
        <f>EB$1*'survival matrix'!EB4</f>
        <v>0</v>
      </c>
      <c r="EC4" s="6">
        <f>EC$1*'survival matrix'!EC4</f>
        <v>0</v>
      </c>
    </row>
    <row r="5" spans="1:133">
      <c r="A5" s="12">
        <f>'data input'!C5-B5</f>
        <v>17.190784281341621</v>
      </c>
      <c r="B5" s="14">
        <f t="shared" ref="B5:B68" si="2">C5-C4</f>
        <v>9800.6994118992861</v>
      </c>
      <c r="C5" s="11">
        <f>SUM(F5:EC5)</f>
        <v>19563.500926531451</v>
      </c>
      <c r="E5" s="7">
        <f>'data input'!B5</f>
        <v>1880</v>
      </c>
      <c r="F5" s="6">
        <f>F$1*'survival matrix'!F5</f>
        <v>3243.4405942814083</v>
      </c>
      <c r="G5" s="6">
        <f>G$1*'survival matrix'!G5</f>
        <v>6515.4232867200017</v>
      </c>
      <c r="H5" s="6">
        <f>H$1*'survival matrix'!H5</f>
        <v>9804.6370455300439</v>
      </c>
      <c r="I5" s="6">
        <f>I$1*'survival matrix'!I5</f>
        <v>0</v>
      </c>
      <c r="J5" s="6">
        <f>J$1*'survival matrix'!J5</f>
        <v>0</v>
      </c>
      <c r="K5" s="6">
        <f>K$1*'survival matrix'!K5</f>
        <v>0</v>
      </c>
      <c r="L5" s="6">
        <f>L$1*'survival matrix'!L5</f>
        <v>0</v>
      </c>
      <c r="M5" s="6">
        <f>M$1*'survival matrix'!M5</f>
        <v>0</v>
      </c>
      <c r="N5" s="6">
        <f>N$1*'survival matrix'!N5</f>
        <v>0</v>
      </c>
      <c r="O5" s="6">
        <f>O$1*'survival matrix'!O5</f>
        <v>0</v>
      </c>
      <c r="P5" s="6">
        <f>P$1*'survival matrix'!P5</f>
        <v>0</v>
      </c>
      <c r="Q5" s="6">
        <f>Q$1*'survival matrix'!Q5</f>
        <v>0</v>
      </c>
      <c r="R5" s="6">
        <f>R$1*'survival matrix'!R5</f>
        <v>0</v>
      </c>
      <c r="S5" s="6">
        <f>S$1*'survival matrix'!S5</f>
        <v>0</v>
      </c>
      <c r="T5" s="6">
        <f>T$1*'survival matrix'!T5</f>
        <v>0</v>
      </c>
      <c r="U5" s="6">
        <f>U$1*'survival matrix'!U5</f>
        <v>0</v>
      </c>
      <c r="V5" s="6">
        <f>V$1*'survival matrix'!V5</f>
        <v>0</v>
      </c>
      <c r="W5" s="6">
        <f>W$1*'survival matrix'!W5</f>
        <v>0</v>
      </c>
      <c r="X5" s="6">
        <f>X$1*'survival matrix'!X5</f>
        <v>0</v>
      </c>
      <c r="Y5" s="6">
        <f>Y$1*'survival matrix'!Y5</f>
        <v>0</v>
      </c>
      <c r="Z5" s="6">
        <f>Z$1*'survival matrix'!Z5</f>
        <v>0</v>
      </c>
      <c r="AA5" s="6">
        <f>AA$1*'survival matrix'!AA5</f>
        <v>0</v>
      </c>
      <c r="AB5" s="6">
        <f>AB$1*'survival matrix'!AB5</f>
        <v>0</v>
      </c>
      <c r="AC5" s="6">
        <f>AC$1*'survival matrix'!AC5</f>
        <v>0</v>
      </c>
      <c r="AD5" s="6">
        <f>AD$1*'survival matrix'!AD5</f>
        <v>0</v>
      </c>
      <c r="AE5" s="6">
        <f>AE$1*'survival matrix'!AE5</f>
        <v>0</v>
      </c>
      <c r="AF5" s="6">
        <f>AF$1*'survival matrix'!AF5</f>
        <v>0</v>
      </c>
      <c r="AG5" s="6">
        <f>AG$1*'survival matrix'!AG5</f>
        <v>0</v>
      </c>
      <c r="AH5" s="6">
        <f>AH$1*'survival matrix'!AH5</f>
        <v>0</v>
      </c>
      <c r="AI5" s="6">
        <f>AI$1*'survival matrix'!AI5</f>
        <v>0</v>
      </c>
      <c r="AJ5" s="6">
        <f>AJ$1*'survival matrix'!AJ5</f>
        <v>0</v>
      </c>
      <c r="AK5" s="6">
        <f>AK$1*'survival matrix'!AK5</f>
        <v>0</v>
      </c>
      <c r="AL5" s="6">
        <f>AL$1*'survival matrix'!AL5</f>
        <v>0</v>
      </c>
      <c r="AM5" s="6">
        <f>AM$1*'survival matrix'!AM5</f>
        <v>0</v>
      </c>
      <c r="AN5" s="6">
        <f>AN$1*'survival matrix'!AN5</f>
        <v>0</v>
      </c>
      <c r="AO5" s="6">
        <f>AO$1*'survival matrix'!AO5</f>
        <v>0</v>
      </c>
      <c r="AP5" s="6">
        <f>AP$1*'survival matrix'!AP5</f>
        <v>0</v>
      </c>
      <c r="AQ5" s="6">
        <f>AQ$1*'survival matrix'!AQ5</f>
        <v>0</v>
      </c>
      <c r="AR5" s="6">
        <f>AR$1*'survival matrix'!AR5</f>
        <v>0</v>
      </c>
      <c r="AS5" s="6">
        <f>AS$1*'survival matrix'!AS5</f>
        <v>0</v>
      </c>
      <c r="AT5" s="6">
        <f>AT$1*'survival matrix'!AT5</f>
        <v>0</v>
      </c>
      <c r="AU5" s="6">
        <f>AU$1*'survival matrix'!AU5</f>
        <v>0</v>
      </c>
      <c r="AV5" s="6">
        <f>AV$1*'survival matrix'!AV5</f>
        <v>0</v>
      </c>
      <c r="AW5" s="6">
        <f>AW$1*'survival matrix'!AW5</f>
        <v>0</v>
      </c>
      <c r="AX5" s="6">
        <f>AX$1*'survival matrix'!AX5</f>
        <v>0</v>
      </c>
      <c r="AY5" s="6">
        <f>AY$1*'survival matrix'!AY5</f>
        <v>0</v>
      </c>
      <c r="AZ5" s="6">
        <f>AZ$1*'survival matrix'!AZ5</f>
        <v>0</v>
      </c>
      <c r="BA5" s="6">
        <f>BA$1*'survival matrix'!BA5</f>
        <v>0</v>
      </c>
      <c r="BB5" s="6">
        <f>BB$1*'survival matrix'!BB5</f>
        <v>0</v>
      </c>
      <c r="BC5" s="6">
        <f>BC$1*'survival matrix'!BC5</f>
        <v>0</v>
      </c>
      <c r="BD5" s="6">
        <f>BD$1*'survival matrix'!BD5</f>
        <v>0</v>
      </c>
      <c r="BE5" s="6">
        <f>BE$1*'survival matrix'!BE5</f>
        <v>0</v>
      </c>
      <c r="BF5" s="6">
        <f>BF$1*'survival matrix'!BF5</f>
        <v>0</v>
      </c>
      <c r="BG5" s="6">
        <f>BG$1*'survival matrix'!BG5</f>
        <v>0</v>
      </c>
      <c r="BH5" s="6">
        <f>BH$1*'survival matrix'!BH5</f>
        <v>0</v>
      </c>
      <c r="BI5" s="6">
        <f>BI$1*'survival matrix'!BI5</f>
        <v>0</v>
      </c>
      <c r="BJ5" s="6">
        <f>BJ$1*'survival matrix'!BJ5</f>
        <v>0</v>
      </c>
      <c r="BK5" s="6">
        <f>BK$1*'survival matrix'!BK5</f>
        <v>0</v>
      </c>
      <c r="BL5" s="6">
        <f>BL$1*'survival matrix'!BL5</f>
        <v>0</v>
      </c>
      <c r="BM5" s="6">
        <f>BM$1*'survival matrix'!BM5</f>
        <v>0</v>
      </c>
      <c r="BN5" s="6">
        <f>BN$1*'survival matrix'!BN5</f>
        <v>0</v>
      </c>
      <c r="BO5" s="6">
        <f>BO$1*'survival matrix'!BO5</f>
        <v>0</v>
      </c>
      <c r="BP5" s="6">
        <f>BP$1*'survival matrix'!BP5</f>
        <v>0</v>
      </c>
      <c r="BQ5" s="6">
        <f>BQ$1*'survival matrix'!BQ5</f>
        <v>0</v>
      </c>
      <c r="BR5" s="6">
        <f>BR$1*'survival matrix'!BR5</f>
        <v>0</v>
      </c>
      <c r="BS5" s="6">
        <f>BS$1*'survival matrix'!BS5</f>
        <v>0</v>
      </c>
      <c r="BT5" s="6">
        <f>BT$1*'survival matrix'!BT5</f>
        <v>0</v>
      </c>
      <c r="BU5" s="6">
        <f>BU$1*'survival matrix'!BU5</f>
        <v>0</v>
      </c>
      <c r="BV5" s="6">
        <f>BV$1*'survival matrix'!BV5</f>
        <v>0</v>
      </c>
      <c r="BW5" s="6">
        <f>BW$1*'survival matrix'!BW5</f>
        <v>0</v>
      </c>
      <c r="BX5" s="6">
        <f>BX$1*'survival matrix'!BX5</f>
        <v>0</v>
      </c>
      <c r="BY5" s="6">
        <f>BY$1*'survival matrix'!BY5</f>
        <v>0</v>
      </c>
      <c r="BZ5" s="6">
        <f>BZ$1*'survival matrix'!BZ5</f>
        <v>0</v>
      </c>
      <c r="CA5" s="6">
        <f>CA$1*'survival matrix'!CA5</f>
        <v>0</v>
      </c>
      <c r="CB5" s="6">
        <f>CB$1*'survival matrix'!CB5</f>
        <v>0</v>
      </c>
      <c r="CC5" s="6">
        <f>CC$1*'survival matrix'!CC5</f>
        <v>0</v>
      </c>
      <c r="CD5" s="6">
        <f>CD$1*'survival matrix'!CD5</f>
        <v>0</v>
      </c>
      <c r="CE5" s="6">
        <f>CE$1*'survival matrix'!CE5</f>
        <v>0</v>
      </c>
      <c r="CF5" s="6">
        <f>CF$1*'survival matrix'!CF5</f>
        <v>0</v>
      </c>
      <c r="CG5" s="6">
        <f>CG$1*'survival matrix'!CG5</f>
        <v>0</v>
      </c>
      <c r="CH5" s="6">
        <f>CH$1*'survival matrix'!CH5</f>
        <v>0</v>
      </c>
      <c r="CI5" s="6">
        <f>CI$1*'survival matrix'!CI5</f>
        <v>0</v>
      </c>
      <c r="CJ5" s="6">
        <f>CJ$1*'survival matrix'!CJ5</f>
        <v>0</v>
      </c>
      <c r="CK5" s="6">
        <f>CK$1*'survival matrix'!CK5</f>
        <v>0</v>
      </c>
      <c r="CL5" s="6">
        <f>CL$1*'survival matrix'!CL5</f>
        <v>0</v>
      </c>
      <c r="CM5" s="6">
        <f>CM$1*'survival matrix'!CM5</f>
        <v>0</v>
      </c>
      <c r="CN5" s="6">
        <f>CN$1*'survival matrix'!CN5</f>
        <v>0</v>
      </c>
      <c r="CO5" s="6">
        <f>CO$1*'survival matrix'!CO5</f>
        <v>0</v>
      </c>
      <c r="CP5" s="6">
        <f>CP$1*'survival matrix'!CP5</f>
        <v>0</v>
      </c>
      <c r="CQ5" s="6">
        <f>CQ$1*'survival matrix'!CQ5</f>
        <v>0</v>
      </c>
      <c r="CR5" s="6">
        <f>CR$1*'survival matrix'!CR5</f>
        <v>0</v>
      </c>
      <c r="CS5" s="6">
        <f>CS$1*'survival matrix'!CS5</f>
        <v>0</v>
      </c>
      <c r="CT5" s="6">
        <f>CT$1*'survival matrix'!CT5</f>
        <v>0</v>
      </c>
      <c r="CU5" s="6">
        <f>CU$1*'survival matrix'!CU5</f>
        <v>0</v>
      </c>
      <c r="CV5" s="6">
        <f>CV$1*'survival matrix'!CV5</f>
        <v>0</v>
      </c>
      <c r="CW5" s="6">
        <f>CW$1*'survival matrix'!CW5</f>
        <v>0</v>
      </c>
      <c r="CX5" s="6">
        <f>CX$1*'survival matrix'!CX5</f>
        <v>0</v>
      </c>
      <c r="CY5" s="6">
        <f>CY$1*'survival matrix'!CY5</f>
        <v>0</v>
      </c>
      <c r="CZ5" s="6">
        <f>CZ$1*'survival matrix'!CZ5</f>
        <v>0</v>
      </c>
      <c r="DA5" s="6">
        <f>DA$1*'survival matrix'!DA5</f>
        <v>0</v>
      </c>
      <c r="DB5" s="6">
        <f>DB$1*'survival matrix'!DB5</f>
        <v>0</v>
      </c>
      <c r="DC5" s="6">
        <f>DC$1*'survival matrix'!DC5</f>
        <v>0</v>
      </c>
      <c r="DD5" s="6">
        <f>DD$1*'survival matrix'!DD5</f>
        <v>0</v>
      </c>
      <c r="DE5" s="6">
        <f>DE$1*'survival matrix'!DE5</f>
        <v>0</v>
      </c>
      <c r="DF5" s="6">
        <f>DF$1*'survival matrix'!DF5</f>
        <v>0</v>
      </c>
      <c r="DG5" s="6">
        <f>DG$1*'survival matrix'!DG5</f>
        <v>0</v>
      </c>
      <c r="DH5" s="6">
        <f>DH$1*'survival matrix'!DH5</f>
        <v>0</v>
      </c>
      <c r="DI5" s="6">
        <f>DI$1*'survival matrix'!DI5</f>
        <v>0</v>
      </c>
      <c r="DJ5" s="6">
        <f>DJ$1*'survival matrix'!DJ5</f>
        <v>0</v>
      </c>
      <c r="DK5" s="6">
        <f>DK$1*'survival matrix'!DK5</f>
        <v>0</v>
      </c>
      <c r="DL5" s="6">
        <f>DL$1*'survival matrix'!DL5</f>
        <v>0</v>
      </c>
      <c r="DM5" s="6">
        <f>DM$1*'survival matrix'!DM5</f>
        <v>0</v>
      </c>
      <c r="DN5" s="6">
        <f>DN$1*'survival matrix'!DN5</f>
        <v>0</v>
      </c>
      <c r="DO5" s="6">
        <f>DO$1*'survival matrix'!DO5</f>
        <v>0</v>
      </c>
      <c r="DP5" s="6">
        <f>DP$1*'survival matrix'!DP5</f>
        <v>0</v>
      </c>
      <c r="DQ5" s="6">
        <f>DQ$1*'survival matrix'!DQ5</f>
        <v>0</v>
      </c>
      <c r="DR5" s="6">
        <f>DR$1*'survival matrix'!DR5</f>
        <v>0</v>
      </c>
      <c r="DS5" s="6">
        <f>DS$1*'survival matrix'!DS5</f>
        <v>0</v>
      </c>
      <c r="DT5" s="6">
        <f>DT$1*'survival matrix'!DT5</f>
        <v>0</v>
      </c>
      <c r="DU5" s="6">
        <f>DU$1*'survival matrix'!DU5</f>
        <v>0</v>
      </c>
      <c r="DV5" s="6">
        <f>DV$1*'survival matrix'!DV5</f>
        <v>0</v>
      </c>
      <c r="DW5" s="6">
        <f>DW$1*'survival matrix'!DW5</f>
        <v>0</v>
      </c>
      <c r="DX5" s="6">
        <f>DX$1*'survival matrix'!DX5</f>
        <v>0</v>
      </c>
      <c r="DY5" s="6">
        <f>DY$1*'survival matrix'!DY5</f>
        <v>0</v>
      </c>
      <c r="DZ5" s="6">
        <f>DZ$1*'survival matrix'!DZ5</f>
        <v>0</v>
      </c>
      <c r="EA5" s="6">
        <f>EA$1*'survival matrix'!EA5</f>
        <v>0</v>
      </c>
      <c r="EB5" s="6">
        <f>EB$1*'survival matrix'!EB5</f>
        <v>0</v>
      </c>
      <c r="EC5" s="6">
        <f>EC$1*'survival matrix'!EC5</f>
        <v>0</v>
      </c>
    </row>
    <row r="6" spans="1:133">
      <c r="A6" s="12">
        <f>'data input'!C6-B6</f>
        <v>26.280280260449217</v>
      </c>
      <c r="B6" s="14">
        <f t="shared" si="2"/>
        <v>13109.350309009922</v>
      </c>
      <c r="C6" s="11">
        <f>SUM(F6:EC6)</f>
        <v>32672.851235541373</v>
      </c>
      <c r="E6" s="7">
        <f>'data input'!B6</f>
        <v>1881</v>
      </c>
      <c r="F6" s="6">
        <f>F$1*'survival matrix'!F6</f>
        <v>3241.5743779230788</v>
      </c>
      <c r="G6" s="6">
        <f>G$1*'survival matrix'!G6</f>
        <v>6512.3970009265158</v>
      </c>
      <c r="H6" s="6">
        <f>H$1*'survival matrix'!H6</f>
        <v>9800.9810292980837</v>
      </c>
      <c r="I6" s="6">
        <f>I$1*'survival matrix'!I6</f>
        <v>13117.898827393696</v>
      </c>
      <c r="J6" s="6">
        <f>J$1*'survival matrix'!J6</f>
        <v>0</v>
      </c>
      <c r="K6" s="6">
        <f>K$1*'survival matrix'!K6</f>
        <v>0</v>
      </c>
      <c r="L6" s="6">
        <f>L$1*'survival matrix'!L6</f>
        <v>0</v>
      </c>
      <c r="M6" s="6">
        <f>M$1*'survival matrix'!M6</f>
        <v>0</v>
      </c>
      <c r="N6" s="6">
        <f>N$1*'survival matrix'!N6</f>
        <v>0</v>
      </c>
      <c r="O6" s="6">
        <f>O$1*'survival matrix'!O6</f>
        <v>0</v>
      </c>
      <c r="P6" s="6">
        <f>P$1*'survival matrix'!P6</f>
        <v>0</v>
      </c>
      <c r="Q6" s="6">
        <f>Q$1*'survival matrix'!Q6</f>
        <v>0</v>
      </c>
      <c r="R6" s="6">
        <f>R$1*'survival matrix'!R6</f>
        <v>0</v>
      </c>
      <c r="S6" s="6">
        <f>S$1*'survival matrix'!S6</f>
        <v>0</v>
      </c>
      <c r="T6" s="6">
        <f>T$1*'survival matrix'!T6</f>
        <v>0</v>
      </c>
      <c r="U6" s="6">
        <f>U$1*'survival matrix'!U6</f>
        <v>0</v>
      </c>
      <c r="V6" s="6">
        <f>V$1*'survival matrix'!V6</f>
        <v>0</v>
      </c>
      <c r="W6" s="6">
        <f>W$1*'survival matrix'!W6</f>
        <v>0</v>
      </c>
      <c r="X6" s="6">
        <f>X$1*'survival matrix'!X6</f>
        <v>0</v>
      </c>
      <c r="Y6" s="6">
        <f>Y$1*'survival matrix'!Y6</f>
        <v>0</v>
      </c>
      <c r="Z6" s="6">
        <f>Z$1*'survival matrix'!Z6</f>
        <v>0</v>
      </c>
      <c r="AA6" s="6">
        <f>AA$1*'survival matrix'!AA6</f>
        <v>0</v>
      </c>
      <c r="AB6" s="6">
        <f>AB$1*'survival matrix'!AB6</f>
        <v>0</v>
      </c>
      <c r="AC6" s="6">
        <f>AC$1*'survival matrix'!AC6</f>
        <v>0</v>
      </c>
      <c r="AD6" s="6">
        <f>AD$1*'survival matrix'!AD6</f>
        <v>0</v>
      </c>
      <c r="AE6" s="6">
        <f>AE$1*'survival matrix'!AE6</f>
        <v>0</v>
      </c>
      <c r="AF6" s="6">
        <f>AF$1*'survival matrix'!AF6</f>
        <v>0</v>
      </c>
      <c r="AG6" s="6">
        <f>AG$1*'survival matrix'!AG6</f>
        <v>0</v>
      </c>
      <c r="AH6" s="6">
        <f>AH$1*'survival matrix'!AH6</f>
        <v>0</v>
      </c>
      <c r="AI6" s="6">
        <f>AI$1*'survival matrix'!AI6</f>
        <v>0</v>
      </c>
      <c r="AJ6" s="6">
        <f>AJ$1*'survival matrix'!AJ6</f>
        <v>0</v>
      </c>
      <c r="AK6" s="6">
        <f>AK$1*'survival matrix'!AK6</f>
        <v>0</v>
      </c>
      <c r="AL6" s="6">
        <f>AL$1*'survival matrix'!AL6</f>
        <v>0</v>
      </c>
      <c r="AM6" s="6">
        <f>AM$1*'survival matrix'!AM6</f>
        <v>0</v>
      </c>
      <c r="AN6" s="6">
        <f>AN$1*'survival matrix'!AN6</f>
        <v>0</v>
      </c>
      <c r="AO6" s="6">
        <f>AO$1*'survival matrix'!AO6</f>
        <v>0</v>
      </c>
      <c r="AP6" s="6">
        <f>AP$1*'survival matrix'!AP6</f>
        <v>0</v>
      </c>
      <c r="AQ6" s="6">
        <f>AQ$1*'survival matrix'!AQ6</f>
        <v>0</v>
      </c>
      <c r="AR6" s="6">
        <f>AR$1*'survival matrix'!AR6</f>
        <v>0</v>
      </c>
      <c r="AS6" s="6">
        <f>AS$1*'survival matrix'!AS6</f>
        <v>0</v>
      </c>
      <c r="AT6" s="6">
        <f>AT$1*'survival matrix'!AT6</f>
        <v>0</v>
      </c>
      <c r="AU6" s="6">
        <f>AU$1*'survival matrix'!AU6</f>
        <v>0</v>
      </c>
      <c r="AV6" s="6">
        <f>AV$1*'survival matrix'!AV6</f>
        <v>0</v>
      </c>
      <c r="AW6" s="6">
        <f>AW$1*'survival matrix'!AW6</f>
        <v>0</v>
      </c>
      <c r="AX6" s="6">
        <f>AX$1*'survival matrix'!AX6</f>
        <v>0</v>
      </c>
      <c r="AY6" s="6">
        <f>AY$1*'survival matrix'!AY6</f>
        <v>0</v>
      </c>
      <c r="AZ6" s="6">
        <f>AZ$1*'survival matrix'!AZ6</f>
        <v>0</v>
      </c>
      <c r="BA6" s="6">
        <f>BA$1*'survival matrix'!BA6</f>
        <v>0</v>
      </c>
      <c r="BB6" s="6">
        <f>BB$1*'survival matrix'!BB6</f>
        <v>0</v>
      </c>
      <c r="BC6" s="6">
        <f>BC$1*'survival matrix'!BC6</f>
        <v>0</v>
      </c>
      <c r="BD6" s="6">
        <f>BD$1*'survival matrix'!BD6</f>
        <v>0</v>
      </c>
      <c r="BE6" s="6">
        <f>BE$1*'survival matrix'!BE6</f>
        <v>0</v>
      </c>
      <c r="BF6" s="6">
        <f>BF$1*'survival matrix'!BF6</f>
        <v>0</v>
      </c>
      <c r="BG6" s="6">
        <f>BG$1*'survival matrix'!BG6</f>
        <v>0</v>
      </c>
      <c r="BH6" s="6">
        <f>BH$1*'survival matrix'!BH6</f>
        <v>0</v>
      </c>
      <c r="BI6" s="6">
        <f>BI$1*'survival matrix'!BI6</f>
        <v>0</v>
      </c>
      <c r="BJ6" s="6">
        <f>BJ$1*'survival matrix'!BJ6</f>
        <v>0</v>
      </c>
      <c r="BK6" s="6">
        <f>BK$1*'survival matrix'!BK6</f>
        <v>0</v>
      </c>
      <c r="BL6" s="6">
        <f>BL$1*'survival matrix'!BL6</f>
        <v>0</v>
      </c>
      <c r="BM6" s="6">
        <f>BM$1*'survival matrix'!BM6</f>
        <v>0</v>
      </c>
      <c r="BN6" s="6">
        <f>BN$1*'survival matrix'!BN6</f>
        <v>0</v>
      </c>
      <c r="BO6" s="6">
        <f>BO$1*'survival matrix'!BO6</f>
        <v>0</v>
      </c>
      <c r="BP6" s="6">
        <f>BP$1*'survival matrix'!BP6</f>
        <v>0</v>
      </c>
      <c r="BQ6" s="6">
        <f>BQ$1*'survival matrix'!BQ6</f>
        <v>0</v>
      </c>
      <c r="BR6" s="6">
        <f>BR$1*'survival matrix'!BR6</f>
        <v>0</v>
      </c>
      <c r="BS6" s="6">
        <f>BS$1*'survival matrix'!BS6</f>
        <v>0</v>
      </c>
      <c r="BT6" s="6">
        <f>BT$1*'survival matrix'!BT6</f>
        <v>0</v>
      </c>
      <c r="BU6" s="6">
        <f>BU$1*'survival matrix'!BU6</f>
        <v>0</v>
      </c>
      <c r="BV6" s="6">
        <f>BV$1*'survival matrix'!BV6</f>
        <v>0</v>
      </c>
      <c r="BW6" s="6">
        <f>BW$1*'survival matrix'!BW6</f>
        <v>0</v>
      </c>
      <c r="BX6" s="6">
        <f>BX$1*'survival matrix'!BX6</f>
        <v>0</v>
      </c>
      <c r="BY6" s="6">
        <f>BY$1*'survival matrix'!BY6</f>
        <v>0</v>
      </c>
      <c r="BZ6" s="6">
        <f>BZ$1*'survival matrix'!BZ6</f>
        <v>0</v>
      </c>
      <c r="CA6" s="6">
        <f>CA$1*'survival matrix'!CA6</f>
        <v>0</v>
      </c>
      <c r="CB6" s="6">
        <f>CB$1*'survival matrix'!CB6</f>
        <v>0</v>
      </c>
      <c r="CC6" s="6">
        <f>CC$1*'survival matrix'!CC6</f>
        <v>0</v>
      </c>
      <c r="CD6" s="6">
        <f>CD$1*'survival matrix'!CD6</f>
        <v>0</v>
      </c>
      <c r="CE6" s="6">
        <f>CE$1*'survival matrix'!CE6</f>
        <v>0</v>
      </c>
      <c r="CF6" s="6">
        <f>CF$1*'survival matrix'!CF6</f>
        <v>0</v>
      </c>
      <c r="CG6" s="6">
        <f>CG$1*'survival matrix'!CG6</f>
        <v>0</v>
      </c>
      <c r="CH6" s="6">
        <f>CH$1*'survival matrix'!CH6</f>
        <v>0</v>
      </c>
      <c r="CI6" s="6">
        <f>CI$1*'survival matrix'!CI6</f>
        <v>0</v>
      </c>
      <c r="CJ6" s="6">
        <f>CJ$1*'survival matrix'!CJ6</f>
        <v>0</v>
      </c>
      <c r="CK6" s="6">
        <f>CK$1*'survival matrix'!CK6</f>
        <v>0</v>
      </c>
      <c r="CL6" s="6">
        <f>CL$1*'survival matrix'!CL6</f>
        <v>0</v>
      </c>
      <c r="CM6" s="6">
        <f>CM$1*'survival matrix'!CM6</f>
        <v>0</v>
      </c>
      <c r="CN6" s="6">
        <f>CN$1*'survival matrix'!CN6</f>
        <v>0</v>
      </c>
      <c r="CO6" s="6">
        <f>CO$1*'survival matrix'!CO6</f>
        <v>0</v>
      </c>
      <c r="CP6" s="6">
        <f>CP$1*'survival matrix'!CP6</f>
        <v>0</v>
      </c>
      <c r="CQ6" s="6">
        <f>CQ$1*'survival matrix'!CQ6</f>
        <v>0</v>
      </c>
      <c r="CR6" s="6">
        <f>CR$1*'survival matrix'!CR6</f>
        <v>0</v>
      </c>
      <c r="CS6" s="6">
        <f>CS$1*'survival matrix'!CS6</f>
        <v>0</v>
      </c>
      <c r="CT6" s="6">
        <f>CT$1*'survival matrix'!CT6</f>
        <v>0</v>
      </c>
      <c r="CU6" s="6">
        <f>CU$1*'survival matrix'!CU6</f>
        <v>0</v>
      </c>
      <c r="CV6" s="6">
        <f>CV$1*'survival matrix'!CV6</f>
        <v>0</v>
      </c>
      <c r="CW6" s="6">
        <f>CW$1*'survival matrix'!CW6</f>
        <v>0</v>
      </c>
      <c r="CX6" s="6">
        <f>CX$1*'survival matrix'!CX6</f>
        <v>0</v>
      </c>
      <c r="CY6" s="6">
        <f>CY$1*'survival matrix'!CY6</f>
        <v>0</v>
      </c>
      <c r="CZ6" s="6">
        <f>CZ$1*'survival matrix'!CZ6</f>
        <v>0</v>
      </c>
      <c r="DA6" s="6">
        <f>DA$1*'survival matrix'!DA6</f>
        <v>0</v>
      </c>
      <c r="DB6" s="6">
        <f>DB$1*'survival matrix'!DB6</f>
        <v>0</v>
      </c>
      <c r="DC6" s="6">
        <f>DC$1*'survival matrix'!DC6</f>
        <v>0</v>
      </c>
      <c r="DD6" s="6">
        <f>DD$1*'survival matrix'!DD6</f>
        <v>0</v>
      </c>
      <c r="DE6" s="6">
        <f>DE$1*'survival matrix'!DE6</f>
        <v>0</v>
      </c>
      <c r="DF6" s="6">
        <f>DF$1*'survival matrix'!DF6</f>
        <v>0</v>
      </c>
      <c r="DG6" s="6">
        <f>DG$1*'survival matrix'!DG6</f>
        <v>0</v>
      </c>
      <c r="DH6" s="6">
        <f>DH$1*'survival matrix'!DH6</f>
        <v>0</v>
      </c>
      <c r="DI6" s="6">
        <f>DI$1*'survival matrix'!DI6</f>
        <v>0</v>
      </c>
      <c r="DJ6" s="6">
        <f>DJ$1*'survival matrix'!DJ6</f>
        <v>0</v>
      </c>
      <c r="DK6" s="6">
        <f>DK$1*'survival matrix'!DK6</f>
        <v>0</v>
      </c>
      <c r="DL6" s="6">
        <f>DL$1*'survival matrix'!DL6</f>
        <v>0</v>
      </c>
      <c r="DM6" s="6">
        <f>DM$1*'survival matrix'!DM6</f>
        <v>0</v>
      </c>
      <c r="DN6" s="6">
        <f>DN$1*'survival matrix'!DN6</f>
        <v>0</v>
      </c>
      <c r="DO6" s="6">
        <f>DO$1*'survival matrix'!DO6</f>
        <v>0</v>
      </c>
      <c r="DP6" s="6">
        <f>DP$1*'survival matrix'!DP6</f>
        <v>0</v>
      </c>
      <c r="DQ6" s="6">
        <f>DQ$1*'survival matrix'!DQ6</f>
        <v>0</v>
      </c>
      <c r="DR6" s="6">
        <f>DR$1*'survival matrix'!DR6</f>
        <v>0</v>
      </c>
      <c r="DS6" s="6">
        <f>DS$1*'survival matrix'!DS6</f>
        <v>0</v>
      </c>
      <c r="DT6" s="6">
        <f>DT$1*'survival matrix'!DT6</f>
        <v>0</v>
      </c>
      <c r="DU6" s="6">
        <f>DU$1*'survival matrix'!DU6</f>
        <v>0</v>
      </c>
      <c r="DV6" s="6">
        <f>DV$1*'survival matrix'!DV6</f>
        <v>0</v>
      </c>
      <c r="DW6" s="6">
        <f>DW$1*'survival matrix'!DW6</f>
        <v>0</v>
      </c>
      <c r="DX6" s="6">
        <f>DX$1*'survival matrix'!DX6</f>
        <v>0</v>
      </c>
      <c r="DY6" s="6">
        <f>DY$1*'survival matrix'!DY6</f>
        <v>0</v>
      </c>
      <c r="DZ6" s="6">
        <f>DZ$1*'survival matrix'!DZ6</f>
        <v>0</v>
      </c>
      <c r="EA6" s="6">
        <f>EA$1*'survival matrix'!EA6</f>
        <v>0</v>
      </c>
      <c r="EB6" s="6">
        <f>EB$1*'survival matrix'!EB6</f>
        <v>0</v>
      </c>
      <c r="EC6" s="6">
        <f>EC$1*'survival matrix'!EC6</f>
        <v>0</v>
      </c>
    </row>
    <row r="7" spans="1:133">
      <c r="A7" s="12">
        <f>'data input'!C7-B7</f>
        <v>37.731628482302767</v>
      </c>
      <c r="B7" s="14">
        <f t="shared" si="2"/>
        <v>16439.729047352328</v>
      </c>
      <c r="C7" s="11">
        <f>SUM(F7:EC7)</f>
        <v>49112.580282893701</v>
      </c>
      <c r="E7" s="7">
        <f>'data input'!B7</f>
        <v>1882</v>
      </c>
      <c r="F7" s="6">
        <f>F$1*'survival matrix'!F7</f>
        <v>3239.2766045085741</v>
      </c>
      <c r="G7" s="6">
        <f>G$1*'survival matrix'!G7</f>
        <v>6508.6498868783983</v>
      </c>
      <c r="H7" s="6">
        <f>H$1*'survival matrix'!H7</f>
        <v>9796.4286666432072</v>
      </c>
      <c r="I7" s="6">
        <f>I$1*'survival matrix'!I7</f>
        <v>13113.007340761458</v>
      </c>
      <c r="J7" s="6">
        <f>J$1*'survival matrix'!J7</f>
        <v>16455.21778410206</v>
      </c>
      <c r="K7" s="6">
        <f>K$1*'survival matrix'!K7</f>
        <v>0</v>
      </c>
      <c r="L7" s="6">
        <f>L$1*'survival matrix'!L7</f>
        <v>0</v>
      </c>
      <c r="M7" s="6">
        <f>M$1*'survival matrix'!M7</f>
        <v>0</v>
      </c>
      <c r="N7" s="6">
        <f>N$1*'survival matrix'!N7</f>
        <v>0</v>
      </c>
      <c r="O7" s="6">
        <f>O$1*'survival matrix'!O7</f>
        <v>0</v>
      </c>
      <c r="P7" s="6">
        <f>P$1*'survival matrix'!P7</f>
        <v>0</v>
      </c>
      <c r="Q7" s="6">
        <f>Q$1*'survival matrix'!Q7</f>
        <v>0</v>
      </c>
      <c r="R7" s="6">
        <f>R$1*'survival matrix'!R7</f>
        <v>0</v>
      </c>
      <c r="S7" s="6">
        <f>S$1*'survival matrix'!S7</f>
        <v>0</v>
      </c>
      <c r="T7" s="6">
        <f>T$1*'survival matrix'!T7</f>
        <v>0</v>
      </c>
      <c r="U7" s="6">
        <f>U$1*'survival matrix'!U7</f>
        <v>0</v>
      </c>
      <c r="V7" s="6">
        <f>V$1*'survival matrix'!V7</f>
        <v>0</v>
      </c>
      <c r="W7" s="6">
        <f>W$1*'survival matrix'!W7</f>
        <v>0</v>
      </c>
      <c r="X7" s="6">
        <f>X$1*'survival matrix'!X7</f>
        <v>0</v>
      </c>
      <c r="Y7" s="6">
        <f>Y$1*'survival matrix'!Y7</f>
        <v>0</v>
      </c>
      <c r="Z7" s="6">
        <f>Z$1*'survival matrix'!Z7</f>
        <v>0</v>
      </c>
      <c r="AA7" s="6">
        <f>AA$1*'survival matrix'!AA7</f>
        <v>0</v>
      </c>
      <c r="AB7" s="6">
        <f>AB$1*'survival matrix'!AB7</f>
        <v>0</v>
      </c>
      <c r="AC7" s="6">
        <f>AC$1*'survival matrix'!AC7</f>
        <v>0</v>
      </c>
      <c r="AD7" s="6">
        <f>AD$1*'survival matrix'!AD7</f>
        <v>0</v>
      </c>
      <c r="AE7" s="6">
        <f>AE$1*'survival matrix'!AE7</f>
        <v>0</v>
      </c>
      <c r="AF7" s="6">
        <f>AF$1*'survival matrix'!AF7</f>
        <v>0</v>
      </c>
      <c r="AG7" s="6">
        <f>AG$1*'survival matrix'!AG7</f>
        <v>0</v>
      </c>
      <c r="AH7" s="6">
        <f>AH$1*'survival matrix'!AH7</f>
        <v>0</v>
      </c>
      <c r="AI7" s="6">
        <f>AI$1*'survival matrix'!AI7</f>
        <v>0</v>
      </c>
      <c r="AJ7" s="6">
        <f>AJ$1*'survival matrix'!AJ7</f>
        <v>0</v>
      </c>
      <c r="AK7" s="6">
        <f>AK$1*'survival matrix'!AK7</f>
        <v>0</v>
      </c>
      <c r="AL7" s="6">
        <f>AL$1*'survival matrix'!AL7</f>
        <v>0</v>
      </c>
      <c r="AM7" s="6">
        <f>AM$1*'survival matrix'!AM7</f>
        <v>0</v>
      </c>
      <c r="AN7" s="6">
        <f>AN$1*'survival matrix'!AN7</f>
        <v>0</v>
      </c>
      <c r="AO7" s="6">
        <f>AO$1*'survival matrix'!AO7</f>
        <v>0</v>
      </c>
      <c r="AP7" s="6">
        <f>AP$1*'survival matrix'!AP7</f>
        <v>0</v>
      </c>
      <c r="AQ7" s="6">
        <f>AQ$1*'survival matrix'!AQ7</f>
        <v>0</v>
      </c>
      <c r="AR7" s="6">
        <f>AR$1*'survival matrix'!AR7</f>
        <v>0</v>
      </c>
      <c r="AS7" s="6">
        <f>AS$1*'survival matrix'!AS7</f>
        <v>0</v>
      </c>
      <c r="AT7" s="6">
        <f>AT$1*'survival matrix'!AT7</f>
        <v>0</v>
      </c>
      <c r="AU7" s="6">
        <f>AU$1*'survival matrix'!AU7</f>
        <v>0</v>
      </c>
      <c r="AV7" s="6">
        <f>AV$1*'survival matrix'!AV7</f>
        <v>0</v>
      </c>
      <c r="AW7" s="6">
        <f>AW$1*'survival matrix'!AW7</f>
        <v>0</v>
      </c>
      <c r="AX7" s="6">
        <f>AX$1*'survival matrix'!AX7</f>
        <v>0</v>
      </c>
      <c r="AY7" s="6">
        <f>AY$1*'survival matrix'!AY7</f>
        <v>0</v>
      </c>
      <c r="AZ7" s="6">
        <f>AZ$1*'survival matrix'!AZ7</f>
        <v>0</v>
      </c>
      <c r="BA7" s="6">
        <f>BA$1*'survival matrix'!BA7</f>
        <v>0</v>
      </c>
      <c r="BB7" s="6">
        <f>BB$1*'survival matrix'!BB7</f>
        <v>0</v>
      </c>
      <c r="BC7" s="6">
        <f>BC$1*'survival matrix'!BC7</f>
        <v>0</v>
      </c>
      <c r="BD7" s="6">
        <f>BD$1*'survival matrix'!BD7</f>
        <v>0</v>
      </c>
      <c r="BE7" s="6">
        <f>BE$1*'survival matrix'!BE7</f>
        <v>0</v>
      </c>
      <c r="BF7" s="6">
        <f>BF$1*'survival matrix'!BF7</f>
        <v>0</v>
      </c>
      <c r="BG7" s="6">
        <f>BG$1*'survival matrix'!BG7</f>
        <v>0</v>
      </c>
      <c r="BH7" s="6">
        <f>BH$1*'survival matrix'!BH7</f>
        <v>0</v>
      </c>
      <c r="BI7" s="6">
        <f>BI$1*'survival matrix'!BI7</f>
        <v>0</v>
      </c>
      <c r="BJ7" s="6">
        <f>BJ$1*'survival matrix'!BJ7</f>
        <v>0</v>
      </c>
      <c r="BK7" s="6">
        <f>BK$1*'survival matrix'!BK7</f>
        <v>0</v>
      </c>
      <c r="BL7" s="6">
        <f>BL$1*'survival matrix'!BL7</f>
        <v>0</v>
      </c>
      <c r="BM7" s="6">
        <f>BM$1*'survival matrix'!BM7</f>
        <v>0</v>
      </c>
      <c r="BN7" s="6">
        <f>BN$1*'survival matrix'!BN7</f>
        <v>0</v>
      </c>
      <c r="BO7" s="6">
        <f>BO$1*'survival matrix'!BO7</f>
        <v>0</v>
      </c>
      <c r="BP7" s="6">
        <f>BP$1*'survival matrix'!BP7</f>
        <v>0</v>
      </c>
      <c r="BQ7" s="6">
        <f>BQ$1*'survival matrix'!BQ7</f>
        <v>0</v>
      </c>
      <c r="BR7" s="6">
        <f>BR$1*'survival matrix'!BR7</f>
        <v>0</v>
      </c>
      <c r="BS7" s="6">
        <f>BS$1*'survival matrix'!BS7</f>
        <v>0</v>
      </c>
      <c r="BT7" s="6">
        <f>BT$1*'survival matrix'!BT7</f>
        <v>0</v>
      </c>
      <c r="BU7" s="6">
        <f>BU$1*'survival matrix'!BU7</f>
        <v>0</v>
      </c>
      <c r="BV7" s="6">
        <f>BV$1*'survival matrix'!BV7</f>
        <v>0</v>
      </c>
      <c r="BW7" s="6">
        <f>BW$1*'survival matrix'!BW7</f>
        <v>0</v>
      </c>
      <c r="BX7" s="6">
        <f>BX$1*'survival matrix'!BX7</f>
        <v>0</v>
      </c>
      <c r="BY7" s="6">
        <f>BY$1*'survival matrix'!BY7</f>
        <v>0</v>
      </c>
      <c r="BZ7" s="6">
        <f>BZ$1*'survival matrix'!BZ7</f>
        <v>0</v>
      </c>
      <c r="CA7" s="6">
        <f>CA$1*'survival matrix'!CA7</f>
        <v>0</v>
      </c>
      <c r="CB7" s="6">
        <f>CB$1*'survival matrix'!CB7</f>
        <v>0</v>
      </c>
      <c r="CC7" s="6">
        <f>CC$1*'survival matrix'!CC7</f>
        <v>0</v>
      </c>
      <c r="CD7" s="6">
        <f>CD$1*'survival matrix'!CD7</f>
        <v>0</v>
      </c>
      <c r="CE7" s="6">
        <f>CE$1*'survival matrix'!CE7</f>
        <v>0</v>
      </c>
      <c r="CF7" s="6">
        <f>CF$1*'survival matrix'!CF7</f>
        <v>0</v>
      </c>
      <c r="CG7" s="6">
        <f>CG$1*'survival matrix'!CG7</f>
        <v>0</v>
      </c>
      <c r="CH7" s="6">
        <f>CH$1*'survival matrix'!CH7</f>
        <v>0</v>
      </c>
      <c r="CI7" s="6">
        <f>CI$1*'survival matrix'!CI7</f>
        <v>0</v>
      </c>
      <c r="CJ7" s="6">
        <f>CJ$1*'survival matrix'!CJ7</f>
        <v>0</v>
      </c>
      <c r="CK7" s="6">
        <f>CK$1*'survival matrix'!CK7</f>
        <v>0</v>
      </c>
      <c r="CL7" s="6">
        <f>CL$1*'survival matrix'!CL7</f>
        <v>0</v>
      </c>
      <c r="CM7" s="6">
        <f>CM$1*'survival matrix'!CM7</f>
        <v>0</v>
      </c>
      <c r="CN7" s="6">
        <f>CN$1*'survival matrix'!CN7</f>
        <v>0</v>
      </c>
      <c r="CO7" s="6">
        <f>CO$1*'survival matrix'!CO7</f>
        <v>0</v>
      </c>
      <c r="CP7" s="6">
        <f>CP$1*'survival matrix'!CP7</f>
        <v>0</v>
      </c>
      <c r="CQ7" s="6">
        <f>CQ$1*'survival matrix'!CQ7</f>
        <v>0</v>
      </c>
      <c r="CR7" s="6">
        <f>CR$1*'survival matrix'!CR7</f>
        <v>0</v>
      </c>
      <c r="CS7" s="6">
        <f>CS$1*'survival matrix'!CS7</f>
        <v>0</v>
      </c>
      <c r="CT7" s="6">
        <f>CT$1*'survival matrix'!CT7</f>
        <v>0</v>
      </c>
      <c r="CU7" s="6">
        <f>CU$1*'survival matrix'!CU7</f>
        <v>0</v>
      </c>
      <c r="CV7" s="6">
        <f>CV$1*'survival matrix'!CV7</f>
        <v>0</v>
      </c>
      <c r="CW7" s="6">
        <f>CW$1*'survival matrix'!CW7</f>
        <v>0</v>
      </c>
      <c r="CX7" s="6">
        <f>CX$1*'survival matrix'!CX7</f>
        <v>0</v>
      </c>
      <c r="CY7" s="6">
        <f>CY$1*'survival matrix'!CY7</f>
        <v>0</v>
      </c>
      <c r="CZ7" s="6">
        <f>CZ$1*'survival matrix'!CZ7</f>
        <v>0</v>
      </c>
      <c r="DA7" s="6">
        <f>DA$1*'survival matrix'!DA7</f>
        <v>0</v>
      </c>
      <c r="DB7" s="6">
        <f>DB$1*'survival matrix'!DB7</f>
        <v>0</v>
      </c>
      <c r="DC7" s="6">
        <f>DC$1*'survival matrix'!DC7</f>
        <v>0</v>
      </c>
      <c r="DD7" s="6">
        <f>DD$1*'survival matrix'!DD7</f>
        <v>0</v>
      </c>
      <c r="DE7" s="6">
        <f>DE$1*'survival matrix'!DE7</f>
        <v>0</v>
      </c>
      <c r="DF7" s="6">
        <f>DF$1*'survival matrix'!DF7</f>
        <v>0</v>
      </c>
      <c r="DG7" s="6">
        <f>DG$1*'survival matrix'!DG7</f>
        <v>0</v>
      </c>
      <c r="DH7" s="6">
        <f>DH$1*'survival matrix'!DH7</f>
        <v>0</v>
      </c>
      <c r="DI7" s="6">
        <f>DI$1*'survival matrix'!DI7</f>
        <v>0</v>
      </c>
      <c r="DJ7" s="6">
        <f>DJ$1*'survival matrix'!DJ7</f>
        <v>0</v>
      </c>
      <c r="DK7" s="6">
        <f>DK$1*'survival matrix'!DK7</f>
        <v>0</v>
      </c>
      <c r="DL7" s="6">
        <f>DL$1*'survival matrix'!DL7</f>
        <v>0</v>
      </c>
      <c r="DM7" s="6">
        <f>DM$1*'survival matrix'!DM7</f>
        <v>0</v>
      </c>
      <c r="DN7" s="6">
        <f>DN$1*'survival matrix'!DN7</f>
        <v>0</v>
      </c>
      <c r="DO7" s="6">
        <f>DO$1*'survival matrix'!DO7</f>
        <v>0</v>
      </c>
      <c r="DP7" s="6">
        <f>DP$1*'survival matrix'!DP7</f>
        <v>0</v>
      </c>
      <c r="DQ7" s="6">
        <f>DQ$1*'survival matrix'!DQ7</f>
        <v>0</v>
      </c>
      <c r="DR7" s="6">
        <f>DR$1*'survival matrix'!DR7</f>
        <v>0</v>
      </c>
      <c r="DS7" s="6">
        <f>DS$1*'survival matrix'!DS7</f>
        <v>0</v>
      </c>
      <c r="DT7" s="6">
        <f>DT$1*'survival matrix'!DT7</f>
        <v>0</v>
      </c>
      <c r="DU7" s="6">
        <f>DU$1*'survival matrix'!DU7</f>
        <v>0</v>
      </c>
      <c r="DV7" s="6">
        <f>DV$1*'survival matrix'!DV7</f>
        <v>0</v>
      </c>
      <c r="DW7" s="6">
        <f>DW$1*'survival matrix'!DW7</f>
        <v>0</v>
      </c>
      <c r="DX7" s="6">
        <f>DX$1*'survival matrix'!DX7</f>
        <v>0</v>
      </c>
      <c r="DY7" s="6">
        <f>DY$1*'survival matrix'!DY7</f>
        <v>0</v>
      </c>
      <c r="DZ7" s="6">
        <f>DZ$1*'survival matrix'!DZ7</f>
        <v>0</v>
      </c>
      <c r="EA7" s="6">
        <f>EA$1*'survival matrix'!EA7</f>
        <v>0</v>
      </c>
      <c r="EB7" s="6">
        <f>EB$1*'survival matrix'!EB7</f>
        <v>0</v>
      </c>
      <c r="EC7" s="6">
        <f>EC$1*'survival matrix'!EC7</f>
        <v>0</v>
      </c>
    </row>
    <row r="8" spans="1:133">
      <c r="A8" s="12">
        <f>'data input'!C8-B8</f>
        <v>52.077995774332521</v>
      </c>
      <c r="B8" s="14">
        <f t="shared" si="2"/>
        <v>19792.206478469248</v>
      </c>
      <c r="C8" s="11">
        <f>SUM(F8:EC8)</f>
        <v>68904.78676136295</v>
      </c>
      <c r="E8" s="7">
        <f>'data input'!B8</f>
        <v>1883</v>
      </c>
      <c r="F8" s="6">
        <f>F$1*'survival matrix'!F8</f>
        <v>3236.463339498569</v>
      </c>
      <c r="G8" s="6">
        <f>G$1*'survival matrix'!G8</f>
        <v>6504.0362637031158</v>
      </c>
      <c r="H8" s="6">
        <f>H$1*'survival matrix'!H8</f>
        <v>9790.7919808771312</v>
      </c>
      <c r="I8" s="6">
        <f>I$1*'survival matrix'!I8</f>
        <v>13106.916607116247</v>
      </c>
      <c r="J8" s="6">
        <f>J$1*'survival matrix'!J8</f>
        <v>16449.08185647519</v>
      </c>
      <c r="K8" s="6">
        <f>K$1*'survival matrix'!K8</f>
        <v>19817.496713692693</v>
      </c>
      <c r="L8" s="6">
        <f>L$1*'survival matrix'!L8</f>
        <v>0</v>
      </c>
      <c r="M8" s="6">
        <f>M$1*'survival matrix'!M8</f>
        <v>0</v>
      </c>
      <c r="N8" s="6">
        <f>N$1*'survival matrix'!N8</f>
        <v>0</v>
      </c>
      <c r="O8" s="6">
        <f>O$1*'survival matrix'!O8</f>
        <v>0</v>
      </c>
      <c r="P8" s="6">
        <f>P$1*'survival matrix'!P8</f>
        <v>0</v>
      </c>
      <c r="Q8" s="6">
        <f>Q$1*'survival matrix'!Q8</f>
        <v>0</v>
      </c>
      <c r="R8" s="6">
        <f>R$1*'survival matrix'!R8</f>
        <v>0</v>
      </c>
      <c r="S8" s="6">
        <f>S$1*'survival matrix'!S8</f>
        <v>0</v>
      </c>
      <c r="T8" s="6">
        <f>T$1*'survival matrix'!T8</f>
        <v>0</v>
      </c>
      <c r="U8" s="6">
        <f>U$1*'survival matrix'!U8</f>
        <v>0</v>
      </c>
      <c r="V8" s="6">
        <f>V$1*'survival matrix'!V8</f>
        <v>0</v>
      </c>
      <c r="W8" s="6">
        <f>W$1*'survival matrix'!W8</f>
        <v>0</v>
      </c>
      <c r="X8" s="6">
        <f>X$1*'survival matrix'!X8</f>
        <v>0</v>
      </c>
      <c r="Y8" s="6">
        <f>Y$1*'survival matrix'!Y8</f>
        <v>0</v>
      </c>
      <c r="Z8" s="6">
        <f>Z$1*'survival matrix'!Z8</f>
        <v>0</v>
      </c>
      <c r="AA8" s="6">
        <f>AA$1*'survival matrix'!AA8</f>
        <v>0</v>
      </c>
      <c r="AB8" s="6">
        <f>AB$1*'survival matrix'!AB8</f>
        <v>0</v>
      </c>
      <c r="AC8" s="6">
        <f>AC$1*'survival matrix'!AC8</f>
        <v>0</v>
      </c>
      <c r="AD8" s="6">
        <f>AD$1*'survival matrix'!AD8</f>
        <v>0</v>
      </c>
      <c r="AE8" s="6">
        <f>AE$1*'survival matrix'!AE8</f>
        <v>0</v>
      </c>
      <c r="AF8" s="6">
        <f>AF$1*'survival matrix'!AF8</f>
        <v>0</v>
      </c>
      <c r="AG8" s="6">
        <f>AG$1*'survival matrix'!AG8</f>
        <v>0</v>
      </c>
      <c r="AH8" s="6">
        <f>AH$1*'survival matrix'!AH8</f>
        <v>0</v>
      </c>
      <c r="AI8" s="6">
        <f>AI$1*'survival matrix'!AI8</f>
        <v>0</v>
      </c>
      <c r="AJ8" s="6">
        <f>AJ$1*'survival matrix'!AJ8</f>
        <v>0</v>
      </c>
      <c r="AK8" s="6">
        <f>AK$1*'survival matrix'!AK8</f>
        <v>0</v>
      </c>
      <c r="AL8" s="6">
        <f>AL$1*'survival matrix'!AL8</f>
        <v>0</v>
      </c>
      <c r="AM8" s="6">
        <f>AM$1*'survival matrix'!AM8</f>
        <v>0</v>
      </c>
      <c r="AN8" s="6">
        <f>AN$1*'survival matrix'!AN8</f>
        <v>0</v>
      </c>
      <c r="AO8" s="6">
        <f>AO$1*'survival matrix'!AO8</f>
        <v>0</v>
      </c>
      <c r="AP8" s="6">
        <f>AP$1*'survival matrix'!AP8</f>
        <v>0</v>
      </c>
      <c r="AQ8" s="6">
        <f>AQ$1*'survival matrix'!AQ8</f>
        <v>0</v>
      </c>
      <c r="AR8" s="6">
        <f>AR$1*'survival matrix'!AR8</f>
        <v>0</v>
      </c>
      <c r="AS8" s="6">
        <f>AS$1*'survival matrix'!AS8</f>
        <v>0</v>
      </c>
      <c r="AT8" s="6">
        <f>AT$1*'survival matrix'!AT8</f>
        <v>0</v>
      </c>
      <c r="AU8" s="6">
        <f>AU$1*'survival matrix'!AU8</f>
        <v>0</v>
      </c>
      <c r="AV8" s="6">
        <f>AV$1*'survival matrix'!AV8</f>
        <v>0</v>
      </c>
      <c r="AW8" s="6">
        <f>AW$1*'survival matrix'!AW8</f>
        <v>0</v>
      </c>
      <c r="AX8" s="6">
        <f>AX$1*'survival matrix'!AX8</f>
        <v>0</v>
      </c>
      <c r="AY8" s="6">
        <f>AY$1*'survival matrix'!AY8</f>
        <v>0</v>
      </c>
      <c r="AZ8" s="6">
        <f>AZ$1*'survival matrix'!AZ8</f>
        <v>0</v>
      </c>
      <c r="BA8" s="6">
        <f>BA$1*'survival matrix'!BA8</f>
        <v>0</v>
      </c>
      <c r="BB8" s="6">
        <f>BB$1*'survival matrix'!BB8</f>
        <v>0</v>
      </c>
      <c r="BC8" s="6">
        <f>BC$1*'survival matrix'!BC8</f>
        <v>0</v>
      </c>
      <c r="BD8" s="6">
        <f>BD$1*'survival matrix'!BD8</f>
        <v>0</v>
      </c>
      <c r="BE8" s="6">
        <f>BE$1*'survival matrix'!BE8</f>
        <v>0</v>
      </c>
      <c r="BF8" s="6">
        <f>BF$1*'survival matrix'!BF8</f>
        <v>0</v>
      </c>
      <c r="BG8" s="6">
        <f>BG$1*'survival matrix'!BG8</f>
        <v>0</v>
      </c>
      <c r="BH8" s="6">
        <f>BH$1*'survival matrix'!BH8</f>
        <v>0</v>
      </c>
      <c r="BI8" s="6">
        <f>BI$1*'survival matrix'!BI8</f>
        <v>0</v>
      </c>
      <c r="BJ8" s="6">
        <f>BJ$1*'survival matrix'!BJ8</f>
        <v>0</v>
      </c>
      <c r="BK8" s="6">
        <f>BK$1*'survival matrix'!BK8</f>
        <v>0</v>
      </c>
      <c r="BL8" s="6">
        <f>BL$1*'survival matrix'!BL8</f>
        <v>0</v>
      </c>
      <c r="BM8" s="6">
        <f>BM$1*'survival matrix'!BM8</f>
        <v>0</v>
      </c>
      <c r="BN8" s="6">
        <f>BN$1*'survival matrix'!BN8</f>
        <v>0</v>
      </c>
      <c r="BO8" s="6">
        <f>BO$1*'survival matrix'!BO8</f>
        <v>0</v>
      </c>
      <c r="BP8" s="6">
        <f>BP$1*'survival matrix'!BP8</f>
        <v>0</v>
      </c>
      <c r="BQ8" s="6">
        <f>BQ$1*'survival matrix'!BQ8</f>
        <v>0</v>
      </c>
      <c r="BR8" s="6">
        <f>BR$1*'survival matrix'!BR8</f>
        <v>0</v>
      </c>
      <c r="BS8" s="6">
        <f>BS$1*'survival matrix'!BS8</f>
        <v>0</v>
      </c>
      <c r="BT8" s="6">
        <f>BT$1*'survival matrix'!BT8</f>
        <v>0</v>
      </c>
      <c r="BU8" s="6">
        <f>BU$1*'survival matrix'!BU8</f>
        <v>0</v>
      </c>
      <c r="BV8" s="6">
        <f>BV$1*'survival matrix'!BV8</f>
        <v>0</v>
      </c>
      <c r="BW8" s="6">
        <f>BW$1*'survival matrix'!BW8</f>
        <v>0</v>
      </c>
      <c r="BX8" s="6">
        <f>BX$1*'survival matrix'!BX8</f>
        <v>0</v>
      </c>
      <c r="BY8" s="6">
        <f>BY$1*'survival matrix'!BY8</f>
        <v>0</v>
      </c>
      <c r="BZ8" s="6">
        <f>BZ$1*'survival matrix'!BZ8</f>
        <v>0</v>
      </c>
      <c r="CA8" s="6">
        <f>CA$1*'survival matrix'!CA8</f>
        <v>0</v>
      </c>
      <c r="CB8" s="6">
        <f>CB$1*'survival matrix'!CB8</f>
        <v>0</v>
      </c>
      <c r="CC8" s="6">
        <f>CC$1*'survival matrix'!CC8</f>
        <v>0</v>
      </c>
      <c r="CD8" s="6">
        <f>CD$1*'survival matrix'!CD8</f>
        <v>0</v>
      </c>
      <c r="CE8" s="6">
        <f>CE$1*'survival matrix'!CE8</f>
        <v>0</v>
      </c>
      <c r="CF8" s="6">
        <f>CF$1*'survival matrix'!CF8</f>
        <v>0</v>
      </c>
      <c r="CG8" s="6">
        <f>CG$1*'survival matrix'!CG8</f>
        <v>0</v>
      </c>
      <c r="CH8" s="6">
        <f>CH$1*'survival matrix'!CH8</f>
        <v>0</v>
      </c>
      <c r="CI8" s="6">
        <f>CI$1*'survival matrix'!CI8</f>
        <v>0</v>
      </c>
      <c r="CJ8" s="6">
        <f>CJ$1*'survival matrix'!CJ8</f>
        <v>0</v>
      </c>
      <c r="CK8" s="6">
        <f>CK$1*'survival matrix'!CK8</f>
        <v>0</v>
      </c>
      <c r="CL8" s="6">
        <f>CL$1*'survival matrix'!CL8</f>
        <v>0</v>
      </c>
      <c r="CM8" s="6">
        <f>CM$1*'survival matrix'!CM8</f>
        <v>0</v>
      </c>
      <c r="CN8" s="6">
        <f>CN$1*'survival matrix'!CN8</f>
        <v>0</v>
      </c>
      <c r="CO8" s="6">
        <f>CO$1*'survival matrix'!CO8</f>
        <v>0</v>
      </c>
      <c r="CP8" s="6">
        <f>CP$1*'survival matrix'!CP8</f>
        <v>0</v>
      </c>
      <c r="CQ8" s="6">
        <f>CQ$1*'survival matrix'!CQ8</f>
        <v>0</v>
      </c>
      <c r="CR8" s="6">
        <f>CR$1*'survival matrix'!CR8</f>
        <v>0</v>
      </c>
      <c r="CS8" s="6">
        <f>CS$1*'survival matrix'!CS8</f>
        <v>0</v>
      </c>
      <c r="CT8" s="6">
        <f>CT$1*'survival matrix'!CT8</f>
        <v>0</v>
      </c>
      <c r="CU8" s="6">
        <f>CU$1*'survival matrix'!CU8</f>
        <v>0</v>
      </c>
      <c r="CV8" s="6">
        <f>CV$1*'survival matrix'!CV8</f>
        <v>0</v>
      </c>
      <c r="CW8" s="6">
        <f>CW$1*'survival matrix'!CW8</f>
        <v>0</v>
      </c>
      <c r="CX8" s="6">
        <f>CX$1*'survival matrix'!CX8</f>
        <v>0</v>
      </c>
      <c r="CY8" s="6">
        <f>CY$1*'survival matrix'!CY8</f>
        <v>0</v>
      </c>
      <c r="CZ8" s="6">
        <f>CZ$1*'survival matrix'!CZ8</f>
        <v>0</v>
      </c>
      <c r="DA8" s="6">
        <f>DA$1*'survival matrix'!DA8</f>
        <v>0</v>
      </c>
      <c r="DB8" s="6">
        <f>DB$1*'survival matrix'!DB8</f>
        <v>0</v>
      </c>
      <c r="DC8" s="6">
        <f>DC$1*'survival matrix'!DC8</f>
        <v>0</v>
      </c>
      <c r="DD8" s="6">
        <f>DD$1*'survival matrix'!DD8</f>
        <v>0</v>
      </c>
      <c r="DE8" s="6">
        <f>DE$1*'survival matrix'!DE8</f>
        <v>0</v>
      </c>
      <c r="DF8" s="6">
        <f>DF$1*'survival matrix'!DF8</f>
        <v>0</v>
      </c>
      <c r="DG8" s="6">
        <f>DG$1*'survival matrix'!DG8</f>
        <v>0</v>
      </c>
      <c r="DH8" s="6">
        <f>DH$1*'survival matrix'!DH8</f>
        <v>0</v>
      </c>
      <c r="DI8" s="6">
        <f>DI$1*'survival matrix'!DI8</f>
        <v>0</v>
      </c>
      <c r="DJ8" s="6">
        <f>DJ$1*'survival matrix'!DJ8</f>
        <v>0</v>
      </c>
      <c r="DK8" s="6">
        <f>DK$1*'survival matrix'!DK8</f>
        <v>0</v>
      </c>
      <c r="DL8" s="6">
        <f>DL$1*'survival matrix'!DL8</f>
        <v>0</v>
      </c>
      <c r="DM8" s="6">
        <f>DM$1*'survival matrix'!DM8</f>
        <v>0</v>
      </c>
      <c r="DN8" s="6">
        <f>DN$1*'survival matrix'!DN8</f>
        <v>0</v>
      </c>
      <c r="DO8" s="6">
        <f>DO$1*'survival matrix'!DO8</f>
        <v>0</v>
      </c>
      <c r="DP8" s="6">
        <f>DP$1*'survival matrix'!DP8</f>
        <v>0</v>
      </c>
      <c r="DQ8" s="6">
        <f>DQ$1*'survival matrix'!DQ8</f>
        <v>0</v>
      </c>
      <c r="DR8" s="6">
        <f>DR$1*'survival matrix'!DR8</f>
        <v>0</v>
      </c>
      <c r="DS8" s="6">
        <f>DS$1*'survival matrix'!DS8</f>
        <v>0</v>
      </c>
      <c r="DT8" s="6">
        <f>DT$1*'survival matrix'!DT8</f>
        <v>0</v>
      </c>
      <c r="DU8" s="6">
        <f>DU$1*'survival matrix'!DU8</f>
        <v>0</v>
      </c>
      <c r="DV8" s="6">
        <f>DV$1*'survival matrix'!DV8</f>
        <v>0</v>
      </c>
      <c r="DW8" s="6">
        <f>DW$1*'survival matrix'!DW8</f>
        <v>0</v>
      </c>
      <c r="DX8" s="6">
        <f>DX$1*'survival matrix'!DX8</f>
        <v>0</v>
      </c>
      <c r="DY8" s="6">
        <f>DY$1*'survival matrix'!DY8</f>
        <v>0</v>
      </c>
      <c r="DZ8" s="6">
        <f>DZ$1*'survival matrix'!DZ8</f>
        <v>0</v>
      </c>
      <c r="EA8" s="6">
        <f>EA$1*'survival matrix'!EA8</f>
        <v>0</v>
      </c>
      <c r="EB8" s="6">
        <f>EB$1*'survival matrix'!EB8</f>
        <v>0</v>
      </c>
      <c r="EC8" s="6">
        <f>EC$1*'survival matrix'!EC8</f>
        <v>0</v>
      </c>
    </row>
    <row r="9" spans="1:133">
      <c r="A9" s="12">
        <f>'data input'!C9-B9</f>
        <v>69.960918690147082</v>
      </c>
      <c r="B9" s="14">
        <f t="shared" si="2"/>
        <v>23172.965917357651</v>
      </c>
      <c r="C9" s="11">
        <f>SUM(F9:EC9)</f>
        <v>92077.752678720601</v>
      </c>
      <c r="E9" s="7">
        <f>'data input'!B9</f>
        <v>1884</v>
      </c>
      <c r="F9" s="6">
        <f>F$1*'survival matrix'!F9</f>
        <v>3233.0382468371099</v>
      </c>
      <c r="G9" s="6">
        <f>G$1*'survival matrix'!G9</f>
        <v>6498.3876020176604</v>
      </c>
      <c r="H9" s="6">
        <f>H$1*'survival matrix'!H9</f>
        <v>9783.8518280693406</v>
      </c>
      <c r="I9" s="6">
        <f>I$1*'survival matrix'!I9</f>
        <v>13099.375127175905</v>
      </c>
      <c r="J9" s="6">
        <f>J$1*'survival matrix'!J9</f>
        <v>16441.441581922409</v>
      </c>
      <c r="K9" s="6">
        <f>K$1*'survival matrix'!K9</f>
        <v>19810.107037835685</v>
      </c>
      <c r="L9" s="6">
        <f>L$1*'survival matrix'!L9</f>
        <v>23211.551254862494</v>
      </c>
      <c r="M9" s="6">
        <f>M$1*'survival matrix'!M9</f>
        <v>0</v>
      </c>
      <c r="N9" s="6">
        <f>N$1*'survival matrix'!N9</f>
        <v>0</v>
      </c>
      <c r="O9" s="6">
        <f>O$1*'survival matrix'!O9</f>
        <v>0</v>
      </c>
      <c r="P9" s="6">
        <f>P$1*'survival matrix'!P9</f>
        <v>0</v>
      </c>
      <c r="Q9" s="6">
        <f>Q$1*'survival matrix'!Q9</f>
        <v>0</v>
      </c>
      <c r="R9" s="6">
        <f>R$1*'survival matrix'!R9</f>
        <v>0</v>
      </c>
      <c r="S9" s="6">
        <f>S$1*'survival matrix'!S9</f>
        <v>0</v>
      </c>
      <c r="T9" s="6">
        <f>T$1*'survival matrix'!T9</f>
        <v>0</v>
      </c>
      <c r="U9" s="6">
        <f>U$1*'survival matrix'!U9</f>
        <v>0</v>
      </c>
      <c r="V9" s="6">
        <f>V$1*'survival matrix'!V9</f>
        <v>0</v>
      </c>
      <c r="W9" s="6">
        <f>W$1*'survival matrix'!W9</f>
        <v>0</v>
      </c>
      <c r="X9" s="6">
        <f>X$1*'survival matrix'!X9</f>
        <v>0</v>
      </c>
      <c r="Y9" s="6">
        <f>Y$1*'survival matrix'!Y9</f>
        <v>0</v>
      </c>
      <c r="Z9" s="6">
        <f>Z$1*'survival matrix'!Z9</f>
        <v>0</v>
      </c>
      <c r="AA9" s="6">
        <f>AA$1*'survival matrix'!AA9</f>
        <v>0</v>
      </c>
      <c r="AB9" s="6">
        <f>AB$1*'survival matrix'!AB9</f>
        <v>0</v>
      </c>
      <c r="AC9" s="6">
        <f>AC$1*'survival matrix'!AC9</f>
        <v>0</v>
      </c>
      <c r="AD9" s="6">
        <f>AD$1*'survival matrix'!AD9</f>
        <v>0</v>
      </c>
      <c r="AE9" s="6">
        <f>AE$1*'survival matrix'!AE9</f>
        <v>0</v>
      </c>
      <c r="AF9" s="6">
        <f>AF$1*'survival matrix'!AF9</f>
        <v>0</v>
      </c>
      <c r="AG9" s="6">
        <f>AG$1*'survival matrix'!AG9</f>
        <v>0</v>
      </c>
      <c r="AH9" s="6">
        <f>AH$1*'survival matrix'!AH9</f>
        <v>0</v>
      </c>
      <c r="AI9" s="6">
        <f>AI$1*'survival matrix'!AI9</f>
        <v>0</v>
      </c>
      <c r="AJ9" s="6">
        <f>AJ$1*'survival matrix'!AJ9</f>
        <v>0</v>
      </c>
      <c r="AK9" s="6">
        <f>AK$1*'survival matrix'!AK9</f>
        <v>0</v>
      </c>
      <c r="AL9" s="6">
        <f>AL$1*'survival matrix'!AL9</f>
        <v>0</v>
      </c>
      <c r="AM9" s="6">
        <f>AM$1*'survival matrix'!AM9</f>
        <v>0</v>
      </c>
      <c r="AN9" s="6">
        <f>AN$1*'survival matrix'!AN9</f>
        <v>0</v>
      </c>
      <c r="AO9" s="6">
        <f>AO$1*'survival matrix'!AO9</f>
        <v>0</v>
      </c>
      <c r="AP9" s="6">
        <f>AP$1*'survival matrix'!AP9</f>
        <v>0</v>
      </c>
      <c r="AQ9" s="6">
        <f>AQ$1*'survival matrix'!AQ9</f>
        <v>0</v>
      </c>
      <c r="AR9" s="6">
        <f>AR$1*'survival matrix'!AR9</f>
        <v>0</v>
      </c>
      <c r="AS9" s="6">
        <f>AS$1*'survival matrix'!AS9</f>
        <v>0</v>
      </c>
      <c r="AT9" s="6">
        <f>AT$1*'survival matrix'!AT9</f>
        <v>0</v>
      </c>
      <c r="AU9" s="6">
        <f>AU$1*'survival matrix'!AU9</f>
        <v>0</v>
      </c>
      <c r="AV9" s="6">
        <f>AV$1*'survival matrix'!AV9</f>
        <v>0</v>
      </c>
      <c r="AW9" s="6">
        <f>AW$1*'survival matrix'!AW9</f>
        <v>0</v>
      </c>
      <c r="AX9" s="6">
        <f>AX$1*'survival matrix'!AX9</f>
        <v>0</v>
      </c>
      <c r="AY9" s="6">
        <f>AY$1*'survival matrix'!AY9</f>
        <v>0</v>
      </c>
      <c r="AZ9" s="6">
        <f>AZ$1*'survival matrix'!AZ9</f>
        <v>0</v>
      </c>
      <c r="BA9" s="6">
        <f>BA$1*'survival matrix'!BA9</f>
        <v>0</v>
      </c>
      <c r="BB9" s="6">
        <f>BB$1*'survival matrix'!BB9</f>
        <v>0</v>
      </c>
      <c r="BC9" s="6">
        <f>BC$1*'survival matrix'!BC9</f>
        <v>0</v>
      </c>
      <c r="BD9" s="6">
        <f>BD$1*'survival matrix'!BD9</f>
        <v>0</v>
      </c>
      <c r="BE9" s="6">
        <f>BE$1*'survival matrix'!BE9</f>
        <v>0</v>
      </c>
      <c r="BF9" s="6">
        <f>BF$1*'survival matrix'!BF9</f>
        <v>0</v>
      </c>
      <c r="BG9" s="6">
        <f>BG$1*'survival matrix'!BG9</f>
        <v>0</v>
      </c>
      <c r="BH9" s="6">
        <f>BH$1*'survival matrix'!BH9</f>
        <v>0</v>
      </c>
      <c r="BI9" s="6">
        <f>BI$1*'survival matrix'!BI9</f>
        <v>0</v>
      </c>
      <c r="BJ9" s="6">
        <f>BJ$1*'survival matrix'!BJ9</f>
        <v>0</v>
      </c>
      <c r="BK9" s="6">
        <f>BK$1*'survival matrix'!BK9</f>
        <v>0</v>
      </c>
      <c r="BL9" s="6">
        <f>BL$1*'survival matrix'!BL9</f>
        <v>0</v>
      </c>
      <c r="BM9" s="6">
        <f>BM$1*'survival matrix'!BM9</f>
        <v>0</v>
      </c>
      <c r="BN9" s="6">
        <f>BN$1*'survival matrix'!BN9</f>
        <v>0</v>
      </c>
      <c r="BO9" s="6">
        <f>BO$1*'survival matrix'!BO9</f>
        <v>0</v>
      </c>
      <c r="BP9" s="6">
        <f>BP$1*'survival matrix'!BP9</f>
        <v>0</v>
      </c>
      <c r="BQ9" s="6">
        <f>BQ$1*'survival matrix'!BQ9</f>
        <v>0</v>
      </c>
      <c r="BR9" s="6">
        <f>BR$1*'survival matrix'!BR9</f>
        <v>0</v>
      </c>
      <c r="BS9" s="6">
        <f>BS$1*'survival matrix'!BS9</f>
        <v>0</v>
      </c>
      <c r="BT9" s="6">
        <f>BT$1*'survival matrix'!BT9</f>
        <v>0</v>
      </c>
      <c r="BU9" s="6">
        <f>BU$1*'survival matrix'!BU9</f>
        <v>0</v>
      </c>
      <c r="BV9" s="6">
        <f>BV$1*'survival matrix'!BV9</f>
        <v>0</v>
      </c>
      <c r="BW9" s="6">
        <f>BW$1*'survival matrix'!BW9</f>
        <v>0</v>
      </c>
      <c r="BX9" s="6">
        <f>BX$1*'survival matrix'!BX9</f>
        <v>0</v>
      </c>
      <c r="BY9" s="6">
        <f>BY$1*'survival matrix'!BY9</f>
        <v>0</v>
      </c>
      <c r="BZ9" s="6">
        <f>BZ$1*'survival matrix'!BZ9</f>
        <v>0</v>
      </c>
      <c r="CA9" s="6">
        <f>CA$1*'survival matrix'!CA9</f>
        <v>0</v>
      </c>
      <c r="CB9" s="6">
        <f>CB$1*'survival matrix'!CB9</f>
        <v>0</v>
      </c>
      <c r="CC9" s="6">
        <f>CC$1*'survival matrix'!CC9</f>
        <v>0</v>
      </c>
      <c r="CD9" s="6">
        <f>CD$1*'survival matrix'!CD9</f>
        <v>0</v>
      </c>
      <c r="CE9" s="6">
        <f>CE$1*'survival matrix'!CE9</f>
        <v>0</v>
      </c>
      <c r="CF9" s="6">
        <f>CF$1*'survival matrix'!CF9</f>
        <v>0</v>
      </c>
      <c r="CG9" s="6">
        <f>CG$1*'survival matrix'!CG9</f>
        <v>0</v>
      </c>
      <c r="CH9" s="6">
        <f>CH$1*'survival matrix'!CH9</f>
        <v>0</v>
      </c>
      <c r="CI9" s="6">
        <f>CI$1*'survival matrix'!CI9</f>
        <v>0</v>
      </c>
      <c r="CJ9" s="6">
        <f>CJ$1*'survival matrix'!CJ9</f>
        <v>0</v>
      </c>
      <c r="CK9" s="6">
        <f>CK$1*'survival matrix'!CK9</f>
        <v>0</v>
      </c>
      <c r="CL9" s="6">
        <f>CL$1*'survival matrix'!CL9</f>
        <v>0</v>
      </c>
      <c r="CM9" s="6">
        <f>CM$1*'survival matrix'!CM9</f>
        <v>0</v>
      </c>
      <c r="CN9" s="6">
        <f>CN$1*'survival matrix'!CN9</f>
        <v>0</v>
      </c>
      <c r="CO9" s="6">
        <f>CO$1*'survival matrix'!CO9</f>
        <v>0</v>
      </c>
      <c r="CP9" s="6">
        <f>CP$1*'survival matrix'!CP9</f>
        <v>0</v>
      </c>
      <c r="CQ9" s="6">
        <f>CQ$1*'survival matrix'!CQ9</f>
        <v>0</v>
      </c>
      <c r="CR9" s="6">
        <f>CR$1*'survival matrix'!CR9</f>
        <v>0</v>
      </c>
      <c r="CS9" s="6">
        <f>CS$1*'survival matrix'!CS9</f>
        <v>0</v>
      </c>
      <c r="CT9" s="6">
        <f>CT$1*'survival matrix'!CT9</f>
        <v>0</v>
      </c>
      <c r="CU9" s="6">
        <f>CU$1*'survival matrix'!CU9</f>
        <v>0</v>
      </c>
      <c r="CV9" s="6">
        <f>CV$1*'survival matrix'!CV9</f>
        <v>0</v>
      </c>
      <c r="CW9" s="6">
        <f>CW$1*'survival matrix'!CW9</f>
        <v>0</v>
      </c>
      <c r="CX9" s="6">
        <f>CX$1*'survival matrix'!CX9</f>
        <v>0</v>
      </c>
      <c r="CY9" s="6">
        <f>CY$1*'survival matrix'!CY9</f>
        <v>0</v>
      </c>
      <c r="CZ9" s="6">
        <f>CZ$1*'survival matrix'!CZ9</f>
        <v>0</v>
      </c>
      <c r="DA9" s="6">
        <f>DA$1*'survival matrix'!DA9</f>
        <v>0</v>
      </c>
      <c r="DB9" s="6">
        <f>DB$1*'survival matrix'!DB9</f>
        <v>0</v>
      </c>
      <c r="DC9" s="6">
        <f>DC$1*'survival matrix'!DC9</f>
        <v>0</v>
      </c>
      <c r="DD9" s="6">
        <f>DD$1*'survival matrix'!DD9</f>
        <v>0</v>
      </c>
      <c r="DE9" s="6">
        <f>DE$1*'survival matrix'!DE9</f>
        <v>0</v>
      </c>
      <c r="DF9" s="6">
        <f>DF$1*'survival matrix'!DF9</f>
        <v>0</v>
      </c>
      <c r="DG9" s="6">
        <f>DG$1*'survival matrix'!DG9</f>
        <v>0</v>
      </c>
      <c r="DH9" s="6">
        <f>DH$1*'survival matrix'!DH9</f>
        <v>0</v>
      </c>
      <c r="DI9" s="6">
        <f>DI$1*'survival matrix'!DI9</f>
        <v>0</v>
      </c>
      <c r="DJ9" s="6">
        <f>DJ$1*'survival matrix'!DJ9</f>
        <v>0</v>
      </c>
      <c r="DK9" s="6">
        <f>DK$1*'survival matrix'!DK9</f>
        <v>0</v>
      </c>
      <c r="DL9" s="6">
        <f>DL$1*'survival matrix'!DL9</f>
        <v>0</v>
      </c>
      <c r="DM9" s="6">
        <f>DM$1*'survival matrix'!DM9</f>
        <v>0</v>
      </c>
      <c r="DN9" s="6">
        <f>DN$1*'survival matrix'!DN9</f>
        <v>0</v>
      </c>
      <c r="DO9" s="6">
        <f>DO$1*'survival matrix'!DO9</f>
        <v>0</v>
      </c>
      <c r="DP9" s="6">
        <f>DP$1*'survival matrix'!DP9</f>
        <v>0</v>
      </c>
      <c r="DQ9" s="6">
        <f>DQ$1*'survival matrix'!DQ9</f>
        <v>0</v>
      </c>
      <c r="DR9" s="6">
        <f>DR$1*'survival matrix'!DR9</f>
        <v>0</v>
      </c>
      <c r="DS9" s="6">
        <f>DS$1*'survival matrix'!DS9</f>
        <v>0</v>
      </c>
      <c r="DT9" s="6">
        <f>DT$1*'survival matrix'!DT9</f>
        <v>0</v>
      </c>
      <c r="DU9" s="6">
        <f>DU$1*'survival matrix'!DU9</f>
        <v>0</v>
      </c>
      <c r="DV9" s="6">
        <f>DV$1*'survival matrix'!DV9</f>
        <v>0</v>
      </c>
      <c r="DW9" s="6">
        <f>DW$1*'survival matrix'!DW9</f>
        <v>0</v>
      </c>
      <c r="DX9" s="6">
        <f>DX$1*'survival matrix'!DX9</f>
        <v>0</v>
      </c>
      <c r="DY9" s="6">
        <f>DY$1*'survival matrix'!DY9</f>
        <v>0</v>
      </c>
      <c r="DZ9" s="6">
        <f>DZ$1*'survival matrix'!DZ9</f>
        <v>0</v>
      </c>
      <c r="EA9" s="6">
        <f>EA$1*'survival matrix'!EA9</f>
        <v>0</v>
      </c>
      <c r="EB9" s="6">
        <f>EB$1*'survival matrix'!EB9</f>
        <v>0</v>
      </c>
      <c r="EC9" s="6">
        <f>EC$1*'survival matrix'!EC9</f>
        <v>0</v>
      </c>
    </row>
    <row r="10" spans="1:133">
      <c r="A10" s="12">
        <f>'data input'!C10-B10</f>
        <v>92.123314269188995</v>
      </c>
      <c r="B10" s="14">
        <f t="shared" si="2"/>
        <v>26576.736960888607</v>
      </c>
      <c r="C10" s="11">
        <f>SUM(F10:EC10)</f>
        <v>118654.48963960921</v>
      </c>
      <c r="E10" s="7">
        <f>'data input'!B10</f>
        <v>1885</v>
      </c>
      <c r="F10" s="6">
        <f>F$1*'survival matrix'!F10</f>
        <v>3228.8916458941667</v>
      </c>
      <c r="G10" s="6">
        <f>G$1*'survival matrix'!G10</f>
        <v>6491.5104718443163</v>
      </c>
      <c r="H10" s="6">
        <f>H$1*'survival matrix'!H10</f>
        <v>9775.3546938719483</v>
      </c>
      <c r="I10" s="6">
        <f>I$1*'survival matrix'!I10</f>
        <v>13090.089702130952</v>
      </c>
      <c r="J10" s="6">
        <f>J$1*'survival matrix'!J10</f>
        <v>16431.981477338159</v>
      </c>
      <c r="K10" s="6">
        <f>K$1*'survival matrix'!K10</f>
        <v>19800.905633282553</v>
      </c>
      <c r="L10" s="6">
        <f>L$1*'survival matrix'!L10</f>
        <v>23202.895982080579</v>
      </c>
      <c r="M10" s="6">
        <f>M$1*'survival matrix'!M10</f>
        <v>26632.860033166544</v>
      </c>
      <c r="N10" s="6">
        <f>N$1*'survival matrix'!N10</f>
        <v>0</v>
      </c>
      <c r="O10" s="6">
        <f>O$1*'survival matrix'!O10</f>
        <v>0</v>
      </c>
      <c r="P10" s="6">
        <f>P$1*'survival matrix'!P10</f>
        <v>0</v>
      </c>
      <c r="Q10" s="6">
        <f>Q$1*'survival matrix'!Q10</f>
        <v>0</v>
      </c>
      <c r="R10" s="6">
        <f>R$1*'survival matrix'!R10</f>
        <v>0</v>
      </c>
      <c r="S10" s="6">
        <f>S$1*'survival matrix'!S10</f>
        <v>0</v>
      </c>
      <c r="T10" s="6">
        <f>T$1*'survival matrix'!T10</f>
        <v>0</v>
      </c>
      <c r="U10" s="6">
        <f>U$1*'survival matrix'!U10</f>
        <v>0</v>
      </c>
      <c r="V10" s="6">
        <f>V$1*'survival matrix'!V10</f>
        <v>0</v>
      </c>
      <c r="W10" s="6">
        <f>W$1*'survival matrix'!W10</f>
        <v>0</v>
      </c>
      <c r="X10" s="6">
        <f>X$1*'survival matrix'!X10</f>
        <v>0</v>
      </c>
      <c r="Y10" s="6">
        <f>Y$1*'survival matrix'!Y10</f>
        <v>0</v>
      </c>
      <c r="Z10" s="6">
        <f>Z$1*'survival matrix'!Z10</f>
        <v>0</v>
      </c>
      <c r="AA10" s="6">
        <f>AA$1*'survival matrix'!AA10</f>
        <v>0</v>
      </c>
      <c r="AB10" s="6">
        <f>AB$1*'survival matrix'!AB10</f>
        <v>0</v>
      </c>
      <c r="AC10" s="6">
        <f>AC$1*'survival matrix'!AC10</f>
        <v>0</v>
      </c>
      <c r="AD10" s="6">
        <f>AD$1*'survival matrix'!AD10</f>
        <v>0</v>
      </c>
      <c r="AE10" s="6">
        <f>AE$1*'survival matrix'!AE10</f>
        <v>0</v>
      </c>
      <c r="AF10" s="6">
        <f>AF$1*'survival matrix'!AF10</f>
        <v>0</v>
      </c>
      <c r="AG10" s="6">
        <f>AG$1*'survival matrix'!AG10</f>
        <v>0</v>
      </c>
      <c r="AH10" s="6">
        <f>AH$1*'survival matrix'!AH10</f>
        <v>0</v>
      </c>
      <c r="AI10" s="6">
        <f>AI$1*'survival matrix'!AI10</f>
        <v>0</v>
      </c>
      <c r="AJ10" s="6">
        <f>AJ$1*'survival matrix'!AJ10</f>
        <v>0</v>
      </c>
      <c r="AK10" s="6">
        <f>AK$1*'survival matrix'!AK10</f>
        <v>0</v>
      </c>
      <c r="AL10" s="6">
        <f>AL$1*'survival matrix'!AL10</f>
        <v>0</v>
      </c>
      <c r="AM10" s="6">
        <f>AM$1*'survival matrix'!AM10</f>
        <v>0</v>
      </c>
      <c r="AN10" s="6">
        <f>AN$1*'survival matrix'!AN10</f>
        <v>0</v>
      </c>
      <c r="AO10" s="6">
        <f>AO$1*'survival matrix'!AO10</f>
        <v>0</v>
      </c>
      <c r="AP10" s="6">
        <f>AP$1*'survival matrix'!AP10</f>
        <v>0</v>
      </c>
      <c r="AQ10" s="6">
        <f>AQ$1*'survival matrix'!AQ10</f>
        <v>0</v>
      </c>
      <c r="AR10" s="6">
        <f>AR$1*'survival matrix'!AR10</f>
        <v>0</v>
      </c>
      <c r="AS10" s="6">
        <f>AS$1*'survival matrix'!AS10</f>
        <v>0</v>
      </c>
      <c r="AT10" s="6">
        <f>AT$1*'survival matrix'!AT10</f>
        <v>0</v>
      </c>
      <c r="AU10" s="6">
        <f>AU$1*'survival matrix'!AU10</f>
        <v>0</v>
      </c>
      <c r="AV10" s="6">
        <f>AV$1*'survival matrix'!AV10</f>
        <v>0</v>
      </c>
      <c r="AW10" s="6">
        <f>AW$1*'survival matrix'!AW10</f>
        <v>0</v>
      </c>
      <c r="AX10" s="6">
        <f>AX$1*'survival matrix'!AX10</f>
        <v>0</v>
      </c>
      <c r="AY10" s="6">
        <f>AY$1*'survival matrix'!AY10</f>
        <v>0</v>
      </c>
      <c r="AZ10" s="6">
        <f>AZ$1*'survival matrix'!AZ10</f>
        <v>0</v>
      </c>
      <c r="BA10" s="6">
        <f>BA$1*'survival matrix'!BA10</f>
        <v>0</v>
      </c>
      <c r="BB10" s="6">
        <f>BB$1*'survival matrix'!BB10</f>
        <v>0</v>
      </c>
      <c r="BC10" s="6">
        <f>BC$1*'survival matrix'!BC10</f>
        <v>0</v>
      </c>
      <c r="BD10" s="6">
        <f>BD$1*'survival matrix'!BD10</f>
        <v>0</v>
      </c>
      <c r="BE10" s="6">
        <f>BE$1*'survival matrix'!BE10</f>
        <v>0</v>
      </c>
      <c r="BF10" s="6">
        <f>BF$1*'survival matrix'!BF10</f>
        <v>0</v>
      </c>
      <c r="BG10" s="6">
        <f>BG$1*'survival matrix'!BG10</f>
        <v>0</v>
      </c>
      <c r="BH10" s="6">
        <f>BH$1*'survival matrix'!BH10</f>
        <v>0</v>
      </c>
      <c r="BI10" s="6">
        <f>BI$1*'survival matrix'!BI10</f>
        <v>0</v>
      </c>
      <c r="BJ10" s="6">
        <f>BJ$1*'survival matrix'!BJ10</f>
        <v>0</v>
      </c>
      <c r="BK10" s="6">
        <f>BK$1*'survival matrix'!BK10</f>
        <v>0</v>
      </c>
      <c r="BL10" s="6">
        <f>BL$1*'survival matrix'!BL10</f>
        <v>0</v>
      </c>
      <c r="BM10" s="6">
        <f>BM$1*'survival matrix'!BM10</f>
        <v>0</v>
      </c>
      <c r="BN10" s="6">
        <f>BN$1*'survival matrix'!BN10</f>
        <v>0</v>
      </c>
      <c r="BO10" s="6">
        <f>BO$1*'survival matrix'!BO10</f>
        <v>0</v>
      </c>
      <c r="BP10" s="6">
        <f>BP$1*'survival matrix'!BP10</f>
        <v>0</v>
      </c>
      <c r="BQ10" s="6">
        <f>BQ$1*'survival matrix'!BQ10</f>
        <v>0</v>
      </c>
      <c r="BR10" s="6">
        <f>BR$1*'survival matrix'!BR10</f>
        <v>0</v>
      </c>
      <c r="BS10" s="6">
        <f>BS$1*'survival matrix'!BS10</f>
        <v>0</v>
      </c>
      <c r="BT10" s="6">
        <f>BT$1*'survival matrix'!BT10</f>
        <v>0</v>
      </c>
      <c r="BU10" s="6">
        <f>BU$1*'survival matrix'!BU10</f>
        <v>0</v>
      </c>
      <c r="BV10" s="6">
        <f>BV$1*'survival matrix'!BV10</f>
        <v>0</v>
      </c>
      <c r="BW10" s="6">
        <f>BW$1*'survival matrix'!BW10</f>
        <v>0</v>
      </c>
      <c r="BX10" s="6">
        <f>BX$1*'survival matrix'!BX10</f>
        <v>0</v>
      </c>
      <c r="BY10" s="6">
        <f>BY$1*'survival matrix'!BY10</f>
        <v>0</v>
      </c>
      <c r="BZ10" s="6">
        <f>BZ$1*'survival matrix'!BZ10</f>
        <v>0</v>
      </c>
      <c r="CA10" s="6">
        <f>CA$1*'survival matrix'!CA10</f>
        <v>0</v>
      </c>
      <c r="CB10" s="6">
        <f>CB$1*'survival matrix'!CB10</f>
        <v>0</v>
      </c>
      <c r="CC10" s="6">
        <f>CC$1*'survival matrix'!CC10</f>
        <v>0</v>
      </c>
      <c r="CD10" s="6">
        <f>CD$1*'survival matrix'!CD10</f>
        <v>0</v>
      </c>
      <c r="CE10" s="6">
        <f>CE$1*'survival matrix'!CE10</f>
        <v>0</v>
      </c>
      <c r="CF10" s="6">
        <f>CF$1*'survival matrix'!CF10</f>
        <v>0</v>
      </c>
      <c r="CG10" s="6">
        <f>CG$1*'survival matrix'!CG10</f>
        <v>0</v>
      </c>
      <c r="CH10" s="6">
        <f>CH$1*'survival matrix'!CH10</f>
        <v>0</v>
      </c>
      <c r="CI10" s="6">
        <f>CI$1*'survival matrix'!CI10</f>
        <v>0</v>
      </c>
      <c r="CJ10" s="6">
        <f>CJ$1*'survival matrix'!CJ10</f>
        <v>0</v>
      </c>
      <c r="CK10" s="6">
        <f>CK$1*'survival matrix'!CK10</f>
        <v>0</v>
      </c>
      <c r="CL10" s="6">
        <f>CL$1*'survival matrix'!CL10</f>
        <v>0</v>
      </c>
      <c r="CM10" s="6">
        <f>CM$1*'survival matrix'!CM10</f>
        <v>0</v>
      </c>
      <c r="CN10" s="6">
        <f>CN$1*'survival matrix'!CN10</f>
        <v>0</v>
      </c>
      <c r="CO10" s="6">
        <f>CO$1*'survival matrix'!CO10</f>
        <v>0</v>
      </c>
      <c r="CP10" s="6">
        <f>CP$1*'survival matrix'!CP10</f>
        <v>0</v>
      </c>
      <c r="CQ10" s="6">
        <f>CQ$1*'survival matrix'!CQ10</f>
        <v>0</v>
      </c>
      <c r="CR10" s="6">
        <f>CR$1*'survival matrix'!CR10</f>
        <v>0</v>
      </c>
      <c r="CS10" s="6">
        <f>CS$1*'survival matrix'!CS10</f>
        <v>0</v>
      </c>
      <c r="CT10" s="6">
        <f>CT$1*'survival matrix'!CT10</f>
        <v>0</v>
      </c>
      <c r="CU10" s="6">
        <f>CU$1*'survival matrix'!CU10</f>
        <v>0</v>
      </c>
      <c r="CV10" s="6">
        <f>CV$1*'survival matrix'!CV10</f>
        <v>0</v>
      </c>
      <c r="CW10" s="6">
        <f>CW$1*'survival matrix'!CW10</f>
        <v>0</v>
      </c>
      <c r="CX10" s="6">
        <f>CX$1*'survival matrix'!CX10</f>
        <v>0</v>
      </c>
      <c r="CY10" s="6">
        <f>CY$1*'survival matrix'!CY10</f>
        <v>0</v>
      </c>
      <c r="CZ10" s="6">
        <f>CZ$1*'survival matrix'!CZ10</f>
        <v>0</v>
      </c>
      <c r="DA10" s="6">
        <f>DA$1*'survival matrix'!DA10</f>
        <v>0</v>
      </c>
      <c r="DB10" s="6">
        <f>DB$1*'survival matrix'!DB10</f>
        <v>0</v>
      </c>
      <c r="DC10" s="6">
        <f>DC$1*'survival matrix'!DC10</f>
        <v>0</v>
      </c>
      <c r="DD10" s="6">
        <f>DD$1*'survival matrix'!DD10</f>
        <v>0</v>
      </c>
      <c r="DE10" s="6">
        <f>DE$1*'survival matrix'!DE10</f>
        <v>0</v>
      </c>
      <c r="DF10" s="6">
        <f>DF$1*'survival matrix'!DF10</f>
        <v>0</v>
      </c>
      <c r="DG10" s="6">
        <f>DG$1*'survival matrix'!DG10</f>
        <v>0</v>
      </c>
      <c r="DH10" s="6">
        <f>DH$1*'survival matrix'!DH10</f>
        <v>0</v>
      </c>
      <c r="DI10" s="6">
        <f>DI$1*'survival matrix'!DI10</f>
        <v>0</v>
      </c>
      <c r="DJ10" s="6">
        <f>DJ$1*'survival matrix'!DJ10</f>
        <v>0</v>
      </c>
      <c r="DK10" s="6">
        <f>DK$1*'survival matrix'!DK10</f>
        <v>0</v>
      </c>
      <c r="DL10" s="6">
        <f>DL$1*'survival matrix'!DL10</f>
        <v>0</v>
      </c>
      <c r="DM10" s="6">
        <f>DM$1*'survival matrix'!DM10</f>
        <v>0</v>
      </c>
      <c r="DN10" s="6">
        <f>DN$1*'survival matrix'!DN10</f>
        <v>0</v>
      </c>
      <c r="DO10" s="6">
        <f>DO$1*'survival matrix'!DO10</f>
        <v>0</v>
      </c>
      <c r="DP10" s="6">
        <f>DP$1*'survival matrix'!DP10</f>
        <v>0</v>
      </c>
      <c r="DQ10" s="6">
        <f>DQ$1*'survival matrix'!DQ10</f>
        <v>0</v>
      </c>
      <c r="DR10" s="6">
        <f>DR$1*'survival matrix'!DR10</f>
        <v>0</v>
      </c>
      <c r="DS10" s="6">
        <f>DS$1*'survival matrix'!DS10</f>
        <v>0</v>
      </c>
      <c r="DT10" s="6">
        <f>DT$1*'survival matrix'!DT10</f>
        <v>0</v>
      </c>
      <c r="DU10" s="6">
        <f>DU$1*'survival matrix'!DU10</f>
        <v>0</v>
      </c>
      <c r="DV10" s="6">
        <f>DV$1*'survival matrix'!DV10</f>
        <v>0</v>
      </c>
      <c r="DW10" s="6">
        <f>DW$1*'survival matrix'!DW10</f>
        <v>0</v>
      </c>
      <c r="DX10" s="6">
        <f>DX$1*'survival matrix'!DX10</f>
        <v>0</v>
      </c>
      <c r="DY10" s="6">
        <f>DY$1*'survival matrix'!DY10</f>
        <v>0</v>
      </c>
      <c r="DZ10" s="6">
        <f>DZ$1*'survival matrix'!DZ10</f>
        <v>0</v>
      </c>
      <c r="EA10" s="6">
        <f>EA$1*'survival matrix'!EA10</f>
        <v>0</v>
      </c>
      <c r="EB10" s="6">
        <f>EB$1*'survival matrix'!EB10</f>
        <v>0</v>
      </c>
      <c r="EC10" s="6">
        <f>EC$1*'survival matrix'!EC10</f>
        <v>0</v>
      </c>
    </row>
    <row r="11" spans="1:133">
      <c r="A11" s="12">
        <f>'data input'!C11-B11</f>
        <v>119.42617101477663</v>
      </c>
      <c r="B11" s="14">
        <f t="shared" si="2"/>
        <v>29990.721885953273</v>
      </c>
      <c r="C11" s="11">
        <f>SUM(F11:EC11)</f>
        <v>148645.21152556248</v>
      </c>
      <c r="E11" s="7">
        <f>'data input'!B11</f>
        <v>1886</v>
      </c>
      <c r="F11" s="6">
        <f>F$1*'survival matrix'!F11</f>
        <v>3223.8996939559875</v>
      </c>
      <c r="G11" s="6">
        <f>G$1*'survival matrix'!G11</f>
        <v>6483.1846490768285</v>
      </c>
      <c r="H11" s="6">
        <f>H$1*'survival matrix'!H11</f>
        <v>9765.009606622998</v>
      </c>
      <c r="I11" s="6">
        <f>I$1*'survival matrix'!I11</f>
        <v>13078.721148026749</v>
      </c>
      <c r="J11" s="6">
        <f>J$1*'survival matrix'!J11</f>
        <v>16420.33375133088</v>
      </c>
      <c r="K11" s="6">
        <f>K$1*'survival matrix'!K11</f>
        <v>19789.512554566165</v>
      </c>
      <c r="L11" s="6">
        <f>L$1*'survival matrix'!L11</f>
        <v>23192.11869388483</v>
      </c>
      <c r="M11" s="6">
        <f>M$1*'survival matrix'!M11</f>
        <v>26622.92900072418</v>
      </c>
      <c r="N11" s="6">
        <f>N$1*'survival matrix'!N11</f>
        <v>30069.502427373856</v>
      </c>
      <c r="O11" s="6">
        <f>O$1*'survival matrix'!O11</f>
        <v>0</v>
      </c>
      <c r="P11" s="6">
        <f>P$1*'survival matrix'!P11</f>
        <v>0</v>
      </c>
      <c r="Q11" s="6">
        <f>Q$1*'survival matrix'!Q11</f>
        <v>0</v>
      </c>
      <c r="R11" s="6">
        <f>R$1*'survival matrix'!R11</f>
        <v>0</v>
      </c>
      <c r="S11" s="6">
        <f>S$1*'survival matrix'!S11</f>
        <v>0</v>
      </c>
      <c r="T11" s="6">
        <f>T$1*'survival matrix'!T11</f>
        <v>0</v>
      </c>
      <c r="U11" s="6">
        <f>U$1*'survival matrix'!U11</f>
        <v>0</v>
      </c>
      <c r="V11" s="6">
        <f>V$1*'survival matrix'!V11</f>
        <v>0</v>
      </c>
      <c r="W11" s="6">
        <f>W$1*'survival matrix'!W11</f>
        <v>0</v>
      </c>
      <c r="X11" s="6">
        <f>X$1*'survival matrix'!X11</f>
        <v>0</v>
      </c>
      <c r="Y11" s="6">
        <f>Y$1*'survival matrix'!Y11</f>
        <v>0</v>
      </c>
      <c r="Z11" s="6">
        <f>Z$1*'survival matrix'!Z11</f>
        <v>0</v>
      </c>
      <c r="AA11" s="6">
        <f>AA$1*'survival matrix'!AA11</f>
        <v>0</v>
      </c>
      <c r="AB11" s="6">
        <f>AB$1*'survival matrix'!AB11</f>
        <v>0</v>
      </c>
      <c r="AC11" s="6">
        <f>AC$1*'survival matrix'!AC11</f>
        <v>0</v>
      </c>
      <c r="AD11" s="6">
        <f>AD$1*'survival matrix'!AD11</f>
        <v>0</v>
      </c>
      <c r="AE11" s="6">
        <f>AE$1*'survival matrix'!AE11</f>
        <v>0</v>
      </c>
      <c r="AF11" s="6">
        <f>AF$1*'survival matrix'!AF11</f>
        <v>0</v>
      </c>
      <c r="AG11" s="6">
        <f>AG$1*'survival matrix'!AG11</f>
        <v>0</v>
      </c>
      <c r="AH11" s="6">
        <f>AH$1*'survival matrix'!AH11</f>
        <v>0</v>
      </c>
      <c r="AI11" s="6">
        <f>AI$1*'survival matrix'!AI11</f>
        <v>0</v>
      </c>
      <c r="AJ11" s="6">
        <f>AJ$1*'survival matrix'!AJ11</f>
        <v>0</v>
      </c>
      <c r="AK11" s="6">
        <f>AK$1*'survival matrix'!AK11</f>
        <v>0</v>
      </c>
      <c r="AL11" s="6">
        <f>AL$1*'survival matrix'!AL11</f>
        <v>0</v>
      </c>
      <c r="AM11" s="6">
        <f>AM$1*'survival matrix'!AM11</f>
        <v>0</v>
      </c>
      <c r="AN11" s="6">
        <f>AN$1*'survival matrix'!AN11</f>
        <v>0</v>
      </c>
      <c r="AO11" s="6">
        <f>AO$1*'survival matrix'!AO11</f>
        <v>0</v>
      </c>
      <c r="AP11" s="6">
        <f>AP$1*'survival matrix'!AP11</f>
        <v>0</v>
      </c>
      <c r="AQ11" s="6">
        <f>AQ$1*'survival matrix'!AQ11</f>
        <v>0</v>
      </c>
      <c r="AR11" s="6">
        <f>AR$1*'survival matrix'!AR11</f>
        <v>0</v>
      </c>
      <c r="AS11" s="6">
        <f>AS$1*'survival matrix'!AS11</f>
        <v>0</v>
      </c>
      <c r="AT11" s="6">
        <f>AT$1*'survival matrix'!AT11</f>
        <v>0</v>
      </c>
      <c r="AU11" s="6">
        <f>AU$1*'survival matrix'!AU11</f>
        <v>0</v>
      </c>
      <c r="AV11" s="6">
        <f>AV$1*'survival matrix'!AV11</f>
        <v>0</v>
      </c>
      <c r="AW11" s="6">
        <f>AW$1*'survival matrix'!AW11</f>
        <v>0</v>
      </c>
      <c r="AX11" s="6">
        <f>AX$1*'survival matrix'!AX11</f>
        <v>0</v>
      </c>
      <c r="AY11" s="6">
        <f>AY$1*'survival matrix'!AY11</f>
        <v>0</v>
      </c>
      <c r="AZ11" s="6">
        <f>AZ$1*'survival matrix'!AZ11</f>
        <v>0</v>
      </c>
      <c r="BA11" s="6">
        <f>BA$1*'survival matrix'!BA11</f>
        <v>0</v>
      </c>
      <c r="BB11" s="6">
        <f>BB$1*'survival matrix'!BB11</f>
        <v>0</v>
      </c>
      <c r="BC11" s="6">
        <f>BC$1*'survival matrix'!BC11</f>
        <v>0</v>
      </c>
      <c r="BD11" s="6">
        <f>BD$1*'survival matrix'!BD11</f>
        <v>0</v>
      </c>
      <c r="BE11" s="6">
        <f>BE$1*'survival matrix'!BE11</f>
        <v>0</v>
      </c>
      <c r="BF11" s="6">
        <f>BF$1*'survival matrix'!BF11</f>
        <v>0</v>
      </c>
      <c r="BG11" s="6">
        <f>BG$1*'survival matrix'!BG11</f>
        <v>0</v>
      </c>
      <c r="BH11" s="6">
        <f>BH$1*'survival matrix'!BH11</f>
        <v>0</v>
      </c>
      <c r="BI11" s="6">
        <f>BI$1*'survival matrix'!BI11</f>
        <v>0</v>
      </c>
      <c r="BJ11" s="6">
        <f>BJ$1*'survival matrix'!BJ11</f>
        <v>0</v>
      </c>
      <c r="BK11" s="6">
        <f>BK$1*'survival matrix'!BK11</f>
        <v>0</v>
      </c>
      <c r="BL11" s="6">
        <f>BL$1*'survival matrix'!BL11</f>
        <v>0</v>
      </c>
      <c r="BM11" s="6">
        <f>BM$1*'survival matrix'!BM11</f>
        <v>0</v>
      </c>
      <c r="BN11" s="6">
        <f>BN$1*'survival matrix'!BN11</f>
        <v>0</v>
      </c>
      <c r="BO11" s="6">
        <f>BO$1*'survival matrix'!BO11</f>
        <v>0</v>
      </c>
      <c r="BP11" s="6">
        <f>BP$1*'survival matrix'!BP11</f>
        <v>0</v>
      </c>
      <c r="BQ11" s="6">
        <f>BQ$1*'survival matrix'!BQ11</f>
        <v>0</v>
      </c>
      <c r="BR11" s="6">
        <f>BR$1*'survival matrix'!BR11</f>
        <v>0</v>
      </c>
      <c r="BS11" s="6">
        <f>BS$1*'survival matrix'!BS11</f>
        <v>0</v>
      </c>
      <c r="BT11" s="6">
        <f>BT$1*'survival matrix'!BT11</f>
        <v>0</v>
      </c>
      <c r="BU11" s="6">
        <f>BU$1*'survival matrix'!BU11</f>
        <v>0</v>
      </c>
      <c r="BV11" s="6">
        <f>BV$1*'survival matrix'!BV11</f>
        <v>0</v>
      </c>
      <c r="BW11" s="6">
        <f>BW$1*'survival matrix'!BW11</f>
        <v>0</v>
      </c>
      <c r="BX11" s="6">
        <f>BX$1*'survival matrix'!BX11</f>
        <v>0</v>
      </c>
      <c r="BY11" s="6">
        <f>BY$1*'survival matrix'!BY11</f>
        <v>0</v>
      </c>
      <c r="BZ11" s="6">
        <f>BZ$1*'survival matrix'!BZ11</f>
        <v>0</v>
      </c>
      <c r="CA11" s="6">
        <f>CA$1*'survival matrix'!CA11</f>
        <v>0</v>
      </c>
      <c r="CB11" s="6">
        <f>CB$1*'survival matrix'!CB11</f>
        <v>0</v>
      </c>
      <c r="CC11" s="6">
        <f>CC$1*'survival matrix'!CC11</f>
        <v>0</v>
      </c>
      <c r="CD11" s="6">
        <f>CD$1*'survival matrix'!CD11</f>
        <v>0</v>
      </c>
      <c r="CE11" s="6">
        <f>CE$1*'survival matrix'!CE11</f>
        <v>0</v>
      </c>
      <c r="CF11" s="6">
        <f>CF$1*'survival matrix'!CF11</f>
        <v>0</v>
      </c>
      <c r="CG11" s="6">
        <f>CG$1*'survival matrix'!CG11</f>
        <v>0</v>
      </c>
      <c r="CH11" s="6">
        <f>CH$1*'survival matrix'!CH11</f>
        <v>0</v>
      </c>
      <c r="CI11" s="6">
        <f>CI$1*'survival matrix'!CI11</f>
        <v>0</v>
      </c>
      <c r="CJ11" s="6">
        <f>CJ$1*'survival matrix'!CJ11</f>
        <v>0</v>
      </c>
      <c r="CK11" s="6">
        <f>CK$1*'survival matrix'!CK11</f>
        <v>0</v>
      </c>
      <c r="CL11" s="6">
        <f>CL$1*'survival matrix'!CL11</f>
        <v>0</v>
      </c>
      <c r="CM11" s="6">
        <f>CM$1*'survival matrix'!CM11</f>
        <v>0</v>
      </c>
      <c r="CN11" s="6">
        <f>CN$1*'survival matrix'!CN11</f>
        <v>0</v>
      </c>
      <c r="CO11" s="6">
        <f>CO$1*'survival matrix'!CO11</f>
        <v>0</v>
      </c>
      <c r="CP11" s="6">
        <f>CP$1*'survival matrix'!CP11</f>
        <v>0</v>
      </c>
      <c r="CQ11" s="6">
        <f>CQ$1*'survival matrix'!CQ11</f>
        <v>0</v>
      </c>
      <c r="CR11" s="6">
        <f>CR$1*'survival matrix'!CR11</f>
        <v>0</v>
      </c>
      <c r="CS11" s="6">
        <f>CS$1*'survival matrix'!CS11</f>
        <v>0</v>
      </c>
      <c r="CT11" s="6">
        <f>CT$1*'survival matrix'!CT11</f>
        <v>0</v>
      </c>
      <c r="CU11" s="6">
        <f>CU$1*'survival matrix'!CU11</f>
        <v>0</v>
      </c>
      <c r="CV11" s="6">
        <f>CV$1*'survival matrix'!CV11</f>
        <v>0</v>
      </c>
      <c r="CW11" s="6">
        <f>CW$1*'survival matrix'!CW11</f>
        <v>0</v>
      </c>
      <c r="CX11" s="6">
        <f>CX$1*'survival matrix'!CX11</f>
        <v>0</v>
      </c>
      <c r="CY11" s="6">
        <f>CY$1*'survival matrix'!CY11</f>
        <v>0</v>
      </c>
      <c r="CZ11" s="6">
        <f>CZ$1*'survival matrix'!CZ11</f>
        <v>0</v>
      </c>
      <c r="DA11" s="6">
        <f>DA$1*'survival matrix'!DA11</f>
        <v>0</v>
      </c>
      <c r="DB11" s="6">
        <f>DB$1*'survival matrix'!DB11</f>
        <v>0</v>
      </c>
      <c r="DC11" s="6">
        <f>DC$1*'survival matrix'!DC11</f>
        <v>0</v>
      </c>
      <c r="DD11" s="6">
        <f>DD$1*'survival matrix'!DD11</f>
        <v>0</v>
      </c>
      <c r="DE11" s="6">
        <f>DE$1*'survival matrix'!DE11</f>
        <v>0</v>
      </c>
      <c r="DF11" s="6">
        <f>DF$1*'survival matrix'!DF11</f>
        <v>0</v>
      </c>
      <c r="DG11" s="6">
        <f>DG$1*'survival matrix'!DG11</f>
        <v>0</v>
      </c>
      <c r="DH11" s="6">
        <f>DH$1*'survival matrix'!DH11</f>
        <v>0</v>
      </c>
      <c r="DI11" s="6">
        <f>DI$1*'survival matrix'!DI11</f>
        <v>0</v>
      </c>
      <c r="DJ11" s="6">
        <f>DJ$1*'survival matrix'!DJ11</f>
        <v>0</v>
      </c>
      <c r="DK11" s="6">
        <f>DK$1*'survival matrix'!DK11</f>
        <v>0</v>
      </c>
      <c r="DL11" s="6">
        <f>DL$1*'survival matrix'!DL11</f>
        <v>0</v>
      </c>
      <c r="DM11" s="6">
        <f>DM$1*'survival matrix'!DM11</f>
        <v>0</v>
      </c>
      <c r="DN11" s="6">
        <f>DN$1*'survival matrix'!DN11</f>
        <v>0</v>
      </c>
      <c r="DO11" s="6">
        <f>DO$1*'survival matrix'!DO11</f>
        <v>0</v>
      </c>
      <c r="DP11" s="6">
        <f>DP$1*'survival matrix'!DP11</f>
        <v>0</v>
      </c>
      <c r="DQ11" s="6">
        <f>DQ$1*'survival matrix'!DQ11</f>
        <v>0</v>
      </c>
      <c r="DR11" s="6">
        <f>DR$1*'survival matrix'!DR11</f>
        <v>0</v>
      </c>
      <c r="DS11" s="6">
        <f>DS$1*'survival matrix'!DS11</f>
        <v>0</v>
      </c>
      <c r="DT11" s="6">
        <f>DT$1*'survival matrix'!DT11</f>
        <v>0</v>
      </c>
      <c r="DU11" s="6">
        <f>DU$1*'survival matrix'!DU11</f>
        <v>0</v>
      </c>
      <c r="DV11" s="6">
        <f>DV$1*'survival matrix'!DV11</f>
        <v>0</v>
      </c>
      <c r="DW11" s="6">
        <f>DW$1*'survival matrix'!DW11</f>
        <v>0</v>
      </c>
      <c r="DX11" s="6">
        <f>DX$1*'survival matrix'!DX11</f>
        <v>0</v>
      </c>
      <c r="DY11" s="6">
        <f>DY$1*'survival matrix'!DY11</f>
        <v>0</v>
      </c>
      <c r="DZ11" s="6">
        <f>DZ$1*'survival matrix'!DZ11</f>
        <v>0</v>
      </c>
      <c r="EA11" s="6">
        <f>EA$1*'survival matrix'!EA11</f>
        <v>0</v>
      </c>
      <c r="EB11" s="6">
        <f>EB$1*'survival matrix'!EB11</f>
        <v>0</v>
      </c>
      <c r="EC11" s="6">
        <f>EC$1*'survival matrix'!EC11</f>
        <v>0</v>
      </c>
    </row>
    <row r="12" spans="1:133">
      <c r="A12" s="12">
        <f>'data input'!C12-B12</f>
        <v>152.87795162964903</v>
      </c>
      <c r="B12" s="14">
        <f t="shared" si="2"/>
        <v>33406.956566632754</v>
      </c>
      <c r="C12" s="11">
        <f>SUM(F12:EC12)</f>
        <v>182052.16809219524</v>
      </c>
      <c r="E12" s="7">
        <f>'data input'!B12</f>
        <v>1887</v>
      </c>
      <c r="F12" s="6">
        <f>F$1*'survival matrix'!F12</f>
        <v>3217.92374629503</v>
      </c>
      <c r="G12" s="6">
        <f>G$1*'survival matrix'!G12</f>
        <v>6473.1614740298464</v>
      </c>
      <c r="H12" s="6">
        <f>H$1*'survival matrix'!H12</f>
        <v>9752.4852889529902</v>
      </c>
      <c r="I12" s="6">
        <f>I$1*'survival matrix'!I12</f>
        <v>13064.880165717857</v>
      </c>
      <c r="J12" s="6">
        <f>J$1*'survival matrix'!J12</f>
        <v>16406.072928303005</v>
      </c>
      <c r="K12" s="6">
        <f>K$1*'survival matrix'!K12</f>
        <v>19775.484859831293</v>
      </c>
      <c r="L12" s="6">
        <f>L$1*'survival matrix'!L12</f>
        <v>23178.77437323744</v>
      </c>
      <c r="M12" s="6">
        <f>M$1*'survival matrix'!M12</f>
        <v>26610.563174549836</v>
      </c>
      <c r="N12" s="6">
        <f>N$1*'survival matrix'!N12</f>
        <v>30058.289917573558</v>
      </c>
      <c r="O12" s="6">
        <f>O$1*'survival matrix'!O12</f>
        <v>33514.532163704367</v>
      </c>
      <c r="P12" s="6">
        <f>P$1*'survival matrix'!P12</f>
        <v>0</v>
      </c>
      <c r="Q12" s="6">
        <f>Q$1*'survival matrix'!Q12</f>
        <v>0</v>
      </c>
      <c r="R12" s="6">
        <f>R$1*'survival matrix'!R12</f>
        <v>0</v>
      </c>
      <c r="S12" s="6">
        <f>S$1*'survival matrix'!S12</f>
        <v>0</v>
      </c>
      <c r="T12" s="6">
        <f>T$1*'survival matrix'!T12</f>
        <v>0</v>
      </c>
      <c r="U12" s="6">
        <f>U$1*'survival matrix'!U12</f>
        <v>0</v>
      </c>
      <c r="V12" s="6">
        <f>V$1*'survival matrix'!V12</f>
        <v>0</v>
      </c>
      <c r="W12" s="6">
        <f>W$1*'survival matrix'!W12</f>
        <v>0</v>
      </c>
      <c r="X12" s="6">
        <f>X$1*'survival matrix'!X12</f>
        <v>0</v>
      </c>
      <c r="Y12" s="6">
        <f>Y$1*'survival matrix'!Y12</f>
        <v>0</v>
      </c>
      <c r="Z12" s="6">
        <f>Z$1*'survival matrix'!Z12</f>
        <v>0</v>
      </c>
      <c r="AA12" s="6">
        <f>AA$1*'survival matrix'!AA12</f>
        <v>0</v>
      </c>
      <c r="AB12" s="6">
        <f>AB$1*'survival matrix'!AB12</f>
        <v>0</v>
      </c>
      <c r="AC12" s="6">
        <f>AC$1*'survival matrix'!AC12</f>
        <v>0</v>
      </c>
      <c r="AD12" s="6">
        <f>AD$1*'survival matrix'!AD12</f>
        <v>0</v>
      </c>
      <c r="AE12" s="6">
        <f>AE$1*'survival matrix'!AE12</f>
        <v>0</v>
      </c>
      <c r="AF12" s="6">
        <f>AF$1*'survival matrix'!AF12</f>
        <v>0</v>
      </c>
      <c r="AG12" s="6">
        <f>AG$1*'survival matrix'!AG12</f>
        <v>0</v>
      </c>
      <c r="AH12" s="6">
        <f>AH$1*'survival matrix'!AH12</f>
        <v>0</v>
      </c>
      <c r="AI12" s="6">
        <f>AI$1*'survival matrix'!AI12</f>
        <v>0</v>
      </c>
      <c r="AJ12" s="6">
        <f>AJ$1*'survival matrix'!AJ12</f>
        <v>0</v>
      </c>
      <c r="AK12" s="6">
        <f>AK$1*'survival matrix'!AK12</f>
        <v>0</v>
      </c>
      <c r="AL12" s="6">
        <f>AL$1*'survival matrix'!AL12</f>
        <v>0</v>
      </c>
      <c r="AM12" s="6">
        <f>AM$1*'survival matrix'!AM12</f>
        <v>0</v>
      </c>
      <c r="AN12" s="6">
        <f>AN$1*'survival matrix'!AN12</f>
        <v>0</v>
      </c>
      <c r="AO12" s="6">
        <f>AO$1*'survival matrix'!AO12</f>
        <v>0</v>
      </c>
      <c r="AP12" s="6">
        <f>AP$1*'survival matrix'!AP12</f>
        <v>0</v>
      </c>
      <c r="AQ12" s="6">
        <f>AQ$1*'survival matrix'!AQ12</f>
        <v>0</v>
      </c>
      <c r="AR12" s="6">
        <f>AR$1*'survival matrix'!AR12</f>
        <v>0</v>
      </c>
      <c r="AS12" s="6">
        <f>AS$1*'survival matrix'!AS12</f>
        <v>0</v>
      </c>
      <c r="AT12" s="6">
        <f>AT$1*'survival matrix'!AT12</f>
        <v>0</v>
      </c>
      <c r="AU12" s="6">
        <f>AU$1*'survival matrix'!AU12</f>
        <v>0</v>
      </c>
      <c r="AV12" s="6">
        <f>AV$1*'survival matrix'!AV12</f>
        <v>0</v>
      </c>
      <c r="AW12" s="6">
        <f>AW$1*'survival matrix'!AW12</f>
        <v>0</v>
      </c>
      <c r="AX12" s="6">
        <f>AX$1*'survival matrix'!AX12</f>
        <v>0</v>
      </c>
      <c r="AY12" s="6">
        <f>AY$1*'survival matrix'!AY12</f>
        <v>0</v>
      </c>
      <c r="AZ12" s="6">
        <f>AZ$1*'survival matrix'!AZ12</f>
        <v>0</v>
      </c>
      <c r="BA12" s="6">
        <f>BA$1*'survival matrix'!BA12</f>
        <v>0</v>
      </c>
      <c r="BB12" s="6">
        <f>BB$1*'survival matrix'!BB12</f>
        <v>0</v>
      </c>
      <c r="BC12" s="6">
        <f>BC$1*'survival matrix'!BC12</f>
        <v>0</v>
      </c>
      <c r="BD12" s="6">
        <f>BD$1*'survival matrix'!BD12</f>
        <v>0</v>
      </c>
      <c r="BE12" s="6">
        <f>BE$1*'survival matrix'!BE12</f>
        <v>0</v>
      </c>
      <c r="BF12" s="6">
        <f>BF$1*'survival matrix'!BF12</f>
        <v>0</v>
      </c>
      <c r="BG12" s="6">
        <f>BG$1*'survival matrix'!BG12</f>
        <v>0</v>
      </c>
      <c r="BH12" s="6">
        <f>BH$1*'survival matrix'!BH12</f>
        <v>0</v>
      </c>
      <c r="BI12" s="6">
        <f>BI$1*'survival matrix'!BI12</f>
        <v>0</v>
      </c>
      <c r="BJ12" s="6">
        <f>BJ$1*'survival matrix'!BJ12</f>
        <v>0</v>
      </c>
      <c r="BK12" s="6">
        <f>BK$1*'survival matrix'!BK12</f>
        <v>0</v>
      </c>
      <c r="BL12" s="6">
        <f>BL$1*'survival matrix'!BL12</f>
        <v>0</v>
      </c>
      <c r="BM12" s="6">
        <f>BM$1*'survival matrix'!BM12</f>
        <v>0</v>
      </c>
      <c r="BN12" s="6">
        <f>BN$1*'survival matrix'!BN12</f>
        <v>0</v>
      </c>
      <c r="BO12" s="6">
        <f>BO$1*'survival matrix'!BO12</f>
        <v>0</v>
      </c>
      <c r="BP12" s="6">
        <f>BP$1*'survival matrix'!BP12</f>
        <v>0</v>
      </c>
      <c r="BQ12" s="6">
        <f>BQ$1*'survival matrix'!BQ12</f>
        <v>0</v>
      </c>
      <c r="BR12" s="6">
        <f>BR$1*'survival matrix'!BR12</f>
        <v>0</v>
      </c>
      <c r="BS12" s="6">
        <f>BS$1*'survival matrix'!BS12</f>
        <v>0</v>
      </c>
      <c r="BT12" s="6">
        <f>BT$1*'survival matrix'!BT12</f>
        <v>0</v>
      </c>
      <c r="BU12" s="6">
        <f>BU$1*'survival matrix'!BU12</f>
        <v>0</v>
      </c>
      <c r="BV12" s="6">
        <f>BV$1*'survival matrix'!BV12</f>
        <v>0</v>
      </c>
      <c r="BW12" s="6">
        <f>BW$1*'survival matrix'!BW12</f>
        <v>0</v>
      </c>
      <c r="BX12" s="6">
        <f>BX$1*'survival matrix'!BX12</f>
        <v>0</v>
      </c>
      <c r="BY12" s="6">
        <f>BY$1*'survival matrix'!BY12</f>
        <v>0</v>
      </c>
      <c r="BZ12" s="6">
        <f>BZ$1*'survival matrix'!BZ12</f>
        <v>0</v>
      </c>
      <c r="CA12" s="6">
        <f>CA$1*'survival matrix'!CA12</f>
        <v>0</v>
      </c>
      <c r="CB12" s="6">
        <f>CB$1*'survival matrix'!CB12</f>
        <v>0</v>
      </c>
      <c r="CC12" s="6">
        <f>CC$1*'survival matrix'!CC12</f>
        <v>0</v>
      </c>
      <c r="CD12" s="6">
        <f>CD$1*'survival matrix'!CD12</f>
        <v>0</v>
      </c>
      <c r="CE12" s="6">
        <f>CE$1*'survival matrix'!CE12</f>
        <v>0</v>
      </c>
      <c r="CF12" s="6">
        <f>CF$1*'survival matrix'!CF12</f>
        <v>0</v>
      </c>
      <c r="CG12" s="6">
        <f>CG$1*'survival matrix'!CG12</f>
        <v>0</v>
      </c>
      <c r="CH12" s="6">
        <f>CH$1*'survival matrix'!CH12</f>
        <v>0</v>
      </c>
      <c r="CI12" s="6">
        <f>CI$1*'survival matrix'!CI12</f>
        <v>0</v>
      </c>
      <c r="CJ12" s="6">
        <f>CJ$1*'survival matrix'!CJ12</f>
        <v>0</v>
      </c>
      <c r="CK12" s="6">
        <f>CK$1*'survival matrix'!CK12</f>
        <v>0</v>
      </c>
      <c r="CL12" s="6">
        <f>CL$1*'survival matrix'!CL12</f>
        <v>0</v>
      </c>
      <c r="CM12" s="6">
        <f>CM$1*'survival matrix'!CM12</f>
        <v>0</v>
      </c>
      <c r="CN12" s="6">
        <f>CN$1*'survival matrix'!CN12</f>
        <v>0</v>
      </c>
      <c r="CO12" s="6">
        <f>CO$1*'survival matrix'!CO12</f>
        <v>0</v>
      </c>
      <c r="CP12" s="6">
        <f>CP$1*'survival matrix'!CP12</f>
        <v>0</v>
      </c>
      <c r="CQ12" s="6">
        <f>CQ$1*'survival matrix'!CQ12</f>
        <v>0</v>
      </c>
      <c r="CR12" s="6">
        <f>CR$1*'survival matrix'!CR12</f>
        <v>0</v>
      </c>
      <c r="CS12" s="6">
        <f>CS$1*'survival matrix'!CS12</f>
        <v>0</v>
      </c>
      <c r="CT12" s="6">
        <f>CT$1*'survival matrix'!CT12</f>
        <v>0</v>
      </c>
      <c r="CU12" s="6">
        <f>CU$1*'survival matrix'!CU12</f>
        <v>0</v>
      </c>
      <c r="CV12" s="6">
        <f>CV$1*'survival matrix'!CV12</f>
        <v>0</v>
      </c>
      <c r="CW12" s="6">
        <f>CW$1*'survival matrix'!CW12</f>
        <v>0</v>
      </c>
      <c r="CX12" s="6">
        <f>CX$1*'survival matrix'!CX12</f>
        <v>0</v>
      </c>
      <c r="CY12" s="6">
        <f>CY$1*'survival matrix'!CY12</f>
        <v>0</v>
      </c>
      <c r="CZ12" s="6">
        <f>CZ$1*'survival matrix'!CZ12</f>
        <v>0</v>
      </c>
      <c r="DA12" s="6">
        <f>DA$1*'survival matrix'!DA12</f>
        <v>0</v>
      </c>
      <c r="DB12" s="6">
        <f>DB$1*'survival matrix'!DB12</f>
        <v>0</v>
      </c>
      <c r="DC12" s="6">
        <f>DC$1*'survival matrix'!DC12</f>
        <v>0</v>
      </c>
      <c r="DD12" s="6">
        <f>DD$1*'survival matrix'!DD12</f>
        <v>0</v>
      </c>
      <c r="DE12" s="6">
        <f>DE$1*'survival matrix'!DE12</f>
        <v>0</v>
      </c>
      <c r="DF12" s="6">
        <f>DF$1*'survival matrix'!DF12</f>
        <v>0</v>
      </c>
      <c r="DG12" s="6">
        <f>DG$1*'survival matrix'!DG12</f>
        <v>0</v>
      </c>
      <c r="DH12" s="6">
        <f>DH$1*'survival matrix'!DH12</f>
        <v>0</v>
      </c>
      <c r="DI12" s="6">
        <f>DI$1*'survival matrix'!DI12</f>
        <v>0</v>
      </c>
      <c r="DJ12" s="6">
        <f>DJ$1*'survival matrix'!DJ12</f>
        <v>0</v>
      </c>
      <c r="DK12" s="6">
        <f>DK$1*'survival matrix'!DK12</f>
        <v>0</v>
      </c>
      <c r="DL12" s="6">
        <f>DL$1*'survival matrix'!DL12</f>
        <v>0</v>
      </c>
      <c r="DM12" s="6">
        <f>DM$1*'survival matrix'!DM12</f>
        <v>0</v>
      </c>
      <c r="DN12" s="6">
        <f>DN$1*'survival matrix'!DN12</f>
        <v>0</v>
      </c>
      <c r="DO12" s="6">
        <f>DO$1*'survival matrix'!DO12</f>
        <v>0</v>
      </c>
      <c r="DP12" s="6">
        <f>DP$1*'survival matrix'!DP12</f>
        <v>0</v>
      </c>
      <c r="DQ12" s="6">
        <f>DQ$1*'survival matrix'!DQ12</f>
        <v>0</v>
      </c>
      <c r="DR12" s="6">
        <f>DR$1*'survival matrix'!DR12</f>
        <v>0</v>
      </c>
      <c r="DS12" s="6">
        <f>DS$1*'survival matrix'!DS12</f>
        <v>0</v>
      </c>
      <c r="DT12" s="6">
        <f>DT$1*'survival matrix'!DT12</f>
        <v>0</v>
      </c>
      <c r="DU12" s="6">
        <f>DU$1*'survival matrix'!DU12</f>
        <v>0</v>
      </c>
      <c r="DV12" s="6">
        <f>DV$1*'survival matrix'!DV12</f>
        <v>0</v>
      </c>
      <c r="DW12" s="6">
        <f>DW$1*'survival matrix'!DW12</f>
        <v>0</v>
      </c>
      <c r="DX12" s="6">
        <f>DX$1*'survival matrix'!DX12</f>
        <v>0</v>
      </c>
      <c r="DY12" s="6">
        <f>DY$1*'survival matrix'!DY12</f>
        <v>0</v>
      </c>
      <c r="DZ12" s="6">
        <f>DZ$1*'survival matrix'!DZ12</f>
        <v>0</v>
      </c>
      <c r="EA12" s="6">
        <f>EA$1*'survival matrix'!EA12</f>
        <v>0</v>
      </c>
      <c r="EB12" s="6">
        <f>EB$1*'survival matrix'!EB12</f>
        <v>0</v>
      </c>
      <c r="EC12" s="6">
        <f>EC$1*'survival matrix'!EC12</f>
        <v>0</v>
      </c>
    </row>
    <row r="13" spans="1:133">
      <c r="A13" s="12">
        <f>'data input'!C13-B13</f>
        <v>193.67262622752605</v>
      </c>
      <c r="B13" s="14">
        <f t="shared" si="2"/>
        <v>36837.804067721416</v>
      </c>
      <c r="C13" s="11">
        <f>SUM(F13:EC13)</f>
        <v>218889.97215991665</v>
      </c>
      <c r="E13" s="7">
        <f>'data input'!B13</f>
        <v>1888</v>
      </c>
      <c r="F13" s="6">
        <f>F$1*'survival matrix'!F13</f>
        <v>3210.8099502185833</v>
      </c>
      <c r="G13" s="6">
        <f>G$1*'survival matrix'!G13</f>
        <v>6461.1625665445272</v>
      </c>
      <c r="H13" s="6">
        <f>H$1*'survival matrix'!H13</f>
        <v>9737.4076885936975</v>
      </c>
      <c r="I13" s="6">
        <f>I$1*'survival matrix'!I13</f>
        <v>13048.123529922532</v>
      </c>
      <c r="J13" s="6">
        <f>J$1*'survival matrix'!J13</f>
        <v>16388.71066768219</v>
      </c>
      <c r="K13" s="6">
        <f>K$1*'survival matrix'!K13</f>
        <v>19758.310136457989</v>
      </c>
      <c r="L13" s="6">
        <f>L$1*'survival matrix'!L13</f>
        <v>23162.344217601232</v>
      </c>
      <c r="M13" s="6">
        <f>M$1*'survival matrix'!M13</f>
        <v>26595.251943510713</v>
      </c>
      <c r="N13" s="6">
        <f>N$1*'survival matrix'!N13</f>
        <v>30044.328433913786</v>
      </c>
      <c r="O13" s="6">
        <f>O$1*'survival matrix'!O13</f>
        <v>33502.035049019956</v>
      </c>
      <c r="P13" s="6">
        <f>P$1*'survival matrix'!P13</f>
        <v>36981.487976451426</v>
      </c>
      <c r="Q13" s="6">
        <f>Q$1*'survival matrix'!Q13</f>
        <v>0</v>
      </c>
      <c r="R13" s="6">
        <f>R$1*'survival matrix'!R13</f>
        <v>0</v>
      </c>
      <c r="S13" s="6">
        <f>S$1*'survival matrix'!S13</f>
        <v>0</v>
      </c>
      <c r="T13" s="6">
        <f>T$1*'survival matrix'!T13</f>
        <v>0</v>
      </c>
      <c r="U13" s="6">
        <f>U$1*'survival matrix'!U13</f>
        <v>0</v>
      </c>
      <c r="V13" s="6">
        <f>V$1*'survival matrix'!V13</f>
        <v>0</v>
      </c>
      <c r="W13" s="6">
        <f>W$1*'survival matrix'!W13</f>
        <v>0</v>
      </c>
      <c r="X13" s="6">
        <f>X$1*'survival matrix'!X13</f>
        <v>0</v>
      </c>
      <c r="Y13" s="6">
        <f>Y$1*'survival matrix'!Y13</f>
        <v>0</v>
      </c>
      <c r="Z13" s="6">
        <f>Z$1*'survival matrix'!Z13</f>
        <v>0</v>
      </c>
      <c r="AA13" s="6">
        <f>AA$1*'survival matrix'!AA13</f>
        <v>0</v>
      </c>
      <c r="AB13" s="6">
        <f>AB$1*'survival matrix'!AB13</f>
        <v>0</v>
      </c>
      <c r="AC13" s="6">
        <f>AC$1*'survival matrix'!AC13</f>
        <v>0</v>
      </c>
      <c r="AD13" s="6">
        <f>AD$1*'survival matrix'!AD13</f>
        <v>0</v>
      </c>
      <c r="AE13" s="6">
        <f>AE$1*'survival matrix'!AE13</f>
        <v>0</v>
      </c>
      <c r="AF13" s="6">
        <f>AF$1*'survival matrix'!AF13</f>
        <v>0</v>
      </c>
      <c r="AG13" s="6">
        <f>AG$1*'survival matrix'!AG13</f>
        <v>0</v>
      </c>
      <c r="AH13" s="6">
        <f>AH$1*'survival matrix'!AH13</f>
        <v>0</v>
      </c>
      <c r="AI13" s="6">
        <f>AI$1*'survival matrix'!AI13</f>
        <v>0</v>
      </c>
      <c r="AJ13" s="6">
        <f>AJ$1*'survival matrix'!AJ13</f>
        <v>0</v>
      </c>
      <c r="AK13" s="6">
        <f>AK$1*'survival matrix'!AK13</f>
        <v>0</v>
      </c>
      <c r="AL13" s="6">
        <f>AL$1*'survival matrix'!AL13</f>
        <v>0</v>
      </c>
      <c r="AM13" s="6">
        <f>AM$1*'survival matrix'!AM13</f>
        <v>0</v>
      </c>
      <c r="AN13" s="6">
        <f>AN$1*'survival matrix'!AN13</f>
        <v>0</v>
      </c>
      <c r="AO13" s="6">
        <f>AO$1*'survival matrix'!AO13</f>
        <v>0</v>
      </c>
      <c r="AP13" s="6">
        <f>AP$1*'survival matrix'!AP13</f>
        <v>0</v>
      </c>
      <c r="AQ13" s="6">
        <f>AQ$1*'survival matrix'!AQ13</f>
        <v>0</v>
      </c>
      <c r="AR13" s="6">
        <f>AR$1*'survival matrix'!AR13</f>
        <v>0</v>
      </c>
      <c r="AS13" s="6">
        <f>AS$1*'survival matrix'!AS13</f>
        <v>0</v>
      </c>
      <c r="AT13" s="6">
        <f>AT$1*'survival matrix'!AT13</f>
        <v>0</v>
      </c>
      <c r="AU13" s="6">
        <f>AU$1*'survival matrix'!AU13</f>
        <v>0</v>
      </c>
      <c r="AV13" s="6">
        <f>AV$1*'survival matrix'!AV13</f>
        <v>0</v>
      </c>
      <c r="AW13" s="6">
        <f>AW$1*'survival matrix'!AW13</f>
        <v>0</v>
      </c>
      <c r="AX13" s="6">
        <f>AX$1*'survival matrix'!AX13</f>
        <v>0</v>
      </c>
      <c r="AY13" s="6">
        <f>AY$1*'survival matrix'!AY13</f>
        <v>0</v>
      </c>
      <c r="AZ13" s="6">
        <f>AZ$1*'survival matrix'!AZ13</f>
        <v>0</v>
      </c>
      <c r="BA13" s="6">
        <f>BA$1*'survival matrix'!BA13</f>
        <v>0</v>
      </c>
      <c r="BB13" s="6">
        <f>BB$1*'survival matrix'!BB13</f>
        <v>0</v>
      </c>
      <c r="BC13" s="6">
        <f>BC$1*'survival matrix'!BC13</f>
        <v>0</v>
      </c>
      <c r="BD13" s="6">
        <f>BD$1*'survival matrix'!BD13</f>
        <v>0</v>
      </c>
      <c r="BE13" s="6">
        <f>BE$1*'survival matrix'!BE13</f>
        <v>0</v>
      </c>
      <c r="BF13" s="6">
        <f>BF$1*'survival matrix'!BF13</f>
        <v>0</v>
      </c>
      <c r="BG13" s="6">
        <f>BG$1*'survival matrix'!BG13</f>
        <v>0</v>
      </c>
      <c r="BH13" s="6">
        <f>BH$1*'survival matrix'!BH13</f>
        <v>0</v>
      </c>
      <c r="BI13" s="6">
        <f>BI$1*'survival matrix'!BI13</f>
        <v>0</v>
      </c>
      <c r="BJ13" s="6">
        <f>BJ$1*'survival matrix'!BJ13</f>
        <v>0</v>
      </c>
      <c r="BK13" s="6">
        <f>BK$1*'survival matrix'!BK13</f>
        <v>0</v>
      </c>
      <c r="BL13" s="6">
        <f>BL$1*'survival matrix'!BL13</f>
        <v>0</v>
      </c>
      <c r="BM13" s="6">
        <f>BM$1*'survival matrix'!BM13</f>
        <v>0</v>
      </c>
      <c r="BN13" s="6">
        <f>BN$1*'survival matrix'!BN13</f>
        <v>0</v>
      </c>
      <c r="BO13" s="6">
        <f>BO$1*'survival matrix'!BO13</f>
        <v>0</v>
      </c>
      <c r="BP13" s="6">
        <f>BP$1*'survival matrix'!BP13</f>
        <v>0</v>
      </c>
      <c r="BQ13" s="6">
        <f>BQ$1*'survival matrix'!BQ13</f>
        <v>0</v>
      </c>
      <c r="BR13" s="6">
        <f>BR$1*'survival matrix'!BR13</f>
        <v>0</v>
      </c>
      <c r="BS13" s="6">
        <f>BS$1*'survival matrix'!BS13</f>
        <v>0</v>
      </c>
      <c r="BT13" s="6">
        <f>BT$1*'survival matrix'!BT13</f>
        <v>0</v>
      </c>
      <c r="BU13" s="6">
        <f>BU$1*'survival matrix'!BU13</f>
        <v>0</v>
      </c>
      <c r="BV13" s="6">
        <f>BV$1*'survival matrix'!BV13</f>
        <v>0</v>
      </c>
      <c r="BW13" s="6">
        <f>BW$1*'survival matrix'!BW13</f>
        <v>0</v>
      </c>
      <c r="BX13" s="6">
        <f>BX$1*'survival matrix'!BX13</f>
        <v>0</v>
      </c>
      <c r="BY13" s="6">
        <f>BY$1*'survival matrix'!BY13</f>
        <v>0</v>
      </c>
      <c r="BZ13" s="6">
        <f>BZ$1*'survival matrix'!BZ13</f>
        <v>0</v>
      </c>
      <c r="CA13" s="6">
        <f>CA$1*'survival matrix'!CA13</f>
        <v>0</v>
      </c>
      <c r="CB13" s="6">
        <f>CB$1*'survival matrix'!CB13</f>
        <v>0</v>
      </c>
      <c r="CC13" s="6">
        <f>CC$1*'survival matrix'!CC13</f>
        <v>0</v>
      </c>
      <c r="CD13" s="6">
        <f>CD$1*'survival matrix'!CD13</f>
        <v>0</v>
      </c>
      <c r="CE13" s="6">
        <f>CE$1*'survival matrix'!CE13</f>
        <v>0</v>
      </c>
      <c r="CF13" s="6">
        <f>CF$1*'survival matrix'!CF13</f>
        <v>0</v>
      </c>
      <c r="CG13" s="6">
        <f>CG$1*'survival matrix'!CG13</f>
        <v>0</v>
      </c>
      <c r="CH13" s="6">
        <f>CH$1*'survival matrix'!CH13</f>
        <v>0</v>
      </c>
      <c r="CI13" s="6">
        <f>CI$1*'survival matrix'!CI13</f>
        <v>0</v>
      </c>
      <c r="CJ13" s="6">
        <f>CJ$1*'survival matrix'!CJ13</f>
        <v>0</v>
      </c>
      <c r="CK13" s="6">
        <f>CK$1*'survival matrix'!CK13</f>
        <v>0</v>
      </c>
      <c r="CL13" s="6">
        <f>CL$1*'survival matrix'!CL13</f>
        <v>0</v>
      </c>
      <c r="CM13" s="6">
        <f>CM$1*'survival matrix'!CM13</f>
        <v>0</v>
      </c>
      <c r="CN13" s="6">
        <f>CN$1*'survival matrix'!CN13</f>
        <v>0</v>
      </c>
      <c r="CO13" s="6">
        <f>CO$1*'survival matrix'!CO13</f>
        <v>0</v>
      </c>
      <c r="CP13" s="6">
        <f>CP$1*'survival matrix'!CP13</f>
        <v>0</v>
      </c>
      <c r="CQ13" s="6">
        <f>CQ$1*'survival matrix'!CQ13</f>
        <v>0</v>
      </c>
      <c r="CR13" s="6">
        <f>CR$1*'survival matrix'!CR13</f>
        <v>0</v>
      </c>
      <c r="CS13" s="6">
        <f>CS$1*'survival matrix'!CS13</f>
        <v>0</v>
      </c>
      <c r="CT13" s="6">
        <f>CT$1*'survival matrix'!CT13</f>
        <v>0</v>
      </c>
      <c r="CU13" s="6">
        <f>CU$1*'survival matrix'!CU13</f>
        <v>0</v>
      </c>
      <c r="CV13" s="6">
        <f>CV$1*'survival matrix'!CV13</f>
        <v>0</v>
      </c>
      <c r="CW13" s="6">
        <f>CW$1*'survival matrix'!CW13</f>
        <v>0</v>
      </c>
      <c r="CX13" s="6">
        <f>CX$1*'survival matrix'!CX13</f>
        <v>0</v>
      </c>
      <c r="CY13" s="6">
        <f>CY$1*'survival matrix'!CY13</f>
        <v>0</v>
      </c>
      <c r="CZ13" s="6">
        <f>CZ$1*'survival matrix'!CZ13</f>
        <v>0</v>
      </c>
      <c r="DA13" s="6">
        <f>DA$1*'survival matrix'!DA13</f>
        <v>0</v>
      </c>
      <c r="DB13" s="6">
        <f>DB$1*'survival matrix'!DB13</f>
        <v>0</v>
      </c>
      <c r="DC13" s="6">
        <f>DC$1*'survival matrix'!DC13</f>
        <v>0</v>
      </c>
      <c r="DD13" s="6">
        <f>DD$1*'survival matrix'!DD13</f>
        <v>0</v>
      </c>
      <c r="DE13" s="6">
        <f>DE$1*'survival matrix'!DE13</f>
        <v>0</v>
      </c>
      <c r="DF13" s="6">
        <f>DF$1*'survival matrix'!DF13</f>
        <v>0</v>
      </c>
      <c r="DG13" s="6">
        <f>DG$1*'survival matrix'!DG13</f>
        <v>0</v>
      </c>
      <c r="DH13" s="6">
        <f>DH$1*'survival matrix'!DH13</f>
        <v>0</v>
      </c>
      <c r="DI13" s="6">
        <f>DI$1*'survival matrix'!DI13</f>
        <v>0</v>
      </c>
      <c r="DJ13" s="6">
        <f>DJ$1*'survival matrix'!DJ13</f>
        <v>0</v>
      </c>
      <c r="DK13" s="6">
        <f>DK$1*'survival matrix'!DK13</f>
        <v>0</v>
      </c>
      <c r="DL13" s="6">
        <f>DL$1*'survival matrix'!DL13</f>
        <v>0</v>
      </c>
      <c r="DM13" s="6">
        <f>DM$1*'survival matrix'!DM13</f>
        <v>0</v>
      </c>
      <c r="DN13" s="6">
        <f>DN$1*'survival matrix'!DN13</f>
        <v>0</v>
      </c>
      <c r="DO13" s="6">
        <f>DO$1*'survival matrix'!DO13</f>
        <v>0</v>
      </c>
      <c r="DP13" s="6">
        <f>DP$1*'survival matrix'!DP13</f>
        <v>0</v>
      </c>
      <c r="DQ13" s="6">
        <f>DQ$1*'survival matrix'!DQ13</f>
        <v>0</v>
      </c>
      <c r="DR13" s="6">
        <f>DR$1*'survival matrix'!DR13</f>
        <v>0</v>
      </c>
      <c r="DS13" s="6">
        <f>DS$1*'survival matrix'!DS13</f>
        <v>0</v>
      </c>
      <c r="DT13" s="6">
        <f>DT$1*'survival matrix'!DT13</f>
        <v>0</v>
      </c>
      <c r="DU13" s="6">
        <f>DU$1*'survival matrix'!DU13</f>
        <v>0</v>
      </c>
      <c r="DV13" s="6">
        <f>DV$1*'survival matrix'!DV13</f>
        <v>0</v>
      </c>
      <c r="DW13" s="6">
        <f>DW$1*'survival matrix'!DW13</f>
        <v>0</v>
      </c>
      <c r="DX13" s="6">
        <f>DX$1*'survival matrix'!DX13</f>
        <v>0</v>
      </c>
      <c r="DY13" s="6">
        <f>DY$1*'survival matrix'!DY13</f>
        <v>0</v>
      </c>
      <c r="DZ13" s="6">
        <f>DZ$1*'survival matrix'!DZ13</f>
        <v>0</v>
      </c>
      <c r="EA13" s="6">
        <f>EA$1*'survival matrix'!EA13</f>
        <v>0</v>
      </c>
      <c r="EB13" s="6">
        <f>EB$1*'survival matrix'!EB13</f>
        <v>0</v>
      </c>
      <c r="EC13" s="6">
        <f>EC$1*'survival matrix'!EC13</f>
        <v>0</v>
      </c>
    </row>
    <row r="14" spans="1:133">
      <c r="A14" s="12">
        <f>'data input'!C14-B14</f>
        <v>243.17946864320402</v>
      </c>
      <c r="B14" s="14">
        <f t="shared" si="2"/>
        <v>40291.134715188004</v>
      </c>
      <c r="C14" s="11">
        <f>SUM(F14:EC14)</f>
        <v>259181.10687510466</v>
      </c>
      <c r="E14" s="7">
        <f>'data input'!B14</f>
        <v>1889</v>
      </c>
      <c r="F14" s="6">
        <f>F$1*'survival matrix'!F14</f>
        <v>3202.3891323397843</v>
      </c>
      <c r="G14" s="6">
        <f>G$1*'survival matrix'!G14</f>
        <v>6446.8790108921939</v>
      </c>
      <c r="H14" s="6">
        <f>H$1*'survival matrix'!H14</f>
        <v>9719.3580455450829</v>
      </c>
      <c r="I14" s="6">
        <f>I$1*'survival matrix'!I14</f>
        <v>13027.950785622603</v>
      </c>
      <c r="J14" s="6">
        <f>J$1*'survival matrix'!J14</f>
        <v>16367.690983434806</v>
      </c>
      <c r="K14" s="6">
        <f>K$1*'survival matrix'!K14</f>
        <v>19737.400261711286</v>
      </c>
      <c r="L14" s="6">
        <f>L$1*'survival matrix'!L14</f>
        <v>23142.22805572534</v>
      </c>
      <c r="M14" s="6">
        <f>M$1*'survival matrix'!M14</f>
        <v>26576.400035226874</v>
      </c>
      <c r="N14" s="6">
        <f>N$1*'survival matrix'!N14</f>
        <v>30027.04147718726</v>
      </c>
      <c r="O14" s="6">
        <f>O$1*'survival matrix'!O14</f>
        <v>33486.474013572217</v>
      </c>
      <c r="P14" s="6">
        <f>P$1*'survival matrix'!P14</f>
        <v>36967.698080946262</v>
      </c>
      <c r="Q14" s="6">
        <f>Q$1*'survival matrix'!Q14</f>
        <v>40479.596992900981</v>
      </c>
      <c r="R14" s="6">
        <f>R$1*'survival matrix'!R14</f>
        <v>0</v>
      </c>
      <c r="S14" s="6">
        <f>S$1*'survival matrix'!S14</f>
        <v>0</v>
      </c>
      <c r="T14" s="6">
        <f>T$1*'survival matrix'!T14</f>
        <v>0</v>
      </c>
      <c r="U14" s="6">
        <f>U$1*'survival matrix'!U14</f>
        <v>0</v>
      </c>
      <c r="V14" s="6">
        <f>V$1*'survival matrix'!V14</f>
        <v>0</v>
      </c>
      <c r="W14" s="6">
        <f>W$1*'survival matrix'!W14</f>
        <v>0</v>
      </c>
      <c r="X14" s="6">
        <f>X$1*'survival matrix'!X14</f>
        <v>0</v>
      </c>
      <c r="Y14" s="6">
        <f>Y$1*'survival matrix'!Y14</f>
        <v>0</v>
      </c>
      <c r="Z14" s="6">
        <f>Z$1*'survival matrix'!Z14</f>
        <v>0</v>
      </c>
      <c r="AA14" s="6">
        <f>AA$1*'survival matrix'!AA14</f>
        <v>0</v>
      </c>
      <c r="AB14" s="6">
        <f>AB$1*'survival matrix'!AB14</f>
        <v>0</v>
      </c>
      <c r="AC14" s="6">
        <f>AC$1*'survival matrix'!AC14</f>
        <v>0</v>
      </c>
      <c r="AD14" s="6">
        <f>AD$1*'survival matrix'!AD14</f>
        <v>0</v>
      </c>
      <c r="AE14" s="6">
        <f>AE$1*'survival matrix'!AE14</f>
        <v>0</v>
      </c>
      <c r="AF14" s="6">
        <f>AF$1*'survival matrix'!AF14</f>
        <v>0</v>
      </c>
      <c r="AG14" s="6">
        <f>AG$1*'survival matrix'!AG14</f>
        <v>0</v>
      </c>
      <c r="AH14" s="6">
        <f>AH$1*'survival matrix'!AH14</f>
        <v>0</v>
      </c>
      <c r="AI14" s="6">
        <f>AI$1*'survival matrix'!AI14</f>
        <v>0</v>
      </c>
      <c r="AJ14" s="6">
        <f>AJ$1*'survival matrix'!AJ14</f>
        <v>0</v>
      </c>
      <c r="AK14" s="6">
        <f>AK$1*'survival matrix'!AK14</f>
        <v>0</v>
      </c>
      <c r="AL14" s="6">
        <f>AL$1*'survival matrix'!AL14</f>
        <v>0</v>
      </c>
      <c r="AM14" s="6">
        <f>AM$1*'survival matrix'!AM14</f>
        <v>0</v>
      </c>
      <c r="AN14" s="6">
        <f>AN$1*'survival matrix'!AN14</f>
        <v>0</v>
      </c>
      <c r="AO14" s="6">
        <f>AO$1*'survival matrix'!AO14</f>
        <v>0</v>
      </c>
      <c r="AP14" s="6">
        <f>AP$1*'survival matrix'!AP14</f>
        <v>0</v>
      </c>
      <c r="AQ14" s="6">
        <f>AQ$1*'survival matrix'!AQ14</f>
        <v>0</v>
      </c>
      <c r="AR14" s="6">
        <f>AR$1*'survival matrix'!AR14</f>
        <v>0</v>
      </c>
      <c r="AS14" s="6">
        <f>AS$1*'survival matrix'!AS14</f>
        <v>0</v>
      </c>
      <c r="AT14" s="6">
        <f>AT$1*'survival matrix'!AT14</f>
        <v>0</v>
      </c>
      <c r="AU14" s="6">
        <f>AU$1*'survival matrix'!AU14</f>
        <v>0</v>
      </c>
      <c r="AV14" s="6">
        <f>AV$1*'survival matrix'!AV14</f>
        <v>0</v>
      </c>
      <c r="AW14" s="6">
        <f>AW$1*'survival matrix'!AW14</f>
        <v>0</v>
      </c>
      <c r="AX14" s="6">
        <f>AX$1*'survival matrix'!AX14</f>
        <v>0</v>
      </c>
      <c r="AY14" s="6">
        <f>AY$1*'survival matrix'!AY14</f>
        <v>0</v>
      </c>
      <c r="AZ14" s="6">
        <f>AZ$1*'survival matrix'!AZ14</f>
        <v>0</v>
      </c>
      <c r="BA14" s="6">
        <f>BA$1*'survival matrix'!BA14</f>
        <v>0</v>
      </c>
      <c r="BB14" s="6">
        <f>BB$1*'survival matrix'!BB14</f>
        <v>0</v>
      </c>
      <c r="BC14" s="6">
        <f>BC$1*'survival matrix'!BC14</f>
        <v>0</v>
      </c>
      <c r="BD14" s="6">
        <f>BD$1*'survival matrix'!BD14</f>
        <v>0</v>
      </c>
      <c r="BE14" s="6">
        <f>BE$1*'survival matrix'!BE14</f>
        <v>0</v>
      </c>
      <c r="BF14" s="6">
        <f>BF$1*'survival matrix'!BF14</f>
        <v>0</v>
      </c>
      <c r="BG14" s="6">
        <f>BG$1*'survival matrix'!BG14</f>
        <v>0</v>
      </c>
      <c r="BH14" s="6">
        <f>BH$1*'survival matrix'!BH14</f>
        <v>0</v>
      </c>
      <c r="BI14" s="6">
        <f>BI$1*'survival matrix'!BI14</f>
        <v>0</v>
      </c>
      <c r="BJ14" s="6">
        <f>BJ$1*'survival matrix'!BJ14</f>
        <v>0</v>
      </c>
      <c r="BK14" s="6">
        <f>BK$1*'survival matrix'!BK14</f>
        <v>0</v>
      </c>
      <c r="BL14" s="6">
        <f>BL$1*'survival matrix'!BL14</f>
        <v>0</v>
      </c>
      <c r="BM14" s="6">
        <f>BM$1*'survival matrix'!BM14</f>
        <v>0</v>
      </c>
      <c r="BN14" s="6">
        <f>BN$1*'survival matrix'!BN14</f>
        <v>0</v>
      </c>
      <c r="BO14" s="6">
        <f>BO$1*'survival matrix'!BO14</f>
        <v>0</v>
      </c>
      <c r="BP14" s="6">
        <f>BP$1*'survival matrix'!BP14</f>
        <v>0</v>
      </c>
      <c r="BQ14" s="6">
        <f>BQ$1*'survival matrix'!BQ14</f>
        <v>0</v>
      </c>
      <c r="BR14" s="6">
        <f>BR$1*'survival matrix'!BR14</f>
        <v>0</v>
      </c>
      <c r="BS14" s="6">
        <f>BS$1*'survival matrix'!BS14</f>
        <v>0</v>
      </c>
      <c r="BT14" s="6">
        <f>BT$1*'survival matrix'!BT14</f>
        <v>0</v>
      </c>
      <c r="BU14" s="6">
        <f>BU$1*'survival matrix'!BU14</f>
        <v>0</v>
      </c>
      <c r="BV14" s="6">
        <f>BV$1*'survival matrix'!BV14</f>
        <v>0</v>
      </c>
      <c r="BW14" s="6">
        <f>BW$1*'survival matrix'!BW14</f>
        <v>0</v>
      </c>
      <c r="BX14" s="6">
        <f>BX$1*'survival matrix'!BX14</f>
        <v>0</v>
      </c>
      <c r="BY14" s="6">
        <f>BY$1*'survival matrix'!BY14</f>
        <v>0</v>
      </c>
      <c r="BZ14" s="6">
        <f>BZ$1*'survival matrix'!BZ14</f>
        <v>0</v>
      </c>
      <c r="CA14" s="6">
        <f>CA$1*'survival matrix'!CA14</f>
        <v>0</v>
      </c>
      <c r="CB14" s="6">
        <f>CB$1*'survival matrix'!CB14</f>
        <v>0</v>
      </c>
      <c r="CC14" s="6">
        <f>CC$1*'survival matrix'!CC14</f>
        <v>0</v>
      </c>
      <c r="CD14" s="6">
        <f>CD$1*'survival matrix'!CD14</f>
        <v>0</v>
      </c>
      <c r="CE14" s="6">
        <f>CE$1*'survival matrix'!CE14</f>
        <v>0</v>
      </c>
      <c r="CF14" s="6">
        <f>CF$1*'survival matrix'!CF14</f>
        <v>0</v>
      </c>
      <c r="CG14" s="6">
        <f>CG$1*'survival matrix'!CG14</f>
        <v>0</v>
      </c>
      <c r="CH14" s="6">
        <f>CH$1*'survival matrix'!CH14</f>
        <v>0</v>
      </c>
      <c r="CI14" s="6">
        <f>CI$1*'survival matrix'!CI14</f>
        <v>0</v>
      </c>
      <c r="CJ14" s="6">
        <f>CJ$1*'survival matrix'!CJ14</f>
        <v>0</v>
      </c>
      <c r="CK14" s="6">
        <f>CK$1*'survival matrix'!CK14</f>
        <v>0</v>
      </c>
      <c r="CL14" s="6">
        <f>CL$1*'survival matrix'!CL14</f>
        <v>0</v>
      </c>
      <c r="CM14" s="6">
        <f>CM$1*'survival matrix'!CM14</f>
        <v>0</v>
      </c>
      <c r="CN14" s="6">
        <f>CN$1*'survival matrix'!CN14</f>
        <v>0</v>
      </c>
      <c r="CO14" s="6">
        <f>CO$1*'survival matrix'!CO14</f>
        <v>0</v>
      </c>
      <c r="CP14" s="6">
        <f>CP$1*'survival matrix'!CP14</f>
        <v>0</v>
      </c>
      <c r="CQ14" s="6">
        <f>CQ$1*'survival matrix'!CQ14</f>
        <v>0</v>
      </c>
      <c r="CR14" s="6">
        <f>CR$1*'survival matrix'!CR14</f>
        <v>0</v>
      </c>
      <c r="CS14" s="6">
        <f>CS$1*'survival matrix'!CS14</f>
        <v>0</v>
      </c>
      <c r="CT14" s="6">
        <f>CT$1*'survival matrix'!CT14</f>
        <v>0</v>
      </c>
      <c r="CU14" s="6">
        <f>CU$1*'survival matrix'!CU14</f>
        <v>0</v>
      </c>
      <c r="CV14" s="6">
        <f>CV$1*'survival matrix'!CV14</f>
        <v>0</v>
      </c>
      <c r="CW14" s="6">
        <f>CW$1*'survival matrix'!CW14</f>
        <v>0</v>
      </c>
      <c r="CX14" s="6">
        <f>CX$1*'survival matrix'!CX14</f>
        <v>0</v>
      </c>
      <c r="CY14" s="6">
        <f>CY$1*'survival matrix'!CY14</f>
        <v>0</v>
      </c>
      <c r="CZ14" s="6">
        <f>CZ$1*'survival matrix'!CZ14</f>
        <v>0</v>
      </c>
      <c r="DA14" s="6">
        <f>DA$1*'survival matrix'!DA14</f>
        <v>0</v>
      </c>
      <c r="DB14" s="6">
        <f>DB$1*'survival matrix'!DB14</f>
        <v>0</v>
      </c>
      <c r="DC14" s="6">
        <f>DC$1*'survival matrix'!DC14</f>
        <v>0</v>
      </c>
      <c r="DD14" s="6">
        <f>DD$1*'survival matrix'!DD14</f>
        <v>0</v>
      </c>
      <c r="DE14" s="6">
        <f>DE$1*'survival matrix'!DE14</f>
        <v>0</v>
      </c>
      <c r="DF14" s="6">
        <f>DF$1*'survival matrix'!DF14</f>
        <v>0</v>
      </c>
      <c r="DG14" s="6">
        <f>DG$1*'survival matrix'!DG14</f>
        <v>0</v>
      </c>
      <c r="DH14" s="6">
        <f>DH$1*'survival matrix'!DH14</f>
        <v>0</v>
      </c>
      <c r="DI14" s="6">
        <f>DI$1*'survival matrix'!DI14</f>
        <v>0</v>
      </c>
      <c r="DJ14" s="6">
        <f>DJ$1*'survival matrix'!DJ14</f>
        <v>0</v>
      </c>
      <c r="DK14" s="6">
        <f>DK$1*'survival matrix'!DK14</f>
        <v>0</v>
      </c>
      <c r="DL14" s="6">
        <f>DL$1*'survival matrix'!DL14</f>
        <v>0</v>
      </c>
      <c r="DM14" s="6">
        <f>DM$1*'survival matrix'!DM14</f>
        <v>0</v>
      </c>
      <c r="DN14" s="6">
        <f>DN$1*'survival matrix'!DN14</f>
        <v>0</v>
      </c>
      <c r="DO14" s="6">
        <f>DO$1*'survival matrix'!DO14</f>
        <v>0</v>
      </c>
      <c r="DP14" s="6">
        <f>DP$1*'survival matrix'!DP14</f>
        <v>0</v>
      </c>
      <c r="DQ14" s="6">
        <f>DQ$1*'survival matrix'!DQ14</f>
        <v>0</v>
      </c>
      <c r="DR14" s="6">
        <f>DR$1*'survival matrix'!DR14</f>
        <v>0</v>
      </c>
      <c r="DS14" s="6">
        <f>DS$1*'survival matrix'!DS14</f>
        <v>0</v>
      </c>
      <c r="DT14" s="6">
        <f>DT$1*'survival matrix'!DT14</f>
        <v>0</v>
      </c>
      <c r="DU14" s="6">
        <f>DU$1*'survival matrix'!DU14</f>
        <v>0</v>
      </c>
      <c r="DV14" s="6">
        <f>DV$1*'survival matrix'!DV14</f>
        <v>0</v>
      </c>
      <c r="DW14" s="6">
        <f>DW$1*'survival matrix'!DW14</f>
        <v>0</v>
      </c>
      <c r="DX14" s="6">
        <f>DX$1*'survival matrix'!DX14</f>
        <v>0</v>
      </c>
      <c r="DY14" s="6">
        <f>DY$1*'survival matrix'!DY14</f>
        <v>0</v>
      </c>
      <c r="DZ14" s="6">
        <f>DZ$1*'survival matrix'!DZ14</f>
        <v>0</v>
      </c>
      <c r="EA14" s="6">
        <f>EA$1*'survival matrix'!EA14</f>
        <v>0</v>
      </c>
      <c r="EB14" s="6">
        <f>EB$1*'survival matrix'!EB14</f>
        <v>0</v>
      </c>
      <c r="EC14" s="6">
        <f>EC$1*'survival matrix'!EC14</f>
        <v>0</v>
      </c>
    </row>
    <row r="15" spans="1:133">
      <c r="A15" s="12">
        <f>'data input'!C15-B15</f>
        <v>302.94813537722803</v>
      </c>
      <c r="B15" s="14">
        <f t="shared" si="2"/>
        <v>43762.485527117795</v>
      </c>
      <c r="C15" s="11">
        <f>SUM(F15:EC15)</f>
        <v>302943.59240222245</v>
      </c>
      <c r="E15" s="7">
        <f>'data input'!B15</f>
        <v>1890</v>
      </c>
      <c r="F15" s="6">
        <f>F$1*'survival matrix'!F15</f>
        <v>3192.4770391880143</v>
      </c>
      <c r="G15" s="6">
        <f>G$1*'survival matrix'!G15</f>
        <v>6429.9711294295494</v>
      </c>
      <c r="H15" s="6">
        <f>H$1*'survival matrix'!H15</f>
        <v>9697.8716659471866</v>
      </c>
      <c r="I15" s="6">
        <f>I$1*'survival matrix'!I15</f>
        <v>13003.801662071903</v>
      </c>
      <c r="J15" s="6">
        <f>J$1*'survival matrix'!J15</f>
        <v>16342.386099998355</v>
      </c>
      <c r="K15" s="6">
        <f>K$1*'survival matrix'!K15</f>
        <v>19712.085645462459</v>
      </c>
      <c r="L15" s="6">
        <f>L$1*'survival matrix'!L15</f>
        <v>23117.737039709151</v>
      </c>
      <c r="M15" s="6">
        <f>M$1*'survival matrix'!M15</f>
        <v>26553.318815115275</v>
      </c>
      <c r="N15" s="6">
        <f>N$1*'survival matrix'!N15</f>
        <v>30005.756962448868</v>
      </c>
      <c r="O15" s="6">
        <f>O$1*'survival matrix'!O15</f>
        <v>33467.206509275362</v>
      </c>
      <c r="P15" s="6">
        <f>P$1*'survival matrix'!P15</f>
        <v>36950.527313277453</v>
      </c>
      <c r="Q15" s="6">
        <f>Q$1*'survival matrix'!Q15</f>
        <v>40464.50269996775</v>
      </c>
      <c r="R15" s="6">
        <f>R$1*'survival matrix'!R15</f>
        <v>44005.949820331094</v>
      </c>
      <c r="S15" s="6">
        <f>S$1*'survival matrix'!S15</f>
        <v>0</v>
      </c>
      <c r="T15" s="6">
        <f>T$1*'survival matrix'!T15</f>
        <v>0</v>
      </c>
      <c r="U15" s="6">
        <f>U$1*'survival matrix'!U15</f>
        <v>0</v>
      </c>
      <c r="V15" s="6">
        <f>V$1*'survival matrix'!V15</f>
        <v>0</v>
      </c>
      <c r="W15" s="6">
        <f>W$1*'survival matrix'!W15</f>
        <v>0</v>
      </c>
      <c r="X15" s="6">
        <f>X$1*'survival matrix'!X15</f>
        <v>0</v>
      </c>
      <c r="Y15" s="6">
        <f>Y$1*'survival matrix'!Y15</f>
        <v>0</v>
      </c>
      <c r="Z15" s="6">
        <f>Z$1*'survival matrix'!Z15</f>
        <v>0</v>
      </c>
      <c r="AA15" s="6">
        <f>AA$1*'survival matrix'!AA15</f>
        <v>0</v>
      </c>
      <c r="AB15" s="6">
        <f>AB$1*'survival matrix'!AB15</f>
        <v>0</v>
      </c>
      <c r="AC15" s="6">
        <f>AC$1*'survival matrix'!AC15</f>
        <v>0</v>
      </c>
      <c r="AD15" s="6">
        <f>AD$1*'survival matrix'!AD15</f>
        <v>0</v>
      </c>
      <c r="AE15" s="6">
        <f>AE$1*'survival matrix'!AE15</f>
        <v>0</v>
      </c>
      <c r="AF15" s="6">
        <f>AF$1*'survival matrix'!AF15</f>
        <v>0</v>
      </c>
      <c r="AG15" s="6">
        <f>AG$1*'survival matrix'!AG15</f>
        <v>0</v>
      </c>
      <c r="AH15" s="6">
        <f>AH$1*'survival matrix'!AH15</f>
        <v>0</v>
      </c>
      <c r="AI15" s="6">
        <f>AI$1*'survival matrix'!AI15</f>
        <v>0</v>
      </c>
      <c r="AJ15" s="6">
        <f>AJ$1*'survival matrix'!AJ15</f>
        <v>0</v>
      </c>
      <c r="AK15" s="6">
        <f>AK$1*'survival matrix'!AK15</f>
        <v>0</v>
      </c>
      <c r="AL15" s="6">
        <f>AL$1*'survival matrix'!AL15</f>
        <v>0</v>
      </c>
      <c r="AM15" s="6">
        <f>AM$1*'survival matrix'!AM15</f>
        <v>0</v>
      </c>
      <c r="AN15" s="6">
        <f>AN$1*'survival matrix'!AN15</f>
        <v>0</v>
      </c>
      <c r="AO15" s="6">
        <f>AO$1*'survival matrix'!AO15</f>
        <v>0</v>
      </c>
      <c r="AP15" s="6">
        <f>AP$1*'survival matrix'!AP15</f>
        <v>0</v>
      </c>
      <c r="AQ15" s="6">
        <f>AQ$1*'survival matrix'!AQ15</f>
        <v>0</v>
      </c>
      <c r="AR15" s="6">
        <f>AR$1*'survival matrix'!AR15</f>
        <v>0</v>
      </c>
      <c r="AS15" s="6">
        <f>AS$1*'survival matrix'!AS15</f>
        <v>0</v>
      </c>
      <c r="AT15" s="6">
        <f>AT$1*'survival matrix'!AT15</f>
        <v>0</v>
      </c>
      <c r="AU15" s="6">
        <f>AU$1*'survival matrix'!AU15</f>
        <v>0</v>
      </c>
      <c r="AV15" s="6">
        <f>AV$1*'survival matrix'!AV15</f>
        <v>0</v>
      </c>
      <c r="AW15" s="6">
        <f>AW$1*'survival matrix'!AW15</f>
        <v>0</v>
      </c>
      <c r="AX15" s="6">
        <f>AX$1*'survival matrix'!AX15</f>
        <v>0</v>
      </c>
      <c r="AY15" s="6">
        <f>AY$1*'survival matrix'!AY15</f>
        <v>0</v>
      </c>
      <c r="AZ15" s="6">
        <f>AZ$1*'survival matrix'!AZ15</f>
        <v>0</v>
      </c>
      <c r="BA15" s="6">
        <f>BA$1*'survival matrix'!BA15</f>
        <v>0</v>
      </c>
      <c r="BB15" s="6">
        <f>BB$1*'survival matrix'!BB15</f>
        <v>0</v>
      </c>
      <c r="BC15" s="6">
        <f>BC$1*'survival matrix'!BC15</f>
        <v>0</v>
      </c>
      <c r="BD15" s="6">
        <f>BD$1*'survival matrix'!BD15</f>
        <v>0</v>
      </c>
      <c r="BE15" s="6">
        <f>BE$1*'survival matrix'!BE15</f>
        <v>0</v>
      </c>
      <c r="BF15" s="6">
        <f>BF$1*'survival matrix'!BF15</f>
        <v>0</v>
      </c>
      <c r="BG15" s="6">
        <f>BG$1*'survival matrix'!BG15</f>
        <v>0</v>
      </c>
      <c r="BH15" s="6">
        <f>BH$1*'survival matrix'!BH15</f>
        <v>0</v>
      </c>
      <c r="BI15" s="6">
        <f>BI$1*'survival matrix'!BI15</f>
        <v>0</v>
      </c>
      <c r="BJ15" s="6">
        <f>BJ$1*'survival matrix'!BJ15</f>
        <v>0</v>
      </c>
      <c r="BK15" s="6">
        <f>BK$1*'survival matrix'!BK15</f>
        <v>0</v>
      </c>
      <c r="BL15" s="6">
        <f>BL$1*'survival matrix'!BL15</f>
        <v>0</v>
      </c>
      <c r="BM15" s="6">
        <f>BM$1*'survival matrix'!BM15</f>
        <v>0</v>
      </c>
      <c r="BN15" s="6">
        <f>BN$1*'survival matrix'!BN15</f>
        <v>0</v>
      </c>
      <c r="BO15" s="6">
        <f>BO$1*'survival matrix'!BO15</f>
        <v>0</v>
      </c>
      <c r="BP15" s="6">
        <f>BP$1*'survival matrix'!BP15</f>
        <v>0</v>
      </c>
      <c r="BQ15" s="6">
        <f>BQ$1*'survival matrix'!BQ15</f>
        <v>0</v>
      </c>
      <c r="BR15" s="6">
        <f>BR$1*'survival matrix'!BR15</f>
        <v>0</v>
      </c>
      <c r="BS15" s="6">
        <f>BS$1*'survival matrix'!BS15</f>
        <v>0</v>
      </c>
      <c r="BT15" s="6">
        <f>BT$1*'survival matrix'!BT15</f>
        <v>0</v>
      </c>
      <c r="BU15" s="6">
        <f>BU$1*'survival matrix'!BU15</f>
        <v>0</v>
      </c>
      <c r="BV15" s="6">
        <f>BV$1*'survival matrix'!BV15</f>
        <v>0</v>
      </c>
      <c r="BW15" s="6">
        <f>BW$1*'survival matrix'!BW15</f>
        <v>0</v>
      </c>
      <c r="BX15" s="6">
        <f>BX$1*'survival matrix'!BX15</f>
        <v>0</v>
      </c>
      <c r="BY15" s="6">
        <f>BY$1*'survival matrix'!BY15</f>
        <v>0</v>
      </c>
      <c r="BZ15" s="6">
        <f>BZ$1*'survival matrix'!BZ15</f>
        <v>0</v>
      </c>
      <c r="CA15" s="6">
        <f>CA$1*'survival matrix'!CA15</f>
        <v>0</v>
      </c>
      <c r="CB15" s="6">
        <f>CB$1*'survival matrix'!CB15</f>
        <v>0</v>
      </c>
      <c r="CC15" s="6">
        <f>CC$1*'survival matrix'!CC15</f>
        <v>0</v>
      </c>
      <c r="CD15" s="6">
        <f>CD$1*'survival matrix'!CD15</f>
        <v>0</v>
      </c>
      <c r="CE15" s="6">
        <f>CE$1*'survival matrix'!CE15</f>
        <v>0</v>
      </c>
      <c r="CF15" s="6">
        <f>CF$1*'survival matrix'!CF15</f>
        <v>0</v>
      </c>
      <c r="CG15" s="6">
        <f>CG$1*'survival matrix'!CG15</f>
        <v>0</v>
      </c>
      <c r="CH15" s="6">
        <f>CH$1*'survival matrix'!CH15</f>
        <v>0</v>
      </c>
      <c r="CI15" s="6">
        <f>CI$1*'survival matrix'!CI15</f>
        <v>0</v>
      </c>
      <c r="CJ15" s="6">
        <f>CJ$1*'survival matrix'!CJ15</f>
        <v>0</v>
      </c>
      <c r="CK15" s="6">
        <f>CK$1*'survival matrix'!CK15</f>
        <v>0</v>
      </c>
      <c r="CL15" s="6">
        <f>CL$1*'survival matrix'!CL15</f>
        <v>0</v>
      </c>
      <c r="CM15" s="6">
        <f>CM$1*'survival matrix'!CM15</f>
        <v>0</v>
      </c>
      <c r="CN15" s="6">
        <f>CN$1*'survival matrix'!CN15</f>
        <v>0</v>
      </c>
      <c r="CO15" s="6">
        <f>CO$1*'survival matrix'!CO15</f>
        <v>0</v>
      </c>
      <c r="CP15" s="6">
        <f>CP$1*'survival matrix'!CP15</f>
        <v>0</v>
      </c>
      <c r="CQ15" s="6">
        <f>CQ$1*'survival matrix'!CQ15</f>
        <v>0</v>
      </c>
      <c r="CR15" s="6">
        <f>CR$1*'survival matrix'!CR15</f>
        <v>0</v>
      </c>
      <c r="CS15" s="6">
        <f>CS$1*'survival matrix'!CS15</f>
        <v>0</v>
      </c>
      <c r="CT15" s="6">
        <f>CT$1*'survival matrix'!CT15</f>
        <v>0</v>
      </c>
      <c r="CU15" s="6">
        <f>CU$1*'survival matrix'!CU15</f>
        <v>0</v>
      </c>
      <c r="CV15" s="6">
        <f>CV$1*'survival matrix'!CV15</f>
        <v>0</v>
      </c>
      <c r="CW15" s="6">
        <f>CW$1*'survival matrix'!CW15</f>
        <v>0</v>
      </c>
      <c r="CX15" s="6">
        <f>CX$1*'survival matrix'!CX15</f>
        <v>0</v>
      </c>
      <c r="CY15" s="6">
        <f>CY$1*'survival matrix'!CY15</f>
        <v>0</v>
      </c>
      <c r="CZ15" s="6">
        <f>CZ$1*'survival matrix'!CZ15</f>
        <v>0</v>
      </c>
      <c r="DA15" s="6">
        <f>DA$1*'survival matrix'!DA15</f>
        <v>0</v>
      </c>
      <c r="DB15" s="6">
        <f>DB$1*'survival matrix'!DB15</f>
        <v>0</v>
      </c>
      <c r="DC15" s="6">
        <f>DC$1*'survival matrix'!DC15</f>
        <v>0</v>
      </c>
      <c r="DD15" s="6">
        <f>DD$1*'survival matrix'!DD15</f>
        <v>0</v>
      </c>
      <c r="DE15" s="6">
        <f>DE$1*'survival matrix'!DE15</f>
        <v>0</v>
      </c>
      <c r="DF15" s="6">
        <f>DF$1*'survival matrix'!DF15</f>
        <v>0</v>
      </c>
      <c r="DG15" s="6">
        <f>DG$1*'survival matrix'!DG15</f>
        <v>0</v>
      </c>
      <c r="DH15" s="6">
        <f>DH$1*'survival matrix'!DH15</f>
        <v>0</v>
      </c>
      <c r="DI15" s="6">
        <f>DI$1*'survival matrix'!DI15</f>
        <v>0</v>
      </c>
      <c r="DJ15" s="6">
        <f>DJ$1*'survival matrix'!DJ15</f>
        <v>0</v>
      </c>
      <c r="DK15" s="6">
        <f>DK$1*'survival matrix'!DK15</f>
        <v>0</v>
      </c>
      <c r="DL15" s="6">
        <f>DL$1*'survival matrix'!DL15</f>
        <v>0</v>
      </c>
      <c r="DM15" s="6">
        <f>DM$1*'survival matrix'!DM15</f>
        <v>0</v>
      </c>
      <c r="DN15" s="6">
        <f>DN$1*'survival matrix'!DN15</f>
        <v>0</v>
      </c>
      <c r="DO15" s="6">
        <f>DO$1*'survival matrix'!DO15</f>
        <v>0</v>
      </c>
      <c r="DP15" s="6">
        <f>DP$1*'survival matrix'!DP15</f>
        <v>0</v>
      </c>
      <c r="DQ15" s="6">
        <f>DQ$1*'survival matrix'!DQ15</f>
        <v>0</v>
      </c>
      <c r="DR15" s="6">
        <f>DR$1*'survival matrix'!DR15</f>
        <v>0</v>
      </c>
      <c r="DS15" s="6">
        <f>DS$1*'survival matrix'!DS15</f>
        <v>0</v>
      </c>
      <c r="DT15" s="6">
        <f>DT$1*'survival matrix'!DT15</f>
        <v>0</v>
      </c>
      <c r="DU15" s="6">
        <f>DU$1*'survival matrix'!DU15</f>
        <v>0</v>
      </c>
      <c r="DV15" s="6">
        <f>DV$1*'survival matrix'!DV15</f>
        <v>0</v>
      </c>
      <c r="DW15" s="6">
        <f>DW$1*'survival matrix'!DW15</f>
        <v>0</v>
      </c>
      <c r="DX15" s="6">
        <f>DX$1*'survival matrix'!DX15</f>
        <v>0</v>
      </c>
      <c r="DY15" s="6">
        <f>DY$1*'survival matrix'!DY15</f>
        <v>0</v>
      </c>
      <c r="DZ15" s="6">
        <f>DZ$1*'survival matrix'!DZ15</f>
        <v>0</v>
      </c>
      <c r="EA15" s="6">
        <f>EA$1*'survival matrix'!EA15</f>
        <v>0</v>
      </c>
      <c r="EB15" s="6">
        <f>EB$1*'survival matrix'!EB15</f>
        <v>0</v>
      </c>
      <c r="EC15" s="6">
        <f>EC$1*'survival matrix'!EC15</f>
        <v>0</v>
      </c>
    </row>
    <row r="16" spans="1:133">
      <c r="A16" s="12">
        <f>'data input'!C16-B16</f>
        <v>374.72891253683338</v>
      </c>
      <c r="B16" s="14">
        <f t="shared" si="2"/>
        <v>47241.139222588798</v>
      </c>
      <c r="C16" s="11">
        <f>SUM(F16:EC16)</f>
        <v>350184.73162481125</v>
      </c>
      <c r="E16" s="7">
        <f>'data input'!B16</f>
        <v>1891</v>
      </c>
      <c r="F16" s="6">
        <f>F$1*'survival matrix'!F16</f>
        <v>3180.8749897479279</v>
      </c>
      <c r="G16" s="6">
        <f>G$1*'survival matrix'!G16</f>
        <v>6410.0689657123221</v>
      </c>
      <c r="H16" s="6">
        <f>H$1*'survival matrix'!H16</f>
        <v>9672.4375815955573</v>
      </c>
      <c r="I16" s="6">
        <f>I$1*'survival matrix'!I16</f>
        <v>12975.054432325067</v>
      </c>
      <c r="J16" s="6">
        <f>J$1*'survival matrix'!J16</f>
        <v>16312.093208388906</v>
      </c>
      <c r="K16" s="6">
        <f>K$1*'survival matrix'!K16</f>
        <v>19681.610239368063</v>
      </c>
      <c r="L16" s="6">
        <f>L$1*'survival matrix'!L16</f>
        <v>23088.086901700004</v>
      </c>
      <c r="M16" s="6">
        <f>M$1*'survival matrix'!M16</f>
        <v>26525.217901287186</v>
      </c>
      <c r="N16" s="6">
        <f>N$1*'survival matrix'!N16</f>
        <v>29979.697395308573</v>
      </c>
      <c r="O16" s="6">
        <f>O$1*'survival matrix'!O16</f>
        <v>33443.48345115321</v>
      </c>
      <c r="P16" s="6">
        <f>P$1*'survival matrix'!P16</f>
        <v>36929.266656109095</v>
      </c>
      <c r="Q16" s="6">
        <f>Q$1*'survival matrix'!Q16</f>
        <v>40445.70773542401</v>
      </c>
      <c r="R16" s="6">
        <f>R$1*'survival matrix'!R16</f>
        <v>43989.540598235595</v>
      </c>
      <c r="S16" s="6">
        <f>S$1*'survival matrix'!S16</f>
        <v>47551.591568455668</v>
      </c>
      <c r="T16" s="6">
        <f>T$1*'survival matrix'!T16</f>
        <v>0</v>
      </c>
      <c r="U16" s="6">
        <f>U$1*'survival matrix'!U16</f>
        <v>0</v>
      </c>
      <c r="V16" s="6">
        <f>V$1*'survival matrix'!V16</f>
        <v>0</v>
      </c>
      <c r="W16" s="6">
        <f>W$1*'survival matrix'!W16</f>
        <v>0</v>
      </c>
      <c r="X16" s="6">
        <f>X$1*'survival matrix'!X16</f>
        <v>0</v>
      </c>
      <c r="Y16" s="6">
        <f>Y$1*'survival matrix'!Y16</f>
        <v>0</v>
      </c>
      <c r="Z16" s="6">
        <f>Z$1*'survival matrix'!Z16</f>
        <v>0</v>
      </c>
      <c r="AA16" s="6">
        <f>AA$1*'survival matrix'!AA16</f>
        <v>0</v>
      </c>
      <c r="AB16" s="6">
        <f>AB$1*'survival matrix'!AB16</f>
        <v>0</v>
      </c>
      <c r="AC16" s="6">
        <f>AC$1*'survival matrix'!AC16</f>
        <v>0</v>
      </c>
      <c r="AD16" s="6">
        <f>AD$1*'survival matrix'!AD16</f>
        <v>0</v>
      </c>
      <c r="AE16" s="6">
        <f>AE$1*'survival matrix'!AE16</f>
        <v>0</v>
      </c>
      <c r="AF16" s="6">
        <f>AF$1*'survival matrix'!AF16</f>
        <v>0</v>
      </c>
      <c r="AG16" s="6">
        <f>AG$1*'survival matrix'!AG16</f>
        <v>0</v>
      </c>
      <c r="AH16" s="6">
        <f>AH$1*'survival matrix'!AH16</f>
        <v>0</v>
      </c>
      <c r="AI16" s="6">
        <f>AI$1*'survival matrix'!AI16</f>
        <v>0</v>
      </c>
      <c r="AJ16" s="6">
        <f>AJ$1*'survival matrix'!AJ16</f>
        <v>0</v>
      </c>
      <c r="AK16" s="6">
        <f>AK$1*'survival matrix'!AK16</f>
        <v>0</v>
      </c>
      <c r="AL16" s="6">
        <f>AL$1*'survival matrix'!AL16</f>
        <v>0</v>
      </c>
      <c r="AM16" s="6">
        <f>AM$1*'survival matrix'!AM16</f>
        <v>0</v>
      </c>
      <c r="AN16" s="6">
        <f>AN$1*'survival matrix'!AN16</f>
        <v>0</v>
      </c>
      <c r="AO16" s="6">
        <f>AO$1*'survival matrix'!AO16</f>
        <v>0</v>
      </c>
      <c r="AP16" s="6">
        <f>AP$1*'survival matrix'!AP16</f>
        <v>0</v>
      </c>
      <c r="AQ16" s="6">
        <f>AQ$1*'survival matrix'!AQ16</f>
        <v>0</v>
      </c>
      <c r="AR16" s="6">
        <f>AR$1*'survival matrix'!AR16</f>
        <v>0</v>
      </c>
      <c r="AS16" s="6">
        <f>AS$1*'survival matrix'!AS16</f>
        <v>0</v>
      </c>
      <c r="AT16" s="6">
        <f>AT$1*'survival matrix'!AT16</f>
        <v>0</v>
      </c>
      <c r="AU16" s="6">
        <f>AU$1*'survival matrix'!AU16</f>
        <v>0</v>
      </c>
      <c r="AV16" s="6">
        <f>AV$1*'survival matrix'!AV16</f>
        <v>0</v>
      </c>
      <c r="AW16" s="6">
        <f>AW$1*'survival matrix'!AW16</f>
        <v>0</v>
      </c>
      <c r="AX16" s="6">
        <f>AX$1*'survival matrix'!AX16</f>
        <v>0</v>
      </c>
      <c r="AY16" s="6">
        <f>AY$1*'survival matrix'!AY16</f>
        <v>0</v>
      </c>
      <c r="AZ16" s="6">
        <f>AZ$1*'survival matrix'!AZ16</f>
        <v>0</v>
      </c>
      <c r="BA16" s="6">
        <f>BA$1*'survival matrix'!BA16</f>
        <v>0</v>
      </c>
      <c r="BB16" s="6">
        <f>BB$1*'survival matrix'!BB16</f>
        <v>0</v>
      </c>
      <c r="BC16" s="6">
        <f>BC$1*'survival matrix'!BC16</f>
        <v>0</v>
      </c>
      <c r="BD16" s="6">
        <f>BD$1*'survival matrix'!BD16</f>
        <v>0</v>
      </c>
      <c r="BE16" s="6">
        <f>BE$1*'survival matrix'!BE16</f>
        <v>0</v>
      </c>
      <c r="BF16" s="6">
        <f>BF$1*'survival matrix'!BF16</f>
        <v>0</v>
      </c>
      <c r="BG16" s="6">
        <f>BG$1*'survival matrix'!BG16</f>
        <v>0</v>
      </c>
      <c r="BH16" s="6">
        <f>BH$1*'survival matrix'!BH16</f>
        <v>0</v>
      </c>
      <c r="BI16" s="6">
        <f>BI$1*'survival matrix'!BI16</f>
        <v>0</v>
      </c>
      <c r="BJ16" s="6">
        <f>BJ$1*'survival matrix'!BJ16</f>
        <v>0</v>
      </c>
      <c r="BK16" s="6">
        <f>BK$1*'survival matrix'!BK16</f>
        <v>0</v>
      </c>
      <c r="BL16" s="6">
        <f>BL$1*'survival matrix'!BL16</f>
        <v>0</v>
      </c>
      <c r="BM16" s="6">
        <f>BM$1*'survival matrix'!BM16</f>
        <v>0</v>
      </c>
      <c r="BN16" s="6">
        <f>BN$1*'survival matrix'!BN16</f>
        <v>0</v>
      </c>
      <c r="BO16" s="6">
        <f>BO$1*'survival matrix'!BO16</f>
        <v>0</v>
      </c>
      <c r="BP16" s="6">
        <f>BP$1*'survival matrix'!BP16</f>
        <v>0</v>
      </c>
      <c r="BQ16" s="6">
        <f>BQ$1*'survival matrix'!BQ16</f>
        <v>0</v>
      </c>
      <c r="BR16" s="6">
        <f>BR$1*'survival matrix'!BR16</f>
        <v>0</v>
      </c>
      <c r="BS16" s="6">
        <f>BS$1*'survival matrix'!BS16</f>
        <v>0</v>
      </c>
      <c r="BT16" s="6">
        <f>BT$1*'survival matrix'!BT16</f>
        <v>0</v>
      </c>
      <c r="BU16" s="6">
        <f>BU$1*'survival matrix'!BU16</f>
        <v>0</v>
      </c>
      <c r="BV16" s="6">
        <f>BV$1*'survival matrix'!BV16</f>
        <v>0</v>
      </c>
      <c r="BW16" s="6">
        <f>BW$1*'survival matrix'!BW16</f>
        <v>0</v>
      </c>
      <c r="BX16" s="6">
        <f>BX$1*'survival matrix'!BX16</f>
        <v>0</v>
      </c>
      <c r="BY16" s="6">
        <f>BY$1*'survival matrix'!BY16</f>
        <v>0</v>
      </c>
      <c r="BZ16" s="6">
        <f>BZ$1*'survival matrix'!BZ16</f>
        <v>0</v>
      </c>
      <c r="CA16" s="6">
        <f>CA$1*'survival matrix'!CA16</f>
        <v>0</v>
      </c>
      <c r="CB16" s="6">
        <f>CB$1*'survival matrix'!CB16</f>
        <v>0</v>
      </c>
      <c r="CC16" s="6">
        <f>CC$1*'survival matrix'!CC16</f>
        <v>0</v>
      </c>
      <c r="CD16" s="6">
        <f>CD$1*'survival matrix'!CD16</f>
        <v>0</v>
      </c>
      <c r="CE16" s="6">
        <f>CE$1*'survival matrix'!CE16</f>
        <v>0</v>
      </c>
      <c r="CF16" s="6">
        <f>CF$1*'survival matrix'!CF16</f>
        <v>0</v>
      </c>
      <c r="CG16" s="6">
        <f>CG$1*'survival matrix'!CG16</f>
        <v>0</v>
      </c>
      <c r="CH16" s="6">
        <f>CH$1*'survival matrix'!CH16</f>
        <v>0</v>
      </c>
      <c r="CI16" s="6">
        <f>CI$1*'survival matrix'!CI16</f>
        <v>0</v>
      </c>
      <c r="CJ16" s="6">
        <f>CJ$1*'survival matrix'!CJ16</f>
        <v>0</v>
      </c>
      <c r="CK16" s="6">
        <f>CK$1*'survival matrix'!CK16</f>
        <v>0</v>
      </c>
      <c r="CL16" s="6">
        <f>CL$1*'survival matrix'!CL16</f>
        <v>0</v>
      </c>
      <c r="CM16" s="6">
        <f>CM$1*'survival matrix'!CM16</f>
        <v>0</v>
      </c>
      <c r="CN16" s="6">
        <f>CN$1*'survival matrix'!CN16</f>
        <v>0</v>
      </c>
      <c r="CO16" s="6">
        <f>CO$1*'survival matrix'!CO16</f>
        <v>0</v>
      </c>
      <c r="CP16" s="6">
        <f>CP$1*'survival matrix'!CP16</f>
        <v>0</v>
      </c>
      <c r="CQ16" s="6">
        <f>CQ$1*'survival matrix'!CQ16</f>
        <v>0</v>
      </c>
      <c r="CR16" s="6">
        <f>CR$1*'survival matrix'!CR16</f>
        <v>0</v>
      </c>
      <c r="CS16" s="6">
        <f>CS$1*'survival matrix'!CS16</f>
        <v>0</v>
      </c>
      <c r="CT16" s="6">
        <f>CT$1*'survival matrix'!CT16</f>
        <v>0</v>
      </c>
      <c r="CU16" s="6">
        <f>CU$1*'survival matrix'!CU16</f>
        <v>0</v>
      </c>
      <c r="CV16" s="6">
        <f>CV$1*'survival matrix'!CV16</f>
        <v>0</v>
      </c>
      <c r="CW16" s="6">
        <f>CW$1*'survival matrix'!CW16</f>
        <v>0</v>
      </c>
      <c r="CX16" s="6">
        <f>CX$1*'survival matrix'!CX16</f>
        <v>0</v>
      </c>
      <c r="CY16" s="6">
        <f>CY$1*'survival matrix'!CY16</f>
        <v>0</v>
      </c>
      <c r="CZ16" s="6">
        <f>CZ$1*'survival matrix'!CZ16</f>
        <v>0</v>
      </c>
      <c r="DA16" s="6">
        <f>DA$1*'survival matrix'!DA16</f>
        <v>0</v>
      </c>
      <c r="DB16" s="6">
        <f>DB$1*'survival matrix'!DB16</f>
        <v>0</v>
      </c>
      <c r="DC16" s="6">
        <f>DC$1*'survival matrix'!DC16</f>
        <v>0</v>
      </c>
      <c r="DD16" s="6">
        <f>DD$1*'survival matrix'!DD16</f>
        <v>0</v>
      </c>
      <c r="DE16" s="6">
        <f>DE$1*'survival matrix'!DE16</f>
        <v>0</v>
      </c>
      <c r="DF16" s="6">
        <f>DF$1*'survival matrix'!DF16</f>
        <v>0</v>
      </c>
      <c r="DG16" s="6">
        <f>DG$1*'survival matrix'!DG16</f>
        <v>0</v>
      </c>
      <c r="DH16" s="6">
        <f>DH$1*'survival matrix'!DH16</f>
        <v>0</v>
      </c>
      <c r="DI16" s="6">
        <f>DI$1*'survival matrix'!DI16</f>
        <v>0</v>
      </c>
      <c r="DJ16" s="6">
        <f>DJ$1*'survival matrix'!DJ16</f>
        <v>0</v>
      </c>
      <c r="DK16" s="6">
        <f>DK$1*'survival matrix'!DK16</f>
        <v>0</v>
      </c>
      <c r="DL16" s="6">
        <f>DL$1*'survival matrix'!DL16</f>
        <v>0</v>
      </c>
      <c r="DM16" s="6">
        <f>DM$1*'survival matrix'!DM16</f>
        <v>0</v>
      </c>
      <c r="DN16" s="6">
        <f>DN$1*'survival matrix'!DN16</f>
        <v>0</v>
      </c>
      <c r="DO16" s="6">
        <f>DO$1*'survival matrix'!DO16</f>
        <v>0</v>
      </c>
      <c r="DP16" s="6">
        <f>DP$1*'survival matrix'!DP16</f>
        <v>0</v>
      </c>
      <c r="DQ16" s="6">
        <f>DQ$1*'survival matrix'!DQ16</f>
        <v>0</v>
      </c>
      <c r="DR16" s="6">
        <f>DR$1*'survival matrix'!DR16</f>
        <v>0</v>
      </c>
      <c r="DS16" s="6">
        <f>DS$1*'survival matrix'!DS16</f>
        <v>0</v>
      </c>
      <c r="DT16" s="6">
        <f>DT$1*'survival matrix'!DT16</f>
        <v>0</v>
      </c>
      <c r="DU16" s="6">
        <f>DU$1*'survival matrix'!DU16</f>
        <v>0</v>
      </c>
      <c r="DV16" s="6">
        <f>DV$1*'survival matrix'!DV16</f>
        <v>0</v>
      </c>
      <c r="DW16" s="6">
        <f>DW$1*'survival matrix'!DW16</f>
        <v>0</v>
      </c>
      <c r="DX16" s="6">
        <f>DX$1*'survival matrix'!DX16</f>
        <v>0</v>
      </c>
      <c r="DY16" s="6">
        <f>DY$1*'survival matrix'!DY16</f>
        <v>0</v>
      </c>
      <c r="DZ16" s="6">
        <f>DZ$1*'survival matrix'!DZ16</f>
        <v>0</v>
      </c>
      <c r="EA16" s="6">
        <f>EA$1*'survival matrix'!EA16</f>
        <v>0</v>
      </c>
      <c r="EB16" s="6">
        <f>EB$1*'survival matrix'!EB16</f>
        <v>0</v>
      </c>
      <c r="EC16" s="6">
        <f>EC$1*'survival matrix'!EC16</f>
        <v>0</v>
      </c>
    </row>
    <row r="17" spans="1:133">
      <c r="A17" s="12">
        <f>'data input'!C17-B17</f>
        <v>460.49145801184932</v>
      </c>
      <c r="B17" s="14">
        <f t="shared" si="2"/>
        <v>50714.856162867276</v>
      </c>
      <c r="C17" s="11">
        <f>SUM(F17:EC17)</f>
        <v>400899.58778767852</v>
      </c>
      <c r="E17" s="7">
        <f>'data input'!B17</f>
        <v>1892</v>
      </c>
      <c r="F17" s="6">
        <f>F$1*'survival matrix'!F17</f>
        <v>3167.3709942067831</v>
      </c>
      <c r="G17" s="6">
        <f>G$1*'survival matrix'!G17</f>
        <v>6386.7735947067804</v>
      </c>
      <c r="H17" s="6">
        <f>H$1*'survival matrix'!H17</f>
        <v>9642.4992766765026</v>
      </c>
      <c r="I17" s="6">
        <f>I$1*'survival matrix'!I17</f>
        <v>12941.025457693704</v>
      </c>
      <c r="J17" s="6">
        <f>J$1*'survival matrix'!J17</f>
        <v>16276.032408378316</v>
      </c>
      <c r="K17" s="6">
        <f>K$1*'survival matrix'!K17</f>
        <v>19645.127630155894</v>
      </c>
      <c r="L17" s="6">
        <f>L$1*'survival matrix'!L17</f>
        <v>23052.392108316537</v>
      </c>
      <c r="M17" s="6">
        <f>M$1*'survival matrix'!M17</f>
        <v>26491.197427304593</v>
      </c>
      <c r="N17" s="6">
        <f>N$1*'survival matrix'!N17</f>
        <v>29947.970404834661</v>
      </c>
      <c r="O17" s="6">
        <f>O$1*'survival matrix'!O17</f>
        <v>33414.438268140781</v>
      </c>
      <c r="P17" s="6">
        <f>P$1*'survival matrix'!P17</f>
        <v>36903.089534363113</v>
      </c>
      <c r="Q17" s="6">
        <f>Q$1*'survival matrix'!Q17</f>
        <v>40422.436015407569</v>
      </c>
      <c r="R17" s="6">
        <f>R$1*'survival matrix'!R17</f>
        <v>43969.108323014771</v>
      </c>
      <c r="S17" s="6">
        <f>S$1*'survival matrix'!S17</f>
        <v>47533.860224620861</v>
      </c>
      <c r="T17" s="6">
        <f>T$1*'survival matrix'!T17</f>
        <v>51106.266119857712</v>
      </c>
      <c r="U17" s="6">
        <f>U$1*'survival matrix'!U17</f>
        <v>0</v>
      </c>
      <c r="V17" s="6">
        <f>V$1*'survival matrix'!V17</f>
        <v>0</v>
      </c>
      <c r="W17" s="6">
        <f>W$1*'survival matrix'!W17</f>
        <v>0</v>
      </c>
      <c r="X17" s="6">
        <f>X$1*'survival matrix'!X17</f>
        <v>0</v>
      </c>
      <c r="Y17" s="6">
        <f>Y$1*'survival matrix'!Y17</f>
        <v>0</v>
      </c>
      <c r="Z17" s="6">
        <f>Z$1*'survival matrix'!Z17</f>
        <v>0</v>
      </c>
      <c r="AA17" s="6">
        <f>AA$1*'survival matrix'!AA17</f>
        <v>0</v>
      </c>
      <c r="AB17" s="6">
        <f>AB$1*'survival matrix'!AB17</f>
        <v>0</v>
      </c>
      <c r="AC17" s="6">
        <f>AC$1*'survival matrix'!AC17</f>
        <v>0</v>
      </c>
      <c r="AD17" s="6">
        <f>AD$1*'survival matrix'!AD17</f>
        <v>0</v>
      </c>
      <c r="AE17" s="6">
        <f>AE$1*'survival matrix'!AE17</f>
        <v>0</v>
      </c>
      <c r="AF17" s="6">
        <f>AF$1*'survival matrix'!AF17</f>
        <v>0</v>
      </c>
      <c r="AG17" s="6">
        <f>AG$1*'survival matrix'!AG17</f>
        <v>0</v>
      </c>
      <c r="AH17" s="6">
        <f>AH$1*'survival matrix'!AH17</f>
        <v>0</v>
      </c>
      <c r="AI17" s="6">
        <f>AI$1*'survival matrix'!AI17</f>
        <v>0</v>
      </c>
      <c r="AJ17" s="6">
        <f>AJ$1*'survival matrix'!AJ17</f>
        <v>0</v>
      </c>
      <c r="AK17" s="6">
        <f>AK$1*'survival matrix'!AK17</f>
        <v>0</v>
      </c>
      <c r="AL17" s="6">
        <f>AL$1*'survival matrix'!AL17</f>
        <v>0</v>
      </c>
      <c r="AM17" s="6">
        <f>AM$1*'survival matrix'!AM17</f>
        <v>0</v>
      </c>
      <c r="AN17" s="6">
        <f>AN$1*'survival matrix'!AN17</f>
        <v>0</v>
      </c>
      <c r="AO17" s="6">
        <f>AO$1*'survival matrix'!AO17</f>
        <v>0</v>
      </c>
      <c r="AP17" s="6">
        <f>AP$1*'survival matrix'!AP17</f>
        <v>0</v>
      </c>
      <c r="AQ17" s="6">
        <f>AQ$1*'survival matrix'!AQ17</f>
        <v>0</v>
      </c>
      <c r="AR17" s="6">
        <f>AR$1*'survival matrix'!AR17</f>
        <v>0</v>
      </c>
      <c r="AS17" s="6">
        <f>AS$1*'survival matrix'!AS17</f>
        <v>0</v>
      </c>
      <c r="AT17" s="6">
        <f>AT$1*'survival matrix'!AT17</f>
        <v>0</v>
      </c>
      <c r="AU17" s="6">
        <f>AU$1*'survival matrix'!AU17</f>
        <v>0</v>
      </c>
      <c r="AV17" s="6">
        <f>AV$1*'survival matrix'!AV17</f>
        <v>0</v>
      </c>
      <c r="AW17" s="6">
        <f>AW$1*'survival matrix'!AW17</f>
        <v>0</v>
      </c>
      <c r="AX17" s="6">
        <f>AX$1*'survival matrix'!AX17</f>
        <v>0</v>
      </c>
      <c r="AY17" s="6">
        <f>AY$1*'survival matrix'!AY17</f>
        <v>0</v>
      </c>
      <c r="AZ17" s="6">
        <f>AZ$1*'survival matrix'!AZ17</f>
        <v>0</v>
      </c>
      <c r="BA17" s="6">
        <f>BA$1*'survival matrix'!BA17</f>
        <v>0</v>
      </c>
      <c r="BB17" s="6">
        <f>BB$1*'survival matrix'!BB17</f>
        <v>0</v>
      </c>
      <c r="BC17" s="6">
        <f>BC$1*'survival matrix'!BC17</f>
        <v>0</v>
      </c>
      <c r="BD17" s="6">
        <f>BD$1*'survival matrix'!BD17</f>
        <v>0</v>
      </c>
      <c r="BE17" s="6">
        <f>BE$1*'survival matrix'!BE17</f>
        <v>0</v>
      </c>
      <c r="BF17" s="6">
        <f>BF$1*'survival matrix'!BF17</f>
        <v>0</v>
      </c>
      <c r="BG17" s="6">
        <f>BG$1*'survival matrix'!BG17</f>
        <v>0</v>
      </c>
      <c r="BH17" s="6">
        <f>BH$1*'survival matrix'!BH17</f>
        <v>0</v>
      </c>
      <c r="BI17" s="6">
        <f>BI$1*'survival matrix'!BI17</f>
        <v>0</v>
      </c>
      <c r="BJ17" s="6">
        <f>BJ$1*'survival matrix'!BJ17</f>
        <v>0</v>
      </c>
      <c r="BK17" s="6">
        <f>BK$1*'survival matrix'!BK17</f>
        <v>0</v>
      </c>
      <c r="BL17" s="6">
        <f>BL$1*'survival matrix'!BL17</f>
        <v>0</v>
      </c>
      <c r="BM17" s="6">
        <f>BM$1*'survival matrix'!BM17</f>
        <v>0</v>
      </c>
      <c r="BN17" s="6">
        <f>BN$1*'survival matrix'!BN17</f>
        <v>0</v>
      </c>
      <c r="BO17" s="6">
        <f>BO$1*'survival matrix'!BO17</f>
        <v>0</v>
      </c>
      <c r="BP17" s="6">
        <f>BP$1*'survival matrix'!BP17</f>
        <v>0</v>
      </c>
      <c r="BQ17" s="6">
        <f>BQ$1*'survival matrix'!BQ17</f>
        <v>0</v>
      </c>
      <c r="BR17" s="6">
        <f>BR$1*'survival matrix'!BR17</f>
        <v>0</v>
      </c>
      <c r="BS17" s="6">
        <f>BS$1*'survival matrix'!BS17</f>
        <v>0</v>
      </c>
      <c r="BT17" s="6">
        <f>BT$1*'survival matrix'!BT17</f>
        <v>0</v>
      </c>
      <c r="BU17" s="6">
        <f>BU$1*'survival matrix'!BU17</f>
        <v>0</v>
      </c>
      <c r="BV17" s="6">
        <f>BV$1*'survival matrix'!BV17</f>
        <v>0</v>
      </c>
      <c r="BW17" s="6">
        <f>BW$1*'survival matrix'!BW17</f>
        <v>0</v>
      </c>
      <c r="BX17" s="6">
        <f>BX$1*'survival matrix'!BX17</f>
        <v>0</v>
      </c>
      <c r="BY17" s="6">
        <f>BY$1*'survival matrix'!BY17</f>
        <v>0</v>
      </c>
      <c r="BZ17" s="6">
        <f>BZ$1*'survival matrix'!BZ17</f>
        <v>0</v>
      </c>
      <c r="CA17" s="6">
        <f>CA$1*'survival matrix'!CA17</f>
        <v>0</v>
      </c>
      <c r="CB17" s="6">
        <f>CB$1*'survival matrix'!CB17</f>
        <v>0</v>
      </c>
      <c r="CC17" s="6">
        <f>CC$1*'survival matrix'!CC17</f>
        <v>0</v>
      </c>
      <c r="CD17" s="6">
        <f>CD$1*'survival matrix'!CD17</f>
        <v>0</v>
      </c>
      <c r="CE17" s="6">
        <f>CE$1*'survival matrix'!CE17</f>
        <v>0</v>
      </c>
      <c r="CF17" s="6">
        <f>CF$1*'survival matrix'!CF17</f>
        <v>0</v>
      </c>
      <c r="CG17" s="6">
        <f>CG$1*'survival matrix'!CG17</f>
        <v>0</v>
      </c>
      <c r="CH17" s="6">
        <f>CH$1*'survival matrix'!CH17</f>
        <v>0</v>
      </c>
      <c r="CI17" s="6">
        <f>CI$1*'survival matrix'!CI17</f>
        <v>0</v>
      </c>
      <c r="CJ17" s="6">
        <f>CJ$1*'survival matrix'!CJ17</f>
        <v>0</v>
      </c>
      <c r="CK17" s="6">
        <f>CK$1*'survival matrix'!CK17</f>
        <v>0</v>
      </c>
      <c r="CL17" s="6">
        <f>CL$1*'survival matrix'!CL17</f>
        <v>0</v>
      </c>
      <c r="CM17" s="6">
        <f>CM$1*'survival matrix'!CM17</f>
        <v>0</v>
      </c>
      <c r="CN17" s="6">
        <f>CN$1*'survival matrix'!CN17</f>
        <v>0</v>
      </c>
      <c r="CO17" s="6">
        <f>CO$1*'survival matrix'!CO17</f>
        <v>0</v>
      </c>
      <c r="CP17" s="6">
        <f>CP$1*'survival matrix'!CP17</f>
        <v>0</v>
      </c>
      <c r="CQ17" s="6">
        <f>CQ$1*'survival matrix'!CQ17</f>
        <v>0</v>
      </c>
      <c r="CR17" s="6">
        <f>CR$1*'survival matrix'!CR17</f>
        <v>0</v>
      </c>
      <c r="CS17" s="6">
        <f>CS$1*'survival matrix'!CS17</f>
        <v>0</v>
      </c>
      <c r="CT17" s="6">
        <f>CT$1*'survival matrix'!CT17</f>
        <v>0</v>
      </c>
      <c r="CU17" s="6">
        <f>CU$1*'survival matrix'!CU17</f>
        <v>0</v>
      </c>
      <c r="CV17" s="6">
        <f>CV$1*'survival matrix'!CV17</f>
        <v>0</v>
      </c>
      <c r="CW17" s="6">
        <f>CW$1*'survival matrix'!CW17</f>
        <v>0</v>
      </c>
      <c r="CX17" s="6">
        <f>CX$1*'survival matrix'!CX17</f>
        <v>0</v>
      </c>
      <c r="CY17" s="6">
        <f>CY$1*'survival matrix'!CY17</f>
        <v>0</v>
      </c>
      <c r="CZ17" s="6">
        <f>CZ$1*'survival matrix'!CZ17</f>
        <v>0</v>
      </c>
      <c r="DA17" s="6">
        <f>DA$1*'survival matrix'!DA17</f>
        <v>0</v>
      </c>
      <c r="DB17" s="6">
        <f>DB$1*'survival matrix'!DB17</f>
        <v>0</v>
      </c>
      <c r="DC17" s="6">
        <f>DC$1*'survival matrix'!DC17</f>
        <v>0</v>
      </c>
      <c r="DD17" s="6">
        <f>DD$1*'survival matrix'!DD17</f>
        <v>0</v>
      </c>
      <c r="DE17" s="6">
        <f>DE$1*'survival matrix'!DE17</f>
        <v>0</v>
      </c>
      <c r="DF17" s="6">
        <f>DF$1*'survival matrix'!DF17</f>
        <v>0</v>
      </c>
      <c r="DG17" s="6">
        <f>DG$1*'survival matrix'!DG17</f>
        <v>0</v>
      </c>
      <c r="DH17" s="6">
        <f>DH$1*'survival matrix'!DH17</f>
        <v>0</v>
      </c>
      <c r="DI17" s="6">
        <f>DI$1*'survival matrix'!DI17</f>
        <v>0</v>
      </c>
      <c r="DJ17" s="6">
        <f>DJ$1*'survival matrix'!DJ17</f>
        <v>0</v>
      </c>
      <c r="DK17" s="6">
        <f>DK$1*'survival matrix'!DK17</f>
        <v>0</v>
      </c>
      <c r="DL17" s="6">
        <f>DL$1*'survival matrix'!DL17</f>
        <v>0</v>
      </c>
      <c r="DM17" s="6">
        <f>DM$1*'survival matrix'!DM17</f>
        <v>0</v>
      </c>
      <c r="DN17" s="6">
        <f>DN$1*'survival matrix'!DN17</f>
        <v>0</v>
      </c>
      <c r="DO17" s="6">
        <f>DO$1*'survival matrix'!DO17</f>
        <v>0</v>
      </c>
      <c r="DP17" s="6">
        <f>DP$1*'survival matrix'!DP17</f>
        <v>0</v>
      </c>
      <c r="DQ17" s="6">
        <f>DQ$1*'survival matrix'!DQ17</f>
        <v>0</v>
      </c>
      <c r="DR17" s="6">
        <f>DR$1*'survival matrix'!DR17</f>
        <v>0</v>
      </c>
      <c r="DS17" s="6">
        <f>DS$1*'survival matrix'!DS17</f>
        <v>0</v>
      </c>
      <c r="DT17" s="6">
        <f>DT$1*'survival matrix'!DT17</f>
        <v>0</v>
      </c>
      <c r="DU17" s="6">
        <f>DU$1*'survival matrix'!DU17</f>
        <v>0</v>
      </c>
      <c r="DV17" s="6">
        <f>DV$1*'survival matrix'!DV17</f>
        <v>0</v>
      </c>
      <c r="DW17" s="6">
        <f>DW$1*'survival matrix'!DW17</f>
        <v>0</v>
      </c>
      <c r="DX17" s="6">
        <f>DX$1*'survival matrix'!DX17</f>
        <v>0</v>
      </c>
      <c r="DY17" s="6">
        <f>DY$1*'survival matrix'!DY17</f>
        <v>0</v>
      </c>
      <c r="DZ17" s="6">
        <f>DZ$1*'survival matrix'!DZ17</f>
        <v>0</v>
      </c>
      <c r="EA17" s="6">
        <f>EA$1*'survival matrix'!EA17</f>
        <v>0</v>
      </c>
      <c r="EB17" s="6">
        <f>EB$1*'survival matrix'!EB17</f>
        <v>0</v>
      </c>
      <c r="EC17" s="6">
        <f>EC$1*'survival matrix'!EC17</f>
        <v>0</v>
      </c>
    </row>
    <row r="18" spans="1:133">
      <c r="A18" s="12">
        <f>'data input'!C18-B18</f>
        <v>562.46090307059058</v>
      </c>
      <c r="B18" s="14">
        <f t="shared" si="2"/>
        <v>54187.711461646424</v>
      </c>
      <c r="C18" s="11">
        <f>SUM(F18:EC18)</f>
        <v>455087.29924932495</v>
      </c>
      <c r="E18" s="7">
        <f>'data input'!B18</f>
        <v>1893</v>
      </c>
      <c r="F18" s="6">
        <f>F$1*'survival matrix'!F18</f>
        <v>3151.7413857987071</v>
      </c>
      <c r="G18" s="6">
        <f>G$1*'survival matrix'!G18</f>
        <v>6359.6593690854661</v>
      </c>
      <c r="H18" s="6">
        <f>H$1*'survival matrix'!H18</f>
        <v>9607.4566586840338</v>
      </c>
      <c r="I18" s="6">
        <f>I$1*'survival matrix'!I18</f>
        <v>12900.970160065848</v>
      </c>
      <c r="J18" s="6">
        <f>J$1*'survival matrix'!J18</f>
        <v>16233.3461370557</v>
      </c>
      <c r="K18" s="6">
        <f>K$1*'survival matrix'!K18</f>
        <v>19601.698561329264</v>
      </c>
      <c r="L18" s="6">
        <f>L$1*'survival matrix'!L18</f>
        <v>23009.661284849095</v>
      </c>
      <c r="M18" s="6">
        <f>M$1*'survival matrix'!M18</f>
        <v>26450.241334984155</v>
      </c>
      <c r="N18" s="6">
        <f>N$1*'survival matrix'!N18</f>
        <v>29909.560007914239</v>
      </c>
      <c r="O18" s="6">
        <f>O$1*'survival matrix'!O18</f>
        <v>33379.076351352713</v>
      </c>
      <c r="P18" s="6">
        <f>P$1*'survival matrix'!P18</f>
        <v>36871.039733366306</v>
      </c>
      <c r="Q18" s="6">
        <f>Q$1*'survival matrix'!Q18</f>
        <v>40393.782778431647</v>
      </c>
      <c r="R18" s="6">
        <f>R$1*'survival matrix'!R18</f>
        <v>43943.809302783528</v>
      </c>
      <c r="S18" s="6">
        <f>S$1*'survival matrix'!S18</f>
        <v>47511.781682740017</v>
      </c>
      <c r="T18" s="6">
        <f>T$1*'survival matrix'!T18</f>
        <v>51087.209286073725</v>
      </c>
      <c r="U18" s="6">
        <f>U$1*'survival matrix'!U18</f>
        <v>54676.265214810475</v>
      </c>
      <c r="V18" s="6">
        <f>V$1*'survival matrix'!V18</f>
        <v>0</v>
      </c>
      <c r="W18" s="6">
        <f>W$1*'survival matrix'!W18</f>
        <v>0</v>
      </c>
      <c r="X18" s="6">
        <f>X$1*'survival matrix'!X18</f>
        <v>0</v>
      </c>
      <c r="Y18" s="6">
        <f>Y$1*'survival matrix'!Y18</f>
        <v>0</v>
      </c>
      <c r="Z18" s="6">
        <f>Z$1*'survival matrix'!Z18</f>
        <v>0</v>
      </c>
      <c r="AA18" s="6">
        <f>AA$1*'survival matrix'!AA18</f>
        <v>0</v>
      </c>
      <c r="AB18" s="6">
        <f>AB$1*'survival matrix'!AB18</f>
        <v>0</v>
      </c>
      <c r="AC18" s="6">
        <f>AC$1*'survival matrix'!AC18</f>
        <v>0</v>
      </c>
      <c r="AD18" s="6">
        <f>AD$1*'survival matrix'!AD18</f>
        <v>0</v>
      </c>
      <c r="AE18" s="6">
        <f>AE$1*'survival matrix'!AE18</f>
        <v>0</v>
      </c>
      <c r="AF18" s="6">
        <f>AF$1*'survival matrix'!AF18</f>
        <v>0</v>
      </c>
      <c r="AG18" s="6">
        <f>AG$1*'survival matrix'!AG18</f>
        <v>0</v>
      </c>
      <c r="AH18" s="6">
        <f>AH$1*'survival matrix'!AH18</f>
        <v>0</v>
      </c>
      <c r="AI18" s="6">
        <f>AI$1*'survival matrix'!AI18</f>
        <v>0</v>
      </c>
      <c r="AJ18" s="6">
        <f>AJ$1*'survival matrix'!AJ18</f>
        <v>0</v>
      </c>
      <c r="AK18" s="6">
        <f>AK$1*'survival matrix'!AK18</f>
        <v>0</v>
      </c>
      <c r="AL18" s="6">
        <f>AL$1*'survival matrix'!AL18</f>
        <v>0</v>
      </c>
      <c r="AM18" s="6">
        <f>AM$1*'survival matrix'!AM18</f>
        <v>0</v>
      </c>
      <c r="AN18" s="6">
        <f>AN$1*'survival matrix'!AN18</f>
        <v>0</v>
      </c>
      <c r="AO18" s="6">
        <f>AO$1*'survival matrix'!AO18</f>
        <v>0</v>
      </c>
      <c r="AP18" s="6">
        <f>AP$1*'survival matrix'!AP18</f>
        <v>0</v>
      </c>
      <c r="AQ18" s="6">
        <f>AQ$1*'survival matrix'!AQ18</f>
        <v>0</v>
      </c>
      <c r="AR18" s="6">
        <f>AR$1*'survival matrix'!AR18</f>
        <v>0</v>
      </c>
      <c r="AS18" s="6">
        <f>AS$1*'survival matrix'!AS18</f>
        <v>0</v>
      </c>
      <c r="AT18" s="6">
        <f>AT$1*'survival matrix'!AT18</f>
        <v>0</v>
      </c>
      <c r="AU18" s="6">
        <f>AU$1*'survival matrix'!AU18</f>
        <v>0</v>
      </c>
      <c r="AV18" s="6">
        <f>AV$1*'survival matrix'!AV18</f>
        <v>0</v>
      </c>
      <c r="AW18" s="6">
        <f>AW$1*'survival matrix'!AW18</f>
        <v>0</v>
      </c>
      <c r="AX18" s="6">
        <f>AX$1*'survival matrix'!AX18</f>
        <v>0</v>
      </c>
      <c r="AY18" s="6">
        <f>AY$1*'survival matrix'!AY18</f>
        <v>0</v>
      </c>
      <c r="AZ18" s="6">
        <f>AZ$1*'survival matrix'!AZ18</f>
        <v>0</v>
      </c>
      <c r="BA18" s="6">
        <f>BA$1*'survival matrix'!BA18</f>
        <v>0</v>
      </c>
      <c r="BB18" s="6">
        <f>BB$1*'survival matrix'!BB18</f>
        <v>0</v>
      </c>
      <c r="BC18" s="6">
        <f>BC$1*'survival matrix'!BC18</f>
        <v>0</v>
      </c>
      <c r="BD18" s="6">
        <f>BD$1*'survival matrix'!BD18</f>
        <v>0</v>
      </c>
      <c r="BE18" s="6">
        <f>BE$1*'survival matrix'!BE18</f>
        <v>0</v>
      </c>
      <c r="BF18" s="6">
        <f>BF$1*'survival matrix'!BF18</f>
        <v>0</v>
      </c>
      <c r="BG18" s="6">
        <f>BG$1*'survival matrix'!BG18</f>
        <v>0</v>
      </c>
      <c r="BH18" s="6">
        <f>BH$1*'survival matrix'!BH18</f>
        <v>0</v>
      </c>
      <c r="BI18" s="6">
        <f>BI$1*'survival matrix'!BI18</f>
        <v>0</v>
      </c>
      <c r="BJ18" s="6">
        <f>BJ$1*'survival matrix'!BJ18</f>
        <v>0</v>
      </c>
      <c r="BK18" s="6">
        <f>BK$1*'survival matrix'!BK18</f>
        <v>0</v>
      </c>
      <c r="BL18" s="6">
        <f>BL$1*'survival matrix'!BL18</f>
        <v>0</v>
      </c>
      <c r="BM18" s="6">
        <f>BM$1*'survival matrix'!BM18</f>
        <v>0</v>
      </c>
      <c r="BN18" s="6">
        <f>BN$1*'survival matrix'!BN18</f>
        <v>0</v>
      </c>
      <c r="BO18" s="6">
        <f>BO$1*'survival matrix'!BO18</f>
        <v>0</v>
      </c>
      <c r="BP18" s="6">
        <f>BP$1*'survival matrix'!BP18</f>
        <v>0</v>
      </c>
      <c r="BQ18" s="6">
        <f>BQ$1*'survival matrix'!BQ18</f>
        <v>0</v>
      </c>
      <c r="BR18" s="6">
        <f>BR$1*'survival matrix'!BR18</f>
        <v>0</v>
      </c>
      <c r="BS18" s="6">
        <f>BS$1*'survival matrix'!BS18</f>
        <v>0</v>
      </c>
      <c r="BT18" s="6">
        <f>BT$1*'survival matrix'!BT18</f>
        <v>0</v>
      </c>
      <c r="BU18" s="6">
        <f>BU$1*'survival matrix'!BU18</f>
        <v>0</v>
      </c>
      <c r="BV18" s="6">
        <f>BV$1*'survival matrix'!BV18</f>
        <v>0</v>
      </c>
      <c r="BW18" s="6">
        <f>BW$1*'survival matrix'!BW18</f>
        <v>0</v>
      </c>
      <c r="BX18" s="6">
        <f>BX$1*'survival matrix'!BX18</f>
        <v>0</v>
      </c>
      <c r="BY18" s="6">
        <f>BY$1*'survival matrix'!BY18</f>
        <v>0</v>
      </c>
      <c r="BZ18" s="6">
        <f>BZ$1*'survival matrix'!BZ18</f>
        <v>0</v>
      </c>
      <c r="CA18" s="6">
        <f>CA$1*'survival matrix'!CA18</f>
        <v>0</v>
      </c>
      <c r="CB18" s="6">
        <f>CB$1*'survival matrix'!CB18</f>
        <v>0</v>
      </c>
      <c r="CC18" s="6">
        <f>CC$1*'survival matrix'!CC18</f>
        <v>0</v>
      </c>
      <c r="CD18" s="6">
        <f>CD$1*'survival matrix'!CD18</f>
        <v>0</v>
      </c>
      <c r="CE18" s="6">
        <f>CE$1*'survival matrix'!CE18</f>
        <v>0</v>
      </c>
      <c r="CF18" s="6">
        <f>CF$1*'survival matrix'!CF18</f>
        <v>0</v>
      </c>
      <c r="CG18" s="6">
        <f>CG$1*'survival matrix'!CG18</f>
        <v>0</v>
      </c>
      <c r="CH18" s="6">
        <f>CH$1*'survival matrix'!CH18</f>
        <v>0</v>
      </c>
      <c r="CI18" s="6">
        <f>CI$1*'survival matrix'!CI18</f>
        <v>0</v>
      </c>
      <c r="CJ18" s="6">
        <f>CJ$1*'survival matrix'!CJ18</f>
        <v>0</v>
      </c>
      <c r="CK18" s="6">
        <f>CK$1*'survival matrix'!CK18</f>
        <v>0</v>
      </c>
      <c r="CL18" s="6">
        <f>CL$1*'survival matrix'!CL18</f>
        <v>0</v>
      </c>
      <c r="CM18" s="6">
        <f>CM$1*'survival matrix'!CM18</f>
        <v>0</v>
      </c>
      <c r="CN18" s="6">
        <f>CN$1*'survival matrix'!CN18</f>
        <v>0</v>
      </c>
      <c r="CO18" s="6">
        <f>CO$1*'survival matrix'!CO18</f>
        <v>0</v>
      </c>
      <c r="CP18" s="6">
        <f>CP$1*'survival matrix'!CP18</f>
        <v>0</v>
      </c>
      <c r="CQ18" s="6">
        <f>CQ$1*'survival matrix'!CQ18</f>
        <v>0</v>
      </c>
      <c r="CR18" s="6">
        <f>CR$1*'survival matrix'!CR18</f>
        <v>0</v>
      </c>
      <c r="CS18" s="6">
        <f>CS$1*'survival matrix'!CS18</f>
        <v>0</v>
      </c>
      <c r="CT18" s="6">
        <f>CT$1*'survival matrix'!CT18</f>
        <v>0</v>
      </c>
      <c r="CU18" s="6">
        <f>CU$1*'survival matrix'!CU18</f>
        <v>0</v>
      </c>
      <c r="CV18" s="6">
        <f>CV$1*'survival matrix'!CV18</f>
        <v>0</v>
      </c>
      <c r="CW18" s="6">
        <f>CW$1*'survival matrix'!CW18</f>
        <v>0</v>
      </c>
      <c r="CX18" s="6">
        <f>CX$1*'survival matrix'!CX18</f>
        <v>0</v>
      </c>
      <c r="CY18" s="6">
        <f>CY$1*'survival matrix'!CY18</f>
        <v>0</v>
      </c>
      <c r="CZ18" s="6">
        <f>CZ$1*'survival matrix'!CZ18</f>
        <v>0</v>
      </c>
      <c r="DA18" s="6">
        <f>DA$1*'survival matrix'!DA18</f>
        <v>0</v>
      </c>
      <c r="DB18" s="6">
        <f>DB$1*'survival matrix'!DB18</f>
        <v>0</v>
      </c>
      <c r="DC18" s="6">
        <f>DC$1*'survival matrix'!DC18</f>
        <v>0</v>
      </c>
      <c r="DD18" s="6">
        <f>DD$1*'survival matrix'!DD18</f>
        <v>0</v>
      </c>
      <c r="DE18" s="6">
        <f>DE$1*'survival matrix'!DE18</f>
        <v>0</v>
      </c>
      <c r="DF18" s="6">
        <f>DF$1*'survival matrix'!DF18</f>
        <v>0</v>
      </c>
      <c r="DG18" s="6">
        <f>DG$1*'survival matrix'!DG18</f>
        <v>0</v>
      </c>
      <c r="DH18" s="6">
        <f>DH$1*'survival matrix'!DH18</f>
        <v>0</v>
      </c>
      <c r="DI18" s="6">
        <f>DI$1*'survival matrix'!DI18</f>
        <v>0</v>
      </c>
      <c r="DJ18" s="6">
        <f>DJ$1*'survival matrix'!DJ18</f>
        <v>0</v>
      </c>
      <c r="DK18" s="6">
        <f>DK$1*'survival matrix'!DK18</f>
        <v>0</v>
      </c>
      <c r="DL18" s="6">
        <f>DL$1*'survival matrix'!DL18</f>
        <v>0</v>
      </c>
      <c r="DM18" s="6">
        <f>DM$1*'survival matrix'!DM18</f>
        <v>0</v>
      </c>
      <c r="DN18" s="6">
        <f>DN$1*'survival matrix'!DN18</f>
        <v>0</v>
      </c>
      <c r="DO18" s="6">
        <f>DO$1*'survival matrix'!DO18</f>
        <v>0</v>
      </c>
      <c r="DP18" s="6">
        <f>DP$1*'survival matrix'!DP18</f>
        <v>0</v>
      </c>
      <c r="DQ18" s="6">
        <f>DQ$1*'survival matrix'!DQ18</f>
        <v>0</v>
      </c>
      <c r="DR18" s="6">
        <f>DR$1*'survival matrix'!DR18</f>
        <v>0</v>
      </c>
      <c r="DS18" s="6">
        <f>DS$1*'survival matrix'!DS18</f>
        <v>0</v>
      </c>
      <c r="DT18" s="6">
        <f>DT$1*'survival matrix'!DT18</f>
        <v>0</v>
      </c>
      <c r="DU18" s="6">
        <f>DU$1*'survival matrix'!DU18</f>
        <v>0</v>
      </c>
      <c r="DV18" s="6">
        <f>DV$1*'survival matrix'!DV18</f>
        <v>0</v>
      </c>
      <c r="DW18" s="6">
        <f>DW$1*'survival matrix'!DW18</f>
        <v>0</v>
      </c>
      <c r="DX18" s="6">
        <f>DX$1*'survival matrix'!DX18</f>
        <v>0</v>
      </c>
      <c r="DY18" s="6">
        <f>DY$1*'survival matrix'!DY18</f>
        <v>0</v>
      </c>
      <c r="DZ18" s="6">
        <f>DZ$1*'survival matrix'!DZ18</f>
        <v>0</v>
      </c>
      <c r="EA18" s="6">
        <f>EA$1*'survival matrix'!EA18</f>
        <v>0</v>
      </c>
      <c r="EB18" s="6">
        <f>EB$1*'survival matrix'!EB18</f>
        <v>0</v>
      </c>
      <c r="EC18" s="6">
        <f>EC$1*'survival matrix'!EC18</f>
        <v>0</v>
      </c>
    </row>
    <row r="19" spans="1:133">
      <c r="A19" s="12">
        <f>'data input'!C19-B19</f>
        <v>683.09137905261014</v>
      </c>
      <c r="B19" s="14">
        <f t="shared" si="2"/>
        <v>57648.46722386207</v>
      </c>
      <c r="C19" s="11">
        <f>SUM(F19:EC19)</f>
        <v>512735.76647318702</v>
      </c>
      <c r="E19" s="7">
        <f>'data input'!B19</f>
        <v>1894</v>
      </c>
      <c r="F19" s="6">
        <f>F$1*'survival matrix'!F19</f>
        <v>3133.7530019765995</v>
      </c>
      <c r="G19" s="6">
        <f>G$1*'survival matrix'!G19</f>
        <v>6328.2771957532732</v>
      </c>
      <c r="H19" s="6">
        <f>H$1*'survival matrix'!H19</f>
        <v>9566.6694374638464</v>
      </c>
      <c r="I19" s="6">
        <f>I$1*'survival matrix'!I19</f>
        <v>12854.085658851007</v>
      </c>
      <c r="J19" s="6">
        <f>J$1*'survival matrix'!J19</f>
        <v>16183.100388514249</v>
      </c>
      <c r="K19" s="6">
        <f>K$1*'survival matrix'!K19</f>
        <v>19550.290244966956</v>
      </c>
      <c r="L19" s="6">
        <f>L$1*'survival matrix'!L19</f>
        <v>22958.79431251733</v>
      </c>
      <c r="M19" s="6">
        <f>M$1*'survival matrix'!M19</f>
        <v>26401.212124139322</v>
      </c>
      <c r="N19" s="6">
        <f>N$1*'survival matrix'!N19</f>
        <v>29863.319036576144</v>
      </c>
      <c r="O19" s="6">
        <f>O$1*'survival matrix'!O19</f>
        <v>33336.265317611156</v>
      </c>
      <c r="P19" s="6">
        <f>P$1*'survival matrix'!P19</f>
        <v>36832.01975558071</v>
      </c>
      <c r="Q19" s="6">
        <f>Q$1*'survival matrix'!Q19</f>
        <v>40358.701360699626</v>
      </c>
      <c r="R19" s="6">
        <f>R$1*'survival matrix'!R19</f>
        <v>43912.659958367527</v>
      </c>
      <c r="S19" s="6">
        <f>S$1*'survival matrix'!S19</f>
        <v>47484.444273093592</v>
      </c>
      <c r="T19" s="6">
        <f>T$1*'survival matrix'!T19</f>
        <v>51063.480283538098</v>
      </c>
      <c r="U19" s="6">
        <f>U$1*'survival matrix'!U19</f>
        <v>54655.87717676277</v>
      </c>
      <c r="V19" s="6">
        <f>V$1*'survival matrix'!V19</f>
        <v>58252.816946774692</v>
      </c>
      <c r="W19" s="6">
        <f>W$1*'survival matrix'!W19</f>
        <v>0</v>
      </c>
      <c r="X19" s="6">
        <f>X$1*'survival matrix'!X19</f>
        <v>0</v>
      </c>
      <c r="Y19" s="6">
        <f>Y$1*'survival matrix'!Y19</f>
        <v>0</v>
      </c>
      <c r="Z19" s="6">
        <f>Z$1*'survival matrix'!Z19</f>
        <v>0</v>
      </c>
      <c r="AA19" s="6">
        <f>AA$1*'survival matrix'!AA19</f>
        <v>0</v>
      </c>
      <c r="AB19" s="6">
        <f>AB$1*'survival matrix'!AB19</f>
        <v>0</v>
      </c>
      <c r="AC19" s="6">
        <f>AC$1*'survival matrix'!AC19</f>
        <v>0</v>
      </c>
      <c r="AD19" s="6">
        <f>AD$1*'survival matrix'!AD19</f>
        <v>0</v>
      </c>
      <c r="AE19" s="6">
        <f>AE$1*'survival matrix'!AE19</f>
        <v>0</v>
      </c>
      <c r="AF19" s="6">
        <f>AF$1*'survival matrix'!AF19</f>
        <v>0</v>
      </c>
      <c r="AG19" s="6">
        <f>AG$1*'survival matrix'!AG19</f>
        <v>0</v>
      </c>
      <c r="AH19" s="6">
        <f>AH$1*'survival matrix'!AH19</f>
        <v>0</v>
      </c>
      <c r="AI19" s="6">
        <f>AI$1*'survival matrix'!AI19</f>
        <v>0</v>
      </c>
      <c r="AJ19" s="6">
        <f>AJ$1*'survival matrix'!AJ19</f>
        <v>0</v>
      </c>
      <c r="AK19" s="6">
        <f>AK$1*'survival matrix'!AK19</f>
        <v>0</v>
      </c>
      <c r="AL19" s="6">
        <f>AL$1*'survival matrix'!AL19</f>
        <v>0</v>
      </c>
      <c r="AM19" s="6">
        <f>AM$1*'survival matrix'!AM19</f>
        <v>0</v>
      </c>
      <c r="AN19" s="6">
        <f>AN$1*'survival matrix'!AN19</f>
        <v>0</v>
      </c>
      <c r="AO19" s="6">
        <f>AO$1*'survival matrix'!AO19</f>
        <v>0</v>
      </c>
      <c r="AP19" s="6">
        <f>AP$1*'survival matrix'!AP19</f>
        <v>0</v>
      </c>
      <c r="AQ19" s="6">
        <f>AQ$1*'survival matrix'!AQ19</f>
        <v>0</v>
      </c>
      <c r="AR19" s="6">
        <f>AR$1*'survival matrix'!AR19</f>
        <v>0</v>
      </c>
      <c r="AS19" s="6">
        <f>AS$1*'survival matrix'!AS19</f>
        <v>0</v>
      </c>
      <c r="AT19" s="6">
        <f>AT$1*'survival matrix'!AT19</f>
        <v>0</v>
      </c>
      <c r="AU19" s="6">
        <f>AU$1*'survival matrix'!AU19</f>
        <v>0</v>
      </c>
      <c r="AV19" s="6">
        <f>AV$1*'survival matrix'!AV19</f>
        <v>0</v>
      </c>
      <c r="AW19" s="6">
        <f>AW$1*'survival matrix'!AW19</f>
        <v>0</v>
      </c>
      <c r="AX19" s="6">
        <f>AX$1*'survival matrix'!AX19</f>
        <v>0</v>
      </c>
      <c r="AY19" s="6">
        <f>AY$1*'survival matrix'!AY19</f>
        <v>0</v>
      </c>
      <c r="AZ19" s="6">
        <f>AZ$1*'survival matrix'!AZ19</f>
        <v>0</v>
      </c>
      <c r="BA19" s="6">
        <f>BA$1*'survival matrix'!BA19</f>
        <v>0</v>
      </c>
      <c r="BB19" s="6">
        <f>BB$1*'survival matrix'!BB19</f>
        <v>0</v>
      </c>
      <c r="BC19" s="6">
        <f>BC$1*'survival matrix'!BC19</f>
        <v>0</v>
      </c>
      <c r="BD19" s="6">
        <f>BD$1*'survival matrix'!BD19</f>
        <v>0</v>
      </c>
      <c r="BE19" s="6">
        <f>BE$1*'survival matrix'!BE19</f>
        <v>0</v>
      </c>
      <c r="BF19" s="6">
        <f>BF$1*'survival matrix'!BF19</f>
        <v>0</v>
      </c>
      <c r="BG19" s="6">
        <f>BG$1*'survival matrix'!BG19</f>
        <v>0</v>
      </c>
      <c r="BH19" s="6">
        <f>BH$1*'survival matrix'!BH19</f>
        <v>0</v>
      </c>
      <c r="BI19" s="6">
        <f>BI$1*'survival matrix'!BI19</f>
        <v>0</v>
      </c>
      <c r="BJ19" s="6">
        <f>BJ$1*'survival matrix'!BJ19</f>
        <v>0</v>
      </c>
      <c r="BK19" s="6">
        <f>BK$1*'survival matrix'!BK19</f>
        <v>0</v>
      </c>
      <c r="BL19" s="6">
        <f>BL$1*'survival matrix'!BL19</f>
        <v>0</v>
      </c>
      <c r="BM19" s="6">
        <f>BM$1*'survival matrix'!BM19</f>
        <v>0</v>
      </c>
      <c r="BN19" s="6">
        <f>BN$1*'survival matrix'!BN19</f>
        <v>0</v>
      </c>
      <c r="BO19" s="6">
        <f>BO$1*'survival matrix'!BO19</f>
        <v>0</v>
      </c>
      <c r="BP19" s="6">
        <f>BP$1*'survival matrix'!BP19</f>
        <v>0</v>
      </c>
      <c r="BQ19" s="6">
        <f>BQ$1*'survival matrix'!BQ19</f>
        <v>0</v>
      </c>
      <c r="BR19" s="6">
        <f>BR$1*'survival matrix'!BR19</f>
        <v>0</v>
      </c>
      <c r="BS19" s="6">
        <f>BS$1*'survival matrix'!BS19</f>
        <v>0</v>
      </c>
      <c r="BT19" s="6">
        <f>BT$1*'survival matrix'!BT19</f>
        <v>0</v>
      </c>
      <c r="BU19" s="6">
        <f>BU$1*'survival matrix'!BU19</f>
        <v>0</v>
      </c>
      <c r="BV19" s="6">
        <f>BV$1*'survival matrix'!BV19</f>
        <v>0</v>
      </c>
      <c r="BW19" s="6">
        <f>BW$1*'survival matrix'!BW19</f>
        <v>0</v>
      </c>
      <c r="BX19" s="6">
        <f>BX$1*'survival matrix'!BX19</f>
        <v>0</v>
      </c>
      <c r="BY19" s="6">
        <f>BY$1*'survival matrix'!BY19</f>
        <v>0</v>
      </c>
      <c r="BZ19" s="6">
        <f>BZ$1*'survival matrix'!BZ19</f>
        <v>0</v>
      </c>
      <c r="CA19" s="6">
        <f>CA$1*'survival matrix'!CA19</f>
        <v>0</v>
      </c>
      <c r="CB19" s="6">
        <f>CB$1*'survival matrix'!CB19</f>
        <v>0</v>
      </c>
      <c r="CC19" s="6">
        <f>CC$1*'survival matrix'!CC19</f>
        <v>0</v>
      </c>
      <c r="CD19" s="6">
        <f>CD$1*'survival matrix'!CD19</f>
        <v>0</v>
      </c>
      <c r="CE19" s="6">
        <f>CE$1*'survival matrix'!CE19</f>
        <v>0</v>
      </c>
      <c r="CF19" s="6">
        <f>CF$1*'survival matrix'!CF19</f>
        <v>0</v>
      </c>
      <c r="CG19" s="6">
        <f>CG$1*'survival matrix'!CG19</f>
        <v>0</v>
      </c>
      <c r="CH19" s="6">
        <f>CH$1*'survival matrix'!CH19</f>
        <v>0</v>
      </c>
      <c r="CI19" s="6">
        <f>CI$1*'survival matrix'!CI19</f>
        <v>0</v>
      </c>
      <c r="CJ19" s="6">
        <f>CJ$1*'survival matrix'!CJ19</f>
        <v>0</v>
      </c>
      <c r="CK19" s="6">
        <f>CK$1*'survival matrix'!CK19</f>
        <v>0</v>
      </c>
      <c r="CL19" s="6">
        <f>CL$1*'survival matrix'!CL19</f>
        <v>0</v>
      </c>
      <c r="CM19" s="6">
        <f>CM$1*'survival matrix'!CM19</f>
        <v>0</v>
      </c>
      <c r="CN19" s="6">
        <f>CN$1*'survival matrix'!CN19</f>
        <v>0</v>
      </c>
      <c r="CO19" s="6">
        <f>CO$1*'survival matrix'!CO19</f>
        <v>0</v>
      </c>
      <c r="CP19" s="6">
        <f>CP$1*'survival matrix'!CP19</f>
        <v>0</v>
      </c>
      <c r="CQ19" s="6">
        <f>CQ$1*'survival matrix'!CQ19</f>
        <v>0</v>
      </c>
      <c r="CR19" s="6">
        <f>CR$1*'survival matrix'!CR19</f>
        <v>0</v>
      </c>
      <c r="CS19" s="6">
        <f>CS$1*'survival matrix'!CS19</f>
        <v>0</v>
      </c>
      <c r="CT19" s="6">
        <f>CT$1*'survival matrix'!CT19</f>
        <v>0</v>
      </c>
      <c r="CU19" s="6">
        <f>CU$1*'survival matrix'!CU19</f>
        <v>0</v>
      </c>
      <c r="CV19" s="6">
        <f>CV$1*'survival matrix'!CV19</f>
        <v>0</v>
      </c>
      <c r="CW19" s="6">
        <f>CW$1*'survival matrix'!CW19</f>
        <v>0</v>
      </c>
      <c r="CX19" s="6">
        <f>CX$1*'survival matrix'!CX19</f>
        <v>0</v>
      </c>
      <c r="CY19" s="6">
        <f>CY$1*'survival matrix'!CY19</f>
        <v>0</v>
      </c>
      <c r="CZ19" s="6">
        <f>CZ$1*'survival matrix'!CZ19</f>
        <v>0</v>
      </c>
      <c r="DA19" s="6">
        <f>DA$1*'survival matrix'!DA19</f>
        <v>0</v>
      </c>
      <c r="DB19" s="6">
        <f>DB$1*'survival matrix'!DB19</f>
        <v>0</v>
      </c>
      <c r="DC19" s="6">
        <f>DC$1*'survival matrix'!DC19</f>
        <v>0</v>
      </c>
      <c r="DD19" s="6">
        <f>DD$1*'survival matrix'!DD19</f>
        <v>0</v>
      </c>
      <c r="DE19" s="6">
        <f>DE$1*'survival matrix'!DE19</f>
        <v>0</v>
      </c>
      <c r="DF19" s="6">
        <f>DF$1*'survival matrix'!DF19</f>
        <v>0</v>
      </c>
      <c r="DG19" s="6">
        <f>DG$1*'survival matrix'!DG19</f>
        <v>0</v>
      </c>
      <c r="DH19" s="6">
        <f>DH$1*'survival matrix'!DH19</f>
        <v>0</v>
      </c>
      <c r="DI19" s="6">
        <f>DI$1*'survival matrix'!DI19</f>
        <v>0</v>
      </c>
      <c r="DJ19" s="6">
        <f>DJ$1*'survival matrix'!DJ19</f>
        <v>0</v>
      </c>
      <c r="DK19" s="6">
        <f>DK$1*'survival matrix'!DK19</f>
        <v>0</v>
      </c>
      <c r="DL19" s="6">
        <f>DL$1*'survival matrix'!DL19</f>
        <v>0</v>
      </c>
      <c r="DM19" s="6">
        <f>DM$1*'survival matrix'!DM19</f>
        <v>0</v>
      </c>
      <c r="DN19" s="6">
        <f>DN$1*'survival matrix'!DN19</f>
        <v>0</v>
      </c>
      <c r="DO19" s="6">
        <f>DO$1*'survival matrix'!DO19</f>
        <v>0</v>
      </c>
      <c r="DP19" s="6">
        <f>DP$1*'survival matrix'!DP19</f>
        <v>0</v>
      </c>
      <c r="DQ19" s="6">
        <f>DQ$1*'survival matrix'!DQ19</f>
        <v>0</v>
      </c>
      <c r="DR19" s="6">
        <f>DR$1*'survival matrix'!DR19</f>
        <v>0</v>
      </c>
      <c r="DS19" s="6">
        <f>DS$1*'survival matrix'!DS19</f>
        <v>0</v>
      </c>
      <c r="DT19" s="6">
        <f>DT$1*'survival matrix'!DT19</f>
        <v>0</v>
      </c>
      <c r="DU19" s="6">
        <f>DU$1*'survival matrix'!DU19</f>
        <v>0</v>
      </c>
      <c r="DV19" s="6">
        <f>DV$1*'survival matrix'!DV19</f>
        <v>0</v>
      </c>
      <c r="DW19" s="6">
        <f>DW$1*'survival matrix'!DW19</f>
        <v>0</v>
      </c>
      <c r="DX19" s="6">
        <f>DX$1*'survival matrix'!DX19</f>
        <v>0</v>
      </c>
      <c r="DY19" s="6">
        <f>DY$1*'survival matrix'!DY19</f>
        <v>0</v>
      </c>
      <c r="DZ19" s="6">
        <f>DZ$1*'survival matrix'!DZ19</f>
        <v>0</v>
      </c>
      <c r="EA19" s="6">
        <f>EA$1*'survival matrix'!EA19</f>
        <v>0</v>
      </c>
      <c r="EB19" s="6">
        <f>EB$1*'survival matrix'!EB19</f>
        <v>0</v>
      </c>
      <c r="EC19" s="6">
        <f>EC$1*'survival matrix'!EC19</f>
        <v>0</v>
      </c>
    </row>
    <row r="20" spans="1:133">
      <c r="A20" s="12">
        <f>'data input'!C20-B20</f>
        <v>825.1137487465603</v>
      </c>
      <c r="B20" s="14">
        <f t="shared" si="2"/>
        <v>61103.596179269603</v>
      </c>
      <c r="C20" s="11">
        <f>SUM(F20:EC20)</f>
        <v>573839.36265245662</v>
      </c>
      <c r="E20" s="7">
        <f>'data input'!B20</f>
        <v>1895</v>
      </c>
      <c r="F20" s="6">
        <f>F$1*'survival matrix'!F20</f>
        <v>3113.1659371777819</v>
      </c>
      <c r="G20" s="6">
        <f>G$1*'survival matrix'!G20</f>
        <v>6292.1589153503101</v>
      </c>
      <c r="H20" s="6">
        <f>H$1*'survival matrix'!H20</f>
        <v>9519.4620540059077</v>
      </c>
      <c r="I20" s="6">
        <f>I$1*'survival matrix'!I20</f>
        <v>12799.515291897866</v>
      </c>
      <c r="J20" s="6">
        <f>J$1*'survival matrix'!J20</f>
        <v>16124.288021660335</v>
      </c>
      <c r="K20" s="6">
        <f>K$1*'survival matrix'!K20</f>
        <v>19489.777830627521</v>
      </c>
      <c r="L20" s="6">
        <f>L$1*'survival matrix'!L20</f>
        <v>22898.581522405177</v>
      </c>
      <c r="M20" s="6">
        <f>M$1*'survival matrix'!M20</f>
        <v>26342.847521982923</v>
      </c>
      <c r="N20" s="6">
        <f>N$1*'survival matrix'!N20</f>
        <v>29807.963210252012</v>
      </c>
      <c r="O20" s="6">
        <f>O$1*'survival matrix'!O20</f>
        <v>33284.726569175444</v>
      </c>
      <c r="P20" s="6">
        <f>P$1*'survival matrix'!P20</f>
        <v>36784.780076929092</v>
      </c>
      <c r="Q20" s="6">
        <f>Q$1*'survival matrix'!Q20</f>
        <v>40315.990451489095</v>
      </c>
      <c r="R20" s="6">
        <f>R$1*'survival matrix'!R20</f>
        <v>43874.522446558505</v>
      </c>
      <c r="S20" s="6">
        <f>S$1*'survival matrix'!S20</f>
        <v>47450.785167692113</v>
      </c>
      <c r="T20" s="6">
        <f>T$1*'survival matrix'!T20</f>
        <v>51034.09929151796</v>
      </c>
      <c r="U20" s="6">
        <f>U$1*'survival matrix'!U20</f>
        <v>54630.490598277887</v>
      </c>
      <c r="V20" s="6">
        <f>V$1*'survival matrix'!V20</f>
        <v>58231.095261073759</v>
      </c>
      <c r="W20" s="6">
        <f>W$1*'survival matrix'!W20</f>
        <v>61845.112484382946</v>
      </c>
      <c r="X20" s="6">
        <f>X$1*'survival matrix'!X20</f>
        <v>0</v>
      </c>
      <c r="Y20" s="6">
        <f>Y$1*'survival matrix'!Y20</f>
        <v>0</v>
      </c>
      <c r="Z20" s="6">
        <f>Z$1*'survival matrix'!Z20</f>
        <v>0</v>
      </c>
      <c r="AA20" s="6">
        <f>AA$1*'survival matrix'!AA20</f>
        <v>0</v>
      </c>
      <c r="AB20" s="6">
        <f>AB$1*'survival matrix'!AB20</f>
        <v>0</v>
      </c>
      <c r="AC20" s="6">
        <f>AC$1*'survival matrix'!AC20</f>
        <v>0</v>
      </c>
      <c r="AD20" s="6">
        <f>AD$1*'survival matrix'!AD20</f>
        <v>0</v>
      </c>
      <c r="AE20" s="6">
        <f>AE$1*'survival matrix'!AE20</f>
        <v>0</v>
      </c>
      <c r="AF20" s="6">
        <f>AF$1*'survival matrix'!AF20</f>
        <v>0</v>
      </c>
      <c r="AG20" s="6">
        <f>AG$1*'survival matrix'!AG20</f>
        <v>0</v>
      </c>
      <c r="AH20" s="6">
        <f>AH$1*'survival matrix'!AH20</f>
        <v>0</v>
      </c>
      <c r="AI20" s="6">
        <f>AI$1*'survival matrix'!AI20</f>
        <v>0</v>
      </c>
      <c r="AJ20" s="6">
        <f>AJ$1*'survival matrix'!AJ20</f>
        <v>0</v>
      </c>
      <c r="AK20" s="6">
        <f>AK$1*'survival matrix'!AK20</f>
        <v>0</v>
      </c>
      <c r="AL20" s="6">
        <f>AL$1*'survival matrix'!AL20</f>
        <v>0</v>
      </c>
      <c r="AM20" s="6">
        <f>AM$1*'survival matrix'!AM20</f>
        <v>0</v>
      </c>
      <c r="AN20" s="6">
        <f>AN$1*'survival matrix'!AN20</f>
        <v>0</v>
      </c>
      <c r="AO20" s="6">
        <f>AO$1*'survival matrix'!AO20</f>
        <v>0</v>
      </c>
      <c r="AP20" s="6">
        <f>AP$1*'survival matrix'!AP20</f>
        <v>0</v>
      </c>
      <c r="AQ20" s="6">
        <f>AQ$1*'survival matrix'!AQ20</f>
        <v>0</v>
      </c>
      <c r="AR20" s="6">
        <f>AR$1*'survival matrix'!AR20</f>
        <v>0</v>
      </c>
      <c r="AS20" s="6">
        <f>AS$1*'survival matrix'!AS20</f>
        <v>0</v>
      </c>
      <c r="AT20" s="6">
        <f>AT$1*'survival matrix'!AT20</f>
        <v>0</v>
      </c>
      <c r="AU20" s="6">
        <f>AU$1*'survival matrix'!AU20</f>
        <v>0</v>
      </c>
      <c r="AV20" s="6">
        <f>AV$1*'survival matrix'!AV20</f>
        <v>0</v>
      </c>
      <c r="AW20" s="6">
        <f>AW$1*'survival matrix'!AW20</f>
        <v>0</v>
      </c>
      <c r="AX20" s="6">
        <f>AX$1*'survival matrix'!AX20</f>
        <v>0</v>
      </c>
      <c r="AY20" s="6">
        <f>AY$1*'survival matrix'!AY20</f>
        <v>0</v>
      </c>
      <c r="AZ20" s="6">
        <f>AZ$1*'survival matrix'!AZ20</f>
        <v>0</v>
      </c>
      <c r="BA20" s="6">
        <f>BA$1*'survival matrix'!BA20</f>
        <v>0</v>
      </c>
      <c r="BB20" s="6">
        <f>BB$1*'survival matrix'!BB20</f>
        <v>0</v>
      </c>
      <c r="BC20" s="6">
        <f>BC$1*'survival matrix'!BC20</f>
        <v>0</v>
      </c>
      <c r="BD20" s="6">
        <f>BD$1*'survival matrix'!BD20</f>
        <v>0</v>
      </c>
      <c r="BE20" s="6">
        <f>BE$1*'survival matrix'!BE20</f>
        <v>0</v>
      </c>
      <c r="BF20" s="6">
        <f>BF$1*'survival matrix'!BF20</f>
        <v>0</v>
      </c>
      <c r="BG20" s="6">
        <f>BG$1*'survival matrix'!BG20</f>
        <v>0</v>
      </c>
      <c r="BH20" s="6">
        <f>BH$1*'survival matrix'!BH20</f>
        <v>0</v>
      </c>
      <c r="BI20" s="6">
        <f>BI$1*'survival matrix'!BI20</f>
        <v>0</v>
      </c>
      <c r="BJ20" s="6">
        <f>BJ$1*'survival matrix'!BJ20</f>
        <v>0</v>
      </c>
      <c r="BK20" s="6">
        <f>BK$1*'survival matrix'!BK20</f>
        <v>0</v>
      </c>
      <c r="BL20" s="6">
        <f>BL$1*'survival matrix'!BL20</f>
        <v>0</v>
      </c>
      <c r="BM20" s="6">
        <f>BM$1*'survival matrix'!BM20</f>
        <v>0</v>
      </c>
      <c r="BN20" s="6">
        <f>BN$1*'survival matrix'!BN20</f>
        <v>0</v>
      </c>
      <c r="BO20" s="6">
        <f>BO$1*'survival matrix'!BO20</f>
        <v>0</v>
      </c>
      <c r="BP20" s="6">
        <f>BP$1*'survival matrix'!BP20</f>
        <v>0</v>
      </c>
      <c r="BQ20" s="6">
        <f>BQ$1*'survival matrix'!BQ20</f>
        <v>0</v>
      </c>
      <c r="BR20" s="6">
        <f>BR$1*'survival matrix'!BR20</f>
        <v>0</v>
      </c>
      <c r="BS20" s="6">
        <f>BS$1*'survival matrix'!BS20</f>
        <v>0</v>
      </c>
      <c r="BT20" s="6">
        <f>BT$1*'survival matrix'!BT20</f>
        <v>0</v>
      </c>
      <c r="BU20" s="6">
        <f>BU$1*'survival matrix'!BU20</f>
        <v>0</v>
      </c>
      <c r="BV20" s="6">
        <f>BV$1*'survival matrix'!BV20</f>
        <v>0</v>
      </c>
      <c r="BW20" s="6">
        <f>BW$1*'survival matrix'!BW20</f>
        <v>0</v>
      </c>
      <c r="BX20" s="6">
        <f>BX$1*'survival matrix'!BX20</f>
        <v>0</v>
      </c>
      <c r="BY20" s="6">
        <f>BY$1*'survival matrix'!BY20</f>
        <v>0</v>
      </c>
      <c r="BZ20" s="6">
        <f>BZ$1*'survival matrix'!BZ20</f>
        <v>0</v>
      </c>
      <c r="CA20" s="6">
        <f>CA$1*'survival matrix'!CA20</f>
        <v>0</v>
      </c>
      <c r="CB20" s="6">
        <f>CB$1*'survival matrix'!CB20</f>
        <v>0</v>
      </c>
      <c r="CC20" s="6">
        <f>CC$1*'survival matrix'!CC20</f>
        <v>0</v>
      </c>
      <c r="CD20" s="6">
        <f>CD$1*'survival matrix'!CD20</f>
        <v>0</v>
      </c>
      <c r="CE20" s="6">
        <f>CE$1*'survival matrix'!CE20</f>
        <v>0</v>
      </c>
      <c r="CF20" s="6">
        <f>CF$1*'survival matrix'!CF20</f>
        <v>0</v>
      </c>
      <c r="CG20" s="6">
        <f>CG$1*'survival matrix'!CG20</f>
        <v>0</v>
      </c>
      <c r="CH20" s="6">
        <f>CH$1*'survival matrix'!CH20</f>
        <v>0</v>
      </c>
      <c r="CI20" s="6">
        <f>CI$1*'survival matrix'!CI20</f>
        <v>0</v>
      </c>
      <c r="CJ20" s="6">
        <f>CJ$1*'survival matrix'!CJ20</f>
        <v>0</v>
      </c>
      <c r="CK20" s="6">
        <f>CK$1*'survival matrix'!CK20</f>
        <v>0</v>
      </c>
      <c r="CL20" s="6">
        <f>CL$1*'survival matrix'!CL20</f>
        <v>0</v>
      </c>
      <c r="CM20" s="6">
        <f>CM$1*'survival matrix'!CM20</f>
        <v>0</v>
      </c>
      <c r="CN20" s="6">
        <f>CN$1*'survival matrix'!CN20</f>
        <v>0</v>
      </c>
      <c r="CO20" s="6">
        <f>CO$1*'survival matrix'!CO20</f>
        <v>0</v>
      </c>
      <c r="CP20" s="6">
        <f>CP$1*'survival matrix'!CP20</f>
        <v>0</v>
      </c>
      <c r="CQ20" s="6">
        <f>CQ$1*'survival matrix'!CQ20</f>
        <v>0</v>
      </c>
      <c r="CR20" s="6">
        <f>CR$1*'survival matrix'!CR20</f>
        <v>0</v>
      </c>
      <c r="CS20" s="6">
        <f>CS$1*'survival matrix'!CS20</f>
        <v>0</v>
      </c>
      <c r="CT20" s="6">
        <f>CT$1*'survival matrix'!CT20</f>
        <v>0</v>
      </c>
      <c r="CU20" s="6">
        <f>CU$1*'survival matrix'!CU20</f>
        <v>0</v>
      </c>
      <c r="CV20" s="6">
        <f>CV$1*'survival matrix'!CV20</f>
        <v>0</v>
      </c>
      <c r="CW20" s="6">
        <f>CW$1*'survival matrix'!CW20</f>
        <v>0</v>
      </c>
      <c r="CX20" s="6">
        <f>CX$1*'survival matrix'!CX20</f>
        <v>0</v>
      </c>
      <c r="CY20" s="6">
        <f>CY$1*'survival matrix'!CY20</f>
        <v>0</v>
      </c>
      <c r="CZ20" s="6">
        <f>CZ$1*'survival matrix'!CZ20</f>
        <v>0</v>
      </c>
      <c r="DA20" s="6">
        <f>DA$1*'survival matrix'!DA20</f>
        <v>0</v>
      </c>
      <c r="DB20" s="6">
        <f>DB$1*'survival matrix'!DB20</f>
        <v>0</v>
      </c>
      <c r="DC20" s="6">
        <f>DC$1*'survival matrix'!DC20</f>
        <v>0</v>
      </c>
      <c r="DD20" s="6">
        <f>DD$1*'survival matrix'!DD20</f>
        <v>0</v>
      </c>
      <c r="DE20" s="6">
        <f>DE$1*'survival matrix'!DE20</f>
        <v>0</v>
      </c>
      <c r="DF20" s="6">
        <f>DF$1*'survival matrix'!DF20</f>
        <v>0</v>
      </c>
      <c r="DG20" s="6">
        <f>DG$1*'survival matrix'!DG20</f>
        <v>0</v>
      </c>
      <c r="DH20" s="6">
        <f>DH$1*'survival matrix'!DH20</f>
        <v>0</v>
      </c>
      <c r="DI20" s="6">
        <f>DI$1*'survival matrix'!DI20</f>
        <v>0</v>
      </c>
      <c r="DJ20" s="6">
        <f>DJ$1*'survival matrix'!DJ20</f>
        <v>0</v>
      </c>
      <c r="DK20" s="6">
        <f>DK$1*'survival matrix'!DK20</f>
        <v>0</v>
      </c>
      <c r="DL20" s="6">
        <f>DL$1*'survival matrix'!DL20</f>
        <v>0</v>
      </c>
      <c r="DM20" s="6">
        <f>DM$1*'survival matrix'!DM20</f>
        <v>0</v>
      </c>
      <c r="DN20" s="6">
        <f>DN$1*'survival matrix'!DN20</f>
        <v>0</v>
      </c>
      <c r="DO20" s="6">
        <f>DO$1*'survival matrix'!DO20</f>
        <v>0</v>
      </c>
      <c r="DP20" s="6">
        <f>DP$1*'survival matrix'!DP20</f>
        <v>0</v>
      </c>
      <c r="DQ20" s="6">
        <f>DQ$1*'survival matrix'!DQ20</f>
        <v>0</v>
      </c>
      <c r="DR20" s="6">
        <f>DR$1*'survival matrix'!DR20</f>
        <v>0</v>
      </c>
      <c r="DS20" s="6">
        <f>DS$1*'survival matrix'!DS20</f>
        <v>0</v>
      </c>
      <c r="DT20" s="6">
        <f>DT$1*'survival matrix'!DT20</f>
        <v>0</v>
      </c>
      <c r="DU20" s="6">
        <f>DU$1*'survival matrix'!DU20</f>
        <v>0</v>
      </c>
      <c r="DV20" s="6">
        <f>DV$1*'survival matrix'!DV20</f>
        <v>0</v>
      </c>
      <c r="DW20" s="6">
        <f>DW$1*'survival matrix'!DW20</f>
        <v>0</v>
      </c>
      <c r="DX20" s="6">
        <f>DX$1*'survival matrix'!DX20</f>
        <v>0</v>
      </c>
      <c r="DY20" s="6">
        <f>DY$1*'survival matrix'!DY20</f>
        <v>0</v>
      </c>
      <c r="DZ20" s="6">
        <f>DZ$1*'survival matrix'!DZ20</f>
        <v>0</v>
      </c>
      <c r="EA20" s="6">
        <f>EA$1*'survival matrix'!EA20</f>
        <v>0</v>
      </c>
      <c r="EB20" s="6">
        <f>EB$1*'survival matrix'!EB20</f>
        <v>0</v>
      </c>
      <c r="EC20" s="6">
        <f>EC$1*'survival matrix'!EC20</f>
        <v>0</v>
      </c>
    </row>
    <row r="21" spans="1:133">
      <c r="A21" s="12">
        <f>'data input'!C21-B21</f>
        <v>991.50807106643333</v>
      </c>
      <c r="B21" s="14">
        <f t="shared" si="2"/>
        <v>64548.895819341415</v>
      </c>
      <c r="C21" s="11">
        <f>SUM(F21:EC21)</f>
        <v>638388.25847179804</v>
      </c>
      <c r="E21" s="7">
        <f>'data input'!B21</f>
        <v>1896</v>
      </c>
      <c r="F21" s="6">
        <f>F$1*'survival matrix'!F21</f>
        <v>3089.7368723110753</v>
      </c>
      <c r="G21" s="6">
        <f>G$1*'survival matrix'!G21</f>
        <v>6250.8228294389219</v>
      </c>
      <c r="H21" s="6">
        <f>H$1*'survival matrix'!H21</f>
        <v>9465.1302684161928</v>
      </c>
      <c r="I21" s="6">
        <f>I$1*'survival matrix'!I21</f>
        <v>12736.355209864076</v>
      </c>
      <c r="J21" s="6">
        <f>J$1*'survival matrix'!J21</f>
        <v>16055.834431295916</v>
      </c>
      <c r="K21" s="6">
        <f>K$1*'survival matrix'!K21</f>
        <v>19418.948389039822</v>
      </c>
      <c r="L21" s="6">
        <f>L$1*'survival matrix'!L21</f>
        <v>22827.705415937864</v>
      </c>
      <c r="M21" s="6">
        <f>M$1*'survival matrix'!M21</f>
        <v>26273.759558250753</v>
      </c>
      <c r="N21" s="6">
        <f>N$1*'survival matrix'!N21</f>
        <v>29742.067375406299</v>
      </c>
      <c r="O21" s="6">
        <f>O$1*'survival matrix'!O21</f>
        <v>33223.028686868631</v>
      </c>
      <c r="P21" s="6">
        <f>P$1*'survival matrix'!P21</f>
        <v>36727.909833409452</v>
      </c>
      <c r="Q21" s="6">
        <f>Q$1*'survival matrix'!Q21</f>
        <v>40264.282333224372</v>
      </c>
      <c r="R21" s="6">
        <f>R$1*'survival matrix'!R21</f>
        <v>43828.090805259577</v>
      </c>
      <c r="S21" s="6">
        <f>S$1*'survival matrix'!S21</f>
        <v>47409.57484517018</v>
      </c>
      <c r="T21" s="6">
        <f>T$1*'survival matrix'!T21</f>
        <v>50997.924031316041</v>
      </c>
      <c r="U21" s="6">
        <f>U$1*'survival matrix'!U21</f>
        <v>54599.057213804059</v>
      </c>
      <c r="V21" s="6">
        <f>V$1*'survival matrix'!V21</f>
        <v>58204.048064203693</v>
      </c>
      <c r="W21" s="6">
        <f>W$1*'survival matrix'!W21</f>
        <v>61822.051280377098</v>
      </c>
      <c r="X21" s="6">
        <f>X$1*'survival matrix'!X21</f>
        <v>65451.931028203944</v>
      </c>
      <c r="Y21" s="6">
        <f>Y$1*'survival matrix'!Y21</f>
        <v>0</v>
      </c>
      <c r="Z21" s="6">
        <f>Z$1*'survival matrix'!Z21</f>
        <v>0</v>
      </c>
      <c r="AA21" s="6">
        <f>AA$1*'survival matrix'!AA21</f>
        <v>0</v>
      </c>
      <c r="AB21" s="6">
        <f>AB$1*'survival matrix'!AB21</f>
        <v>0</v>
      </c>
      <c r="AC21" s="6">
        <f>AC$1*'survival matrix'!AC21</f>
        <v>0</v>
      </c>
      <c r="AD21" s="6">
        <f>AD$1*'survival matrix'!AD21</f>
        <v>0</v>
      </c>
      <c r="AE21" s="6">
        <f>AE$1*'survival matrix'!AE21</f>
        <v>0</v>
      </c>
      <c r="AF21" s="6">
        <f>AF$1*'survival matrix'!AF21</f>
        <v>0</v>
      </c>
      <c r="AG21" s="6">
        <f>AG$1*'survival matrix'!AG21</f>
        <v>0</v>
      </c>
      <c r="AH21" s="6">
        <f>AH$1*'survival matrix'!AH21</f>
        <v>0</v>
      </c>
      <c r="AI21" s="6">
        <f>AI$1*'survival matrix'!AI21</f>
        <v>0</v>
      </c>
      <c r="AJ21" s="6">
        <f>AJ$1*'survival matrix'!AJ21</f>
        <v>0</v>
      </c>
      <c r="AK21" s="6">
        <f>AK$1*'survival matrix'!AK21</f>
        <v>0</v>
      </c>
      <c r="AL21" s="6">
        <f>AL$1*'survival matrix'!AL21</f>
        <v>0</v>
      </c>
      <c r="AM21" s="6">
        <f>AM$1*'survival matrix'!AM21</f>
        <v>0</v>
      </c>
      <c r="AN21" s="6">
        <f>AN$1*'survival matrix'!AN21</f>
        <v>0</v>
      </c>
      <c r="AO21" s="6">
        <f>AO$1*'survival matrix'!AO21</f>
        <v>0</v>
      </c>
      <c r="AP21" s="6">
        <f>AP$1*'survival matrix'!AP21</f>
        <v>0</v>
      </c>
      <c r="AQ21" s="6">
        <f>AQ$1*'survival matrix'!AQ21</f>
        <v>0</v>
      </c>
      <c r="AR21" s="6">
        <f>AR$1*'survival matrix'!AR21</f>
        <v>0</v>
      </c>
      <c r="AS21" s="6">
        <f>AS$1*'survival matrix'!AS21</f>
        <v>0</v>
      </c>
      <c r="AT21" s="6">
        <f>AT$1*'survival matrix'!AT21</f>
        <v>0</v>
      </c>
      <c r="AU21" s="6">
        <f>AU$1*'survival matrix'!AU21</f>
        <v>0</v>
      </c>
      <c r="AV21" s="6">
        <f>AV$1*'survival matrix'!AV21</f>
        <v>0</v>
      </c>
      <c r="AW21" s="6">
        <f>AW$1*'survival matrix'!AW21</f>
        <v>0</v>
      </c>
      <c r="AX21" s="6">
        <f>AX$1*'survival matrix'!AX21</f>
        <v>0</v>
      </c>
      <c r="AY21" s="6">
        <f>AY$1*'survival matrix'!AY21</f>
        <v>0</v>
      </c>
      <c r="AZ21" s="6">
        <f>AZ$1*'survival matrix'!AZ21</f>
        <v>0</v>
      </c>
      <c r="BA21" s="6">
        <f>BA$1*'survival matrix'!BA21</f>
        <v>0</v>
      </c>
      <c r="BB21" s="6">
        <f>BB$1*'survival matrix'!BB21</f>
        <v>0</v>
      </c>
      <c r="BC21" s="6">
        <f>BC$1*'survival matrix'!BC21</f>
        <v>0</v>
      </c>
      <c r="BD21" s="6">
        <f>BD$1*'survival matrix'!BD21</f>
        <v>0</v>
      </c>
      <c r="BE21" s="6">
        <f>BE$1*'survival matrix'!BE21</f>
        <v>0</v>
      </c>
      <c r="BF21" s="6">
        <f>BF$1*'survival matrix'!BF21</f>
        <v>0</v>
      </c>
      <c r="BG21" s="6">
        <f>BG$1*'survival matrix'!BG21</f>
        <v>0</v>
      </c>
      <c r="BH21" s="6">
        <f>BH$1*'survival matrix'!BH21</f>
        <v>0</v>
      </c>
      <c r="BI21" s="6">
        <f>BI$1*'survival matrix'!BI21</f>
        <v>0</v>
      </c>
      <c r="BJ21" s="6">
        <f>BJ$1*'survival matrix'!BJ21</f>
        <v>0</v>
      </c>
      <c r="BK21" s="6">
        <f>BK$1*'survival matrix'!BK21</f>
        <v>0</v>
      </c>
      <c r="BL21" s="6">
        <f>BL$1*'survival matrix'!BL21</f>
        <v>0</v>
      </c>
      <c r="BM21" s="6">
        <f>BM$1*'survival matrix'!BM21</f>
        <v>0</v>
      </c>
      <c r="BN21" s="6">
        <f>BN$1*'survival matrix'!BN21</f>
        <v>0</v>
      </c>
      <c r="BO21" s="6">
        <f>BO$1*'survival matrix'!BO21</f>
        <v>0</v>
      </c>
      <c r="BP21" s="6">
        <f>BP$1*'survival matrix'!BP21</f>
        <v>0</v>
      </c>
      <c r="BQ21" s="6">
        <f>BQ$1*'survival matrix'!BQ21</f>
        <v>0</v>
      </c>
      <c r="BR21" s="6">
        <f>BR$1*'survival matrix'!BR21</f>
        <v>0</v>
      </c>
      <c r="BS21" s="6">
        <f>BS$1*'survival matrix'!BS21</f>
        <v>0</v>
      </c>
      <c r="BT21" s="6">
        <f>BT$1*'survival matrix'!BT21</f>
        <v>0</v>
      </c>
      <c r="BU21" s="6">
        <f>BU$1*'survival matrix'!BU21</f>
        <v>0</v>
      </c>
      <c r="BV21" s="6">
        <f>BV$1*'survival matrix'!BV21</f>
        <v>0</v>
      </c>
      <c r="BW21" s="6">
        <f>BW$1*'survival matrix'!BW21</f>
        <v>0</v>
      </c>
      <c r="BX21" s="6">
        <f>BX$1*'survival matrix'!BX21</f>
        <v>0</v>
      </c>
      <c r="BY21" s="6">
        <f>BY$1*'survival matrix'!BY21</f>
        <v>0</v>
      </c>
      <c r="BZ21" s="6">
        <f>BZ$1*'survival matrix'!BZ21</f>
        <v>0</v>
      </c>
      <c r="CA21" s="6">
        <f>CA$1*'survival matrix'!CA21</f>
        <v>0</v>
      </c>
      <c r="CB21" s="6">
        <f>CB$1*'survival matrix'!CB21</f>
        <v>0</v>
      </c>
      <c r="CC21" s="6">
        <f>CC$1*'survival matrix'!CC21</f>
        <v>0</v>
      </c>
      <c r="CD21" s="6">
        <f>CD$1*'survival matrix'!CD21</f>
        <v>0</v>
      </c>
      <c r="CE21" s="6">
        <f>CE$1*'survival matrix'!CE21</f>
        <v>0</v>
      </c>
      <c r="CF21" s="6">
        <f>CF$1*'survival matrix'!CF21</f>
        <v>0</v>
      </c>
      <c r="CG21" s="6">
        <f>CG$1*'survival matrix'!CG21</f>
        <v>0</v>
      </c>
      <c r="CH21" s="6">
        <f>CH$1*'survival matrix'!CH21</f>
        <v>0</v>
      </c>
      <c r="CI21" s="6">
        <f>CI$1*'survival matrix'!CI21</f>
        <v>0</v>
      </c>
      <c r="CJ21" s="6">
        <f>CJ$1*'survival matrix'!CJ21</f>
        <v>0</v>
      </c>
      <c r="CK21" s="6">
        <f>CK$1*'survival matrix'!CK21</f>
        <v>0</v>
      </c>
      <c r="CL21" s="6">
        <f>CL$1*'survival matrix'!CL21</f>
        <v>0</v>
      </c>
      <c r="CM21" s="6">
        <f>CM$1*'survival matrix'!CM21</f>
        <v>0</v>
      </c>
      <c r="CN21" s="6">
        <f>CN$1*'survival matrix'!CN21</f>
        <v>0</v>
      </c>
      <c r="CO21" s="6">
        <f>CO$1*'survival matrix'!CO21</f>
        <v>0</v>
      </c>
      <c r="CP21" s="6">
        <f>CP$1*'survival matrix'!CP21</f>
        <v>0</v>
      </c>
      <c r="CQ21" s="6">
        <f>CQ$1*'survival matrix'!CQ21</f>
        <v>0</v>
      </c>
      <c r="CR21" s="6">
        <f>CR$1*'survival matrix'!CR21</f>
        <v>0</v>
      </c>
      <c r="CS21" s="6">
        <f>CS$1*'survival matrix'!CS21</f>
        <v>0</v>
      </c>
      <c r="CT21" s="6">
        <f>CT$1*'survival matrix'!CT21</f>
        <v>0</v>
      </c>
      <c r="CU21" s="6">
        <f>CU$1*'survival matrix'!CU21</f>
        <v>0</v>
      </c>
      <c r="CV21" s="6">
        <f>CV$1*'survival matrix'!CV21</f>
        <v>0</v>
      </c>
      <c r="CW21" s="6">
        <f>CW$1*'survival matrix'!CW21</f>
        <v>0</v>
      </c>
      <c r="CX21" s="6">
        <f>CX$1*'survival matrix'!CX21</f>
        <v>0</v>
      </c>
      <c r="CY21" s="6">
        <f>CY$1*'survival matrix'!CY21</f>
        <v>0</v>
      </c>
      <c r="CZ21" s="6">
        <f>CZ$1*'survival matrix'!CZ21</f>
        <v>0</v>
      </c>
      <c r="DA21" s="6">
        <f>DA$1*'survival matrix'!DA21</f>
        <v>0</v>
      </c>
      <c r="DB21" s="6">
        <f>DB$1*'survival matrix'!DB21</f>
        <v>0</v>
      </c>
      <c r="DC21" s="6">
        <f>DC$1*'survival matrix'!DC21</f>
        <v>0</v>
      </c>
      <c r="DD21" s="6">
        <f>DD$1*'survival matrix'!DD21</f>
        <v>0</v>
      </c>
      <c r="DE21" s="6">
        <f>DE$1*'survival matrix'!DE21</f>
        <v>0</v>
      </c>
      <c r="DF21" s="6">
        <f>DF$1*'survival matrix'!DF21</f>
        <v>0</v>
      </c>
      <c r="DG21" s="6">
        <f>DG$1*'survival matrix'!DG21</f>
        <v>0</v>
      </c>
      <c r="DH21" s="6">
        <f>DH$1*'survival matrix'!DH21</f>
        <v>0</v>
      </c>
      <c r="DI21" s="6">
        <f>DI$1*'survival matrix'!DI21</f>
        <v>0</v>
      </c>
      <c r="DJ21" s="6">
        <f>DJ$1*'survival matrix'!DJ21</f>
        <v>0</v>
      </c>
      <c r="DK21" s="6">
        <f>DK$1*'survival matrix'!DK21</f>
        <v>0</v>
      </c>
      <c r="DL21" s="6">
        <f>DL$1*'survival matrix'!DL21</f>
        <v>0</v>
      </c>
      <c r="DM21" s="6">
        <f>DM$1*'survival matrix'!DM21</f>
        <v>0</v>
      </c>
      <c r="DN21" s="6">
        <f>DN$1*'survival matrix'!DN21</f>
        <v>0</v>
      </c>
      <c r="DO21" s="6">
        <f>DO$1*'survival matrix'!DO21</f>
        <v>0</v>
      </c>
      <c r="DP21" s="6">
        <f>DP$1*'survival matrix'!DP21</f>
        <v>0</v>
      </c>
      <c r="DQ21" s="6">
        <f>DQ$1*'survival matrix'!DQ21</f>
        <v>0</v>
      </c>
      <c r="DR21" s="6">
        <f>DR$1*'survival matrix'!DR21</f>
        <v>0</v>
      </c>
      <c r="DS21" s="6">
        <f>DS$1*'survival matrix'!DS21</f>
        <v>0</v>
      </c>
      <c r="DT21" s="6">
        <f>DT$1*'survival matrix'!DT21</f>
        <v>0</v>
      </c>
      <c r="DU21" s="6">
        <f>DU$1*'survival matrix'!DU21</f>
        <v>0</v>
      </c>
      <c r="DV21" s="6">
        <f>DV$1*'survival matrix'!DV21</f>
        <v>0</v>
      </c>
      <c r="DW21" s="6">
        <f>DW$1*'survival matrix'!DW21</f>
        <v>0</v>
      </c>
      <c r="DX21" s="6">
        <f>DX$1*'survival matrix'!DX21</f>
        <v>0</v>
      </c>
      <c r="DY21" s="6">
        <f>DY$1*'survival matrix'!DY21</f>
        <v>0</v>
      </c>
      <c r="DZ21" s="6">
        <f>DZ$1*'survival matrix'!DZ21</f>
        <v>0</v>
      </c>
      <c r="EA21" s="6">
        <f>EA$1*'survival matrix'!EA21</f>
        <v>0</v>
      </c>
      <c r="EB21" s="6">
        <f>EB$1*'survival matrix'!EB21</f>
        <v>0</v>
      </c>
      <c r="EC21" s="6">
        <f>EC$1*'survival matrix'!EC21</f>
        <v>0</v>
      </c>
    </row>
    <row r="22" spans="1:133">
      <c r="A22" s="12">
        <f>'data input'!C22-B22</f>
        <v>1185.5094257808087</v>
      </c>
      <c r="B22" s="14">
        <f t="shared" si="2"/>
        <v>67975.415649850969</v>
      </c>
      <c r="C22" s="11">
        <f>SUM(F22:EC22)</f>
        <v>706363.674121649</v>
      </c>
      <c r="E22" s="7">
        <f>'data input'!B22</f>
        <v>1897</v>
      </c>
      <c r="F22" s="6">
        <f>F$1*'survival matrix'!F22</f>
        <v>3063.2229661063748</v>
      </c>
      <c r="G22" s="6">
        <f>G$1*'survival matrix'!G22</f>
        <v>6203.7803856705768</v>
      </c>
      <c r="H22" s="6">
        <f>H$1*'survival matrix'!H22</f>
        <v>9402.949474319712</v>
      </c>
      <c r="I22" s="6">
        <f>I$1*'survival matrix'!I22</f>
        <v>12663.663190448378</v>
      </c>
      <c r="J22" s="6">
        <f>J$1*'survival matrix'!J22</f>
        <v>15976.605820159093</v>
      </c>
      <c r="K22" s="6">
        <f>K$1*'survival matrix'!K22</f>
        <v>19336.507741952308</v>
      </c>
      <c r="L22" s="6">
        <f>L$1*'survival matrix'!L22</f>
        <v>22744.745330841433</v>
      </c>
      <c r="M22" s="6">
        <f>M$1*'survival matrix'!M22</f>
        <v>26192.436539271384</v>
      </c>
      <c r="N22" s="6">
        <f>N$1*'survival matrix'!N22</f>
        <v>29664.064461315967</v>
      </c>
      <c r="O22" s="6">
        <f>O$1*'survival matrix'!O22</f>
        <v>33149.58323888608</v>
      </c>
      <c r="P22" s="6">
        <f>P$1*'survival matrix'!P22</f>
        <v>36659.829530764706</v>
      </c>
      <c r="Q22" s="6">
        <f>Q$1*'survival matrix'!Q22</f>
        <v>40202.032687130384</v>
      </c>
      <c r="R22" s="6">
        <f>R$1*'survival matrix'!R22</f>
        <v>43771.878169099684</v>
      </c>
      <c r="S22" s="6">
        <f>S$1*'survival matrix'!S22</f>
        <v>47359.402119620252</v>
      </c>
      <c r="T22" s="6">
        <f>T$1*'survival matrix'!T22</f>
        <v>50953.633069852447</v>
      </c>
      <c r="U22" s="6">
        <f>U$1*'survival matrix'!U22</f>
        <v>54560.354951416579</v>
      </c>
      <c r="V22" s="6">
        <f>V$1*'survival matrix'!V22</f>
        <v>58170.558520165207</v>
      </c>
      <c r="W22" s="6">
        <f>W$1*'survival matrix'!W22</f>
        <v>61793.336155161021</v>
      </c>
      <c r="X22" s="6">
        <f>X$1*'survival matrix'!X22</f>
        <v>65427.524890461063</v>
      </c>
      <c r="Y22" s="6">
        <f>Y$1*'survival matrix'!Y22</f>
        <v>69067.564879006459</v>
      </c>
      <c r="Z22" s="6">
        <f>Z$1*'survival matrix'!Z22</f>
        <v>0</v>
      </c>
      <c r="AA22" s="6">
        <f>AA$1*'survival matrix'!AA22</f>
        <v>0</v>
      </c>
      <c r="AB22" s="6">
        <f>AB$1*'survival matrix'!AB22</f>
        <v>0</v>
      </c>
      <c r="AC22" s="6">
        <f>AC$1*'survival matrix'!AC22</f>
        <v>0</v>
      </c>
      <c r="AD22" s="6">
        <f>AD$1*'survival matrix'!AD22</f>
        <v>0</v>
      </c>
      <c r="AE22" s="6">
        <f>AE$1*'survival matrix'!AE22</f>
        <v>0</v>
      </c>
      <c r="AF22" s="6">
        <f>AF$1*'survival matrix'!AF22</f>
        <v>0</v>
      </c>
      <c r="AG22" s="6">
        <f>AG$1*'survival matrix'!AG22</f>
        <v>0</v>
      </c>
      <c r="AH22" s="6">
        <f>AH$1*'survival matrix'!AH22</f>
        <v>0</v>
      </c>
      <c r="AI22" s="6">
        <f>AI$1*'survival matrix'!AI22</f>
        <v>0</v>
      </c>
      <c r="AJ22" s="6">
        <f>AJ$1*'survival matrix'!AJ22</f>
        <v>0</v>
      </c>
      <c r="AK22" s="6">
        <f>AK$1*'survival matrix'!AK22</f>
        <v>0</v>
      </c>
      <c r="AL22" s="6">
        <f>AL$1*'survival matrix'!AL22</f>
        <v>0</v>
      </c>
      <c r="AM22" s="6">
        <f>AM$1*'survival matrix'!AM22</f>
        <v>0</v>
      </c>
      <c r="AN22" s="6">
        <f>AN$1*'survival matrix'!AN22</f>
        <v>0</v>
      </c>
      <c r="AO22" s="6">
        <f>AO$1*'survival matrix'!AO22</f>
        <v>0</v>
      </c>
      <c r="AP22" s="6">
        <f>AP$1*'survival matrix'!AP22</f>
        <v>0</v>
      </c>
      <c r="AQ22" s="6">
        <f>AQ$1*'survival matrix'!AQ22</f>
        <v>0</v>
      </c>
      <c r="AR22" s="6">
        <f>AR$1*'survival matrix'!AR22</f>
        <v>0</v>
      </c>
      <c r="AS22" s="6">
        <f>AS$1*'survival matrix'!AS22</f>
        <v>0</v>
      </c>
      <c r="AT22" s="6">
        <f>AT$1*'survival matrix'!AT22</f>
        <v>0</v>
      </c>
      <c r="AU22" s="6">
        <f>AU$1*'survival matrix'!AU22</f>
        <v>0</v>
      </c>
      <c r="AV22" s="6">
        <f>AV$1*'survival matrix'!AV22</f>
        <v>0</v>
      </c>
      <c r="AW22" s="6">
        <f>AW$1*'survival matrix'!AW22</f>
        <v>0</v>
      </c>
      <c r="AX22" s="6">
        <f>AX$1*'survival matrix'!AX22</f>
        <v>0</v>
      </c>
      <c r="AY22" s="6">
        <f>AY$1*'survival matrix'!AY22</f>
        <v>0</v>
      </c>
      <c r="AZ22" s="6">
        <f>AZ$1*'survival matrix'!AZ22</f>
        <v>0</v>
      </c>
      <c r="BA22" s="6">
        <f>BA$1*'survival matrix'!BA22</f>
        <v>0</v>
      </c>
      <c r="BB22" s="6">
        <f>BB$1*'survival matrix'!BB22</f>
        <v>0</v>
      </c>
      <c r="BC22" s="6">
        <f>BC$1*'survival matrix'!BC22</f>
        <v>0</v>
      </c>
      <c r="BD22" s="6">
        <f>BD$1*'survival matrix'!BD22</f>
        <v>0</v>
      </c>
      <c r="BE22" s="6">
        <f>BE$1*'survival matrix'!BE22</f>
        <v>0</v>
      </c>
      <c r="BF22" s="6">
        <f>BF$1*'survival matrix'!BF22</f>
        <v>0</v>
      </c>
      <c r="BG22" s="6">
        <f>BG$1*'survival matrix'!BG22</f>
        <v>0</v>
      </c>
      <c r="BH22" s="6">
        <f>BH$1*'survival matrix'!BH22</f>
        <v>0</v>
      </c>
      <c r="BI22" s="6">
        <f>BI$1*'survival matrix'!BI22</f>
        <v>0</v>
      </c>
      <c r="BJ22" s="6">
        <f>BJ$1*'survival matrix'!BJ22</f>
        <v>0</v>
      </c>
      <c r="BK22" s="6">
        <f>BK$1*'survival matrix'!BK22</f>
        <v>0</v>
      </c>
      <c r="BL22" s="6">
        <f>BL$1*'survival matrix'!BL22</f>
        <v>0</v>
      </c>
      <c r="BM22" s="6">
        <f>BM$1*'survival matrix'!BM22</f>
        <v>0</v>
      </c>
      <c r="BN22" s="6">
        <f>BN$1*'survival matrix'!BN22</f>
        <v>0</v>
      </c>
      <c r="BO22" s="6">
        <f>BO$1*'survival matrix'!BO22</f>
        <v>0</v>
      </c>
      <c r="BP22" s="6">
        <f>BP$1*'survival matrix'!BP22</f>
        <v>0</v>
      </c>
      <c r="BQ22" s="6">
        <f>BQ$1*'survival matrix'!BQ22</f>
        <v>0</v>
      </c>
      <c r="BR22" s="6">
        <f>BR$1*'survival matrix'!BR22</f>
        <v>0</v>
      </c>
      <c r="BS22" s="6">
        <f>BS$1*'survival matrix'!BS22</f>
        <v>0</v>
      </c>
      <c r="BT22" s="6">
        <f>BT$1*'survival matrix'!BT22</f>
        <v>0</v>
      </c>
      <c r="BU22" s="6">
        <f>BU$1*'survival matrix'!BU22</f>
        <v>0</v>
      </c>
      <c r="BV22" s="6">
        <f>BV$1*'survival matrix'!BV22</f>
        <v>0</v>
      </c>
      <c r="BW22" s="6">
        <f>BW$1*'survival matrix'!BW22</f>
        <v>0</v>
      </c>
      <c r="BX22" s="6">
        <f>BX$1*'survival matrix'!BX22</f>
        <v>0</v>
      </c>
      <c r="BY22" s="6">
        <f>BY$1*'survival matrix'!BY22</f>
        <v>0</v>
      </c>
      <c r="BZ22" s="6">
        <f>BZ$1*'survival matrix'!BZ22</f>
        <v>0</v>
      </c>
      <c r="CA22" s="6">
        <f>CA$1*'survival matrix'!CA22</f>
        <v>0</v>
      </c>
      <c r="CB22" s="6">
        <f>CB$1*'survival matrix'!CB22</f>
        <v>0</v>
      </c>
      <c r="CC22" s="6">
        <f>CC$1*'survival matrix'!CC22</f>
        <v>0</v>
      </c>
      <c r="CD22" s="6">
        <f>CD$1*'survival matrix'!CD22</f>
        <v>0</v>
      </c>
      <c r="CE22" s="6">
        <f>CE$1*'survival matrix'!CE22</f>
        <v>0</v>
      </c>
      <c r="CF22" s="6">
        <f>CF$1*'survival matrix'!CF22</f>
        <v>0</v>
      </c>
      <c r="CG22" s="6">
        <f>CG$1*'survival matrix'!CG22</f>
        <v>0</v>
      </c>
      <c r="CH22" s="6">
        <f>CH$1*'survival matrix'!CH22</f>
        <v>0</v>
      </c>
      <c r="CI22" s="6">
        <f>CI$1*'survival matrix'!CI22</f>
        <v>0</v>
      </c>
      <c r="CJ22" s="6">
        <f>CJ$1*'survival matrix'!CJ22</f>
        <v>0</v>
      </c>
      <c r="CK22" s="6">
        <f>CK$1*'survival matrix'!CK22</f>
        <v>0</v>
      </c>
      <c r="CL22" s="6">
        <f>CL$1*'survival matrix'!CL22</f>
        <v>0</v>
      </c>
      <c r="CM22" s="6">
        <f>CM$1*'survival matrix'!CM22</f>
        <v>0</v>
      </c>
      <c r="CN22" s="6">
        <f>CN$1*'survival matrix'!CN22</f>
        <v>0</v>
      </c>
      <c r="CO22" s="6">
        <f>CO$1*'survival matrix'!CO22</f>
        <v>0</v>
      </c>
      <c r="CP22" s="6">
        <f>CP$1*'survival matrix'!CP22</f>
        <v>0</v>
      </c>
      <c r="CQ22" s="6">
        <f>CQ$1*'survival matrix'!CQ22</f>
        <v>0</v>
      </c>
      <c r="CR22" s="6">
        <f>CR$1*'survival matrix'!CR22</f>
        <v>0</v>
      </c>
      <c r="CS22" s="6">
        <f>CS$1*'survival matrix'!CS22</f>
        <v>0</v>
      </c>
      <c r="CT22" s="6">
        <f>CT$1*'survival matrix'!CT22</f>
        <v>0</v>
      </c>
      <c r="CU22" s="6">
        <f>CU$1*'survival matrix'!CU22</f>
        <v>0</v>
      </c>
      <c r="CV22" s="6">
        <f>CV$1*'survival matrix'!CV22</f>
        <v>0</v>
      </c>
      <c r="CW22" s="6">
        <f>CW$1*'survival matrix'!CW22</f>
        <v>0</v>
      </c>
      <c r="CX22" s="6">
        <f>CX$1*'survival matrix'!CX22</f>
        <v>0</v>
      </c>
      <c r="CY22" s="6">
        <f>CY$1*'survival matrix'!CY22</f>
        <v>0</v>
      </c>
      <c r="CZ22" s="6">
        <f>CZ$1*'survival matrix'!CZ22</f>
        <v>0</v>
      </c>
      <c r="DA22" s="6">
        <f>DA$1*'survival matrix'!DA22</f>
        <v>0</v>
      </c>
      <c r="DB22" s="6">
        <f>DB$1*'survival matrix'!DB22</f>
        <v>0</v>
      </c>
      <c r="DC22" s="6">
        <f>DC$1*'survival matrix'!DC22</f>
        <v>0</v>
      </c>
      <c r="DD22" s="6">
        <f>DD$1*'survival matrix'!DD22</f>
        <v>0</v>
      </c>
      <c r="DE22" s="6">
        <f>DE$1*'survival matrix'!DE22</f>
        <v>0</v>
      </c>
      <c r="DF22" s="6">
        <f>DF$1*'survival matrix'!DF22</f>
        <v>0</v>
      </c>
      <c r="DG22" s="6">
        <f>DG$1*'survival matrix'!DG22</f>
        <v>0</v>
      </c>
      <c r="DH22" s="6">
        <f>DH$1*'survival matrix'!DH22</f>
        <v>0</v>
      </c>
      <c r="DI22" s="6">
        <f>DI$1*'survival matrix'!DI22</f>
        <v>0</v>
      </c>
      <c r="DJ22" s="6">
        <f>DJ$1*'survival matrix'!DJ22</f>
        <v>0</v>
      </c>
      <c r="DK22" s="6">
        <f>DK$1*'survival matrix'!DK22</f>
        <v>0</v>
      </c>
      <c r="DL22" s="6">
        <f>DL$1*'survival matrix'!DL22</f>
        <v>0</v>
      </c>
      <c r="DM22" s="6">
        <f>DM$1*'survival matrix'!DM22</f>
        <v>0</v>
      </c>
      <c r="DN22" s="6">
        <f>DN$1*'survival matrix'!DN22</f>
        <v>0</v>
      </c>
      <c r="DO22" s="6">
        <f>DO$1*'survival matrix'!DO22</f>
        <v>0</v>
      </c>
      <c r="DP22" s="6">
        <f>DP$1*'survival matrix'!DP22</f>
        <v>0</v>
      </c>
      <c r="DQ22" s="6">
        <f>DQ$1*'survival matrix'!DQ22</f>
        <v>0</v>
      </c>
      <c r="DR22" s="6">
        <f>DR$1*'survival matrix'!DR22</f>
        <v>0</v>
      </c>
      <c r="DS22" s="6">
        <f>DS$1*'survival matrix'!DS22</f>
        <v>0</v>
      </c>
      <c r="DT22" s="6">
        <f>DT$1*'survival matrix'!DT22</f>
        <v>0</v>
      </c>
      <c r="DU22" s="6">
        <f>DU$1*'survival matrix'!DU22</f>
        <v>0</v>
      </c>
      <c r="DV22" s="6">
        <f>DV$1*'survival matrix'!DV22</f>
        <v>0</v>
      </c>
      <c r="DW22" s="6">
        <f>DW$1*'survival matrix'!DW22</f>
        <v>0</v>
      </c>
      <c r="DX22" s="6">
        <f>DX$1*'survival matrix'!DX22</f>
        <v>0</v>
      </c>
      <c r="DY22" s="6">
        <f>DY$1*'survival matrix'!DY22</f>
        <v>0</v>
      </c>
      <c r="DZ22" s="6">
        <f>DZ$1*'survival matrix'!DZ22</f>
        <v>0</v>
      </c>
      <c r="EA22" s="6">
        <f>EA$1*'survival matrix'!EA22</f>
        <v>0</v>
      </c>
      <c r="EB22" s="6">
        <f>EB$1*'survival matrix'!EB22</f>
        <v>0</v>
      </c>
      <c r="EC22" s="6">
        <f>EC$1*'survival matrix'!EC22</f>
        <v>0</v>
      </c>
    </row>
    <row r="23" spans="1:133">
      <c r="A23" s="12">
        <f>'data input'!C23-B23</f>
        <v>1410.6211296928377</v>
      </c>
      <c r="B23" s="14">
        <f t="shared" si="2"/>
        <v>71383.109509172151</v>
      </c>
      <c r="C23" s="11">
        <f>SUM(F23:EC23)</f>
        <v>777746.78363082116</v>
      </c>
      <c r="E23" s="7">
        <f>'data input'!B23</f>
        <v>1898</v>
      </c>
      <c r="F23" s="6">
        <f>F$1*'survival matrix'!F23</f>
        <v>3033.3862711622896</v>
      </c>
      <c r="G23" s="6">
        <f>G$1*'survival matrix'!G23</f>
        <v>6150.5439910978575</v>
      </c>
      <c r="H23" s="6">
        <f>H$1*'survival matrix'!H23</f>
        <v>9332.1847551824103</v>
      </c>
      <c r="I23" s="6">
        <f>I$1*'survival matrix'!I23</f>
        <v>12580.469762463556</v>
      </c>
      <c r="J23" s="6">
        <f>J$1*'survival matrix'!J23</f>
        <v>15885.420255581206</v>
      </c>
      <c r="K23" s="6">
        <f>K$1*'survival matrix'!K23</f>
        <v>19241.090424391714</v>
      </c>
      <c r="L23" s="6">
        <f>L$1*'survival matrix'!L23</f>
        <v>22648.185440709916</v>
      </c>
      <c r="M23" s="6">
        <f>M$1*'survival matrix'!M23</f>
        <v>26097.248401673303</v>
      </c>
      <c r="N23" s="6">
        <f>N$1*'survival matrix'!N23</f>
        <v>29572.247708869698</v>
      </c>
      <c r="O23" s="6">
        <f>O$1*'survival matrix'!O23</f>
        <v>33062.643616939989</v>
      </c>
      <c r="P23" s="6">
        <f>P$1*'survival matrix'!P23</f>
        <v>36578.78641972784</v>
      </c>
      <c r="Q23" s="6">
        <f>Q$1*'survival matrix'!Q23</f>
        <v>40127.512613304018</v>
      </c>
      <c r="R23" s="6">
        <f>R$1*'survival matrix'!R23</f>
        <v>43704.205687013811</v>
      </c>
      <c r="S23" s="6">
        <f>S$1*'survival matrix'!S23</f>
        <v>47298.66032614516</v>
      </c>
      <c r="T23" s="6">
        <f>T$1*'survival matrix'!T23</f>
        <v>50899.709729342969</v>
      </c>
      <c r="U23" s="6">
        <f>U$1*'survival matrix'!U23</f>
        <v>54512.970070080839</v>
      </c>
      <c r="V23" s="6">
        <f>V$1*'survival matrix'!V23</f>
        <v>58129.324617347847</v>
      </c>
      <c r="W23" s="6">
        <f>W$1*'survival matrix'!W23</f>
        <v>61757.781400444117</v>
      </c>
      <c r="X23" s="6">
        <f>X$1*'survival matrix'!X23</f>
        <v>65397.135093763973</v>
      </c>
      <c r="Y23" s="6">
        <f>Y$1*'survival matrix'!Y23</f>
        <v>69041.81052041809</v>
      </c>
      <c r="Z23" s="6">
        <f>Z$1*'survival matrix'!Z23</f>
        <v>72695.466525160577</v>
      </c>
      <c r="AA23" s="6">
        <f>AA$1*'survival matrix'!AA23</f>
        <v>0</v>
      </c>
      <c r="AB23" s="6">
        <f>AB$1*'survival matrix'!AB23</f>
        <v>0</v>
      </c>
      <c r="AC23" s="6">
        <f>AC$1*'survival matrix'!AC23</f>
        <v>0</v>
      </c>
      <c r="AD23" s="6">
        <f>AD$1*'survival matrix'!AD23</f>
        <v>0</v>
      </c>
      <c r="AE23" s="6">
        <f>AE$1*'survival matrix'!AE23</f>
        <v>0</v>
      </c>
      <c r="AF23" s="6">
        <f>AF$1*'survival matrix'!AF23</f>
        <v>0</v>
      </c>
      <c r="AG23" s="6">
        <f>AG$1*'survival matrix'!AG23</f>
        <v>0</v>
      </c>
      <c r="AH23" s="6">
        <f>AH$1*'survival matrix'!AH23</f>
        <v>0</v>
      </c>
      <c r="AI23" s="6">
        <f>AI$1*'survival matrix'!AI23</f>
        <v>0</v>
      </c>
      <c r="AJ23" s="6">
        <f>AJ$1*'survival matrix'!AJ23</f>
        <v>0</v>
      </c>
      <c r="AK23" s="6">
        <f>AK$1*'survival matrix'!AK23</f>
        <v>0</v>
      </c>
      <c r="AL23" s="6">
        <f>AL$1*'survival matrix'!AL23</f>
        <v>0</v>
      </c>
      <c r="AM23" s="6">
        <f>AM$1*'survival matrix'!AM23</f>
        <v>0</v>
      </c>
      <c r="AN23" s="6">
        <f>AN$1*'survival matrix'!AN23</f>
        <v>0</v>
      </c>
      <c r="AO23" s="6">
        <f>AO$1*'survival matrix'!AO23</f>
        <v>0</v>
      </c>
      <c r="AP23" s="6">
        <f>AP$1*'survival matrix'!AP23</f>
        <v>0</v>
      </c>
      <c r="AQ23" s="6">
        <f>AQ$1*'survival matrix'!AQ23</f>
        <v>0</v>
      </c>
      <c r="AR23" s="6">
        <f>AR$1*'survival matrix'!AR23</f>
        <v>0</v>
      </c>
      <c r="AS23" s="6">
        <f>AS$1*'survival matrix'!AS23</f>
        <v>0</v>
      </c>
      <c r="AT23" s="6">
        <f>AT$1*'survival matrix'!AT23</f>
        <v>0</v>
      </c>
      <c r="AU23" s="6">
        <f>AU$1*'survival matrix'!AU23</f>
        <v>0</v>
      </c>
      <c r="AV23" s="6">
        <f>AV$1*'survival matrix'!AV23</f>
        <v>0</v>
      </c>
      <c r="AW23" s="6">
        <f>AW$1*'survival matrix'!AW23</f>
        <v>0</v>
      </c>
      <c r="AX23" s="6">
        <f>AX$1*'survival matrix'!AX23</f>
        <v>0</v>
      </c>
      <c r="AY23" s="6">
        <f>AY$1*'survival matrix'!AY23</f>
        <v>0</v>
      </c>
      <c r="AZ23" s="6">
        <f>AZ$1*'survival matrix'!AZ23</f>
        <v>0</v>
      </c>
      <c r="BA23" s="6">
        <f>BA$1*'survival matrix'!BA23</f>
        <v>0</v>
      </c>
      <c r="BB23" s="6">
        <f>BB$1*'survival matrix'!BB23</f>
        <v>0</v>
      </c>
      <c r="BC23" s="6">
        <f>BC$1*'survival matrix'!BC23</f>
        <v>0</v>
      </c>
      <c r="BD23" s="6">
        <f>BD$1*'survival matrix'!BD23</f>
        <v>0</v>
      </c>
      <c r="BE23" s="6">
        <f>BE$1*'survival matrix'!BE23</f>
        <v>0</v>
      </c>
      <c r="BF23" s="6">
        <f>BF$1*'survival matrix'!BF23</f>
        <v>0</v>
      </c>
      <c r="BG23" s="6">
        <f>BG$1*'survival matrix'!BG23</f>
        <v>0</v>
      </c>
      <c r="BH23" s="6">
        <f>BH$1*'survival matrix'!BH23</f>
        <v>0</v>
      </c>
      <c r="BI23" s="6">
        <f>BI$1*'survival matrix'!BI23</f>
        <v>0</v>
      </c>
      <c r="BJ23" s="6">
        <f>BJ$1*'survival matrix'!BJ23</f>
        <v>0</v>
      </c>
      <c r="BK23" s="6">
        <f>BK$1*'survival matrix'!BK23</f>
        <v>0</v>
      </c>
      <c r="BL23" s="6">
        <f>BL$1*'survival matrix'!BL23</f>
        <v>0</v>
      </c>
      <c r="BM23" s="6">
        <f>BM$1*'survival matrix'!BM23</f>
        <v>0</v>
      </c>
      <c r="BN23" s="6">
        <f>BN$1*'survival matrix'!BN23</f>
        <v>0</v>
      </c>
      <c r="BO23" s="6">
        <f>BO$1*'survival matrix'!BO23</f>
        <v>0</v>
      </c>
      <c r="BP23" s="6">
        <f>BP$1*'survival matrix'!BP23</f>
        <v>0</v>
      </c>
      <c r="BQ23" s="6">
        <f>BQ$1*'survival matrix'!BQ23</f>
        <v>0</v>
      </c>
      <c r="BR23" s="6">
        <f>BR$1*'survival matrix'!BR23</f>
        <v>0</v>
      </c>
      <c r="BS23" s="6">
        <f>BS$1*'survival matrix'!BS23</f>
        <v>0</v>
      </c>
      <c r="BT23" s="6">
        <f>BT$1*'survival matrix'!BT23</f>
        <v>0</v>
      </c>
      <c r="BU23" s="6">
        <f>BU$1*'survival matrix'!BU23</f>
        <v>0</v>
      </c>
      <c r="BV23" s="6">
        <f>BV$1*'survival matrix'!BV23</f>
        <v>0</v>
      </c>
      <c r="BW23" s="6">
        <f>BW$1*'survival matrix'!BW23</f>
        <v>0</v>
      </c>
      <c r="BX23" s="6">
        <f>BX$1*'survival matrix'!BX23</f>
        <v>0</v>
      </c>
      <c r="BY23" s="6">
        <f>BY$1*'survival matrix'!BY23</f>
        <v>0</v>
      </c>
      <c r="BZ23" s="6">
        <f>BZ$1*'survival matrix'!BZ23</f>
        <v>0</v>
      </c>
      <c r="CA23" s="6">
        <f>CA$1*'survival matrix'!CA23</f>
        <v>0</v>
      </c>
      <c r="CB23" s="6">
        <f>CB$1*'survival matrix'!CB23</f>
        <v>0</v>
      </c>
      <c r="CC23" s="6">
        <f>CC$1*'survival matrix'!CC23</f>
        <v>0</v>
      </c>
      <c r="CD23" s="6">
        <f>CD$1*'survival matrix'!CD23</f>
        <v>0</v>
      </c>
      <c r="CE23" s="6">
        <f>CE$1*'survival matrix'!CE23</f>
        <v>0</v>
      </c>
      <c r="CF23" s="6">
        <f>CF$1*'survival matrix'!CF23</f>
        <v>0</v>
      </c>
      <c r="CG23" s="6">
        <f>CG$1*'survival matrix'!CG23</f>
        <v>0</v>
      </c>
      <c r="CH23" s="6">
        <f>CH$1*'survival matrix'!CH23</f>
        <v>0</v>
      </c>
      <c r="CI23" s="6">
        <f>CI$1*'survival matrix'!CI23</f>
        <v>0</v>
      </c>
      <c r="CJ23" s="6">
        <f>CJ$1*'survival matrix'!CJ23</f>
        <v>0</v>
      </c>
      <c r="CK23" s="6">
        <f>CK$1*'survival matrix'!CK23</f>
        <v>0</v>
      </c>
      <c r="CL23" s="6">
        <f>CL$1*'survival matrix'!CL23</f>
        <v>0</v>
      </c>
      <c r="CM23" s="6">
        <f>CM$1*'survival matrix'!CM23</f>
        <v>0</v>
      </c>
      <c r="CN23" s="6">
        <f>CN$1*'survival matrix'!CN23</f>
        <v>0</v>
      </c>
      <c r="CO23" s="6">
        <f>CO$1*'survival matrix'!CO23</f>
        <v>0</v>
      </c>
      <c r="CP23" s="6">
        <f>CP$1*'survival matrix'!CP23</f>
        <v>0</v>
      </c>
      <c r="CQ23" s="6">
        <f>CQ$1*'survival matrix'!CQ23</f>
        <v>0</v>
      </c>
      <c r="CR23" s="6">
        <f>CR$1*'survival matrix'!CR23</f>
        <v>0</v>
      </c>
      <c r="CS23" s="6">
        <f>CS$1*'survival matrix'!CS23</f>
        <v>0</v>
      </c>
      <c r="CT23" s="6">
        <f>CT$1*'survival matrix'!CT23</f>
        <v>0</v>
      </c>
      <c r="CU23" s="6">
        <f>CU$1*'survival matrix'!CU23</f>
        <v>0</v>
      </c>
      <c r="CV23" s="6">
        <f>CV$1*'survival matrix'!CV23</f>
        <v>0</v>
      </c>
      <c r="CW23" s="6">
        <f>CW$1*'survival matrix'!CW23</f>
        <v>0</v>
      </c>
      <c r="CX23" s="6">
        <f>CX$1*'survival matrix'!CX23</f>
        <v>0</v>
      </c>
      <c r="CY23" s="6">
        <f>CY$1*'survival matrix'!CY23</f>
        <v>0</v>
      </c>
      <c r="CZ23" s="6">
        <f>CZ$1*'survival matrix'!CZ23</f>
        <v>0</v>
      </c>
      <c r="DA23" s="6">
        <f>DA$1*'survival matrix'!DA23</f>
        <v>0</v>
      </c>
      <c r="DB23" s="6">
        <f>DB$1*'survival matrix'!DB23</f>
        <v>0</v>
      </c>
      <c r="DC23" s="6">
        <f>DC$1*'survival matrix'!DC23</f>
        <v>0</v>
      </c>
      <c r="DD23" s="6">
        <f>DD$1*'survival matrix'!DD23</f>
        <v>0</v>
      </c>
      <c r="DE23" s="6">
        <f>DE$1*'survival matrix'!DE23</f>
        <v>0</v>
      </c>
      <c r="DF23" s="6">
        <f>DF$1*'survival matrix'!DF23</f>
        <v>0</v>
      </c>
      <c r="DG23" s="6">
        <f>DG$1*'survival matrix'!DG23</f>
        <v>0</v>
      </c>
      <c r="DH23" s="6">
        <f>DH$1*'survival matrix'!DH23</f>
        <v>0</v>
      </c>
      <c r="DI23" s="6">
        <f>DI$1*'survival matrix'!DI23</f>
        <v>0</v>
      </c>
      <c r="DJ23" s="6">
        <f>DJ$1*'survival matrix'!DJ23</f>
        <v>0</v>
      </c>
      <c r="DK23" s="6">
        <f>DK$1*'survival matrix'!DK23</f>
        <v>0</v>
      </c>
      <c r="DL23" s="6">
        <f>DL$1*'survival matrix'!DL23</f>
        <v>0</v>
      </c>
      <c r="DM23" s="6">
        <f>DM$1*'survival matrix'!DM23</f>
        <v>0</v>
      </c>
      <c r="DN23" s="6">
        <f>DN$1*'survival matrix'!DN23</f>
        <v>0</v>
      </c>
      <c r="DO23" s="6">
        <f>DO$1*'survival matrix'!DO23</f>
        <v>0</v>
      </c>
      <c r="DP23" s="6">
        <f>DP$1*'survival matrix'!DP23</f>
        <v>0</v>
      </c>
      <c r="DQ23" s="6">
        <f>DQ$1*'survival matrix'!DQ23</f>
        <v>0</v>
      </c>
      <c r="DR23" s="6">
        <f>DR$1*'survival matrix'!DR23</f>
        <v>0</v>
      </c>
      <c r="DS23" s="6">
        <f>DS$1*'survival matrix'!DS23</f>
        <v>0</v>
      </c>
      <c r="DT23" s="6">
        <f>DT$1*'survival matrix'!DT23</f>
        <v>0</v>
      </c>
      <c r="DU23" s="6">
        <f>DU$1*'survival matrix'!DU23</f>
        <v>0</v>
      </c>
      <c r="DV23" s="6">
        <f>DV$1*'survival matrix'!DV23</f>
        <v>0</v>
      </c>
      <c r="DW23" s="6">
        <f>DW$1*'survival matrix'!DW23</f>
        <v>0</v>
      </c>
      <c r="DX23" s="6">
        <f>DX$1*'survival matrix'!DX23</f>
        <v>0</v>
      </c>
      <c r="DY23" s="6">
        <f>DY$1*'survival matrix'!DY23</f>
        <v>0</v>
      </c>
      <c r="DZ23" s="6">
        <f>DZ$1*'survival matrix'!DZ23</f>
        <v>0</v>
      </c>
      <c r="EA23" s="6">
        <f>EA$1*'survival matrix'!EA23</f>
        <v>0</v>
      </c>
      <c r="EB23" s="6">
        <f>EB$1*'survival matrix'!EB23</f>
        <v>0</v>
      </c>
      <c r="EC23" s="6">
        <f>EC$1*'survival matrix'!EC23</f>
        <v>0</v>
      </c>
    </row>
    <row r="24" spans="1:133">
      <c r="A24" s="12">
        <f>'data input'!C24-B24</f>
        <v>1670.5908950042212</v>
      </c>
      <c r="B24" s="14">
        <f t="shared" si="2"/>
        <v>74767.291895348812</v>
      </c>
      <c r="C24" s="11">
        <f>SUM(F24:EC24)</f>
        <v>852514.07552616997</v>
      </c>
      <c r="E24" s="7">
        <f>'data input'!B24</f>
        <v>1899</v>
      </c>
      <c r="F24" s="6">
        <f>F$1*'survival matrix'!F24</f>
        <v>2999.9986136346156</v>
      </c>
      <c r="G24" s="6">
        <f>G$1*'survival matrix'!G24</f>
        <v>6090.6358790103386</v>
      </c>
      <c r="H24" s="6">
        <f>H$1*'survival matrix'!H24</f>
        <v>9252.1026376722657</v>
      </c>
      <c r="I24" s="6">
        <f>I$1*'survival matrix'!I24</f>
        <v>12485.791660471472</v>
      </c>
      <c r="J24" s="6">
        <f>J$1*'survival matrix'!J24</f>
        <v>15781.061623630374</v>
      </c>
      <c r="K24" s="6">
        <f>K$1*'survival matrix'!K24</f>
        <v>19131.273000516332</v>
      </c>
      <c r="L24" s="6">
        <f>L$1*'survival matrix'!L24</f>
        <v>22536.426423455789</v>
      </c>
      <c r="M24" s="6">
        <f>M$1*'survival matrix'!M24</f>
        <v>25986.455891062797</v>
      </c>
      <c r="N24" s="6">
        <f>N$1*'survival matrix'!N24</f>
        <v>29464.776715104916</v>
      </c>
      <c r="O24" s="6">
        <f>O$1*'survival matrix'!O24</f>
        <v>32960.307520409639</v>
      </c>
      <c r="P24" s="6">
        <f>P$1*'survival matrix'!P24</f>
        <v>36482.853211769812</v>
      </c>
      <c r="Q24" s="6">
        <f>Q$1*'survival matrix'!Q24</f>
        <v>40038.80356849997</v>
      </c>
      <c r="R24" s="6">
        <f>R$1*'survival matrix'!R24</f>
        <v>43623.193847148279</v>
      </c>
      <c r="S24" s="6">
        <f>S$1*'survival matrix'!S24</f>
        <v>47225.535345507102</v>
      </c>
      <c r="T24" s="6">
        <f>T$1*'survival matrix'!T24</f>
        <v>50834.427240165576</v>
      </c>
      <c r="U24" s="6">
        <f>U$1*'survival matrix'!U24</f>
        <v>54455.279945350339</v>
      </c>
      <c r="V24" s="6">
        <f>V$1*'survival matrix'!V24</f>
        <v>58078.840137333507</v>
      </c>
      <c r="W24" s="6">
        <f>W$1*'survival matrix'!W24</f>
        <v>61714.004713039627</v>
      </c>
      <c r="X24" s="6">
        <f>X$1*'survival matrix'!X24</f>
        <v>65359.506779092488</v>
      </c>
      <c r="Y24" s="6">
        <f>Y$1*'survival matrix'!Y24</f>
        <v>69009.741959230305</v>
      </c>
      <c r="Z24" s="6">
        <f>Z$1*'survival matrix'!Z24</f>
        <v>72668.359371232116</v>
      </c>
      <c r="AA24" s="6">
        <f>AA$1*'survival matrix'!AA24</f>
        <v>76334.699442832367</v>
      </c>
      <c r="AB24" s="6">
        <f>AB$1*'survival matrix'!AB24</f>
        <v>0</v>
      </c>
      <c r="AC24" s="6">
        <f>AC$1*'survival matrix'!AC24</f>
        <v>0</v>
      </c>
      <c r="AD24" s="6">
        <f>AD$1*'survival matrix'!AD24</f>
        <v>0</v>
      </c>
      <c r="AE24" s="6">
        <f>AE$1*'survival matrix'!AE24</f>
        <v>0</v>
      </c>
      <c r="AF24" s="6">
        <f>AF$1*'survival matrix'!AF24</f>
        <v>0</v>
      </c>
      <c r="AG24" s="6">
        <f>AG$1*'survival matrix'!AG24</f>
        <v>0</v>
      </c>
      <c r="AH24" s="6">
        <f>AH$1*'survival matrix'!AH24</f>
        <v>0</v>
      </c>
      <c r="AI24" s="6">
        <f>AI$1*'survival matrix'!AI24</f>
        <v>0</v>
      </c>
      <c r="AJ24" s="6">
        <f>AJ$1*'survival matrix'!AJ24</f>
        <v>0</v>
      </c>
      <c r="AK24" s="6">
        <f>AK$1*'survival matrix'!AK24</f>
        <v>0</v>
      </c>
      <c r="AL24" s="6">
        <f>AL$1*'survival matrix'!AL24</f>
        <v>0</v>
      </c>
      <c r="AM24" s="6">
        <f>AM$1*'survival matrix'!AM24</f>
        <v>0</v>
      </c>
      <c r="AN24" s="6">
        <f>AN$1*'survival matrix'!AN24</f>
        <v>0</v>
      </c>
      <c r="AO24" s="6">
        <f>AO$1*'survival matrix'!AO24</f>
        <v>0</v>
      </c>
      <c r="AP24" s="6">
        <f>AP$1*'survival matrix'!AP24</f>
        <v>0</v>
      </c>
      <c r="AQ24" s="6">
        <f>AQ$1*'survival matrix'!AQ24</f>
        <v>0</v>
      </c>
      <c r="AR24" s="6">
        <f>AR$1*'survival matrix'!AR24</f>
        <v>0</v>
      </c>
      <c r="AS24" s="6">
        <f>AS$1*'survival matrix'!AS24</f>
        <v>0</v>
      </c>
      <c r="AT24" s="6">
        <f>AT$1*'survival matrix'!AT24</f>
        <v>0</v>
      </c>
      <c r="AU24" s="6">
        <f>AU$1*'survival matrix'!AU24</f>
        <v>0</v>
      </c>
      <c r="AV24" s="6">
        <f>AV$1*'survival matrix'!AV24</f>
        <v>0</v>
      </c>
      <c r="AW24" s="6">
        <f>AW$1*'survival matrix'!AW24</f>
        <v>0</v>
      </c>
      <c r="AX24" s="6">
        <f>AX$1*'survival matrix'!AX24</f>
        <v>0</v>
      </c>
      <c r="AY24" s="6">
        <f>AY$1*'survival matrix'!AY24</f>
        <v>0</v>
      </c>
      <c r="AZ24" s="6">
        <f>AZ$1*'survival matrix'!AZ24</f>
        <v>0</v>
      </c>
      <c r="BA24" s="6">
        <f>BA$1*'survival matrix'!BA24</f>
        <v>0</v>
      </c>
      <c r="BB24" s="6">
        <f>BB$1*'survival matrix'!BB24</f>
        <v>0</v>
      </c>
      <c r="BC24" s="6">
        <f>BC$1*'survival matrix'!BC24</f>
        <v>0</v>
      </c>
      <c r="BD24" s="6">
        <f>BD$1*'survival matrix'!BD24</f>
        <v>0</v>
      </c>
      <c r="BE24" s="6">
        <f>BE$1*'survival matrix'!BE24</f>
        <v>0</v>
      </c>
      <c r="BF24" s="6">
        <f>BF$1*'survival matrix'!BF24</f>
        <v>0</v>
      </c>
      <c r="BG24" s="6">
        <f>BG$1*'survival matrix'!BG24</f>
        <v>0</v>
      </c>
      <c r="BH24" s="6">
        <f>BH$1*'survival matrix'!BH24</f>
        <v>0</v>
      </c>
      <c r="BI24" s="6">
        <f>BI$1*'survival matrix'!BI24</f>
        <v>0</v>
      </c>
      <c r="BJ24" s="6">
        <f>BJ$1*'survival matrix'!BJ24</f>
        <v>0</v>
      </c>
      <c r="BK24" s="6">
        <f>BK$1*'survival matrix'!BK24</f>
        <v>0</v>
      </c>
      <c r="BL24" s="6">
        <f>BL$1*'survival matrix'!BL24</f>
        <v>0</v>
      </c>
      <c r="BM24" s="6">
        <f>BM$1*'survival matrix'!BM24</f>
        <v>0</v>
      </c>
      <c r="BN24" s="6">
        <f>BN$1*'survival matrix'!BN24</f>
        <v>0</v>
      </c>
      <c r="BO24" s="6">
        <f>BO$1*'survival matrix'!BO24</f>
        <v>0</v>
      </c>
      <c r="BP24" s="6">
        <f>BP$1*'survival matrix'!BP24</f>
        <v>0</v>
      </c>
      <c r="BQ24" s="6">
        <f>BQ$1*'survival matrix'!BQ24</f>
        <v>0</v>
      </c>
      <c r="BR24" s="6">
        <f>BR$1*'survival matrix'!BR24</f>
        <v>0</v>
      </c>
      <c r="BS24" s="6">
        <f>BS$1*'survival matrix'!BS24</f>
        <v>0</v>
      </c>
      <c r="BT24" s="6">
        <f>BT$1*'survival matrix'!BT24</f>
        <v>0</v>
      </c>
      <c r="BU24" s="6">
        <f>BU$1*'survival matrix'!BU24</f>
        <v>0</v>
      </c>
      <c r="BV24" s="6">
        <f>BV$1*'survival matrix'!BV24</f>
        <v>0</v>
      </c>
      <c r="BW24" s="6">
        <f>BW$1*'survival matrix'!BW24</f>
        <v>0</v>
      </c>
      <c r="BX24" s="6">
        <f>BX$1*'survival matrix'!BX24</f>
        <v>0</v>
      </c>
      <c r="BY24" s="6">
        <f>BY$1*'survival matrix'!BY24</f>
        <v>0</v>
      </c>
      <c r="BZ24" s="6">
        <f>BZ$1*'survival matrix'!BZ24</f>
        <v>0</v>
      </c>
      <c r="CA24" s="6">
        <f>CA$1*'survival matrix'!CA24</f>
        <v>0</v>
      </c>
      <c r="CB24" s="6">
        <f>CB$1*'survival matrix'!CB24</f>
        <v>0</v>
      </c>
      <c r="CC24" s="6">
        <f>CC$1*'survival matrix'!CC24</f>
        <v>0</v>
      </c>
      <c r="CD24" s="6">
        <f>CD$1*'survival matrix'!CD24</f>
        <v>0</v>
      </c>
      <c r="CE24" s="6">
        <f>CE$1*'survival matrix'!CE24</f>
        <v>0</v>
      </c>
      <c r="CF24" s="6">
        <f>CF$1*'survival matrix'!CF24</f>
        <v>0</v>
      </c>
      <c r="CG24" s="6">
        <f>CG$1*'survival matrix'!CG24</f>
        <v>0</v>
      </c>
      <c r="CH24" s="6">
        <f>CH$1*'survival matrix'!CH24</f>
        <v>0</v>
      </c>
      <c r="CI24" s="6">
        <f>CI$1*'survival matrix'!CI24</f>
        <v>0</v>
      </c>
      <c r="CJ24" s="6">
        <f>CJ$1*'survival matrix'!CJ24</f>
        <v>0</v>
      </c>
      <c r="CK24" s="6">
        <f>CK$1*'survival matrix'!CK24</f>
        <v>0</v>
      </c>
      <c r="CL24" s="6">
        <f>CL$1*'survival matrix'!CL24</f>
        <v>0</v>
      </c>
      <c r="CM24" s="6">
        <f>CM$1*'survival matrix'!CM24</f>
        <v>0</v>
      </c>
      <c r="CN24" s="6">
        <f>CN$1*'survival matrix'!CN24</f>
        <v>0</v>
      </c>
      <c r="CO24" s="6">
        <f>CO$1*'survival matrix'!CO24</f>
        <v>0</v>
      </c>
      <c r="CP24" s="6">
        <f>CP$1*'survival matrix'!CP24</f>
        <v>0</v>
      </c>
      <c r="CQ24" s="6">
        <f>CQ$1*'survival matrix'!CQ24</f>
        <v>0</v>
      </c>
      <c r="CR24" s="6">
        <f>CR$1*'survival matrix'!CR24</f>
        <v>0</v>
      </c>
      <c r="CS24" s="6">
        <f>CS$1*'survival matrix'!CS24</f>
        <v>0</v>
      </c>
      <c r="CT24" s="6">
        <f>CT$1*'survival matrix'!CT24</f>
        <v>0</v>
      </c>
      <c r="CU24" s="6">
        <f>CU$1*'survival matrix'!CU24</f>
        <v>0</v>
      </c>
      <c r="CV24" s="6">
        <f>CV$1*'survival matrix'!CV24</f>
        <v>0</v>
      </c>
      <c r="CW24" s="6">
        <f>CW$1*'survival matrix'!CW24</f>
        <v>0</v>
      </c>
      <c r="CX24" s="6">
        <f>CX$1*'survival matrix'!CX24</f>
        <v>0</v>
      </c>
      <c r="CY24" s="6">
        <f>CY$1*'survival matrix'!CY24</f>
        <v>0</v>
      </c>
      <c r="CZ24" s="6">
        <f>CZ$1*'survival matrix'!CZ24</f>
        <v>0</v>
      </c>
      <c r="DA24" s="6">
        <f>DA$1*'survival matrix'!DA24</f>
        <v>0</v>
      </c>
      <c r="DB24" s="6">
        <f>DB$1*'survival matrix'!DB24</f>
        <v>0</v>
      </c>
      <c r="DC24" s="6">
        <f>DC$1*'survival matrix'!DC24</f>
        <v>0</v>
      </c>
      <c r="DD24" s="6">
        <f>DD$1*'survival matrix'!DD24</f>
        <v>0</v>
      </c>
      <c r="DE24" s="6">
        <f>DE$1*'survival matrix'!DE24</f>
        <v>0</v>
      </c>
      <c r="DF24" s="6">
        <f>DF$1*'survival matrix'!DF24</f>
        <v>0</v>
      </c>
      <c r="DG24" s="6">
        <f>DG$1*'survival matrix'!DG24</f>
        <v>0</v>
      </c>
      <c r="DH24" s="6">
        <f>DH$1*'survival matrix'!DH24</f>
        <v>0</v>
      </c>
      <c r="DI24" s="6">
        <f>DI$1*'survival matrix'!DI24</f>
        <v>0</v>
      </c>
      <c r="DJ24" s="6">
        <f>DJ$1*'survival matrix'!DJ24</f>
        <v>0</v>
      </c>
      <c r="DK24" s="6">
        <f>DK$1*'survival matrix'!DK24</f>
        <v>0</v>
      </c>
      <c r="DL24" s="6">
        <f>DL$1*'survival matrix'!DL24</f>
        <v>0</v>
      </c>
      <c r="DM24" s="6">
        <f>DM$1*'survival matrix'!DM24</f>
        <v>0</v>
      </c>
      <c r="DN24" s="6">
        <f>DN$1*'survival matrix'!DN24</f>
        <v>0</v>
      </c>
      <c r="DO24" s="6">
        <f>DO$1*'survival matrix'!DO24</f>
        <v>0</v>
      </c>
      <c r="DP24" s="6">
        <f>DP$1*'survival matrix'!DP24</f>
        <v>0</v>
      </c>
      <c r="DQ24" s="6">
        <f>DQ$1*'survival matrix'!DQ24</f>
        <v>0</v>
      </c>
      <c r="DR24" s="6">
        <f>DR$1*'survival matrix'!DR24</f>
        <v>0</v>
      </c>
      <c r="DS24" s="6">
        <f>DS$1*'survival matrix'!DS24</f>
        <v>0</v>
      </c>
      <c r="DT24" s="6">
        <f>DT$1*'survival matrix'!DT24</f>
        <v>0</v>
      </c>
      <c r="DU24" s="6">
        <f>DU$1*'survival matrix'!DU24</f>
        <v>0</v>
      </c>
      <c r="DV24" s="6">
        <f>DV$1*'survival matrix'!DV24</f>
        <v>0</v>
      </c>
      <c r="DW24" s="6">
        <f>DW$1*'survival matrix'!DW24</f>
        <v>0</v>
      </c>
      <c r="DX24" s="6">
        <f>DX$1*'survival matrix'!DX24</f>
        <v>0</v>
      </c>
      <c r="DY24" s="6">
        <f>DY$1*'survival matrix'!DY24</f>
        <v>0</v>
      </c>
      <c r="DZ24" s="6">
        <f>DZ$1*'survival matrix'!DZ24</f>
        <v>0</v>
      </c>
      <c r="EA24" s="6">
        <f>EA$1*'survival matrix'!EA24</f>
        <v>0</v>
      </c>
      <c r="EB24" s="6">
        <f>EB$1*'survival matrix'!EB24</f>
        <v>0</v>
      </c>
      <c r="EC24" s="6">
        <f>EC$1*'survival matrix'!EC24</f>
        <v>0</v>
      </c>
    </row>
    <row r="25" spans="1:133">
      <c r="A25" s="12">
        <f>'data input'!C25-B25</f>
        <v>1969.3882263091946</v>
      </c>
      <c r="B25" s="14">
        <f t="shared" si="2"/>
        <v>78113.19165719545</v>
      </c>
      <c r="C25" s="11">
        <f>SUM(F25:EC25)</f>
        <v>930627.26718336542</v>
      </c>
      <c r="E25" s="7">
        <f>'data input'!B25</f>
        <v>1900</v>
      </c>
      <c r="F25" s="6">
        <f>F$1*'survival matrix'!F25</f>
        <v>2962.8468509480108</v>
      </c>
      <c r="G25" s="6">
        <f>G$1*'survival matrix'!G25</f>
        <v>6023.5979066995314</v>
      </c>
      <c r="H25" s="6">
        <f>H$1*'survival matrix'!H25</f>
        <v>9161.9844298088392</v>
      </c>
      <c r="I25" s="6">
        <f>I$1*'survival matrix'!I25</f>
        <v>12378.647549934461</v>
      </c>
      <c r="J25" s="6">
        <f>J$1*'survival matrix'!J25</f>
        <v>15662.296506734385</v>
      </c>
      <c r="K25" s="6">
        <f>K$1*'survival matrix'!K25</f>
        <v>19005.590868996369</v>
      </c>
      <c r="L25" s="6">
        <f>L$1*'survival matrix'!L25</f>
        <v>22407.801057710214</v>
      </c>
      <c r="M25" s="6">
        <f>M$1*'survival matrix'!M25</f>
        <v>25858.22395036689</v>
      </c>
      <c r="N25" s="6">
        <f>N$1*'survival matrix'!N25</f>
        <v>29339.687796281003</v>
      </c>
      <c r="O25" s="6">
        <f>O$1*'survival matrix'!O25</f>
        <v>32840.523693394389</v>
      </c>
      <c r="P25" s="6">
        <f>P$1*'survival matrix'!P25</f>
        <v>36369.930820226095</v>
      </c>
      <c r="Q25" s="6">
        <f>Q$1*'survival matrix'!Q25</f>
        <v>39933.795960400217</v>
      </c>
      <c r="R25" s="6">
        <f>R$1*'survival matrix'!R25</f>
        <v>43526.756973655167</v>
      </c>
      <c r="S25" s="6">
        <f>S$1*'survival matrix'!S25</f>
        <v>47137.996230064236</v>
      </c>
      <c r="T25" s="6">
        <f>T$1*'survival matrix'!T25</f>
        <v>50755.835870303272</v>
      </c>
      <c r="U25" s="6">
        <f>U$1*'survival matrix'!U25</f>
        <v>54385.437185095172</v>
      </c>
      <c r="V25" s="6">
        <f>V$1*'survival matrix'!V25</f>
        <v>58017.376314551184</v>
      </c>
      <c r="W25" s="6">
        <f>W$1*'survival matrix'!W25</f>
        <v>61660.40699006505</v>
      </c>
      <c r="X25" s="6">
        <f>X$1*'survival matrix'!X25</f>
        <v>65313.177027079102</v>
      </c>
      <c r="Y25" s="6">
        <f>Y$1*'survival matrix'!Y25</f>
        <v>68970.035016684327</v>
      </c>
      <c r="Z25" s="6">
        <f>Z$1*'survival matrix'!Z25</f>
        <v>72634.606349529087</v>
      </c>
      <c r="AA25" s="6">
        <f>AA$1*'survival matrix'!AA25</f>
        <v>76306.235268286313</v>
      </c>
      <c r="AB25" s="6">
        <f>AB$1*'survival matrix'!AB25</f>
        <v>79974.476566552039</v>
      </c>
      <c r="AC25" s="6">
        <f>AC$1*'survival matrix'!AC25</f>
        <v>0</v>
      </c>
      <c r="AD25" s="6">
        <f>AD$1*'survival matrix'!AD25</f>
        <v>0</v>
      </c>
      <c r="AE25" s="6">
        <f>AE$1*'survival matrix'!AE25</f>
        <v>0</v>
      </c>
      <c r="AF25" s="6">
        <f>AF$1*'survival matrix'!AF25</f>
        <v>0</v>
      </c>
      <c r="AG25" s="6">
        <f>AG$1*'survival matrix'!AG25</f>
        <v>0</v>
      </c>
      <c r="AH25" s="6">
        <f>AH$1*'survival matrix'!AH25</f>
        <v>0</v>
      </c>
      <c r="AI25" s="6">
        <f>AI$1*'survival matrix'!AI25</f>
        <v>0</v>
      </c>
      <c r="AJ25" s="6">
        <f>AJ$1*'survival matrix'!AJ25</f>
        <v>0</v>
      </c>
      <c r="AK25" s="6">
        <f>AK$1*'survival matrix'!AK25</f>
        <v>0</v>
      </c>
      <c r="AL25" s="6">
        <f>AL$1*'survival matrix'!AL25</f>
        <v>0</v>
      </c>
      <c r="AM25" s="6">
        <f>AM$1*'survival matrix'!AM25</f>
        <v>0</v>
      </c>
      <c r="AN25" s="6">
        <f>AN$1*'survival matrix'!AN25</f>
        <v>0</v>
      </c>
      <c r="AO25" s="6">
        <f>AO$1*'survival matrix'!AO25</f>
        <v>0</v>
      </c>
      <c r="AP25" s="6">
        <f>AP$1*'survival matrix'!AP25</f>
        <v>0</v>
      </c>
      <c r="AQ25" s="6">
        <f>AQ$1*'survival matrix'!AQ25</f>
        <v>0</v>
      </c>
      <c r="AR25" s="6">
        <f>AR$1*'survival matrix'!AR25</f>
        <v>0</v>
      </c>
      <c r="AS25" s="6">
        <f>AS$1*'survival matrix'!AS25</f>
        <v>0</v>
      </c>
      <c r="AT25" s="6">
        <f>AT$1*'survival matrix'!AT25</f>
        <v>0</v>
      </c>
      <c r="AU25" s="6">
        <f>AU$1*'survival matrix'!AU25</f>
        <v>0</v>
      </c>
      <c r="AV25" s="6">
        <f>AV$1*'survival matrix'!AV25</f>
        <v>0</v>
      </c>
      <c r="AW25" s="6">
        <f>AW$1*'survival matrix'!AW25</f>
        <v>0</v>
      </c>
      <c r="AX25" s="6">
        <f>AX$1*'survival matrix'!AX25</f>
        <v>0</v>
      </c>
      <c r="AY25" s="6">
        <f>AY$1*'survival matrix'!AY25</f>
        <v>0</v>
      </c>
      <c r="AZ25" s="6">
        <f>AZ$1*'survival matrix'!AZ25</f>
        <v>0</v>
      </c>
      <c r="BA25" s="6">
        <f>BA$1*'survival matrix'!BA25</f>
        <v>0</v>
      </c>
      <c r="BB25" s="6">
        <f>BB$1*'survival matrix'!BB25</f>
        <v>0</v>
      </c>
      <c r="BC25" s="6">
        <f>BC$1*'survival matrix'!BC25</f>
        <v>0</v>
      </c>
      <c r="BD25" s="6">
        <f>BD$1*'survival matrix'!BD25</f>
        <v>0</v>
      </c>
      <c r="BE25" s="6">
        <f>BE$1*'survival matrix'!BE25</f>
        <v>0</v>
      </c>
      <c r="BF25" s="6">
        <f>BF$1*'survival matrix'!BF25</f>
        <v>0</v>
      </c>
      <c r="BG25" s="6">
        <f>BG$1*'survival matrix'!BG25</f>
        <v>0</v>
      </c>
      <c r="BH25" s="6">
        <f>BH$1*'survival matrix'!BH25</f>
        <v>0</v>
      </c>
      <c r="BI25" s="6">
        <f>BI$1*'survival matrix'!BI25</f>
        <v>0</v>
      </c>
      <c r="BJ25" s="6">
        <f>BJ$1*'survival matrix'!BJ25</f>
        <v>0</v>
      </c>
      <c r="BK25" s="6">
        <f>BK$1*'survival matrix'!BK25</f>
        <v>0</v>
      </c>
      <c r="BL25" s="6">
        <f>BL$1*'survival matrix'!BL25</f>
        <v>0</v>
      </c>
      <c r="BM25" s="6">
        <f>BM$1*'survival matrix'!BM25</f>
        <v>0</v>
      </c>
      <c r="BN25" s="6">
        <f>BN$1*'survival matrix'!BN25</f>
        <v>0</v>
      </c>
      <c r="BO25" s="6">
        <f>BO$1*'survival matrix'!BO25</f>
        <v>0</v>
      </c>
      <c r="BP25" s="6">
        <f>BP$1*'survival matrix'!BP25</f>
        <v>0</v>
      </c>
      <c r="BQ25" s="6">
        <f>BQ$1*'survival matrix'!BQ25</f>
        <v>0</v>
      </c>
      <c r="BR25" s="6">
        <f>BR$1*'survival matrix'!BR25</f>
        <v>0</v>
      </c>
      <c r="BS25" s="6">
        <f>BS$1*'survival matrix'!BS25</f>
        <v>0</v>
      </c>
      <c r="BT25" s="6">
        <f>BT$1*'survival matrix'!BT25</f>
        <v>0</v>
      </c>
      <c r="BU25" s="6">
        <f>BU$1*'survival matrix'!BU25</f>
        <v>0</v>
      </c>
      <c r="BV25" s="6">
        <f>BV$1*'survival matrix'!BV25</f>
        <v>0</v>
      </c>
      <c r="BW25" s="6">
        <f>BW$1*'survival matrix'!BW25</f>
        <v>0</v>
      </c>
      <c r="BX25" s="6">
        <f>BX$1*'survival matrix'!BX25</f>
        <v>0</v>
      </c>
      <c r="BY25" s="6">
        <f>BY$1*'survival matrix'!BY25</f>
        <v>0</v>
      </c>
      <c r="BZ25" s="6">
        <f>BZ$1*'survival matrix'!BZ25</f>
        <v>0</v>
      </c>
      <c r="CA25" s="6">
        <f>CA$1*'survival matrix'!CA25</f>
        <v>0</v>
      </c>
      <c r="CB25" s="6">
        <f>CB$1*'survival matrix'!CB25</f>
        <v>0</v>
      </c>
      <c r="CC25" s="6">
        <f>CC$1*'survival matrix'!CC25</f>
        <v>0</v>
      </c>
      <c r="CD25" s="6">
        <f>CD$1*'survival matrix'!CD25</f>
        <v>0</v>
      </c>
      <c r="CE25" s="6">
        <f>CE$1*'survival matrix'!CE25</f>
        <v>0</v>
      </c>
      <c r="CF25" s="6">
        <f>CF$1*'survival matrix'!CF25</f>
        <v>0</v>
      </c>
      <c r="CG25" s="6">
        <f>CG$1*'survival matrix'!CG25</f>
        <v>0</v>
      </c>
      <c r="CH25" s="6">
        <f>CH$1*'survival matrix'!CH25</f>
        <v>0</v>
      </c>
      <c r="CI25" s="6">
        <f>CI$1*'survival matrix'!CI25</f>
        <v>0</v>
      </c>
      <c r="CJ25" s="6">
        <f>CJ$1*'survival matrix'!CJ25</f>
        <v>0</v>
      </c>
      <c r="CK25" s="6">
        <f>CK$1*'survival matrix'!CK25</f>
        <v>0</v>
      </c>
      <c r="CL25" s="6">
        <f>CL$1*'survival matrix'!CL25</f>
        <v>0</v>
      </c>
      <c r="CM25" s="6">
        <f>CM$1*'survival matrix'!CM25</f>
        <v>0</v>
      </c>
      <c r="CN25" s="6">
        <f>CN$1*'survival matrix'!CN25</f>
        <v>0</v>
      </c>
      <c r="CO25" s="6">
        <f>CO$1*'survival matrix'!CO25</f>
        <v>0</v>
      </c>
      <c r="CP25" s="6">
        <f>CP$1*'survival matrix'!CP25</f>
        <v>0</v>
      </c>
      <c r="CQ25" s="6">
        <f>CQ$1*'survival matrix'!CQ25</f>
        <v>0</v>
      </c>
      <c r="CR25" s="6">
        <f>CR$1*'survival matrix'!CR25</f>
        <v>0</v>
      </c>
      <c r="CS25" s="6">
        <f>CS$1*'survival matrix'!CS25</f>
        <v>0</v>
      </c>
      <c r="CT25" s="6">
        <f>CT$1*'survival matrix'!CT25</f>
        <v>0</v>
      </c>
      <c r="CU25" s="6">
        <f>CU$1*'survival matrix'!CU25</f>
        <v>0</v>
      </c>
      <c r="CV25" s="6">
        <f>CV$1*'survival matrix'!CV25</f>
        <v>0</v>
      </c>
      <c r="CW25" s="6">
        <f>CW$1*'survival matrix'!CW25</f>
        <v>0</v>
      </c>
      <c r="CX25" s="6">
        <f>CX$1*'survival matrix'!CX25</f>
        <v>0</v>
      </c>
      <c r="CY25" s="6">
        <f>CY$1*'survival matrix'!CY25</f>
        <v>0</v>
      </c>
      <c r="CZ25" s="6">
        <f>CZ$1*'survival matrix'!CZ25</f>
        <v>0</v>
      </c>
      <c r="DA25" s="6">
        <f>DA$1*'survival matrix'!DA25</f>
        <v>0</v>
      </c>
      <c r="DB25" s="6">
        <f>DB$1*'survival matrix'!DB25</f>
        <v>0</v>
      </c>
      <c r="DC25" s="6">
        <f>DC$1*'survival matrix'!DC25</f>
        <v>0</v>
      </c>
      <c r="DD25" s="6">
        <f>DD$1*'survival matrix'!DD25</f>
        <v>0</v>
      </c>
      <c r="DE25" s="6">
        <f>DE$1*'survival matrix'!DE25</f>
        <v>0</v>
      </c>
      <c r="DF25" s="6">
        <f>DF$1*'survival matrix'!DF25</f>
        <v>0</v>
      </c>
      <c r="DG25" s="6">
        <f>DG$1*'survival matrix'!DG25</f>
        <v>0</v>
      </c>
      <c r="DH25" s="6">
        <f>DH$1*'survival matrix'!DH25</f>
        <v>0</v>
      </c>
      <c r="DI25" s="6">
        <f>DI$1*'survival matrix'!DI25</f>
        <v>0</v>
      </c>
      <c r="DJ25" s="6">
        <f>DJ$1*'survival matrix'!DJ25</f>
        <v>0</v>
      </c>
      <c r="DK25" s="6">
        <f>DK$1*'survival matrix'!DK25</f>
        <v>0</v>
      </c>
      <c r="DL25" s="6">
        <f>DL$1*'survival matrix'!DL25</f>
        <v>0</v>
      </c>
      <c r="DM25" s="6">
        <f>DM$1*'survival matrix'!DM25</f>
        <v>0</v>
      </c>
      <c r="DN25" s="6">
        <f>DN$1*'survival matrix'!DN25</f>
        <v>0</v>
      </c>
      <c r="DO25" s="6">
        <f>DO$1*'survival matrix'!DO25</f>
        <v>0</v>
      </c>
      <c r="DP25" s="6">
        <f>DP$1*'survival matrix'!DP25</f>
        <v>0</v>
      </c>
      <c r="DQ25" s="6">
        <f>DQ$1*'survival matrix'!DQ25</f>
        <v>0</v>
      </c>
      <c r="DR25" s="6">
        <f>DR$1*'survival matrix'!DR25</f>
        <v>0</v>
      </c>
      <c r="DS25" s="6">
        <f>DS$1*'survival matrix'!DS25</f>
        <v>0</v>
      </c>
      <c r="DT25" s="6">
        <f>DT$1*'survival matrix'!DT25</f>
        <v>0</v>
      </c>
      <c r="DU25" s="6">
        <f>DU$1*'survival matrix'!DU25</f>
        <v>0</v>
      </c>
      <c r="DV25" s="6">
        <f>DV$1*'survival matrix'!DV25</f>
        <v>0</v>
      </c>
      <c r="DW25" s="6">
        <f>DW$1*'survival matrix'!DW25</f>
        <v>0</v>
      </c>
      <c r="DX25" s="6">
        <f>DX$1*'survival matrix'!DX25</f>
        <v>0</v>
      </c>
      <c r="DY25" s="6">
        <f>DY$1*'survival matrix'!DY25</f>
        <v>0</v>
      </c>
      <c r="DZ25" s="6">
        <f>DZ$1*'survival matrix'!DZ25</f>
        <v>0</v>
      </c>
      <c r="EA25" s="6">
        <f>EA$1*'survival matrix'!EA25</f>
        <v>0</v>
      </c>
      <c r="EB25" s="6">
        <f>EB$1*'survival matrix'!EB25</f>
        <v>0</v>
      </c>
      <c r="EC25" s="6">
        <f>EC$1*'survival matrix'!EC25</f>
        <v>0</v>
      </c>
    </row>
    <row r="26" spans="1:133">
      <c r="A26" s="12">
        <f>'data input'!C26-B26</f>
        <v>2311.667865772295</v>
      </c>
      <c r="B26" s="14">
        <f t="shared" si="2"/>
        <v>81756.057763575925</v>
      </c>
      <c r="C26" s="11">
        <f>SUM(F26:EC26)</f>
        <v>1012383.3249469413</v>
      </c>
      <c r="E26" s="7">
        <f>'data input'!B26</f>
        <v>1901</v>
      </c>
      <c r="F26" s="6">
        <f>F$1*'survival matrix'!F26</f>
        <v>2921.7383977640266</v>
      </c>
      <c r="G26" s="6">
        <f>G$1*'survival matrix'!G26</f>
        <v>5949.0021122441121</v>
      </c>
      <c r="H26" s="6">
        <f>H$1*'survival matrix'!H26</f>
        <v>9061.1409594851193</v>
      </c>
      <c r="I26" s="6">
        <f>I$1*'survival matrix'!I26</f>
        <v>12258.075872699617</v>
      </c>
      <c r="J26" s="6">
        <f>J$1*'survival matrix'!J26</f>
        <v>15527.89390946106</v>
      </c>
      <c r="K26" s="6">
        <f>K$1*'survival matrix'!K26</f>
        <v>18862.55858922542</v>
      </c>
      <c r="L26" s="6">
        <f>L$1*'survival matrix'!L26</f>
        <v>22260.593906386188</v>
      </c>
      <c r="M26" s="6">
        <f>M$1*'survival matrix'!M26</f>
        <v>25710.639615093347</v>
      </c>
      <c r="N26" s="6">
        <f>N$1*'survival matrix'!N26</f>
        <v>29194.909103822865</v>
      </c>
      <c r="O26" s="6">
        <f>O$1*'survival matrix'!O26</f>
        <v>32701.103475072763</v>
      </c>
      <c r="P26" s="6">
        <f>P$1*'survival matrix'!P26</f>
        <v>36237.755794273173</v>
      </c>
      <c r="Q26" s="6">
        <f>Q$1*'survival matrix'!Q26</f>
        <v>39810.192148025904</v>
      </c>
      <c r="R26" s="6">
        <f>R$1*'survival matrix'!R26</f>
        <v>43412.601698502571</v>
      </c>
      <c r="S26" s="6">
        <f>S$1*'survival matrix'!S26</f>
        <v>47033.789257161574</v>
      </c>
      <c r="T26" s="6">
        <f>T$1*'survival matrix'!T26</f>
        <v>50661.752850531375</v>
      </c>
      <c r="U26" s="6">
        <f>U$1*'survival matrix'!U26</f>
        <v>54301.355859879419</v>
      </c>
      <c r="V26" s="6">
        <f>V$1*'survival matrix'!V26</f>
        <v>57942.964912963726</v>
      </c>
      <c r="W26" s="6">
        <f>W$1*'survival matrix'!W26</f>
        <v>61595.152857596811</v>
      </c>
      <c r="X26" s="6">
        <f>X$1*'survival matrix'!X26</f>
        <v>65256.453474861664</v>
      </c>
      <c r="Y26" s="6">
        <f>Y$1*'survival matrix'!Y26</f>
        <v>68921.145960200505</v>
      </c>
      <c r="Z26" s="6">
        <f>Z$1*'survival matrix'!Z26</f>
        <v>72592.813726353153</v>
      </c>
      <c r="AA26" s="6">
        <f>AA$1*'survival matrix'!AA26</f>
        <v>76270.792524878139</v>
      </c>
      <c r="AB26" s="6">
        <f>AB$1*'survival matrix'!AB26</f>
        <v>79944.655168461322</v>
      </c>
      <c r="AC26" s="6">
        <f>AC$1*'survival matrix'!AC26</f>
        <v>83954.242771997539</v>
      </c>
      <c r="AD26" s="6">
        <f>AD$1*'survival matrix'!AD26</f>
        <v>0</v>
      </c>
      <c r="AE26" s="6">
        <f>AE$1*'survival matrix'!AE26</f>
        <v>0</v>
      </c>
      <c r="AF26" s="6">
        <f>AF$1*'survival matrix'!AF26</f>
        <v>0</v>
      </c>
      <c r="AG26" s="6">
        <f>AG$1*'survival matrix'!AG26</f>
        <v>0</v>
      </c>
      <c r="AH26" s="6">
        <f>AH$1*'survival matrix'!AH26</f>
        <v>0</v>
      </c>
      <c r="AI26" s="6">
        <f>AI$1*'survival matrix'!AI26</f>
        <v>0</v>
      </c>
      <c r="AJ26" s="6">
        <f>AJ$1*'survival matrix'!AJ26</f>
        <v>0</v>
      </c>
      <c r="AK26" s="6">
        <f>AK$1*'survival matrix'!AK26</f>
        <v>0</v>
      </c>
      <c r="AL26" s="6">
        <f>AL$1*'survival matrix'!AL26</f>
        <v>0</v>
      </c>
      <c r="AM26" s="6">
        <f>AM$1*'survival matrix'!AM26</f>
        <v>0</v>
      </c>
      <c r="AN26" s="6">
        <f>AN$1*'survival matrix'!AN26</f>
        <v>0</v>
      </c>
      <c r="AO26" s="6">
        <f>AO$1*'survival matrix'!AO26</f>
        <v>0</v>
      </c>
      <c r="AP26" s="6">
        <f>AP$1*'survival matrix'!AP26</f>
        <v>0</v>
      </c>
      <c r="AQ26" s="6">
        <f>AQ$1*'survival matrix'!AQ26</f>
        <v>0</v>
      </c>
      <c r="AR26" s="6">
        <f>AR$1*'survival matrix'!AR26</f>
        <v>0</v>
      </c>
      <c r="AS26" s="6">
        <f>AS$1*'survival matrix'!AS26</f>
        <v>0</v>
      </c>
      <c r="AT26" s="6">
        <f>AT$1*'survival matrix'!AT26</f>
        <v>0</v>
      </c>
      <c r="AU26" s="6">
        <f>AU$1*'survival matrix'!AU26</f>
        <v>0</v>
      </c>
      <c r="AV26" s="6">
        <f>AV$1*'survival matrix'!AV26</f>
        <v>0</v>
      </c>
      <c r="AW26" s="6">
        <f>AW$1*'survival matrix'!AW26</f>
        <v>0</v>
      </c>
      <c r="AX26" s="6">
        <f>AX$1*'survival matrix'!AX26</f>
        <v>0</v>
      </c>
      <c r="AY26" s="6">
        <f>AY$1*'survival matrix'!AY26</f>
        <v>0</v>
      </c>
      <c r="AZ26" s="6">
        <f>AZ$1*'survival matrix'!AZ26</f>
        <v>0</v>
      </c>
      <c r="BA26" s="6">
        <f>BA$1*'survival matrix'!BA26</f>
        <v>0</v>
      </c>
      <c r="BB26" s="6">
        <f>BB$1*'survival matrix'!BB26</f>
        <v>0</v>
      </c>
      <c r="BC26" s="6">
        <f>BC$1*'survival matrix'!BC26</f>
        <v>0</v>
      </c>
      <c r="BD26" s="6">
        <f>BD$1*'survival matrix'!BD26</f>
        <v>0</v>
      </c>
      <c r="BE26" s="6">
        <f>BE$1*'survival matrix'!BE26</f>
        <v>0</v>
      </c>
      <c r="BF26" s="6">
        <f>BF$1*'survival matrix'!BF26</f>
        <v>0</v>
      </c>
      <c r="BG26" s="6">
        <f>BG$1*'survival matrix'!BG26</f>
        <v>0</v>
      </c>
      <c r="BH26" s="6">
        <f>BH$1*'survival matrix'!BH26</f>
        <v>0</v>
      </c>
      <c r="BI26" s="6">
        <f>BI$1*'survival matrix'!BI26</f>
        <v>0</v>
      </c>
      <c r="BJ26" s="6">
        <f>BJ$1*'survival matrix'!BJ26</f>
        <v>0</v>
      </c>
      <c r="BK26" s="6">
        <f>BK$1*'survival matrix'!BK26</f>
        <v>0</v>
      </c>
      <c r="BL26" s="6">
        <f>BL$1*'survival matrix'!BL26</f>
        <v>0</v>
      </c>
      <c r="BM26" s="6">
        <f>BM$1*'survival matrix'!BM26</f>
        <v>0</v>
      </c>
      <c r="BN26" s="6">
        <f>BN$1*'survival matrix'!BN26</f>
        <v>0</v>
      </c>
      <c r="BO26" s="6">
        <f>BO$1*'survival matrix'!BO26</f>
        <v>0</v>
      </c>
      <c r="BP26" s="6">
        <f>BP$1*'survival matrix'!BP26</f>
        <v>0</v>
      </c>
      <c r="BQ26" s="6">
        <f>BQ$1*'survival matrix'!BQ26</f>
        <v>0</v>
      </c>
      <c r="BR26" s="6">
        <f>BR$1*'survival matrix'!BR26</f>
        <v>0</v>
      </c>
      <c r="BS26" s="6">
        <f>BS$1*'survival matrix'!BS26</f>
        <v>0</v>
      </c>
      <c r="BT26" s="6">
        <f>BT$1*'survival matrix'!BT26</f>
        <v>0</v>
      </c>
      <c r="BU26" s="6">
        <f>BU$1*'survival matrix'!BU26</f>
        <v>0</v>
      </c>
      <c r="BV26" s="6">
        <f>BV$1*'survival matrix'!BV26</f>
        <v>0</v>
      </c>
      <c r="BW26" s="6">
        <f>BW$1*'survival matrix'!BW26</f>
        <v>0</v>
      </c>
      <c r="BX26" s="6">
        <f>BX$1*'survival matrix'!BX26</f>
        <v>0</v>
      </c>
      <c r="BY26" s="6">
        <f>BY$1*'survival matrix'!BY26</f>
        <v>0</v>
      </c>
      <c r="BZ26" s="6">
        <f>BZ$1*'survival matrix'!BZ26</f>
        <v>0</v>
      </c>
      <c r="CA26" s="6">
        <f>CA$1*'survival matrix'!CA26</f>
        <v>0</v>
      </c>
      <c r="CB26" s="6">
        <f>CB$1*'survival matrix'!CB26</f>
        <v>0</v>
      </c>
      <c r="CC26" s="6">
        <f>CC$1*'survival matrix'!CC26</f>
        <v>0</v>
      </c>
      <c r="CD26" s="6">
        <f>CD$1*'survival matrix'!CD26</f>
        <v>0</v>
      </c>
      <c r="CE26" s="6">
        <f>CE$1*'survival matrix'!CE26</f>
        <v>0</v>
      </c>
      <c r="CF26" s="6">
        <f>CF$1*'survival matrix'!CF26</f>
        <v>0</v>
      </c>
      <c r="CG26" s="6">
        <f>CG$1*'survival matrix'!CG26</f>
        <v>0</v>
      </c>
      <c r="CH26" s="6">
        <f>CH$1*'survival matrix'!CH26</f>
        <v>0</v>
      </c>
      <c r="CI26" s="6">
        <f>CI$1*'survival matrix'!CI26</f>
        <v>0</v>
      </c>
      <c r="CJ26" s="6">
        <f>CJ$1*'survival matrix'!CJ26</f>
        <v>0</v>
      </c>
      <c r="CK26" s="6">
        <f>CK$1*'survival matrix'!CK26</f>
        <v>0</v>
      </c>
      <c r="CL26" s="6">
        <f>CL$1*'survival matrix'!CL26</f>
        <v>0</v>
      </c>
      <c r="CM26" s="6">
        <f>CM$1*'survival matrix'!CM26</f>
        <v>0</v>
      </c>
      <c r="CN26" s="6">
        <f>CN$1*'survival matrix'!CN26</f>
        <v>0</v>
      </c>
      <c r="CO26" s="6">
        <f>CO$1*'survival matrix'!CO26</f>
        <v>0</v>
      </c>
      <c r="CP26" s="6">
        <f>CP$1*'survival matrix'!CP26</f>
        <v>0</v>
      </c>
      <c r="CQ26" s="6">
        <f>CQ$1*'survival matrix'!CQ26</f>
        <v>0</v>
      </c>
      <c r="CR26" s="6">
        <f>CR$1*'survival matrix'!CR26</f>
        <v>0</v>
      </c>
      <c r="CS26" s="6">
        <f>CS$1*'survival matrix'!CS26</f>
        <v>0</v>
      </c>
      <c r="CT26" s="6">
        <f>CT$1*'survival matrix'!CT26</f>
        <v>0</v>
      </c>
      <c r="CU26" s="6">
        <f>CU$1*'survival matrix'!CU26</f>
        <v>0</v>
      </c>
      <c r="CV26" s="6">
        <f>CV$1*'survival matrix'!CV26</f>
        <v>0</v>
      </c>
      <c r="CW26" s="6">
        <f>CW$1*'survival matrix'!CW26</f>
        <v>0</v>
      </c>
      <c r="CX26" s="6">
        <f>CX$1*'survival matrix'!CX26</f>
        <v>0</v>
      </c>
      <c r="CY26" s="6">
        <f>CY$1*'survival matrix'!CY26</f>
        <v>0</v>
      </c>
      <c r="CZ26" s="6">
        <f>CZ$1*'survival matrix'!CZ26</f>
        <v>0</v>
      </c>
      <c r="DA26" s="6">
        <f>DA$1*'survival matrix'!DA26</f>
        <v>0</v>
      </c>
      <c r="DB26" s="6">
        <f>DB$1*'survival matrix'!DB26</f>
        <v>0</v>
      </c>
      <c r="DC26" s="6">
        <f>DC$1*'survival matrix'!DC26</f>
        <v>0</v>
      </c>
      <c r="DD26" s="6">
        <f>DD$1*'survival matrix'!DD26</f>
        <v>0</v>
      </c>
      <c r="DE26" s="6">
        <f>DE$1*'survival matrix'!DE26</f>
        <v>0</v>
      </c>
      <c r="DF26" s="6">
        <f>DF$1*'survival matrix'!DF26</f>
        <v>0</v>
      </c>
      <c r="DG26" s="6">
        <f>DG$1*'survival matrix'!DG26</f>
        <v>0</v>
      </c>
      <c r="DH26" s="6">
        <f>DH$1*'survival matrix'!DH26</f>
        <v>0</v>
      </c>
      <c r="DI26" s="6">
        <f>DI$1*'survival matrix'!DI26</f>
        <v>0</v>
      </c>
      <c r="DJ26" s="6">
        <f>DJ$1*'survival matrix'!DJ26</f>
        <v>0</v>
      </c>
      <c r="DK26" s="6">
        <f>DK$1*'survival matrix'!DK26</f>
        <v>0</v>
      </c>
      <c r="DL26" s="6">
        <f>DL$1*'survival matrix'!DL26</f>
        <v>0</v>
      </c>
      <c r="DM26" s="6">
        <f>DM$1*'survival matrix'!DM26</f>
        <v>0</v>
      </c>
      <c r="DN26" s="6">
        <f>DN$1*'survival matrix'!DN26</f>
        <v>0</v>
      </c>
      <c r="DO26" s="6">
        <f>DO$1*'survival matrix'!DO26</f>
        <v>0</v>
      </c>
      <c r="DP26" s="6">
        <f>DP$1*'survival matrix'!DP26</f>
        <v>0</v>
      </c>
      <c r="DQ26" s="6">
        <f>DQ$1*'survival matrix'!DQ26</f>
        <v>0</v>
      </c>
      <c r="DR26" s="6">
        <f>DR$1*'survival matrix'!DR26</f>
        <v>0</v>
      </c>
      <c r="DS26" s="6">
        <f>DS$1*'survival matrix'!DS26</f>
        <v>0</v>
      </c>
      <c r="DT26" s="6">
        <f>DT$1*'survival matrix'!DT26</f>
        <v>0</v>
      </c>
      <c r="DU26" s="6">
        <f>DU$1*'survival matrix'!DU26</f>
        <v>0</v>
      </c>
      <c r="DV26" s="6">
        <f>DV$1*'survival matrix'!DV26</f>
        <v>0</v>
      </c>
      <c r="DW26" s="6">
        <f>DW$1*'survival matrix'!DW26</f>
        <v>0</v>
      </c>
      <c r="DX26" s="6">
        <f>DX$1*'survival matrix'!DX26</f>
        <v>0</v>
      </c>
      <c r="DY26" s="6">
        <f>DY$1*'survival matrix'!DY26</f>
        <v>0</v>
      </c>
      <c r="DZ26" s="6">
        <f>DZ$1*'survival matrix'!DZ26</f>
        <v>0</v>
      </c>
      <c r="EA26" s="6">
        <f>EA$1*'survival matrix'!EA26</f>
        <v>0</v>
      </c>
      <c r="EB26" s="6">
        <f>EB$1*'survival matrix'!EB26</f>
        <v>0</v>
      </c>
      <c r="EC26" s="6">
        <f>EC$1*'survival matrix'!EC26</f>
        <v>0</v>
      </c>
    </row>
    <row r="27" spans="1:133">
      <c r="A27" s="12">
        <f>'data input'!C27-B27</f>
        <v>2702.4933235743083</v>
      </c>
      <c r="B27" s="14">
        <f t="shared" si="2"/>
        <v>86099.434091603383</v>
      </c>
      <c r="C27" s="11">
        <f>SUM(F27:EC27)</f>
        <v>1098482.7590385447</v>
      </c>
      <c r="E27" s="7">
        <f>'data input'!B27</f>
        <v>1902</v>
      </c>
      <c r="F27" s="6">
        <f>F$1*'survival matrix'!F27</f>
        <v>2876.5068878954776</v>
      </c>
      <c r="G27" s="6">
        <f>G$1*'survival matrix'!G27</f>
        <v>5866.4618099182053</v>
      </c>
      <c r="H27" s="6">
        <f>H$1*'survival matrix'!H27</f>
        <v>8948.9284547637199</v>
      </c>
      <c r="I27" s="6">
        <f>I$1*'survival matrix'!I27</f>
        <v>12123.154566080424</v>
      </c>
      <c r="J27" s="6">
        <f>J$1*'survival matrix'!J27</f>
        <v>15376.647644064453</v>
      </c>
      <c r="K27" s="6">
        <f>K$1*'survival matrix'!K27</f>
        <v>18700.693637650656</v>
      </c>
      <c r="L27" s="6">
        <f>L$1*'survival matrix'!L27</f>
        <v>22093.065124069839</v>
      </c>
      <c r="M27" s="6">
        <f>M$1*'survival matrix'!M27</f>
        <v>25541.734598188341</v>
      </c>
      <c r="N27" s="6">
        <f>N$1*'survival matrix'!N27</f>
        <v>29028.280828743747</v>
      </c>
      <c r="O27" s="6">
        <f>O$1*'survival matrix'!O27</f>
        <v>32539.737647462993</v>
      </c>
      <c r="P27" s="6">
        <f>P$1*'survival matrix'!P27</f>
        <v>36083.913064130007</v>
      </c>
      <c r="Q27" s="6">
        <f>Q$1*'survival matrix'!Q27</f>
        <v>39665.514578899769</v>
      </c>
      <c r="R27" s="6">
        <f>R$1*'survival matrix'!R27</f>
        <v>43278.230223265316</v>
      </c>
      <c r="S27" s="6">
        <f>S$1*'survival matrix'!S27</f>
        <v>46910.436277812107</v>
      </c>
      <c r="T27" s="6">
        <f>T$1*'survival matrix'!T27</f>
        <v>50549.755983275281</v>
      </c>
      <c r="U27" s="6">
        <f>U$1*'survival matrix'!U27</f>
        <v>54200.700724378141</v>
      </c>
      <c r="V27" s="6">
        <f>V$1*'survival matrix'!V27</f>
        <v>57853.383555729604</v>
      </c>
      <c r="W27" s="6">
        <f>W$1*'survival matrix'!W27</f>
        <v>61516.152703741558</v>
      </c>
      <c r="X27" s="6">
        <f>X$1*'survival matrix'!X27</f>
        <v>65187.393709165626</v>
      </c>
      <c r="Y27" s="6">
        <f>Y$1*'survival matrix'!Y27</f>
        <v>68861.288939003425</v>
      </c>
      <c r="Z27" s="6">
        <f>Z$1*'survival matrix'!Z27</f>
        <v>72541.356681714446</v>
      </c>
      <c r="AA27" s="6">
        <f>AA$1*'survival matrix'!AA27</f>
        <v>76226.907706724349</v>
      </c>
      <c r="AB27" s="6">
        <f>AB$1*'survival matrix'!AB27</f>
        <v>79907.52245066929</v>
      </c>
      <c r="AC27" s="6">
        <f>AC$1*'survival matrix'!AC27</f>
        <v>83922.937373042863</v>
      </c>
      <c r="AD27" s="6">
        <f>AD$1*'survival matrix'!AD27</f>
        <v>88682.053868154981</v>
      </c>
      <c r="AE27" s="6">
        <f>AE$1*'survival matrix'!AE27</f>
        <v>0</v>
      </c>
      <c r="AF27" s="6">
        <f>AF$1*'survival matrix'!AF27</f>
        <v>0</v>
      </c>
      <c r="AG27" s="6">
        <f>AG$1*'survival matrix'!AG27</f>
        <v>0</v>
      </c>
      <c r="AH27" s="6">
        <f>AH$1*'survival matrix'!AH27</f>
        <v>0</v>
      </c>
      <c r="AI27" s="6">
        <f>AI$1*'survival matrix'!AI27</f>
        <v>0</v>
      </c>
      <c r="AJ27" s="6">
        <f>AJ$1*'survival matrix'!AJ27</f>
        <v>0</v>
      </c>
      <c r="AK27" s="6">
        <f>AK$1*'survival matrix'!AK27</f>
        <v>0</v>
      </c>
      <c r="AL27" s="6">
        <f>AL$1*'survival matrix'!AL27</f>
        <v>0</v>
      </c>
      <c r="AM27" s="6">
        <f>AM$1*'survival matrix'!AM27</f>
        <v>0</v>
      </c>
      <c r="AN27" s="6">
        <f>AN$1*'survival matrix'!AN27</f>
        <v>0</v>
      </c>
      <c r="AO27" s="6">
        <f>AO$1*'survival matrix'!AO27</f>
        <v>0</v>
      </c>
      <c r="AP27" s="6">
        <f>AP$1*'survival matrix'!AP27</f>
        <v>0</v>
      </c>
      <c r="AQ27" s="6">
        <f>AQ$1*'survival matrix'!AQ27</f>
        <v>0</v>
      </c>
      <c r="AR27" s="6">
        <f>AR$1*'survival matrix'!AR27</f>
        <v>0</v>
      </c>
      <c r="AS27" s="6">
        <f>AS$1*'survival matrix'!AS27</f>
        <v>0</v>
      </c>
      <c r="AT27" s="6">
        <f>AT$1*'survival matrix'!AT27</f>
        <v>0</v>
      </c>
      <c r="AU27" s="6">
        <f>AU$1*'survival matrix'!AU27</f>
        <v>0</v>
      </c>
      <c r="AV27" s="6">
        <f>AV$1*'survival matrix'!AV27</f>
        <v>0</v>
      </c>
      <c r="AW27" s="6">
        <f>AW$1*'survival matrix'!AW27</f>
        <v>0</v>
      </c>
      <c r="AX27" s="6">
        <f>AX$1*'survival matrix'!AX27</f>
        <v>0</v>
      </c>
      <c r="AY27" s="6">
        <f>AY$1*'survival matrix'!AY27</f>
        <v>0</v>
      </c>
      <c r="AZ27" s="6">
        <f>AZ$1*'survival matrix'!AZ27</f>
        <v>0</v>
      </c>
      <c r="BA27" s="6">
        <f>BA$1*'survival matrix'!BA27</f>
        <v>0</v>
      </c>
      <c r="BB27" s="6">
        <f>BB$1*'survival matrix'!BB27</f>
        <v>0</v>
      </c>
      <c r="BC27" s="6">
        <f>BC$1*'survival matrix'!BC27</f>
        <v>0</v>
      </c>
      <c r="BD27" s="6">
        <f>BD$1*'survival matrix'!BD27</f>
        <v>0</v>
      </c>
      <c r="BE27" s="6">
        <f>BE$1*'survival matrix'!BE27</f>
        <v>0</v>
      </c>
      <c r="BF27" s="6">
        <f>BF$1*'survival matrix'!BF27</f>
        <v>0</v>
      </c>
      <c r="BG27" s="6">
        <f>BG$1*'survival matrix'!BG27</f>
        <v>0</v>
      </c>
      <c r="BH27" s="6">
        <f>BH$1*'survival matrix'!BH27</f>
        <v>0</v>
      </c>
      <c r="BI27" s="6">
        <f>BI$1*'survival matrix'!BI27</f>
        <v>0</v>
      </c>
      <c r="BJ27" s="6">
        <f>BJ$1*'survival matrix'!BJ27</f>
        <v>0</v>
      </c>
      <c r="BK27" s="6">
        <f>BK$1*'survival matrix'!BK27</f>
        <v>0</v>
      </c>
      <c r="BL27" s="6">
        <f>BL$1*'survival matrix'!BL27</f>
        <v>0</v>
      </c>
      <c r="BM27" s="6">
        <f>BM$1*'survival matrix'!BM27</f>
        <v>0</v>
      </c>
      <c r="BN27" s="6">
        <f>BN$1*'survival matrix'!BN27</f>
        <v>0</v>
      </c>
      <c r="BO27" s="6">
        <f>BO$1*'survival matrix'!BO27</f>
        <v>0</v>
      </c>
      <c r="BP27" s="6">
        <f>BP$1*'survival matrix'!BP27</f>
        <v>0</v>
      </c>
      <c r="BQ27" s="6">
        <f>BQ$1*'survival matrix'!BQ27</f>
        <v>0</v>
      </c>
      <c r="BR27" s="6">
        <f>BR$1*'survival matrix'!BR27</f>
        <v>0</v>
      </c>
      <c r="BS27" s="6">
        <f>BS$1*'survival matrix'!BS27</f>
        <v>0</v>
      </c>
      <c r="BT27" s="6">
        <f>BT$1*'survival matrix'!BT27</f>
        <v>0</v>
      </c>
      <c r="BU27" s="6">
        <f>BU$1*'survival matrix'!BU27</f>
        <v>0</v>
      </c>
      <c r="BV27" s="6">
        <f>BV$1*'survival matrix'!BV27</f>
        <v>0</v>
      </c>
      <c r="BW27" s="6">
        <f>BW$1*'survival matrix'!BW27</f>
        <v>0</v>
      </c>
      <c r="BX27" s="6">
        <f>BX$1*'survival matrix'!BX27</f>
        <v>0</v>
      </c>
      <c r="BY27" s="6">
        <f>BY$1*'survival matrix'!BY27</f>
        <v>0</v>
      </c>
      <c r="BZ27" s="6">
        <f>BZ$1*'survival matrix'!BZ27</f>
        <v>0</v>
      </c>
      <c r="CA27" s="6">
        <f>CA$1*'survival matrix'!CA27</f>
        <v>0</v>
      </c>
      <c r="CB27" s="6">
        <f>CB$1*'survival matrix'!CB27</f>
        <v>0</v>
      </c>
      <c r="CC27" s="6">
        <f>CC$1*'survival matrix'!CC27</f>
        <v>0</v>
      </c>
      <c r="CD27" s="6">
        <f>CD$1*'survival matrix'!CD27</f>
        <v>0</v>
      </c>
      <c r="CE27" s="6">
        <f>CE$1*'survival matrix'!CE27</f>
        <v>0</v>
      </c>
      <c r="CF27" s="6">
        <f>CF$1*'survival matrix'!CF27</f>
        <v>0</v>
      </c>
      <c r="CG27" s="6">
        <f>CG$1*'survival matrix'!CG27</f>
        <v>0</v>
      </c>
      <c r="CH27" s="6">
        <f>CH$1*'survival matrix'!CH27</f>
        <v>0</v>
      </c>
      <c r="CI27" s="6">
        <f>CI$1*'survival matrix'!CI27</f>
        <v>0</v>
      </c>
      <c r="CJ27" s="6">
        <f>CJ$1*'survival matrix'!CJ27</f>
        <v>0</v>
      </c>
      <c r="CK27" s="6">
        <f>CK$1*'survival matrix'!CK27</f>
        <v>0</v>
      </c>
      <c r="CL27" s="6">
        <f>CL$1*'survival matrix'!CL27</f>
        <v>0</v>
      </c>
      <c r="CM27" s="6">
        <f>CM$1*'survival matrix'!CM27</f>
        <v>0</v>
      </c>
      <c r="CN27" s="6">
        <f>CN$1*'survival matrix'!CN27</f>
        <v>0</v>
      </c>
      <c r="CO27" s="6">
        <f>CO$1*'survival matrix'!CO27</f>
        <v>0</v>
      </c>
      <c r="CP27" s="6">
        <f>CP$1*'survival matrix'!CP27</f>
        <v>0</v>
      </c>
      <c r="CQ27" s="6">
        <f>CQ$1*'survival matrix'!CQ27</f>
        <v>0</v>
      </c>
      <c r="CR27" s="6">
        <f>CR$1*'survival matrix'!CR27</f>
        <v>0</v>
      </c>
      <c r="CS27" s="6">
        <f>CS$1*'survival matrix'!CS27</f>
        <v>0</v>
      </c>
      <c r="CT27" s="6">
        <f>CT$1*'survival matrix'!CT27</f>
        <v>0</v>
      </c>
      <c r="CU27" s="6">
        <f>CU$1*'survival matrix'!CU27</f>
        <v>0</v>
      </c>
      <c r="CV27" s="6">
        <f>CV$1*'survival matrix'!CV27</f>
        <v>0</v>
      </c>
      <c r="CW27" s="6">
        <f>CW$1*'survival matrix'!CW27</f>
        <v>0</v>
      </c>
      <c r="CX27" s="6">
        <f>CX$1*'survival matrix'!CX27</f>
        <v>0</v>
      </c>
      <c r="CY27" s="6">
        <f>CY$1*'survival matrix'!CY27</f>
        <v>0</v>
      </c>
      <c r="CZ27" s="6">
        <f>CZ$1*'survival matrix'!CZ27</f>
        <v>0</v>
      </c>
      <c r="DA27" s="6">
        <f>DA$1*'survival matrix'!DA27</f>
        <v>0</v>
      </c>
      <c r="DB27" s="6">
        <f>DB$1*'survival matrix'!DB27</f>
        <v>0</v>
      </c>
      <c r="DC27" s="6">
        <f>DC$1*'survival matrix'!DC27</f>
        <v>0</v>
      </c>
      <c r="DD27" s="6">
        <f>DD$1*'survival matrix'!DD27</f>
        <v>0</v>
      </c>
      <c r="DE27" s="6">
        <f>DE$1*'survival matrix'!DE27</f>
        <v>0</v>
      </c>
      <c r="DF27" s="6">
        <f>DF$1*'survival matrix'!DF27</f>
        <v>0</v>
      </c>
      <c r="DG27" s="6">
        <f>DG$1*'survival matrix'!DG27</f>
        <v>0</v>
      </c>
      <c r="DH27" s="6">
        <f>DH$1*'survival matrix'!DH27</f>
        <v>0</v>
      </c>
      <c r="DI27" s="6">
        <f>DI$1*'survival matrix'!DI27</f>
        <v>0</v>
      </c>
      <c r="DJ27" s="6">
        <f>DJ$1*'survival matrix'!DJ27</f>
        <v>0</v>
      </c>
      <c r="DK27" s="6">
        <f>DK$1*'survival matrix'!DK27</f>
        <v>0</v>
      </c>
      <c r="DL27" s="6">
        <f>DL$1*'survival matrix'!DL27</f>
        <v>0</v>
      </c>
      <c r="DM27" s="6">
        <f>DM$1*'survival matrix'!DM27</f>
        <v>0</v>
      </c>
      <c r="DN27" s="6">
        <f>DN$1*'survival matrix'!DN27</f>
        <v>0</v>
      </c>
      <c r="DO27" s="6">
        <f>DO$1*'survival matrix'!DO27</f>
        <v>0</v>
      </c>
      <c r="DP27" s="6">
        <f>DP$1*'survival matrix'!DP27</f>
        <v>0</v>
      </c>
      <c r="DQ27" s="6">
        <f>DQ$1*'survival matrix'!DQ27</f>
        <v>0</v>
      </c>
      <c r="DR27" s="6">
        <f>DR$1*'survival matrix'!DR27</f>
        <v>0</v>
      </c>
      <c r="DS27" s="6">
        <f>DS$1*'survival matrix'!DS27</f>
        <v>0</v>
      </c>
      <c r="DT27" s="6">
        <f>DT$1*'survival matrix'!DT27</f>
        <v>0</v>
      </c>
      <c r="DU27" s="6">
        <f>DU$1*'survival matrix'!DU27</f>
        <v>0</v>
      </c>
      <c r="DV27" s="6">
        <f>DV$1*'survival matrix'!DV27</f>
        <v>0</v>
      </c>
      <c r="DW27" s="6">
        <f>DW$1*'survival matrix'!DW27</f>
        <v>0</v>
      </c>
      <c r="DX27" s="6">
        <f>DX$1*'survival matrix'!DX27</f>
        <v>0</v>
      </c>
      <c r="DY27" s="6">
        <f>DY$1*'survival matrix'!DY27</f>
        <v>0</v>
      </c>
      <c r="DZ27" s="6">
        <f>DZ$1*'survival matrix'!DZ27</f>
        <v>0</v>
      </c>
      <c r="EA27" s="6">
        <f>EA$1*'survival matrix'!EA27</f>
        <v>0</v>
      </c>
      <c r="EB27" s="6">
        <f>EB$1*'survival matrix'!EB27</f>
        <v>0</v>
      </c>
      <c r="EC27" s="6">
        <f>EC$1*'survival matrix'!EC27</f>
        <v>0</v>
      </c>
    </row>
    <row r="28" spans="1:133">
      <c r="A28" s="12">
        <f>'data input'!C28-B28</f>
        <v>3145.6133020523994</v>
      </c>
      <c r="B28" s="14">
        <f t="shared" si="2"/>
        <v>90321.45874433429</v>
      </c>
      <c r="C28" s="11">
        <f>SUM(F28:EC28)</f>
        <v>1188804.217782879</v>
      </c>
      <c r="E28" s="7">
        <f>'data input'!B28</f>
        <v>1903</v>
      </c>
      <c r="F28" s="6">
        <f>F$1*'survival matrix'!F28</f>
        <v>2827.0178201748431</v>
      </c>
      <c r="G28" s="6">
        <f>G$1*'survival matrix'!G28</f>
        <v>5775.6429585618171</v>
      </c>
      <c r="H28" s="6">
        <f>H$1*'survival matrix'!H28</f>
        <v>8824.7652344096969</v>
      </c>
      <c r="I28" s="6">
        <f>I$1*'survival matrix'!I28</f>
        <v>11973.022309550353</v>
      </c>
      <c r="J28" s="6">
        <f>J$1*'survival matrix'!J28</f>
        <v>15207.401066289502</v>
      </c>
      <c r="K28" s="6">
        <f>K$1*'survival matrix'!K28</f>
        <v>18518.543367336315</v>
      </c>
      <c r="L28" s="6">
        <f>L$1*'survival matrix'!L28</f>
        <v>21903.478281991669</v>
      </c>
      <c r="M28" s="6">
        <f>M$1*'survival matrix'!M28</f>
        <v>25349.5126065615</v>
      </c>
      <c r="N28" s="6">
        <f>N$1*'survival matrix'!N28</f>
        <v>28837.580700800452</v>
      </c>
      <c r="O28" s="6">
        <f>O$1*'survival matrix'!O28</f>
        <v>32354.018954644253</v>
      </c>
      <c r="P28" s="6">
        <f>P$1*'survival matrix'!P28</f>
        <v>35905.854531657824</v>
      </c>
      <c r="Q28" s="6">
        <f>Q$1*'survival matrix'!Q28</f>
        <v>39497.119739826536</v>
      </c>
      <c r="R28" s="6">
        <f>R$1*'survival matrix'!R28</f>
        <v>43120.949165150807</v>
      </c>
      <c r="S28" s="6">
        <f>S$1*'survival matrix'!S28</f>
        <v>46765.238241296131</v>
      </c>
      <c r="T28" s="6">
        <f>T$1*'survival matrix'!T28</f>
        <v>50417.181867848762</v>
      </c>
      <c r="U28" s="6">
        <f>U$1*'survival matrix'!U28</f>
        <v>54080.880379785551</v>
      </c>
      <c r="V28" s="6">
        <f>V$1*'survival matrix'!V28</f>
        <v>57746.144241557857</v>
      </c>
      <c r="W28" s="6">
        <f>W$1*'survival matrix'!W28</f>
        <v>61421.047103617355</v>
      </c>
      <c r="X28" s="6">
        <f>X$1*'survival matrix'!X28</f>
        <v>65103.78625154063</v>
      </c>
      <c r="Y28" s="6">
        <f>Y$1*'survival matrix'!Y28</f>
        <v>68788.414238856145</v>
      </c>
      <c r="Z28" s="6">
        <f>Z$1*'survival matrix'!Z28</f>
        <v>72478.355559721051</v>
      </c>
      <c r="AA28" s="6">
        <f>AA$1*'survival matrix'!AA28</f>
        <v>76172.874653158986</v>
      </c>
      <c r="AB28" s="6">
        <f>AB$1*'survival matrix'!AB28</f>
        <v>79861.545124673576</v>
      </c>
      <c r="AC28" s="6">
        <f>AC$1*'survival matrix'!AC28</f>
        <v>83883.956821520245</v>
      </c>
      <c r="AD28" s="6">
        <f>AD$1*'survival matrix'!AD28</f>
        <v>88648.985532537889</v>
      </c>
      <c r="AE28" s="6">
        <f>AE$1*'survival matrix'!AE28</f>
        <v>93340.901029809043</v>
      </c>
      <c r="AF28" s="6">
        <f>AF$1*'survival matrix'!AF28</f>
        <v>0</v>
      </c>
      <c r="AG28" s="6">
        <f>AG$1*'survival matrix'!AG28</f>
        <v>0</v>
      </c>
      <c r="AH28" s="6">
        <f>AH$1*'survival matrix'!AH28</f>
        <v>0</v>
      </c>
      <c r="AI28" s="6">
        <f>AI$1*'survival matrix'!AI28</f>
        <v>0</v>
      </c>
      <c r="AJ28" s="6">
        <f>AJ$1*'survival matrix'!AJ28</f>
        <v>0</v>
      </c>
      <c r="AK28" s="6">
        <f>AK$1*'survival matrix'!AK28</f>
        <v>0</v>
      </c>
      <c r="AL28" s="6">
        <f>AL$1*'survival matrix'!AL28</f>
        <v>0</v>
      </c>
      <c r="AM28" s="6">
        <f>AM$1*'survival matrix'!AM28</f>
        <v>0</v>
      </c>
      <c r="AN28" s="6">
        <f>AN$1*'survival matrix'!AN28</f>
        <v>0</v>
      </c>
      <c r="AO28" s="6">
        <f>AO$1*'survival matrix'!AO28</f>
        <v>0</v>
      </c>
      <c r="AP28" s="6">
        <f>AP$1*'survival matrix'!AP28</f>
        <v>0</v>
      </c>
      <c r="AQ28" s="6">
        <f>AQ$1*'survival matrix'!AQ28</f>
        <v>0</v>
      </c>
      <c r="AR28" s="6">
        <f>AR$1*'survival matrix'!AR28</f>
        <v>0</v>
      </c>
      <c r="AS28" s="6">
        <f>AS$1*'survival matrix'!AS28</f>
        <v>0</v>
      </c>
      <c r="AT28" s="6">
        <f>AT$1*'survival matrix'!AT28</f>
        <v>0</v>
      </c>
      <c r="AU28" s="6">
        <f>AU$1*'survival matrix'!AU28</f>
        <v>0</v>
      </c>
      <c r="AV28" s="6">
        <f>AV$1*'survival matrix'!AV28</f>
        <v>0</v>
      </c>
      <c r="AW28" s="6">
        <f>AW$1*'survival matrix'!AW28</f>
        <v>0</v>
      </c>
      <c r="AX28" s="6">
        <f>AX$1*'survival matrix'!AX28</f>
        <v>0</v>
      </c>
      <c r="AY28" s="6">
        <f>AY$1*'survival matrix'!AY28</f>
        <v>0</v>
      </c>
      <c r="AZ28" s="6">
        <f>AZ$1*'survival matrix'!AZ28</f>
        <v>0</v>
      </c>
      <c r="BA28" s="6">
        <f>BA$1*'survival matrix'!BA28</f>
        <v>0</v>
      </c>
      <c r="BB28" s="6">
        <f>BB$1*'survival matrix'!BB28</f>
        <v>0</v>
      </c>
      <c r="BC28" s="6">
        <f>BC$1*'survival matrix'!BC28</f>
        <v>0</v>
      </c>
      <c r="BD28" s="6">
        <f>BD$1*'survival matrix'!BD28</f>
        <v>0</v>
      </c>
      <c r="BE28" s="6">
        <f>BE$1*'survival matrix'!BE28</f>
        <v>0</v>
      </c>
      <c r="BF28" s="6">
        <f>BF$1*'survival matrix'!BF28</f>
        <v>0</v>
      </c>
      <c r="BG28" s="6">
        <f>BG$1*'survival matrix'!BG28</f>
        <v>0</v>
      </c>
      <c r="BH28" s="6">
        <f>BH$1*'survival matrix'!BH28</f>
        <v>0</v>
      </c>
      <c r="BI28" s="6">
        <f>BI$1*'survival matrix'!BI28</f>
        <v>0</v>
      </c>
      <c r="BJ28" s="6">
        <f>BJ$1*'survival matrix'!BJ28</f>
        <v>0</v>
      </c>
      <c r="BK28" s="6">
        <f>BK$1*'survival matrix'!BK28</f>
        <v>0</v>
      </c>
      <c r="BL28" s="6">
        <f>BL$1*'survival matrix'!BL28</f>
        <v>0</v>
      </c>
      <c r="BM28" s="6">
        <f>BM$1*'survival matrix'!BM28</f>
        <v>0</v>
      </c>
      <c r="BN28" s="6">
        <f>BN$1*'survival matrix'!BN28</f>
        <v>0</v>
      </c>
      <c r="BO28" s="6">
        <f>BO$1*'survival matrix'!BO28</f>
        <v>0</v>
      </c>
      <c r="BP28" s="6">
        <f>BP$1*'survival matrix'!BP28</f>
        <v>0</v>
      </c>
      <c r="BQ28" s="6">
        <f>BQ$1*'survival matrix'!BQ28</f>
        <v>0</v>
      </c>
      <c r="BR28" s="6">
        <f>BR$1*'survival matrix'!BR28</f>
        <v>0</v>
      </c>
      <c r="BS28" s="6">
        <f>BS$1*'survival matrix'!BS28</f>
        <v>0</v>
      </c>
      <c r="BT28" s="6">
        <f>BT$1*'survival matrix'!BT28</f>
        <v>0</v>
      </c>
      <c r="BU28" s="6">
        <f>BU$1*'survival matrix'!BU28</f>
        <v>0</v>
      </c>
      <c r="BV28" s="6">
        <f>BV$1*'survival matrix'!BV28</f>
        <v>0</v>
      </c>
      <c r="BW28" s="6">
        <f>BW$1*'survival matrix'!BW28</f>
        <v>0</v>
      </c>
      <c r="BX28" s="6">
        <f>BX$1*'survival matrix'!BX28</f>
        <v>0</v>
      </c>
      <c r="BY28" s="6">
        <f>BY$1*'survival matrix'!BY28</f>
        <v>0</v>
      </c>
      <c r="BZ28" s="6">
        <f>BZ$1*'survival matrix'!BZ28</f>
        <v>0</v>
      </c>
      <c r="CA28" s="6">
        <f>CA$1*'survival matrix'!CA28</f>
        <v>0</v>
      </c>
      <c r="CB28" s="6">
        <f>CB$1*'survival matrix'!CB28</f>
        <v>0</v>
      </c>
      <c r="CC28" s="6">
        <f>CC$1*'survival matrix'!CC28</f>
        <v>0</v>
      </c>
      <c r="CD28" s="6">
        <f>CD$1*'survival matrix'!CD28</f>
        <v>0</v>
      </c>
      <c r="CE28" s="6">
        <f>CE$1*'survival matrix'!CE28</f>
        <v>0</v>
      </c>
      <c r="CF28" s="6">
        <f>CF$1*'survival matrix'!CF28</f>
        <v>0</v>
      </c>
      <c r="CG28" s="6">
        <f>CG$1*'survival matrix'!CG28</f>
        <v>0</v>
      </c>
      <c r="CH28" s="6">
        <f>CH$1*'survival matrix'!CH28</f>
        <v>0</v>
      </c>
      <c r="CI28" s="6">
        <f>CI$1*'survival matrix'!CI28</f>
        <v>0</v>
      </c>
      <c r="CJ28" s="6">
        <f>CJ$1*'survival matrix'!CJ28</f>
        <v>0</v>
      </c>
      <c r="CK28" s="6">
        <f>CK$1*'survival matrix'!CK28</f>
        <v>0</v>
      </c>
      <c r="CL28" s="6">
        <f>CL$1*'survival matrix'!CL28</f>
        <v>0</v>
      </c>
      <c r="CM28" s="6">
        <f>CM$1*'survival matrix'!CM28</f>
        <v>0</v>
      </c>
      <c r="CN28" s="6">
        <f>CN$1*'survival matrix'!CN28</f>
        <v>0</v>
      </c>
      <c r="CO28" s="6">
        <f>CO$1*'survival matrix'!CO28</f>
        <v>0</v>
      </c>
      <c r="CP28" s="6">
        <f>CP$1*'survival matrix'!CP28</f>
        <v>0</v>
      </c>
      <c r="CQ28" s="6">
        <f>CQ$1*'survival matrix'!CQ28</f>
        <v>0</v>
      </c>
      <c r="CR28" s="6">
        <f>CR$1*'survival matrix'!CR28</f>
        <v>0</v>
      </c>
      <c r="CS28" s="6">
        <f>CS$1*'survival matrix'!CS28</f>
        <v>0</v>
      </c>
      <c r="CT28" s="6">
        <f>CT$1*'survival matrix'!CT28</f>
        <v>0</v>
      </c>
      <c r="CU28" s="6">
        <f>CU$1*'survival matrix'!CU28</f>
        <v>0</v>
      </c>
      <c r="CV28" s="6">
        <f>CV$1*'survival matrix'!CV28</f>
        <v>0</v>
      </c>
      <c r="CW28" s="6">
        <f>CW$1*'survival matrix'!CW28</f>
        <v>0</v>
      </c>
      <c r="CX28" s="6">
        <f>CX$1*'survival matrix'!CX28</f>
        <v>0</v>
      </c>
      <c r="CY28" s="6">
        <f>CY$1*'survival matrix'!CY28</f>
        <v>0</v>
      </c>
      <c r="CZ28" s="6">
        <f>CZ$1*'survival matrix'!CZ28</f>
        <v>0</v>
      </c>
      <c r="DA28" s="6">
        <f>DA$1*'survival matrix'!DA28</f>
        <v>0</v>
      </c>
      <c r="DB28" s="6">
        <f>DB$1*'survival matrix'!DB28</f>
        <v>0</v>
      </c>
      <c r="DC28" s="6">
        <f>DC$1*'survival matrix'!DC28</f>
        <v>0</v>
      </c>
      <c r="DD28" s="6">
        <f>DD$1*'survival matrix'!DD28</f>
        <v>0</v>
      </c>
      <c r="DE28" s="6">
        <f>DE$1*'survival matrix'!DE28</f>
        <v>0</v>
      </c>
      <c r="DF28" s="6">
        <f>DF$1*'survival matrix'!DF28</f>
        <v>0</v>
      </c>
      <c r="DG28" s="6">
        <f>DG$1*'survival matrix'!DG28</f>
        <v>0</v>
      </c>
      <c r="DH28" s="6">
        <f>DH$1*'survival matrix'!DH28</f>
        <v>0</v>
      </c>
      <c r="DI28" s="6">
        <f>DI$1*'survival matrix'!DI28</f>
        <v>0</v>
      </c>
      <c r="DJ28" s="6">
        <f>DJ$1*'survival matrix'!DJ28</f>
        <v>0</v>
      </c>
      <c r="DK28" s="6">
        <f>DK$1*'survival matrix'!DK28</f>
        <v>0</v>
      </c>
      <c r="DL28" s="6">
        <f>DL$1*'survival matrix'!DL28</f>
        <v>0</v>
      </c>
      <c r="DM28" s="6">
        <f>DM$1*'survival matrix'!DM28</f>
        <v>0</v>
      </c>
      <c r="DN28" s="6">
        <f>DN$1*'survival matrix'!DN28</f>
        <v>0</v>
      </c>
      <c r="DO28" s="6">
        <f>DO$1*'survival matrix'!DO28</f>
        <v>0</v>
      </c>
      <c r="DP28" s="6">
        <f>DP$1*'survival matrix'!DP28</f>
        <v>0</v>
      </c>
      <c r="DQ28" s="6">
        <f>DQ$1*'survival matrix'!DQ28</f>
        <v>0</v>
      </c>
      <c r="DR28" s="6">
        <f>DR$1*'survival matrix'!DR28</f>
        <v>0</v>
      </c>
      <c r="DS28" s="6">
        <f>DS$1*'survival matrix'!DS28</f>
        <v>0</v>
      </c>
      <c r="DT28" s="6">
        <f>DT$1*'survival matrix'!DT28</f>
        <v>0</v>
      </c>
      <c r="DU28" s="6">
        <f>DU$1*'survival matrix'!DU28</f>
        <v>0</v>
      </c>
      <c r="DV28" s="6">
        <f>DV$1*'survival matrix'!DV28</f>
        <v>0</v>
      </c>
      <c r="DW28" s="6">
        <f>DW$1*'survival matrix'!DW28</f>
        <v>0</v>
      </c>
      <c r="DX28" s="6">
        <f>DX$1*'survival matrix'!DX28</f>
        <v>0</v>
      </c>
      <c r="DY28" s="6">
        <f>DY$1*'survival matrix'!DY28</f>
        <v>0</v>
      </c>
      <c r="DZ28" s="6">
        <f>DZ$1*'survival matrix'!DZ28</f>
        <v>0</v>
      </c>
      <c r="EA28" s="6">
        <f>EA$1*'survival matrix'!EA28</f>
        <v>0</v>
      </c>
      <c r="EB28" s="6">
        <f>EB$1*'survival matrix'!EB28</f>
        <v>0</v>
      </c>
      <c r="EC28" s="6">
        <f>EC$1*'survival matrix'!EC28</f>
        <v>0</v>
      </c>
    </row>
    <row r="29" spans="1:133">
      <c r="A29" s="12">
        <f>'data input'!C29-B29</f>
        <v>3644.6053322955413</v>
      </c>
      <c r="B29" s="14">
        <f t="shared" si="2"/>
        <v>93554.486273430986</v>
      </c>
      <c r="C29" s="11">
        <f>SUM(F29:EC29)</f>
        <v>1282358.70405631</v>
      </c>
      <c r="E29" s="7">
        <f>'data input'!B29</f>
        <v>1904</v>
      </c>
      <c r="F29" s="6">
        <f>F$1*'survival matrix'!F29</f>
        <v>2773.174020711007</v>
      </c>
      <c r="G29" s="6">
        <f>G$1*'survival matrix'!G29</f>
        <v>5676.275497733106</v>
      </c>
      <c r="H29" s="6">
        <f>H$1*'survival matrix'!H29</f>
        <v>8688.1488090331804</v>
      </c>
      <c r="I29" s="6">
        <f>I$1*'survival matrix'!I29</f>
        <v>11806.900855474702</v>
      </c>
      <c r="J29" s="6">
        <f>J$1*'survival matrix'!J29</f>
        <v>15019.073727427731</v>
      </c>
      <c r="K29" s="6">
        <f>K$1*'survival matrix'!K29</f>
        <v>18314.714798011679</v>
      </c>
      <c r="L29" s="6">
        <f>L$1*'survival matrix'!L29</f>
        <v>21690.131944834611</v>
      </c>
      <c r="M29" s="6">
        <f>M$1*'survival matrix'!M29</f>
        <v>25131.98126736933</v>
      </c>
      <c r="N29" s="6">
        <f>N$1*'survival matrix'!N29</f>
        <v>28620.554829879344</v>
      </c>
      <c r="O29" s="6">
        <f>O$1*'survival matrix'!O29</f>
        <v>32141.470523322034</v>
      </c>
      <c r="P29" s="6">
        <f>P$1*'survival matrix'!P29</f>
        <v>35700.92391911248</v>
      </c>
      <c r="Q29" s="6">
        <f>Q$1*'survival matrix'!Q29</f>
        <v>39302.218505992707</v>
      </c>
      <c r="R29" s="6">
        <f>R$1*'survival matrix'!R29</f>
        <v>42937.884723092284</v>
      </c>
      <c r="S29" s="6">
        <f>S$1*'survival matrix'!S29</f>
        <v>46595.284753927925</v>
      </c>
      <c r="T29" s="6">
        <f>T$1*'survival matrix'!T29</f>
        <v>50261.129688531408</v>
      </c>
      <c r="U29" s="6">
        <f>U$1*'survival matrix'!U29</f>
        <v>53939.045375078313</v>
      </c>
      <c r="V29" s="6">
        <f>V$1*'survival matrix'!V29</f>
        <v>57618.486059847215</v>
      </c>
      <c r="W29" s="6">
        <f>W$1*'survival matrix'!W29</f>
        <v>61307.194627542951</v>
      </c>
      <c r="X29" s="6">
        <f>X$1*'survival matrix'!X29</f>
        <v>65003.134075003691</v>
      </c>
      <c r="Y29" s="6">
        <f>Y$1*'survival matrix'!Y29</f>
        <v>68700.188216901268</v>
      </c>
      <c r="Z29" s="6">
        <f>Z$1*'survival matrix'!Z29</f>
        <v>72401.652981103049</v>
      </c>
      <c r="AA29" s="6">
        <f>AA$1*'survival matrix'!AA29</f>
        <v>76106.719610185814</v>
      </c>
      <c r="AB29" s="6">
        <f>AB$1*'survival matrix'!AB29</f>
        <v>79804.935676968627</v>
      </c>
      <c r="AC29" s="6">
        <f>AC$1*'survival matrix'!AC29</f>
        <v>83835.691527961986</v>
      </c>
      <c r="AD29" s="6">
        <f>AD$1*'survival matrix'!AD29</f>
        <v>88607.809824726108</v>
      </c>
      <c r="AE29" s="6">
        <f>AE$1*'survival matrix'!AE29</f>
        <v>93306.095473245761</v>
      </c>
      <c r="AF29" s="6">
        <f>AF$1*'survival matrix'!AF29</f>
        <v>97067.882743291717</v>
      </c>
      <c r="AG29" s="6">
        <f>AG$1*'survival matrix'!AG29</f>
        <v>0</v>
      </c>
      <c r="AH29" s="6">
        <f>AH$1*'survival matrix'!AH29</f>
        <v>0</v>
      </c>
      <c r="AI29" s="6">
        <f>AI$1*'survival matrix'!AI29</f>
        <v>0</v>
      </c>
      <c r="AJ29" s="6">
        <f>AJ$1*'survival matrix'!AJ29</f>
        <v>0</v>
      </c>
      <c r="AK29" s="6">
        <f>AK$1*'survival matrix'!AK29</f>
        <v>0</v>
      </c>
      <c r="AL29" s="6">
        <f>AL$1*'survival matrix'!AL29</f>
        <v>0</v>
      </c>
      <c r="AM29" s="6">
        <f>AM$1*'survival matrix'!AM29</f>
        <v>0</v>
      </c>
      <c r="AN29" s="6">
        <f>AN$1*'survival matrix'!AN29</f>
        <v>0</v>
      </c>
      <c r="AO29" s="6">
        <f>AO$1*'survival matrix'!AO29</f>
        <v>0</v>
      </c>
      <c r="AP29" s="6">
        <f>AP$1*'survival matrix'!AP29</f>
        <v>0</v>
      </c>
      <c r="AQ29" s="6">
        <f>AQ$1*'survival matrix'!AQ29</f>
        <v>0</v>
      </c>
      <c r="AR29" s="6">
        <f>AR$1*'survival matrix'!AR29</f>
        <v>0</v>
      </c>
      <c r="AS29" s="6">
        <f>AS$1*'survival matrix'!AS29</f>
        <v>0</v>
      </c>
      <c r="AT29" s="6">
        <f>AT$1*'survival matrix'!AT29</f>
        <v>0</v>
      </c>
      <c r="AU29" s="6">
        <f>AU$1*'survival matrix'!AU29</f>
        <v>0</v>
      </c>
      <c r="AV29" s="6">
        <f>AV$1*'survival matrix'!AV29</f>
        <v>0</v>
      </c>
      <c r="AW29" s="6">
        <f>AW$1*'survival matrix'!AW29</f>
        <v>0</v>
      </c>
      <c r="AX29" s="6">
        <f>AX$1*'survival matrix'!AX29</f>
        <v>0</v>
      </c>
      <c r="AY29" s="6">
        <f>AY$1*'survival matrix'!AY29</f>
        <v>0</v>
      </c>
      <c r="AZ29" s="6">
        <f>AZ$1*'survival matrix'!AZ29</f>
        <v>0</v>
      </c>
      <c r="BA29" s="6">
        <f>BA$1*'survival matrix'!BA29</f>
        <v>0</v>
      </c>
      <c r="BB29" s="6">
        <f>BB$1*'survival matrix'!BB29</f>
        <v>0</v>
      </c>
      <c r="BC29" s="6">
        <f>BC$1*'survival matrix'!BC29</f>
        <v>0</v>
      </c>
      <c r="BD29" s="6">
        <f>BD$1*'survival matrix'!BD29</f>
        <v>0</v>
      </c>
      <c r="BE29" s="6">
        <f>BE$1*'survival matrix'!BE29</f>
        <v>0</v>
      </c>
      <c r="BF29" s="6">
        <f>BF$1*'survival matrix'!BF29</f>
        <v>0</v>
      </c>
      <c r="BG29" s="6">
        <f>BG$1*'survival matrix'!BG29</f>
        <v>0</v>
      </c>
      <c r="BH29" s="6">
        <f>BH$1*'survival matrix'!BH29</f>
        <v>0</v>
      </c>
      <c r="BI29" s="6">
        <f>BI$1*'survival matrix'!BI29</f>
        <v>0</v>
      </c>
      <c r="BJ29" s="6">
        <f>BJ$1*'survival matrix'!BJ29</f>
        <v>0</v>
      </c>
      <c r="BK29" s="6">
        <f>BK$1*'survival matrix'!BK29</f>
        <v>0</v>
      </c>
      <c r="BL29" s="6">
        <f>BL$1*'survival matrix'!BL29</f>
        <v>0</v>
      </c>
      <c r="BM29" s="6">
        <f>BM$1*'survival matrix'!BM29</f>
        <v>0</v>
      </c>
      <c r="BN29" s="6">
        <f>BN$1*'survival matrix'!BN29</f>
        <v>0</v>
      </c>
      <c r="BO29" s="6">
        <f>BO$1*'survival matrix'!BO29</f>
        <v>0</v>
      </c>
      <c r="BP29" s="6">
        <f>BP$1*'survival matrix'!BP29</f>
        <v>0</v>
      </c>
      <c r="BQ29" s="6">
        <f>BQ$1*'survival matrix'!BQ29</f>
        <v>0</v>
      </c>
      <c r="BR29" s="6">
        <f>BR$1*'survival matrix'!BR29</f>
        <v>0</v>
      </c>
      <c r="BS29" s="6">
        <f>BS$1*'survival matrix'!BS29</f>
        <v>0</v>
      </c>
      <c r="BT29" s="6">
        <f>BT$1*'survival matrix'!BT29</f>
        <v>0</v>
      </c>
      <c r="BU29" s="6">
        <f>BU$1*'survival matrix'!BU29</f>
        <v>0</v>
      </c>
      <c r="BV29" s="6">
        <f>BV$1*'survival matrix'!BV29</f>
        <v>0</v>
      </c>
      <c r="BW29" s="6">
        <f>BW$1*'survival matrix'!BW29</f>
        <v>0</v>
      </c>
      <c r="BX29" s="6">
        <f>BX$1*'survival matrix'!BX29</f>
        <v>0</v>
      </c>
      <c r="BY29" s="6">
        <f>BY$1*'survival matrix'!BY29</f>
        <v>0</v>
      </c>
      <c r="BZ29" s="6">
        <f>BZ$1*'survival matrix'!BZ29</f>
        <v>0</v>
      </c>
      <c r="CA29" s="6">
        <f>CA$1*'survival matrix'!CA29</f>
        <v>0</v>
      </c>
      <c r="CB29" s="6">
        <f>CB$1*'survival matrix'!CB29</f>
        <v>0</v>
      </c>
      <c r="CC29" s="6">
        <f>CC$1*'survival matrix'!CC29</f>
        <v>0</v>
      </c>
      <c r="CD29" s="6">
        <f>CD$1*'survival matrix'!CD29</f>
        <v>0</v>
      </c>
      <c r="CE29" s="6">
        <f>CE$1*'survival matrix'!CE29</f>
        <v>0</v>
      </c>
      <c r="CF29" s="6">
        <f>CF$1*'survival matrix'!CF29</f>
        <v>0</v>
      </c>
      <c r="CG29" s="6">
        <f>CG$1*'survival matrix'!CG29</f>
        <v>0</v>
      </c>
      <c r="CH29" s="6">
        <f>CH$1*'survival matrix'!CH29</f>
        <v>0</v>
      </c>
      <c r="CI29" s="6">
        <f>CI$1*'survival matrix'!CI29</f>
        <v>0</v>
      </c>
      <c r="CJ29" s="6">
        <f>CJ$1*'survival matrix'!CJ29</f>
        <v>0</v>
      </c>
      <c r="CK29" s="6">
        <f>CK$1*'survival matrix'!CK29</f>
        <v>0</v>
      </c>
      <c r="CL29" s="6">
        <f>CL$1*'survival matrix'!CL29</f>
        <v>0</v>
      </c>
      <c r="CM29" s="6">
        <f>CM$1*'survival matrix'!CM29</f>
        <v>0</v>
      </c>
      <c r="CN29" s="6">
        <f>CN$1*'survival matrix'!CN29</f>
        <v>0</v>
      </c>
      <c r="CO29" s="6">
        <f>CO$1*'survival matrix'!CO29</f>
        <v>0</v>
      </c>
      <c r="CP29" s="6">
        <f>CP$1*'survival matrix'!CP29</f>
        <v>0</v>
      </c>
      <c r="CQ29" s="6">
        <f>CQ$1*'survival matrix'!CQ29</f>
        <v>0</v>
      </c>
      <c r="CR29" s="6">
        <f>CR$1*'survival matrix'!CR29</f>
        <v>0</v>
      </c>
      <c r="CS29" s="6">
        <f>CS$1*'survival matrix'!CS29</f>
        <v>0</v>
      </c>
      <c r="CT29" s="6">
        <f>CT$1*'survival matrix'!CT29</f>
        <v>0</v>
      </c>
      <c r="CU29" s="6">
        <f>CU$1*'survival matrix'!CU29</f>
        <v>0</v>
      </c>
      <c r="CV29" s="6">
        <f>CV$1*'survival matrix'!CV29</f>
        <v>0</v>
      </c>
      <c r="CW29" s="6">
        <f>CW$1*'survival matrix'!CW29</f>
        <v>0</v>
      </c>
      <c r="CX29" s="6">
        <f>CX$1*'survival matrix'!CX29</f>
        <v>0</v>
      </c>
      <c r="CY29" s="6">
        <f>CY$1*'survival matrix'!CY29</f>
        <v>0</v>
      </c>
      <c r="CZ29" s="6">
        <f>CZ$1*'survival matrix'!CZ29</f>
        <v>0</v>
      </c>
      <c r="DA29" s="6">
        <f>DA$1*'survival matrix'!DA29</f>
        <v>0</v>
      </c>
      <c r="DB29" s="6">
        <f>DB$1*'survival matrix'!DB29</f>
        <v>0</v>
      </c>
      <c r="DC29" s="6">
        <f>DC$1*'survival matrix'!DC29</f>
        <v>0</v>
      </c>
      <c r="DD29" s="6">
        <f>DD$1*'survival matrix'!DD29</f>
        <v>0</v>
      </c>
      <c r="DE29" s="6">
        <f>DE$1*'survival matrix'!DE29</f>
        <v>0</v>
      </c>
      <c r="DF29" s="6">
        <f>DF$1*'survival matrix'!DF29</f>
        <v>0</v>
      </c>
      <c r="DG29" s="6">
        <f>DG$1*'survival matrix'!DG29</f>
        <v>0</v>
      </c>
      <c r="DH29" s="6">
        <f>DH$1*'survival matrix'!DH29</f>
        <v>0</v>
      </c>
      <c r="DI29" s="6">
        <f>DI$1*'survival matrix'!DI29</f>
        <v>0</v>
      </c>
      <c r="DJ29" s="6">
        <f>DJ$1*'survival matrix'!DJ29</f>
        <v>0</v>
      </c>
      <c r="DK29" s="6">
        <f>DK$1*'survival matrix'!DK29</f>
        <v>0</v>
      </c>
      <c r="DL29" s="6">
        <f>DL$1*'survival matrix'!DL29</f>
        <v>0</v>
      </c>
      <c r="DM29" s="6">
        <f>DM$1*'survival matrix'!DM29</f>
        <v>0</v>
      </c>
      <c r="DN29" s="6">
        <f>DN$1*'survival matrix'!DN29</f>
        <v>0</v>
      </c>
      <c r="DO29" s="6">
        <f>DO$1*'survival matrix'!DO29</f>
        <v>0</v>
      </c>
      <c r="DP29" s="6">
        <f>DP$1*'survival matrix'!DP29</f>
        <v>0</v>
      </c>
      <c r="DQ29" s="6">
        <f>DQ$1*'survival matrix'!DQ29</f>
        <v>0</v>
      </c>
      <c r="DR29" s="6">
        <f>DR$1*'survival matrix'!DR29</f>
        <v>0</v>
      </c>
      <c r="DS29" s="6">
        <f>DS$1*'survival matrix'!DS29</f>
        <v>0</v>
      </c>
      <c r="DT29" s="6">
        <f>DT$1*'survival matrix'!DT29</f>
        <v>0</v>
      </c>
      <c r="DU29" s="6">
        <f>DU$1*'survival matrix'!DU29</f>
        <v>0</v>
      </c>
      <c r="DV29" s="6">
        <f>DV$1*'survival matrix'!DV29</f>
        <v>0</v>
      </c>
      <c r="DW29" s="6">
        <f>DW$1*'survival matrix'!DW29</f>
        <v>0</v>
      </c>
      <c r="DX29" s="6">
        <f>DX$1*'survival matrix'!DX29</f>
        <v>0</v>
      </c>
      <c r="DY29" s="6">
        <f>DY$1*'survival matrix'!DY29</f>
        <v>0</v>
      </c>
      <c r="DZ29" s="6">
        <f>DZ$1*'survival matrix'!DZ29</f>
        <v>0</v>
      </c>
      <c r="EA29" s="6">
        <f>EA$1*'survival matrix'!EA29</f>
        <v>0</v>
      </c>
      <c r="EB29" s="6">
        <f>EB$1*'survival matrix'!EB29</f>
        <v>0</v>
      </c>
      <c r="EC29" s="6">
        <f>EC$1*'survival matrix'!EC29</f>
        <v>0</v>
      </c>
    </row>
    <row r="30" spans="1:133">
      <c r="A30" s="12">
        <f>'data input'!C30-B30</f>
        <v>4205.6311599011533</v>
      </c>
      <c r="B30" s="14">
        <f t="shared" si="2"/>
        <v>97011.76400129986</v>
      </c>
      <c r="C30" s="11">
        <f>SUM(F30:EC30)</f>
        <v>1379370.4680576099</v>
      </c>
      <c r="E30" s="7">
        <f>'data input'!B30</f>
        <v>1905</v>
      </c>
      <c r="F30" s="6">
        <f>F$1*'survival matrix'!F30</f>
        <v>2714.9207436711126</v>
      </c>
      <c r="G30" s="6">
        <f>G$1*'survival matrix'!G30</f>
        <v>5568.1643151928683</v>
      </c>
      <c r="H30" s="6">
        <f>H$1*'survival matrix'!H30</f>
        <v>8538.672933767064</v>
      </c>
      <c r="I30" s="6">
        <f>I$1*'survival matrix'!I30</f>
        <v>11624.117909208846</v>
      </c>
      <c r="J30" s="6">
        <f>J$1*'survival matrix'!J30</f>
        <v>14810.689386200907</v>
      </c>
      <c r="K30" s="6">
        <f>K$1*'survival matrix'!K30</f>
        <v>18087.906713915858</v>
      </c>
      <c r="L30" s="6">
        <f>L$1*'survival matrix'!L30</f>
        <v>21451.39456279104</v>
      </c>
      <c r="M30" s="6">
        <f>M$1*'survival matrix'!M30</f>
        <v>24887.188359144275</v>
      </c>
      <c r="N30" s="6">
        <f>N$1*'survival matrix'!N30</f>
        <v>28374.953751973215</v>
      </c>
      <c r="O30" s="6">
        <f>O$1*'survival matrix'!O30</f>
        <v>31899.580237677666</v>
      </c>
      <c r="P30" s="6">
        <f>P$1*'survival matrix'!P30</f>
        <v>35466.38812971337</v>
      </c>
      <c r="Q30" s="6">
        <f>Q$1*'survival matrix'!Q30</f>
        <v>39077.903340182558</v>
      </c>
      <c r="R30" s="6">
        <f>R$1*'survival matrix'!R30</f>
        <v>42726.004799546696</v>
      </c>
      <c r="S30" s="6">
        <f>S$1*'survival matrix'!S30</f>
        <v>46397.470467109546</v>
      </c>
      <c r="T30" s="6">
        <f>T$1*'survival matrix'!T30</f>
        <v>50078.471487891926</v>
      </c>
      <c r="U30" s="6">
        <f>U$1*'survival matrix'!U30</f>
        <v>53772.092259707009</v>
      </c>
      <c r="V30" s="6">
        <f>V$1*'survival matrix'!V30</f>
        <v>57467.373167746868</v>
      </c>
      <c r="W30" s="6">
        <f>W$1*'survival matrix'!W30</f>
        <v>61171.664106938937</v>
      </c>
      <c r="X30" s="6">
        <f>X$1*'survival matrix'!X30</f>
        <v>64882.641701199791</v>
      </c>
      <c r="Y30" s="6">
        <f>Y$1*'survival matrix'!Y30</f>
        <v>68593.975907745989</v>
      </c>
      <c r="Z30" s="6">
        <f>Z$1*'survival matrix'!Z30</f>
        <v>72308.792724093772</v>
      </c>
      <c r="AA30" s="6">
        <f>AA$1*'survival matrix'!AA30</f>
        <v>76026.177197224344</v>
      </c>
      <c r="AB30" s="6">
        <f>AB$1*'survival matrix'!AB30</f>
        <v>79735.626241382532</v>
      </c>
      <c r="AC30" s="6">
        <f>AC$1*'survival matrix'!AC30</f>
        <v>83776.26502691007</v>
      </c>
      <c r="AD30" s="6">
        <f>AD$1*'survival matrix'!AD30</f>
        <v>88556.826512603104</v>
      </c>
      <c r="AE30" s="6">
        <f>AE$1*'survival matrix'!AE30</f>
        <v>93262.756629589683</v>
      </c>
      <c r="AF30" s="6">
        <f>AF$1*'survival matrix'!AF30</f>
        <v>97031.6874457745</v>
      </c>
      <c r="AG30" s="6">
        <f>AG$1*'survival matrix'!AG30</f>
        <v>101080.76199870618</v>
      </c>
      <c r="AH30" s="6">
        <f>AH$1*'survival matrix'!AH30</f>
        <v>0</v>
      </c>
      <c r="AI30" s="6">
        <f>AI$1*'survival matrix'!AI30</f>
        <v>0</v>
      </c>
      <c r="AJ30" s="6">
        <f>AJ$1*'survival matrix'!AJ30</f>
        <v>0</v>
      </c>
      <c r="AK30" s="6">
        <f>AK$1*'survival matrix'!AK30</f>
        <v>0</v>
      </c>
      <c r="AL30" s="6">
        <f>AL$1*'survival matrix'!AL30</f>
        <v>0</v>
      </c>
      <c r="AM30" s="6">
        <f>AM$1*'survival matrix'!AM30</f>
        <v>0</v>
      </c>
      <c r="AN30" s="6">
        <f>AN$1*'survival matrix'!AN30</f>
        <v>0</v>
      </c>
      <c r="AO30" s="6">
        <f>AO$1*'survival matrix'!AO30</f>
        <v>0</v>
      </c>
      <c r="AP30" s="6">
        <f>AP$1*'survival matrix'!AP30</f>
        <v>0</v>
      </c>
      <c r="AQ30" s="6">
        <f>AQ$1*'survival matrix'!AQ30</f>
        <v>0</v>
      </c>
      <c r="AR30" s="6">
        <f>AR$1*'survival matrix'!AR30</f>
        <v>0</v>
      </c>
      <c r="AS30" s="6">
        <f>AS$1*'survival matrix'!AS30</f>
        <v>0</v>
      </c>
      <c r="AT30" s="6">
        <f>AT$1*'survival matrix'!AT30</f>
        <v>0</v>
      </c>
      <c r="AU30" s="6">
        <f>AU$1*'survival matrix'!AU30</f>
        <v>0</v>
      </c>
      <c r="AV30" s="6">
        <f>AV$1*'survival matrix'!AV30</f>
        <v>0</v>
      </c>
      <c r="AW30" s="6">
        <f>AW$1*'survival matrix'!AW30</f>
        <v>0</v>
      </c>
      <c r="AX30" s="6">
        <f>AX$1*'survival matrix'!AX30</f>
        <v>0</v>
      </c>
      <c r="AY30" s="6">
        <f>AY$1*'survival matrix'!AY30</f>
        <v>0</v>
      </c>
      <c r="AZ30" s="6">
        <f>AZ$1*'survival matrix'!AZ30</f>
        <v>0</v>
      </c>
      <c r="BA30" s="6">
        <f>BA$1*'survival matrix'!BA30</f>
        <v>0</v>
      </c>
      <c r="BB30" s="6">
        <f>BB$1*'survival matrix'!BB30</f>
        <v>0</v>
      </c>
      <c r="BC30" s="6">
        <f>BC$1*'survival matrix'!BC30</f>
        <v>0</v>
      </c>
      <c r="BD30" s="6">
        <f>BD$1*'survival matrix'!BD30</f>
        <v>0</v>
      </c>
      <c r="BE30" s="6">
        <f>BE$1*'survival matrix'!BE30</f>
        <v>0</v>
      </c>
      <c r="BF30" s="6">
        <f>BF$1*'survival matrix'!BF30</f>
        <v>0</v>
      </c>
      <c r="BG30" s="6">
        <f>BG$1*'survival matrix'!BG30</f>
        <v>0</v>
      </c>
      <c r="BH30" s="6">
        <f>BH$1*'survival matrix'!BH30</f>
        <v>0</v>
      </c>
      <c r="BI30" s="6">
        <f>BI$1*'survival matrix'!BI30</f>
        <v>0</v>
      </c>
      <c r="BJ30" s="6">
        <f>BJ$1*'survival matrix'!BJ30</f>
        <v>0</v>
      </c>
      <c r="BK30" s="6">
        <f>BK$1*'survival matrix'!BK30</f>
        <v>0</v>
      </c>
      <c r="BL30" s="6">
        <f>BL$1*'survival matrix'!BL30</f>
        <v>0</v>
      </c>
      <c r="BM30" s="6">
        <f>BM$1*'survival matrix'!BM30</f>
        <v>0</v>
      </c>
      <c r="BN30" s="6">
        <f>BN$1*'survival matrix'!BN30</f>
        <v>0</v>
      </c>
      <c r="BO30" s="6">
        <f>BO$1*'survival matrix'!BO30</f>
        <v>0</v>
      </c>
      <c r="BP30" s="6">
        <f>BP$1*'survival matrix'!BP30</f>
        <v>0</v>
      </c>
      <c r="BQ30" s="6">
        <f>BQ$1*'survival matrix'!BQ30</f>
        <v>0</v>
      </c>
      <c r="BR30" s="6">
        <f>BR$1*'survival matrix'!BR30</f>
        <v>0</v>
      </c>
      <c r="BS30" s="6">
        <f>BS$1*'survival matrix'!BS30</f>
        <v>0</v>
      </c>
      <c r="BT30" s="6">
        <f>BT$1*'survival matrix'!BT30</f>
        <v>0</v>
      </c>
      <c r="BU30" s="6">
        <f>BU$1*'survival matrix'!BU30</f>
        <v>0</v>
      </c>
      <c r="BV30" s="6">
        <f>BV$1*'survival matrix'!BV30</f>
        <v>0</v>
      </c>
      <c r="BW30" s="6">
        <f>BW$1*'survival matrix'!BW30</f>
        <v>0</v>
      </c>
      <c r="BX30" s="6">
        <f>BX$1*'survival matrix'!BX30</f>
        <v>0</v>
      </c>
      <c r="BY30" s="6">
        <f>BY$1*'survival matrix'!BY30</f>
        <v>0</v>
      </c>
      <c r="BZ30" s="6">
        <f>BZ$1*'survival matrix'!BZ30</f>
        <v>0</v>
      </c>
      <c r="CA30" s="6">
        <f>CA$1*'survival matrix'!CA30</f>
        <v>0</v>
      </c>
      <c r="CB30" s="6">
        <f>CB$1*'survival matrix'!CB30</f>
        <v>0</v>
      </c>
      <c r="CC30" s="6">
        <f>CC$1*'survival matrix'!CC30</f>
        <v>0</v>
      </c>
      <c r="CD30" s="6">
        <f>CD$1*'survival matrix'!CD30</f>
        <v>0</v>
      </c>
      <c r="CE30" s="6">
        <f>CE$1*'survival matrix'!CE30</f>
        <v>0</v>
      </c>
      <c r="CF30" s="6">
        <f>CF$1*'survival matrix'!CF30</f>
        <v>0</v>
      </c>
      <c r="CG30" s="6">
        <f>CG$1*'survival matrix'!CG30</f>
        <v>0</v>
      </c>
      <c r="CH30" s="6">
        <f>CH$1*'survival matrix'!CH30</f>
        <v>0</v>
      </c>
      <c r="CI30" s="6">
        <f>CI$1*'survival matrix'!CI30</f>
        <v>0</v>
      </c>
      <c r="CJ30" s="6">
        <f>CJ$1*'survival matrix'!CJ30</f>
        <v>0</v>
      </c>
      <c r="CK30" s="6">
        <f>CK$1*'survival matrix'!CK30</f>
        <v>0</v>
      </c>
      <c r="CL30" s="6">
        <f>CL$1*'survival matrix'!CL30</f>
        <v>0</v>
      </c>
      <c r="CM30" s="6">
        <f>CM$1*'survival matrix'!CM30</f>
        <v>0</v>
      </c>
      <c r="CN30" s="6">
        <f>CN$1*'survival matrix'!CN30</f>
        <v>0</v>
      </c>
      <c r="CO30" s="6">
        <f>CO$1*'survival matrix'!CO30</f>
        <v>0</v>
      </c>
      <c r="CP30" s="6">
        <f>CP$1*'survival matrix'!CP30</f>
        <v>0</v>
      </c>
      <c r="CQ30" s="6">
        <f>CQ$1*'survival matrix'!CQ30</f>
        <v>0</v>
      </c>
      <c r="CR30" s="6">
        <f>CR$1*'survival matrix'!CR30</f>
        <v>0</v>
      </c>
      <c r="CS30" s="6">
        <f>CS$1*'survival matrix'!CS30</f>
        <v>0</v>
      </c>
      <c r="CT30" s="6">
        <f>CT$1*'survival matrix'!CT30</f>
        <v>0</v>
      </c>
      <c r="CU30" s="6">
        <f>CU$1*'survival matrix'!CU30</f>
        <v>0</v>
      </c>
      <c r="CV30" s="6">
        <f>CV$1*'survival matrix'!CV30</f>
        <v>0</v>
      </c>
      <c r="CW30" s="6">
        <f>CW$1*'survival matrix'!CW30</f>
        <v>0</v>
      </c>
      <c r="CX30" s="6">
        <f>CX$1*'survival matrix'!CX30</f>
        <v>0</v>
      </c>
      <c r="CY30" s="6">
        <f>CY$1*'survival matrix'!CY30</f>
        <v>0</v>
      </c>
      <c r="CZ30" s="6">
        <f>CZ$1*'survival matrix'!CZ30</f>
        <v>0</v>
      </c>
      <c r="DA30" s="6">
        <f>DA$1*'survival matrix'!DA30</f>
        <v>0</v>
      </c>
      <c r="DB30" s="6">
        <f>DB$1*'survival matrix'!DB30</f>
        <v>0</v>
      </c>
      <c r="DC30" s="6">
        <f>DC$1*'survival matrix'!DC30</f>
        <v>0</v>
      </c>
      <c r="DD30" s="6">
        <f>DD$1*'survival matrix'!DD30</f>
        <v>0</v>
      </c>
      <c r="DE30" s="6">
        <f>DE$1*'survival matrix'!DE30</f>
        <v>0</v>
      </c>
      <c r="DF30" s="6">
        <f>DF$1*'survival matrix'!DF30</f>
        <v>0</v>
      </c>
      <c r="DG30" s="6">
        <f>DG$1*'survival matrix'!DG30</f>
        <v>0</v>
      </c>
      <c r="DH30" s="6">
        <f>DH$1*'survival matrix'!DH30</f>
        <v>0</v>
      </c>
      <c r="DI30" s="6">
        <f>DI$1*'survival matrix'!DI30</f>
        <v>0</v>
      </c>
      <c r="DJ30" s="6">
        <f>DJ$1*'survival matrix'!DJ30</f>
        <v>0</v>
      </c>
      <c r="DK30" s="6">
        <f>DK$1*'survival matrix'!DK30</f>
        <v>0</v>
      </c>
      <c r="DL30" s="6">
        <f>DL$1*'survival matrix'!DL30</f>
        <v>0</v>
      </c>
      <c r="DM30" s="6">
        <f>DM$1*'survival matrix'!DM30</f>
        <v>0</v>
      </c>
      <c r="DN30" s="6">
        <f>DN$1*'survival matrix'!DN30</f>
        <v>0</v>
      </c>
      <c r="DO30" s="6">
        <f>DO$1*'survival matrix'!DO30</f>
        <v>0</v>
      </c>
      <c r="DP30" s="6">
        <f>DP$1*'survival matrix'!DP30</f>
        <v>0</v>
      </c>
      <c r="DQ30" s="6">
        <f>DQ$1*'survival matrix'!DQ30</f>
        <v>0</v>
      </c>
      <c r="DR30" s="6">
        <f>DR$1*'survival matrix'!DR30</f>
        <v>0</v>
      </c>
      <c r="DS30" s="6">
        <f>DS$1*'survival matrix'!DS30</f>
        <v>0</v>
      </c>
      <c r="DT30" s="6">
        <f>DT$1*'survival matrix'!DT30</f>
        <v>0</v>
      </c>
      <c r="DU30" s="6">
        <f>DU$1*'survival matrix'!DU30</f>
        <v>0</v>
      </c>
      <c r="DV30" s="6">
        <f>DV$1*'survival matrix'!DV30</f>
        <v>0</v>
      </c>
      <c r="DW30" s="6">
        <f>DW$1*'survival matrix'!DW30</f>
        <v>0</v>
      </c>
      <c r="DX30" s="6">
        <f>DX$1*'survival matrix'!DX30</f>
        <v>0</v>
      </c>
      <c r="DY30" s="6">
        <f>DY$1*'survival matrix'!DY30</f>
        <v>0</v>
      </c>
      <c r="DZ30" s="6">
        <f>DZ$1*'survival matrix'!DZ30</f>
        <v>0</v>
      </c>
      <c r="EA30" s="6">
        <f>EA$1*'survival matrix'!EA30</f>
        <v>0</v>
      </c>
      <c r="EB30" s="6">
        <f>EB$1*'survival matrix'!EB30</f>
        <v>0</v>
      </c>
      <c r="EC30" s="6">
        <f>EC$1*'survival matrix'!EC30</f>
        <v>0</v>
      </c>
    </row>
    <row r="31" spans="1:133">
      <c r="A31" s="12">
        <f>'data input'!C31-B31</f>
        <v>4832.7626106266398</v>
      </c>
      <c r="B31" s="14">
        <f t="shared" si="2"/>
        <v>100046.88376245694</v>
      </c>
      <c r="C31" s="11">
        <f>SUM(F31:EC31)</f>
        <v>1479417.3518200668</v>
      </c>
      <c r="E31" s="7">
        <f>'data input'!B31</f>
        <v>1906</v>
      </c>
      <c r="F31" s="6">
        <f>F$1*'survival matrix'!F31</f>
        <v>2652.2502287119532</v>
      </c>
      <c r="G31" s="6">
        <f>G$1*'survival matrix'!G31</f>
        <v>5451.1994885955737</v>
      </c>
      <c r="H31" s="6">
        <f>H$1*'survival matrix'!H31</f>
        <v>8376.0441063673807</v>
      </c>
      <c r="I31" s="6">
        <f>I$1*'survival matrix'!I31</f>
        <v>11424.129944353892</v>
      </c>
      <c r="J31" s="6">
        <f>J$1*'survival matrix'!J31</f>
        <v>14581.404709775174</v>
      </c>
      <c r="K31" s="6">
        <f>K$1*'survival matrix'!K31</f>
        <v>17836.943399322881</v>
      </c>
      <c r="L31" s="6">
        <f>L$1*'survival matrix'!L31</f>
        <v>21185.742066662719</v>
      </c>
      <c r="M31" s="6">
        <f>M$1*'survival matrix'!M31</f>
        <v>24613.261846829893</v>
      </c>
      <c r="N31" s="6">
        <f>N$1*'survival matrix'!N31</f>
        <v>28098.57333549107</v>
      </c>
      <c r="O31" s="6">
        <f>O$1*'survival matrix'!O31</f>
        <v>31625.84091509306</v>
      </c>
      <c r="P31" s="6">
        <f>P$1*'survival matrix'!P31</f>
        <v>35199.475178445464</v>
      </c>
      <c r="Q31" s="6">
        <f>Q$1*'survival matrix'!Q31</f>
        <v>38821.182619768784</v>
      </c>
      <c r="R31" s="6">
        <f>R$1*'survival matrix'!R31</f>
        <v>42482.148569152116</v>
      </c>
      <c r="S31" s="6">
        <f>S$1*'survival matrix'!S31</f>
        <v>46168.518981523368</v>
      </c>
      <c r="T31" s="6">
        <f>T$1*'survival matrix'!T31</f>
        <v>49865.869779915527</v>
      </c>
      <c r="U31" s="6">
        <f>U$1*'survival matrix'!U31</f>
        <v>53576.674574556586</v>
      </c>
      <c r="V31" s="6">
        <f>V$1*'survival matrix'!V31</f>
        <v>57289.499107947631</v>
      </c>
      <c r="W31" s="6">
        <f>W$1*'survival matrix'!W31</f>
        <v>61011.232486639346</v>
      </c>
      <c r="X31" s="6">
        <f>X$1*'survival matrix'!X31</f>
        <v>64739.207015248976</v>
      </c>
      <c r="Y31" s="6">
        <f>Y$1*'survival matrix'!Y31</f>
        <v>68466.827407856195</v>
      </c>
      <c r="Z31" s="6">
        <f>Z$1*'survival matrix'!Z31</f>
        <v>72197.001416867512</v>
      </c>
      <c r="AA31" s="6">
        <f>AA$1*'survival matrix'!AA31</f>
        <v>75928.668230739713</v>
      </c>
      <c r="AB31" s="6">
        <f>AB$1*'survival matrix'!AB31</f>
        <v>79651.243419873877</v>
      </c>
      <c r="AC31" s="6">
        <f>AC$1*'survival matrix'!AC31</f>
        <v>83703.506549063153</v>
      </c>
      <c r="AD31" s="6">
        <f>AD$1*'survival matrix'!AD31</f>
        <v>88494.053459169751</v>
      </c>
      <c r="AE31" s="6">
        <f>AE$1*'survival matrix'!AE31</f>
        <v>93209.094946267374</v>
      </c>
      <c r="AF31" s="6">
        <f>AF$1*'survival matrix'!AF31</f>
        <v>96986.618138023827</v>
      </c>
      <c r="AG31" s="6">
        <f>AG$1*'survival matrix'!AG31</f>
        <v>101043.07035291757</v>
      </c>
      <c r="AH31" s="6">
        <f>AH$1*'survival matrix'!AH31</f>
        <v>104738.0695448865</v>
      </c>
      <c r="AI31" s="6">
        <f>AI$1*'survival matrix'!AI31</f>
        <v>0</v>
      </c>
      <c r="AJ31" s="6">
        <f>AJ$1*'survival matrix'!AJ31</f>
        <v>0</v>
      </c>
      <c r="AK31" s="6">
        <f>AK$1*'survival matrix'!AK31</f>
        <v>0</v>
      </c>
      <c r="AL31" s="6">
        <f>AL$1*'survival matrix'!AL31</f>
        <v>0</v>
      </c>
      <c r="AM31" s="6">
        <f>AM$1*'survival matrix'!AM31</f>
        <v>0</v>
      </c>
      <c r="AN31" s="6">
        <f>AN$1*'survival matrix'!AN31</f>
        <v>0</v>
      </c>
      <c r="AO31" s="6">
        <f>AO$1*'survival matrix'!AO31</f>
        <v>0</v>
      </c>
      <c r="AP31" s="6">
        <f>AP$1*'survival matrix'!AP31</f>
        <v>0</v>
      </c>
      <c r="AQ31" s="6">
        <f>AQ$1*'survival matrix'!AQ31</f>
        <v>0</v>
      </c>
      <c r="AR31" s="6">
        <f>AR$1*'survival matrix'!AR31</f>
        <v>0</v>
      </c>
      <c r="AS31" s="6">
        <f>AS$1*'survival matrix'!AS31</f>
        <v>0</v>
      </c>
      <c r="AT31" s="6">
        <f>AT$1*'survival matrix'!AT31</f>
        <v>0</v>
      </c>
      <c r="AU31" s="6">
        <f>AU$1*'survival matrix'!AU31</f>
        <v>0</v>
      </c>
      <c r="AV31" s="6">
        <f>AV$1*'survival matrix'!AV31</f>
        <v>0</v>
      </c>
      <c r="AW31" s="6">
        <f>AW$1*'survival matrix'!AW31</f>
        <v>0</v>
      </c>
      <c r="AX31" s="6">
        <f>AX$1*'survival matrix'!AX31</f>
        <v>0</v>
      </c>
      <c r="AY31" s="6">
        <f>AY$1*'survival matrix'!AY31</f>
        <v>0</v>
      </c>
      <c r="AZ31" s="6">
        <f>AZ$1*'survival matrix'!AZ31</f>
        <v>0</v>
      </c>
      <c r="BA31" s="6">
        <f>BA$1*'survival matrix'!BA31</f>
        <v>0</v>
      </c>
      <c r="BB31" s="6">
        <f>BB$1*'survival matrix'!BB31</f>
        <v>0</v>
      </c>
      <c r="BC31" s="6">
        <f>BC$1*'survival matrix'!BC31</f>
        <v>0</v>
      </c>
      <c r="BD31" s="6">
        <f>BD$1*'survival matrix'!BD31</f>
        <v>0</v>
      </c>
      <c r="BE31" s="6">
        <f>BE$1*'survival matrix'!BE31</f>
        <v>0</v>
      </c>
      <c r="BF31" s="6">
        <f>BF$1*'survival matrix'!BF31</f>
        <v>0</v>
      </c>
      <c r="BG31" s="6">
        <f>BG$1*'survival matrix'!BG31</f>
        <v>0</v>
      </c>
      <c r="BH31" s="6">
        <f>BH$1*'survival matrix'!BH31</f>
        <v>0</v>
      </c>
      <c r="BI31" s="6">
        <f>BI$1*'survival matrix'!BI31</f>
        <v>0</v>
      </c>
      <c r="BJ31" s="6">
        <f>BJ$1*'survival matrix'!BJ31</f>
        <v>0</v>
      </c>
      <c r="BK31" s="6">
        <f>BK$1*'survival matrix'!BK31</f>
        <v>0</v>
      </c>
      <c r="BL31" s="6">
        <f>BL$1*'survival matrix'!BL31</f>
        <v>0</v>
      </c>
      <c r="BM31" s="6">
        <f>BM$1*'survival matrix'!BM31</f>
        <v>0</v>
      </c>
      <c r="BN31" s="6">
        <f>BN$1*'survival matrix'!BN31</f>
        <v>0</v>
      </c>
      <c r="BO31" s="6">
        <f>BO$1*'survival matrix'!BO31</f>
        <v>0</v>
      </c>
      <c r="BP31" s="6">
        <f>BP$1*'survival matrix'!BP31</f>
        <v>0</v>
      </c>
      <c r="BQ31" s="6">
        <f>BQ$1*'survival matrix'!BQ31</f>
        <v>0</v>
      </c>
      <c r="BR31" s="6">
        <f>BR$1*'survival matrix'!BR31</f>
        <v>0</v>
      </c>
      <c r="BS31" s="6">
        <f>BS$1*'survival matrix'!BS31</f>
        <v>0</v>
      </c>
      <c r="BT31" s="6">
        <f>BT$1*'survival matrix'!BT31</f>
        <v>0</v>
      </c>
      <c r="BU31" s="6">
        <f>BU$1*'survival matrix'!BU31</f>
        <v>0</v>
      </c>
      <c r="BV31" s="6">
        <f>BV$1*'survival matrix'!BV31</f>
        <v>0</v>
      </c>
      <c r="BW31" s="6">
        <f>BW$1*'survival matrix'!BW31</f>
        <v>0</v>
      </c>
      <c r="BX31" s="6">
        <f>BX$1*'survival matrix'!BX31</f>
        <v>0</v>
      </c>
      <c r="BY31" s="6">
        <f>BY$1*'survival matrix'!BY31</f>
        <v>0</v>
      </c>
      <c r="BZ31" s="6">
        <f>BZ$1*'survival matrix'!BZ31</f>
        <v>0</v>
      </c>
      <c r="CA31" s="6">
        <f>CA$1*'survival matrix'!CA31</f>
        <v>0</v>
      </c>
      <c r="CB31" s="6">
        <f>CB$1*'survival matrix'!CB31</f>
        <v>0</v>
      </c>
      <c r="CC31" s="6">
        <f>CC$1*'survival matrix'!CC31</f>
        <v>0</v>
      </c>
      <c r="CD31" s="6">
        <f>CD$1*'survival matrix'!CD31</f>
        <v>0</v>
      </c>
      <c r="CE31" s="6">
        <f>CE$1*'survival matrix'!CE31</f>
        <v>0</v>
      </c>
      <c r="CF31" s="6">
        <f>CF$1*'survival matrix'!CF31</f>
        <v>0</v>
      </c>
      <c r="CG31" s="6">
        <f>CG$1*'survival matrix'!CG31</f>
        <v>0</v>
      </c>
      <c r="CH31" s="6">
        <f>CH$1*'survival matrix'!CH31</f>
        <v>0</v>
      </c>
      <c r="CI31" s="6">
        <f>CI$1*'survival matrix'!CI31</f>
        <v>0</v>
      </c>
      <c r="CJ31" s="6">
        <f>CJ$1*'survival matrix'!CJ31</f>
        <v>0</v>
      </c>
      <c r="CK31" s="6">
        <f>CK$1*'survival matrix'!CK31</f>
        <v>0</v>
      </c>
      <c r="CL31" s="6">
        <f>CL$1*'survival matrix'!CL31</f>
        <v>0</v>
      </c>
      <c r="CM31" s="6">
        <f>CM$1*'survival matrix'!CM31</f>
        <v>0</v>
      </c>
      <c r="CN31" s="6">
        <f>CN$1*'survival matrix'!CN31</f>
        <v>0</v>
      </c>
      <c r="CO31" s="6">
        <f>CO$1*'survival matrix'!CO31</f>
        <v>0</v>
      </c>
      <c r="CP31" s="6">
        <f>CP$1*'survival matrix'!CP31</f>
        <v>0</v>
      </c>
      <c r="CQ31" s="6">
        <f>CQ$1*'survival matrix'!CQ31</f>
        <v>0</v>
      </c>
      <c r="CR31" s="6">
        <f>CR$1*'survival matrix'!CR31</f>
        <v>0</v>
      </c>
      <c r="CS31" s="6">
        <f>CS$1*'survival matrix'!CS31</f>
        <v>0</v>
      </c>
      <c r="CT31" s="6">
        <f>CT$1*'survival matrix'!CT31</f>
        <v>0</v>
      </c>
      <c r="CU31" s="6">
        <f>CU$1*'survival matrix'!CU31</f>
        <v>0</v>
      </c>
      <c r="CV31" s="6">
        <f>CV$1*'survival matrix'!CV31</f>
        <v>0</v>
      </c>
      <c r="CW31" s="6">
        <f>CW$1*'survival matrix'!CW31</f>
        <v>0</v>
      </c>
      <c r="CX31" s="6">
        <f>CX$1*'survival matrix'!CX31</f>
        <v>0</v>
      </c>
      <c r="CY31" s="6">
        <f>CY$1*'survival matrix'!CY31</f>
        <v>0</v>
      </c>
      <c r="CZ31" s="6">
        <f>CZ$1*'survival matrix'!CZ31</f>
        <v>0</v>
      </c>
      <c r="DA31" s="6">
        <f>DA$1*'survival matrix'!DA31</f>
        <v>0</v>
      </c>
      <c r="DB31" s="6">
        <f>DB$1*'survival matrix'!DB31</f>
        <v>0</v>
      </c>
      <c r="DC31" s="6">
        <f>DC$1*'survival matrix'!DC31</f>
        <v>0</v>
      </c>
      <c r="DD31" s="6">
        <f>DD$1*'survival matrix'!DD31</f>
        <v>0</v>
      </c>
      <c r="DE31" s="6">
        <f>DE$1*'survival matrix'!DE31</f>
        <v>0</v>
      </c>
      <c r="DF31" s="6">
        <f>DF$1*'survival matrix'!DF31</f>
        <v>0</v>
      </c>
      <c r="DG31" s="6">
        <f>DG$1*'survival matrix'!DG31</f>
        <v>0</v>
      </c>
      <c r="DH31" s="6">
        <f>DH$1*'survival matrix'!DH31</f>
        <v>0</v>
      </c>
      <c r="DI31" s="6">
        <f>DI$1*'survival matrix'!DI31</f>
        <v>0</v>
      </c>
      <c r="DJ31" s="6">
        <f>DJ$1*'survival matrix'!DJ31</f>
        <v>0</v>
      </c>
      <c r="DK31" s="6">
        <f>DK$1*'survival matrix'!DK31</f>
        <v>0</v>
      </c>
      <c r="DL31" s="6">
        <f>DL$1*'survival matrix'!DL31</f>
        <v>0</v>
      </c>
      <c r="DM31" s="6">
        <f>DM$1*'survival matrix'!DM31</f>
        <v>0</v>
      </c>
      <c r="DN31" s="6">
        <f>DN$1*'survival matrix'!DN31</f>
        <v>0</v>
      </c>
      <c r="DO31" s="6">
        <f>DO$1*'survival matrix'!DO31</f>
        <v>0</v>
      </c>
      <c r="DP31" s="6">
        <f>DP$1*'survival matrix'!DP31</f>
        <v>0</v>
      </c>
      <c r="DQ31" s="6">
        <f>DQ$1*'survival matrix'!DQ31</f>
        <v>0</v>
      </c>
      <c r="DR31" s="6">
        <f>DR$1*'survival matrix'!DR31</f>
        <v>0</v>
      </c>
      <c r="DS31" s="6">
        <f>DS$1*'survival matrix'!DS31</f>
        <v>0</v>
      </c>
      <c r="DT31" s="6">
        <f>DT$1*'survival matrix'!DT31</f>
        <v>0</v>
      </c>
      <c r="DU31" s="6">
        <f>DU$1*'survival matrix'!DU31</f>
        <v>0</v>
      </c>
      <c r="DV31" s="6">
        <f>DV$1*'survival matrix'!DV31</f>
        <v>0</v>
      </c>
      <c r="DW31" s="6">
        <f>DW$1*'survival matrix'!DW31</f>
        <v>0</v>
      </c>
      <c r="DX31" s="6">
        <f>DX$1*'survival matrix'!DX31</f>
        <v>0</v>
      </c>
      <c r="DY31" s="6">
        <f>DY$1*'survival matrix'!DY31</f>
        <v>0</v>
      </c>
      <c r="DZ31" s="6">
        <f>DZ$1*'survival matrix'!DZ31</f>
        <v>0</v>
      </c>
      <c r="EA31" s="6">
        <f>EA$1*'survival matrix'!EA31</f>
        <v>0</v>
      </c>
      <c r="EB31" s="6">
        <f>EB$1*'survival matrix'!EB31</f>
        <v>0</v>
      </c>
      <c r="EC31" s="6">
        <f>EC$1*'survival matrix'!EC31</f>
        <v>0</v>
      </c>
    </row>
    <row r="32" spans="1:133">
      <c r="A32" s="12">
        <f>'data input'!C32-B32</f>
        <v>5534.2594579800207</v>
      </c>
      <c r="B32" s="14">
        <f t="shared" si="2"/>
        <v>105278.21879498428</v>
      </c>
      <c r="C32" s="11">
        <f>SUM(F32:EC32)</f>
        <v>1584695.5706150511</v>
      </c>
      <c r="E32" s="7">
        <f>'data input'!B32</f>
        <v>1907</v>
      </c>
      <c r="F32" s="6">
        <f>F$1*'survival matrix'!F32</f>
        <v>2585.20553623459</v>
      </c>
      <c r="G32" s="6">
        <f>G$1*'survival matrix'!G32</f>
        <v>5325.365436204992</v>
      </c>
      <c r="H32" s="6">
        <f>H$1*'survival matrix'!H32</f>
        <v>8200.0969735215695</v>
      </c>
      <c r="I32" s="6">
        <f>I$1*'survival matrix'!I32</f>
        <v>11206.544276027771</v>
      </c>
      <c r="J32" s="6">
        <f>J$1*'survival matrix'!J32</f>
        <v>14330.537893436001</v>
      </c>
      <c r="K32" s="6">
        <f>K$1*'survival matrix'!K32</f>
        <v>17560.809204006608</v>
      </c>
      <c r="L32" s="6">
        <f>L$1*'survival matrix'!L32</f>
        <v>20891.79738111925</v>
      </c>
      <c r="M32" s="6">
        <f>M$1*'survival matrix'!M32</f>
        <v>24308.453018278859</v>
      </c>
      <c r="N32" s="6">
        <f>N$1*'survival matrix'!N32</f>
        <v>27789.299982321267</v>
      </c>
      <c r="O32" s="6">
        <f>O$1*'survival matrix'!O32</f>
        <v>31317.795899051274</v>
      </c>
      <c r="P32" s="6">
        <f>P$1*'survival matrix'!P32</f>
        <v>34897.418523815868</v>
      </c>
      <c r="Q32" s="6">
        <f>Q$1*'survival matrix'!Q32</f>
        <v>38529.022155419952</v>
      </c>
      <c r="R32" s="6">
        <f>R$1*'survival matrix'!R32</f>
        <v>42203.063796091032</v>
      </c>
      <c r="S32" s="6">
        <f>S$1*'survival matrix'!S32</f>
        <v>45905.014798191572</v>
      </c>
      <c r="T32" s="6">
        <f>T$1*'survival matrix'!T32</f>
        <v>49619.803241131871</v>
      </c>
      <c r="U32" s="6">
        <f>U$1*'survival matrix'!U32</f>
        <v>53349.221695428663</v>
      </c>
      <c r="V32" s="6">
        <f>V$1*'survival matrix'!V32</f>
        <v>57081.298518596719</v>
      </c>
      <c r="W32" s="6">
        <f>W$1*'survival matrix'!W32</f>
        <v>60822.389408949406</v>
      </c>
      <c r="X32" s="6">
        <f>X$1*'survival matrix'!X32</f>
        <v>64569.418992804305</v>
      </c>
      <c r="Y32" s="6">
        <f>Y$1*'survival matrix'!Y32</f>
        <v>68315.469238247126</v>
      </c>
      <c r="Z32" s="6">
        <f>Z$1*'survival matrix'!Z32</f>
        <v>72063.174206748634</v>
      </c>
      <c r="AA32" s="6">
        <f>AA$1*'survival matrix'!AA32</f>
        <v>75811.28050017904</v>
      </c>
      <c r="AB32" s="6">
        <f>AB$1*'survival matrix'!AB32</f>
        <v>79549.085048752051</v>
      </c>
      <c r="AC32" s="6">
        <f>AC$1*'survival matrix'!AC32</f>
        <v>83614.924589082118</v>
      </c>
      <c r="AD32" s="6">
        <f>AD$1*'survival matrix'!AD32</f>
        <v>88417.197650115442</v>
      </c>
      <c r="AE32" s="6">
        <f>AE$1*'survival matrix'!AE32</f>
        <v>93143.024156154963</v>
      </c>
      <c r="AF32" s="6">
        <f>AF$1*'survival matrix'!AF32</f>
        <v>96930.813812941575</v>
      </c>
      <c r="AG32" s="6">
        <f>AG$1*'survival matrix'!AG32</f>
        <v>100996.1378368119</v>
      </c>
      <c r="AH32" s="6">
        <f>AH$1*'survival matrix'!AH32</f>
        <v>104699.01413869635</v>
      </c>
      <c r="AI32" s="6">
        <f>AI$1*'survival matrix'!AI32</f>
        <v>110662.89270669057</v>
      </c>
      <c r="AJ32" s="6">
        <f>AJ$1*'survival matrix'!AJ32</f>
        <v>0</v>
      </c>
      <c r="AK32" s="6">
        <f>AK$1*'survival matrix'!AK32</f>
        <v>0</v>
      </c>
      <c r="AL32" s="6">
        <f>AL$1*'survival matrix'!AL32</f>
        <v>0</v>
      </c>
      <c r="AM32" s="6">
        <f>AM$1*'survival matrix'!AM32</f>
        <v>0</v>
      </c>
      <c r="AN32" s="6">
        <f>AN$1*'survival matrix'!AN32</f>
        <v>0</v>
      </c>
      <c r="AO32" s="6">
        <f>AO$1*'survival matrix'!AO32</f>
        <v>0</v>
      </c>
      <c r="AP32" s="6">
        <f>AP$1*'survival matrix'!AP32</f>
        <v>0</v>
      </c>
      <c r="AQ32" s="6">
        <f>AQ$1*'survival matrix'!AQ32</f>
        <v>0</v>
      </c>
      <c r="AR32" s="6">
        <f>AR$1*'survival matrix'!AR32</f>
        <v>0</v>
      </c>
      <c r="AS32" s="6">
        <f>AS$1*'survival matrix'!AS32</f>
        <v>0</v>
      </c>
      <c r="AT32" s="6">
        <f>AT$1*'survival matrix'!AT32</f>
        <v>0</v>
      </c>
      <c r="AU32" s="6">
        <f>AU$1*'survival matrix'!AU32</f>
        <v>0</v>
      </c>
      <c r="AV32" s="6">
        <f>AV$1*'survival matrix'!AV32</f>
        <v>0</v>
      </c>
      <c r="AW32" s="6">
        <f>AW$1*'survival matrix'!AW32</f>
        <v>0</v>
      </c>
      <c r="AX32" s="6">
        <f>AX$1*'survival matrix'!AX32</f>
        <v>0</v>
      </c>
      <c r="AY32" s="6">
        <f>AY$1*'survival matrix'!AY32</f>
        <v>0</v>
      </c>
      <c r="AZ32" s="6">
        <f>AZ$1*'survival matrix'!AZ32</f>
        <v>0</v>
      </c>
      <c r="BA32" s="6">
        <f>BA$1*'survival matrix'!BA32</f>
        <v>0</v>
      </c>
      <c r="BB32" s="6">
        <f>BB$1*'survival matrix'!BB32</f>
        <v>0</v>
      </c>
      <c r="BC32" s="6">
        <f>BC$1*'survival matrix'!BC32</f>
        <v>0</v>
      </c>
      <c r="BD32" s="6">
        <f>BD$1*'survival matrix'!BD32</f>
        <v>0</v>
      </c>
      <c r="BE32" s="6">
        <f>BE$1*'survival matrix'!BE32</f>
        <v>0</v>
      </c>
      <c r="BF32" s="6">
        <f>BF$1*'survival matrix'!BF32</f>
        <v>0</v>
      </c>
      <c r="BG32" s="6">
        <f>BG$1*'survival matrix'!BG32</f>
        <v>0</v>
      </c>
      <c r="BH32" s="6">
        <f>BH$1*'survival matrix'!BH32</f>
        <v>0</v>
      </c>
      <c r="BI32" s="6">
        <f>BI$1*'survival matrix'!BI32</f>
        <v>0</v>
      </c>
      <c r="BJ32" s="6">
        <f>BJ$1*'survival matrix'!BJ32</f>
        <v>0</v>
      </c>
      <c r="BK32" s="6">
        <f>BK$1*'survival matrix'!BK32</f>
        <v>0</v>
      </c>
      <c r="BL32" s="6">
        <f>BL$1*'survival matrix'!BL32</f>
        <v>0</v>
      </c>
      <c r="BM32" s="6">
        <f>BM$1*'survival matrix'!BM32</f>
        <v>0</v>
      </c>
      <c r="BN32" s="6">
        <f>BN$1*'survival matrix'!BN32</f>
        <v>0</v>
      </c>
      <c r="BO32" s="6">
        <f>BO$1*'survival matrix'!BO32</f>
        <v>0</v>
      </c>
      <c r="BP32" s="6">
        <f>BP$1*'survival matrix'!BP32</f>
        <v>0</v>
      </c>
      <c r="BQ32" s="6">
        <f>BQ$1*'survival matrix'!BQ32</f>
        <v>0</v>
      </c>
      <c r="BR32" s="6">
        <f>BR$1*'survival matrix'!BR32</f>
        <v>0</v>
      </c>
      <c r="BS32" s="6">
        <f>BS$1*'survival matrix'!BS32</f>
        <v>0</v>
      </c>
      <c r="BT32" s="6">
        <f>BT$1*'survival matrix'!BT32</f>
        <v>0</v>
      </c>
      <c r="BU32" s="6">
        <f>BU$1*'survival matrix'!BU32</f>
        <v>0</v>
      </c>
      <c r="BV32" s="6">
        <f>BV$1*'survival matrix'!BV32</f>
        <v>0</v>
      </c>
      <c r="BW32" s="6">
        <f>BW$1*'survival matrix'!BW32</f>
        <v>0</v>
      </c>
      <c r="BX32" s="6">
        <f>BX$1*'survival matrix'!BX32</f>
        <v>0</v>
      </c>
      <c r="BY32" s="6">
        <f>BY$1*'survival matrix'!BY32</f>
        <v>0</v>
      </c>
      <c r="BZ32" s="6">
        <f>BZ$1*'survival matrix'!BZ32</f>
        <v>0</v>
      </c>
      <c r="CA32" s="6">
        <f>CA$1*'survival matrix'!CA32</f>
        <v>0</v>
      </c>
      <c r="CB32" s="6">
        <f>CB$1*'survival matrix'!CB32</f>
        <v>0</v>
      </c>
      <c r="CC32" s="6">
        <f>CC$1*'survival matrix'!CC32</f>
        <v>0</v>
      </c>
      <c r="CD32" s="6">
        <f>CD$1*'survival matrix'!CD32</f>
        <v>0</v>
      </c>
      <c r="CE32" s="6">
        <f>CE$1*'survival matrix'!CE32</f>
        <v>0</v>
      </c>
      <c r="CF32" s="6">
        <f>CF$1*'survival matrix'!CF32</f>
        <v>0</v>
      </c>
      <c r="CG32" s="6">
        <f>CG$1*'survival matrix'!CG32</f>
        <v>0</v>
      </c>
      <c r="CH32" s="6">
        <f>CH$1*'survival matrix'!CH32</f>
        <v>0</v>
      </c>
      <c r="CI32" s="6">
        <f>CI$1*'survival matrix'!CI32</f>
        <v>0</v>
      </c>
      <c r="CJ32" s="6">
        <f>CJ$1*'survival matrix'!CJ32</f>
        <v>0</v>
      </c>
      <c r="CK32" s="6">
        <f>CK$1*'survival matrix'!CK32</f>
        <v>0</v>
      </c>
      <c r="CL32" s="6">
        <f>CL$1*'survival matrix'!CL32</f>
        <v>0</v>
      </c>
      <c r="CM32" s="6">
        <f>CM$1*'survival matrix'!CM32</f>
        <v>0</v>
      </c>
      <c r="CN32" s="6">
        <f>CN$1*'survival matrix'!CN32</f>
        <v>0</v>
      </c>
      <c r="CO32" s="6">
        <f>CO$1*'survival matrix'!CO32</f>
        <v>0</v>
      </c>
      <c r="CP32" s="6">
        <f>CP$1*'survival matrix'!CP32</f>
        <v>0</v>
      </c>
      <c r="CQ32" s="6">
        <f>CQ$1*'survival matrix'!CQ32</f>
        <v>0</v>
      </c>
      <c r="CR32" s="6">
        <f>CR$1*'survival matrix'!CR32</f>
        <v>0</v>
      </c>
      <c r="CS32" s="6">
        <f>CS$1*'survival matrix'!CS32</f>
        <v>0</v>
      </c>
      <c r="CT32" s="6">
        <f>CT$1*'survival matrix'!CT32</f>
        <v>0</v>
      </c>
      <c r="CU32" s="6">
        <f>CU$1*'survival matrix'!CU32</f>
        <v>0</v>
      </c>
      <c r="CV32" s="6">
        <f>CV$1*'survival matrix'!CV32</f>
        <v>0</v>
      </c>
      <c r="CW32" s="6">
        <f>CW$1*'survival matrix'!CW32</f>
        <v>0</v>
      </c>
      <c r="CX32" s="6">
        <f>CX$1*'survival matrix'!CX32</f>
        <v>0</v>
      </c>
      <c r="CY32" s="6">
        <f>CY$1*'survival matrix'!CY32</f>
        <v>0</v>
      </c>
      <c r="CZ32" s="6">
        <f>CZ$1*'survival matrix'!CZ32</f>
        <v>0</v>
      </c>
      <c r="DA32" s="6">
        <f>DA$1*'survival matrix'!DA32</f>
        <v>0</v>
      </c>
      <c r="DB32" s="6">
        <f>DB$1*'survival matrix'!DB32</f>
        <v>0</v>
      </c>
      <c r="DC32" s="6">
        <f>DC$1*'survival matrix'!DC32</f>
        <v>0</v>
      </c>
      <c r="DD32" s="6">
        <f>DD$1*'survival matrix'!DD32</f>
        <v>0</v>
      </c>
      <c r="DE32" s="6">
        <f>DE$1*'survival matrix'!DE32</f>
        <v>0</v>
      </c>
      <c r="DF32" s="6">
        <f>DF$1*'survival matrix'!DF32</f>
        <v>0</v>
      </c>
      <c r="DG32" s="6">
        <f>DG$1*'survival matrix'!DG32</f>
        <v>0</v>
      </c>
      <c r="DH32" s="6">
        <f>DH$1*'survival matrix'!DH32</f>
        <v>0</v>
      </c>
      <c r="DI32" s="6">
        <f>DI$1*'survival matrix'!DI32</f>
        <v>0</v>
      </c>
      <c r="DJ32" s="6">
        <f>DJ$1*'survival matrix'!DJ32</f>
        <v>0</v>
      </c>
      <c r="DK32" s="6">
        <f>DK$1*'survival matrix'!DK32</f>
        <v>0</v>
      </c>
      <c r="DL32" s="6">
        <f>DL$1*'survival matrix'!DL32</f>
        <v>0</v>
      </c>
      <c r="DM32" s="6">
        <f>DM$1*'survival matrix'!DM32</f>
        <v>0</v>
      </c>
      <c r="DN32" s="6">
        <f>DN$1*'survival matrix'!DN32</f>
        <v>0</v>
      </c>
      <c r="DO32" s="6">
        <f>DO$1*'survival matrix'!DO32</f>
        <v>0</v>
      </c>
      <c r="DP32" s="6">
        <f>DP$1*'survival matrix'!DP32</f>
        <v>0</v>
      </c>
      <c r="DQ32" s="6">
        <f>DQ$1*'survival matrix'!DQ32</f>
        <v>0</v>
      </c>
      <c r="DR32" s="6">
        <f>DR$1*'survival matrix'!DR32</f>
        <v>0</v>
      </c>
      <c r="DS32" s="6">
        <f>DS$1*'survival matrix'!DS32</f>
        <v>0</v>
      </c>
      <c r="DT32" s="6">
        <f>DT$1*'survival matrix'!DT32</f>
        <v>0</v>
      </c>
      <c r="DU32" s="6">
        <f>DU$1*'survival matrix'!DU32</f>
        <v>0</v>
      </c>
      <c r="DV32" s="6">
        <f>DV$1*'survival matrix'!DV32</f>
        <v>0</v>
      </c>
      <c r="DW32" s="6">
        <f>DW$1*'survival matrix'!DW32</f>
        <v>0</v>
      </c>
      <c r="DX32" s="6">
        <f>DX$1*'survival matrix'!DX32</f>
        <v>0</v>
      </c>
      <c r="DY32" s="6">
        <f>DY$1*'survival matrix'!DY32</f>
        <v>0</v>
      </c>
      <c r="DZ32" s="6">
        <f>DZ$1*'survival matrix'!DZ32</f>
        <v>0</v>
      </c>
      <c r="EA32" s="6">
        <f>EA$1*'survival matrix'!EA32</f>
        <v>0</v>
      </c>
      <c r="EB32" s="6">
        <f>EB$1*'survival matrix'!EB32</f>
        <v>0</v>
      </c>
      <c r="EC32" s="6">
        <f>EC$1*'survival matrix'!EC32</f>
        <v>0</v>
      </c>
    </row>
    <row r="33" spans="1:133">
      <c r="A33" s="12">
        <f>'data input'!C33-B33</f>
        <v>6310.1980631402112</v>
      </c>
      <c r="B33" s="14">
        <f t="shared" si="2"/>
        <v>108614.45759295416</v>
      </c>
      <c r="C33" s="11">
        <f>SUM(F33:EC33)</f>
        <v>1693310.0282080052</v>
      </c>
      <c r="E33" s="7">
        <f>'data input'!B33</f>
        <v>1908</v>
      </c>
      <c r="F33" s="6">
        <f>F$1*'survival matrix'!F33</f>
        <v>2513.8834922239007</v>
      </c>
      <c r="G33" s="6">
        <f>G$1*'survival matrix'!G33</f>
        <v>5190.7486175749718</v>
      </c>
      <c r="H33" s="6">
        <f>H$1*'survival matrix'!H33</f>
        <v>8010.8080960308998</v>
      </c>
      <c r="I33" s="6">
        <f>I$1*'survival matrix'!I33</f>
        <v>10971.13967339706</v>
      </c>
      <c r="J33" s="6">
        <f>J$1*'survival matrix'!J33</f>
        <v>14057.596349510624</v>
      </c>
      <c r="K33" s="6">
        <f>K$1*'survival matrix'!K33</f>
        <v>17258.683010746539</v>
      </c>
      <c r="L33" s="6">
        <f>L$1*'survival matrix'!L33</f>
        <v>20568.370910036487</v>
      </c>
      <c r="M33" s="6">
        <f>M$1*'survival matrix'!M33</f>
        <v>23971.181821639973</v>
      </c>
      <c r="N33" s="6">
        <f>N$1*'survival matrix'!N33</f>
        <v>27445.159330563012</v>
      </c>
      <c r="O33" s="6">
        <f>O$1*'survival matrix'!O33</f>
        <v>30973.089438835625</v>
      </c>
      <c r="P33" s="6">
        <f>P$1*'survival matrix'!P33</f>
        <v>34557.507377173264</v>
      </c>
      <c r="Q33" s="6">
        <f>Q$1*'survival matrix'!Q33</f>
        <v>38198.393716233957</v>
      </c>
      <c r="R33" s="6">
        <f>R$1*'survival matrix'!R33</f>
        <v>41885.45196967206</v>
      </c>
      <c r="S33" s="6">
        <f>S$1*'survival matrix'!S33</f>
        <v>45603.44364256924</v>
      </c>
      <c r="T33" s="6">
        <f>T$1*'survival matrix'!T33</f>
        <v>49336.601050146033</v>
      </c>
      <c r="U33" s="6">
        <f>U$1*'survival matrix'!U33</f>
        <v>53085.966318808656</v>
      </c>
      <c r="V33" s="6">
        <f>V$1*'survival matrix'!V33</f>
        <v>56838.967209393348</v>
      </c>
      <c r="W33" s="6">
        <f>W$1*'survival matrix'!W33</f>
        <v>60601.349645679475</v>
      </c>
      <c r="X33" s="6">
        <f>X$1*'survival matrix'!X33</f>
        <v>64369.562551452742</v>
      </c>
      <c r="Y33" s="6">
        <f>Y$1*'survival matrix'!Y33</f>
        <v>68136.301945981555</v>
      </c>
      <c r="Z33" s="6">
        <f>Z$1*'survival matrix'!Z33</f>
        <v>71903.865669211489</v>
      </c>
      <c r="AA33" s="6">
        <f>AA$1*'survival matrix'!AA33</f>
        <v>75670.753719761968</v>
      </c>
      <c r="AB33" s="6">
        <f>AB$1*'survival matrix'!AB33</f>
        <v>79426.100057975273</v>
      </c>
      <c r="AC33" s="6">
        <f>AC$1*'survival matrix'!AC33</f>
        <v>83507.682515628636</v>
      </c>
      <c r="AD33" s="6">
        <f>AD$1*'survival matrix'!AD33</f>
        <v>88323.627273117105</v>
      </c>
      <c r="AE33" s="6">
        <f>AE$1*'survival matrix'!AE33</f>
        <v>93062.130783103741</v>
      </c>
      <c r="AF33" s="6">
        <f>AF$1*'survival matrix'!AF33</f>
        <v>96862.104901450133</v>
      </c>
      <c r="AG33" s="6">
        <f>AG$1*'survival matrix'!AG33</f>
        <v>100938.02650747493</v>
      </c>
      <c r="AH33" s="6">
        <f>AH$1*'survival matrix'!AH33</f>
        <v>104650.38350870709</v>
      </c>
      <c r="AI33" s="6">
        <f>AI$1*'survival matrix'!AI33</f>
        <v>110621.62801426672</v>
      </c>
      <c r="AJ33" s="6">
        <f>AJ$1*'survival matrix'!AJ33</f>
        <v>114769.51908963844</v>
      </c>
      <c r="AK33" s="6">
        <f>AK$1*'survival matrix'!AK33</f>
        <v>0</v>
      </c>
      <c r="AL33" s="6">
        <f>AL$1*'survival matrix'!AL33</f>
        <v>0</v>
      </c>
      <c r="AM33" s="6">
        <f>AM$1*'survival matrix'!AM33</f>
        <v>0</v>
      </c>
      <c r="AN33" s="6">
        <f>AN$1*'survival matrix'!AN33</f>
        <v>0</v>
      </c>
      <c r="AO33" s="6">
        <f>AO$1*'survival matrix'!AO33</f>
        <v>0</v>
      </c>
      <c r="AP33" s="6">
        <f>AP$1*'survival matrix'!AP33</f>
        <v>0</v>
      </c>
      <c r="AQ33" s="6">
        <f>AQ$1*'survival matrix'!AQ33</f>
        <v>0</v>
      </c>
      <c r="AR33" s="6">
        <f>AR$1*'survival matrix'!AR33</f>
        <v>0</v>
      </c>
      <c r="AS33" s="6">
        <f>AS$1*'survival matrix'!AS33</f>
        <v>0</v>
      </c>
      <c r="AT33" s="6">
        <f>AT$1*'survival matrix'!AT33</f>
        <v>0</v>
      </c>
      <c r="AU33" s="6">
        <f>AU$1*'survival matrix'!AU33</f>
        <v>0</v>
      </c>
      <c r="AV33" s="6">
        <f>AV$1*'survival matrix'!AV33</f>
        <v>0</v>
      </c>
      <c r="AW33" s="6">
        <f>AW$1*'survival matrix'!AW33</f>
        <v>0</v>
      </c>
      <c r="AX33" s="6">
        <f>AX$1*'survival matrix'!AX33</f>
        <v>0</v>
      </c>
      <c r="AY33" s="6">
        <f>AY$1*'survival matrix'!AY33</f>
        <v>0</v>
      </c>
      <c r="AZ33" s="6">
        <f>AZ$1*'survival matrix'!AZ33</f>
        <v>0</v>
      </c>
      <c r="BA33" s="6">
        <f>BA$1*'survival matrix'!BA33</f>
        <v>0</v>
      </c>
      <c r="BB33" s="6">
        <f>BB$1*'survival matrix'!BB33</f>
        <v>0</v>
      </c>
      <c r="BC33" s="6">
        <f>BC$1*'survival matrix'!BC33</f>
        <v>0</v>
      </c>
      <c r="BD33" s="6">
        <f>BD$1*'survival matrix'!BD33</f>
        <v>0</v>
      </c>
      <c r="BE33" s="6">
        <f>BE$1*'survival matrix'!BE33</f>
        <v>0</v>
      </c>
      <c r="BF33" s="6">
        <f>BF$1*'survival matrix'!BF33</f>
        <v>0</v>
      </c>
      <c r="BG33" s="6">
        <f>BG$1*'survival matrix'!BG33</f>
        <v>0</v>
      </c>
      <c r="BH33" s="6">
        <f>BH$1*'survival matrix'!BH33</f>
        <v>0</v>
      </c>
      <c r="BI33" s="6">
        <f>BI$1*'survival matrix'!BI33</f>
        <v>0</v>
      </c>
      <c r="BJ33" s="6">
        <f>BJ$1*'survival matrix'!BJ33</f>
        <v>0</v>
      </c>
      <c r="BK33" s="6">
        <f>BK$1*'survival matrix'!BK33</f>
        <v>0</v>
      </c>
      <c r="BL33" s="6">
        <f>BL$1*'survival matrix'!BL33</f>
        <v>0</v>
      </c>
      <c r="BM33" s="6">
        <f>BM$1*'survival matrix'!BM33</f>
        <v>0</v>
      </c>
      <c r="BN33" s="6">
        <f>BN$1*'survival matrix'!BN33</f>
        <v>0</v>
      </c>
      <c r="BO33" s="6">
        <f>BO$1*'survival matrix'!BO33</f>
        <v>0</v>
      </c>
      <c r="BP33" s="6">
        <f>BP$1*'survival matrix'!BP33</f>
        <v>0</v>
      </c>
      <c r="BQ33" s="6">
        <f>BQ$1*'survival matrix'!BQ33</f>
        <v>0</v>
      </c>
      <c r="BR33" s="6">
        <f>BR$1*'survival matrix'!BR33</f>
        <v>0</v>
      </c>
      <c r="BS33" s="6">
        <f>BS$1*'survival matrix'!BS33</f>
        <v>0</v>
      </c>
      <c r="BT33" s="6">
        <f>BT$1*'survival matrix'!BT33</f>
        <v>0</v>
      </c>
      <c r="BU33" s="6">
        <f>BU$1*'survival matrix'!BU33</f>
        <v>0</v>
      </c>
      <c r="BV33" s="6">
        <f>BV$1*'survival matrix'!BV33</f>
        <v>0</v>
      </c>
      <c r="BW33" s="6">
        <f>BW$1*'survival matrix'!BW33</f>
        <v>0</v>
      </c>
      <c r="BX33" s="6">
        <f>BX$1*'survival matrix'!BX33</f>
        <v>0</v>
      </c>
      <c r="BY33" s="6">
        <f>BY$1*'survival matrix'!BY33</f>
        <v>0</v>
      </c>
      <c r="BZ33" s="6">
        <f>BZ$1*'survival matrix'!BZ33</f>
        <v>0</v>
      </c>
      <c r="CA33" s="6">
        <f>CA$1*'survival matrix'!CA33</f>
        <v>0</v>
      </c>
      <c r="CB33" s="6">
        <f>CB$1*'survival matrix'!CB33</f>
        <v>0</v>
      </c>
      <c r="CC33" s="6">
        <f>CC$1*'survival matrix'!CC33</f>
        <v>0</v>
      </c>
      <c r="CD33" s="6">
        <f>CD$1*'survival matrix'!CD33</f>
        <v>0</v>
      </c>
      <c r="CE33" s="6">
        <f>CE$1*'survival matrix'!CE33</f>
        <v>0</v>
      </c>
      <c r="CF33" s="6">
        <f>CF$1*'survival matrix'!CF33</f>
        <v>0</v>
      </c>
      <c r="CG33" s="6">
        <f>CG$1*'survival matrix'!CG33</f>
        <v>0</v>
      </c>
      <c r="CH33" s="6">
        <f>CH$1*'survival matrix'!CH33</f>
        <v>0</v>
      </c>
      <c r="CI33" s="6">
        <f>CI$1*'survival matrix'!CI33</f>
        <v>0</v>
      </c>
      <c r="CJ33" s="6">
        <f>CJ$1*'survival matrix'!CJ33</f>
        <v>0</v>
      </c>
      <c r="CK33" s="6">
        <f>CK$1*'survival matrix'!CK33</f>
        <v>0</v>
      </c>
      <c r="CL33" s="6">
        <f>CL$1*'survival matrix'!CL33</f>
        <v>0</v>
      </c>
      <c r="CM33" s="6">
        <f>CM$1*'survival matrix'!CM33</f>
        <v>0</v>
      </c>
      <c r="CN33" s="6">
        <f>CN$1*'survival matrix'!CN33</f>
        <v>0</v>
      </c>
      <c r="CO33" s="6">
        <f>CO$1*'survival matrix'!CO33</f>
        <v>0</v>
      </c>
      <c r="CP33" s="6">
        <f>CP$1*'survival matrix'!CP33</f>
        <v>0</v>
      </c>
      <c r="CQ33" s="6">
        <f>CQ$1*'survival matrix'!CQ33</f>
        <v>0</v>
      </c>
      <c r="CR33" s="6">
        <f>CR$1*'survival matrix'!CR33</f>
        <v>0</v>
      </c>
      <c r="CS33" s="6">
        <f>CS$1*'survival matrix'!CS33</f>
        <v>0</v>
      </c>
      <c r="CT33" s="6">
        <f>CT$1*'survival matrix'!CT33</f>
        <v>0</v>
      </c>
      <c r="CU33" s="6">
        <f>CU$1*'survival matrix'!CU33</f>
        <v>0</v>
      </c>
      <c r="CV33" s="6">
        <f>CV$1*'survival matrix'!CV33</f>
        <v>0</v>
      </c>
      <c r="CW33" s="6">
        <f>CW$1*'survival matrix'!CW33</f>
        <v>0</v>
      </c>
      <c r="CX33" s="6">
        <f>CX$1*'survival matrix'!CX33</f>
        <v>0</v>
      </c>
      <c r="CY33" s="6">
        <f>CY$1*'survival matrix'!CY33</f>
        <v>0</v>
      </c>
      <c r="CZ33" s="6">
        <f>CZ$1*'survival matrix'!CZ33</f>
        <v>0</v>
      </c>
      <c r="DA33" s="6">
        <f>DA$1*'survival matrix'!DA33</f>
        <v>0</v>
      </c>
      <c r="DB33" s="6">
        <f>DB$1*'survival matrix'!DB33</f>
        <v>0</v>
      </c>
      <c r="DC33" s="6">
        <f>DC$1*'survival matrix'!DC33</f>
        <v>0</v>
      </c>
      <c r="DD33" s="6">
        <f>DD$1*'survival matrix'!DD33</f>
        <v>0</v>
      </c>
      <c r="DE33" s="6">
        <f>DE$1*'survival matrix'!DE33</f>
        <v>0</v>
      </c>
      <c r="DF33" s="6">
        <f>DF$1*'survival matrix'!DF33</f>
        <v>0</v>
      </c>
      <c r="DG33" s="6">
        <f>DG$1*'survival matrix'!DG33</f>
        <v>0</v>
      </c>
      <c r="DH33" s="6">
        <f>DH$1*'survival matrix'!DH33</f>
        <v>0</v>
      </c>
      <c r="DI33" s="6">
        <f>DI$1*'survival matrix'!DI33</f>
        <v>0</v>
      </c>
      <c r="DJ33" s="6">
        <f>DJ$1*'survival matrix'!DJ33</f>
        <v>0</v>
      </c>
      <c r="DK33" s="6">
        <f>DK$1*'survival matrix'!DK33</f>
        <v>0</v>
      </c>
      <c r="DL33" s="6">
        <f>DL$1*'survival matrix'!DL33</f>
        <v>0</v>
      </c>
      <c r="DM33" s="6">
        <f>DM$1*'survival matrix'!DM33</f>
        <v>0</v>
      </c>
      <c r="DN33" s="6">
        <f>DN$1*'survival matrix'!DN33</f>
        <v>0</v>
      </c>
      <c r="DO33" s="6">
        <f>DO$1*'survival matrix'!DO33</f>
        <v>0</v>
      </c>
      <c r="DP33" s="6">
        <f>DP$1*'survival matrix'!DP33</f>
        <v>0</v>
      </c>
      <c r="DQ33" s="6">
        <f>DQ$1*'survival matrix'!DQ33</f>
        <v>0</v>
      </c>
      <c r="DR33" s="6">
        <f>DR$1*'survival matrix'!DR33</f>
        <v>0</v>
      </c>
      <c r="DS33" s="6">
        <f>DS$1*'survival matrix'!DS33</f>
        <v>0</v>
      </c>
      <c r="DT33" s="6">
        <f>DT$1*'survival matrix'!DT33</f>
        <v>0</v>
      </c>
      <c r="DU33" s="6">
        <f>DU$1*'survival matrix'!DU33</f>
        <v>0</v>
      </c>
      <c r="DV33" s="6">
        <f>DV$1*'survival matrix'!DV33</f>
        <v>0</v>
      </c>
      <c r="DW33" s="6">
        <f>DW$1*'survival matrix'!DW33</f>
        <v>0</v>
      </c>
      <c r="DX33" s="6">
        <f>DX$1*'survival matrix'!DX33</f>
        <v>0</v>
      </c>
      <c r="DY33" s="6">
        <f>DY$1*'survival matrix'!DY33</f>
        <v>0</v>
      </c>
      <c r="DZ33" s="6">
        <f>DZ$1*'survival matrix'!DZ33</f>
        <v>0</v>
      </c>
      <c r="EA33" s="6">
        <f>EA$1*'survival matrix'!EA33</f>
        <v>0</v>
      </c>
      <c r="EB33" s="6">
        <f>EB$1*'survival matrix'!EB33</f>
        <v>0</v>
      </c>
      <c r="EC33" s="6">
        <f>EC$1*'survival matrix'!EC33</f>
        <v>0</v>
      </c>
    </row>
    <row r="34" spans="1:133">
      <c r="A34" s="12">
        <f>'data input'!C34-B34</f>
        <v>7166.4508279221918</v>
      </c>
      <c r="B34" s="14">
        <f t="shared" si="2"/>
        <v>111318.46793278377</v>
      </c>
      <c r="C34" s="11">
        <f>SUM(F34:EC34)</f>
        <v>1804628.496140789</v>
      </c>
      <c r="E34" s="7">
        <f>'data input'!B34</f>
        <v>1909</v>
      </c>
      <c r="F34" s="6">
        <f>F$1*'survival matrix'!F34</f>
        <v>2438.4365926849987</v>
      </c>
      <c r="G34" s="6">
        <f>G$1*'survival matrix'!G34</f>
        <v>5047.5434463953025</v>
      </c>
      <c r="H34" s="6">
        <f>H$1*'survival matrix'!H34</f>
        <v>7808.3075327434017</v>
      </c>
      <c r="I34" s="6">
        <f>I$1*'survival matrix'!I34</f>
        <v>10717.884776500538</v>
      </c>
      <c r="J34" s="6">
        <f>J$1*'survival matrix'!J34</f>
        <v>13762.302563925148</v>
      </c>
      <c r="K34" s="6">
        <f>K$1*'survival matrix'!K34</f>
        <v>16929.971581901325</v>
      </c>
      <c r="L34" s="6">
        <f>L$1*'survival matrix'!L34</f>
        <v>20214.500907098773</v>
      </c>
      <c r="M34" s="6">
        <f>M$1*'survival matrix'!M34</f>
        <v>23600.083318106575</v>
      </c>
      <c r="N34" s="6">
        <f>N$1*'survival matrix'!N34</f>
        <v>27064.36744214447</v>
      </c>
      <c r="O34" s="6">
        <f>O$1*'survival matrix'!O34</f>
        <v>30589.520972079405</v>
      </c>
      <c r="P34" s="6">
        <f>P$1*'survival matrix'!P34</f>
        <v>34177.142294002697</v>
      </c>
      <c r="Q34" s="6">
        <f>Q$1*'survival matrix'!Q34</f>
        <v>37826.330097856866</v>
      </c>
      <c r="R34" s="6">
        <f>R$1*'survival matrix'!R34</f>
        <v>41526.021056697675</v>
      </c>
      <c r="S34" s="6">
        <f>S$1*'survival matrix'!S34</f>
        <v>45260.241236784357</v>
      </c>
      <c r="T34" s="6">
        <f>T$1*'survival matrix'!T34</f>
        <v>49012.486226121255</v>
      </c>
      <c r="U34" s="6">
        <f>U$1*'survival matrix'!U34</f>
        <v>52782.981200165043</v>
      </c>
      <c r="V34" s="6">
        <f>V$1*'survival matrix'!V34</f>
        <v>56558.491445288942</v>
      </c>
      <c r="W34" s="6">
        <f>W$1*'survival matrix'!W34</f>
        <v>60344.074412279799</v>
      </c>
      <c r="X34" s="6">
        <f>X$1*'survival matrix'!X34</f>
        <v>64135.631707787652</v>
      </c>
      <c r="Y34" s="6">
        <f>Y$1*'survival matrix'!Y34</f>
        <v>67925.405223567243</v>
      </c>
      <c r="Z34" s="6">
        <f>Z$1*'survival matrix'!Z34</f>
        <v>71715.287283393031</v>
      </c>
      <c r="AA34" s="6">
        <f>AA$1*'survival matrix'!AA34</f>
        <v>75503.469982372859</v>
      </c>
      <c r="AB34" s="6">
        <f>AB$1*'survival matrix'!AB34</f>
        <v>79278.872705415182</v>
      </c>
      <c r="AC34" s="6">
        <f>AC$1*'survival matrix'!AC34</f>
        <v>83378.577428402539</v>
      </c>
      <c r="AD34" s="6">
        <f>AD$1*'survival matrix'!AD34</f>
        <v>88210.345954378252</v>
      </c>
      <c r="AE34" s="6">
        <f>AE$1*'survival matrix'!AE34</f>
        <v>92963.644754445588</v>
      </c>
      <c r="AF34" s="6">
        <f>AF$1*'survival matrix'!AF34</f>
        <v>96777.981560412984</v>
      </c>
      <c r="AG34" s="6">
        <f>AG$1*'survival matrix'!AG34</f>
        <v>100866.47710376512</v>
      </c>
      <c r="AH34" s="6">
        <f>AH$1*'survival matrix'!AH34</f>
        <v>104590.16959328846</v>
      </c>
      <c r="AI34" s="6">
        <f>AI$1*'survival matrix'!AI34</f>
        <v>110570.2464467799</v>
      </c>
      <c r="AJ34" s="6">
        <f>AJ$1*'survival matrix'!AJ34</f>
        <v>114726.7230919103</v>
      </c>
      <c r="AK34" s="6">
        <f>AK$1*'survival matrix'!AK34</f>
        <v>118324.97620209302</v>
      </c>
      <c r="AL34" s="6">
        <f>AL$1*'survival matrix'!AL34</f>
        <v>0</v>
      </c>
      <c r="AM34" s="6">
        <f>AM$1*'survival matrix'!AM34</f>
        <v>0</v>
      </c>
      <c r="AN34" s="6">
        <f>AN$1*'survival matrix'!AN34</f>
        <v>0</v>
      </c>
      <c r="AO34" s="6">
        <f>AO$1*'survival matrix'!AO34</f>
        <v>0</v>
      </c>
      <c r="AP34" s="6">
        <f>AP$1*'survival matrix'!AP34</f>
        <v>0</v>
      </c>
      <c r="AQ34" s="6">
        <f>AQ$1*'survival matrix'!AQ34</f>
        <v>0</v>
      </c>
      <c r="AR34" s="6">
        <f>AR$1*'survival matrix'!AR34</f>
        <v>0</v>
      </c>
      <c r="AS34" s="6">
        <f>AS$1*'survival matrix'!AS34</f>
        <v>0</v>
      </c>
      <c r="AT34" s="6">
        <f>AT$1*'survival matrix'!AT34</f>
        <v>0</v>
      </c>
      <c r="AU34" s="6">
        <f>AU$1*'survival matrix'!AU34</f>
        <v>0</v>
      </c>
      <c r="AV34" s="6">
        <f>AV$1*'survival matrix'!AV34</f>
        <v>0</v>
      </c>
      <c r="AW34" s="6">
        <f>AW$1*'survival matrix'!AW34</f>
        <v>0</v>
      </c>
      <c r="AX34" s="6">
        <f>AX$1*'survival matrix'!AX34</f>
        <v>0</v>
      </c>
      <c r="AY34" s="6">
        <f>AY$1*'survival matrix'!AY34</f>
        <v>0</v>
      </c>
      <c r="AZ34" s="6">
        <f>AZ$1*'survival matrix'!AZ34</f>
        <v>0</v>
      </c>
      <c r="BA34" s="6">
        <f>BA$1*'survival matrix'!BA34</f>
        <v>0</v>
      </c>
      <c r="BB34" s="6">
        <f>BB$1*'survival matrix'!BB34</f>
        <v>0</v>
      </c>
      <c r="BC34" s="6">
        <f>BC$1*'survival matrix'!BC34</f>
        <v>0</v>
      </c>
      <c r="BD34" s="6">
        <f>BD$1*'survival matrix'!BD34</f>
        <v>0</v>
      </c>
      <c r="BE34" s="6">
        <f>BE$1*'survival matrix'!BE34</f>
        <v>0</v>
      </c>
      <c r="BF34" s="6">
        <f>BF$1*'survival matrix'!BF34</f>
        <v>0</v>
      </c>
      <c r="BG34" s="6">
        <f>BG$1*'survival matrix'!BG34</f>
        <v>0</v>
      </c>
      <c r="BH34" s="6">
        <f>BH$1*'survival matrix'!BH34</f>
        <v>0</v>
      </c>
      <c r="BI34" s="6">
        <f>BI$1*'survival matrix'!BI34</f>
        <v>0</v>
      </c>
      <c r="BJ34" s="6">
        <f>BJ$1*'survival matrix'!BJ34</f>
        <v>0</v>
      </c>
      <c r="BK34" s="6">
        <f>BK$1*'survival matrix'!BK34</f>
        <v>0</v>
      </c>
      <c r="BL34" s="6">
        <f>BL$1*'survival matrix'!BL34</f>
        <v>0</v>
      </c>
      <c r="BM34" s="6">
        <f>BM$1*'survival matrix'!BM34</f>
        <v>0</v>
      </c>
      <c r="BN34" s="6">
        <f>BN$1*'survival matrix'!BN34</f>
        <v>0</v>
      </c>
      <c r="BO34" s="6">
        <f>BO$1*'survival matrix'!BO34</f>
        <v>0</v>
      </c>
      <c r="BP34" s="6">
        <f>BP$1*'survival matrix'!BP34</f>
        <v>0</v>
      </c>
      <c r="BQ34" s="6">
        <f>BQ$1*'survival matrix'!BQ34</f>
        <v>0</v>
      </c>
      <c r="BR34" s="6">
        <f>BR$1*'survival matrix'!BR34</f>
        <v>0</v>
      </c>
      <c r="BS34" s="6">
        <f>BS$1*'survival matrix'!BS34</f>
        <v>0</v>
      </c>
      <c r="BT34" s="6">
        <f>BT$1*'survival matrix'!BT34</f>
        <v>0</v>
      </c>
      <c r="BU34" s="6">
        <f>BU$1*'survival matrix'!BU34</f>
        <v>0</v>
      </c>
      <c r="BV34" s="6">
        <f>BV$1*'survival matrix'!BV34</f>
        <v>0</v>
      </c>
      <c r="BW34" s="6">
        <f>BW$1*'survival matrix'!BW34</f>
        <v>0</v>
      </c>
      <c r="BX34" s="6">
        <f>BX$1*'survival matrix'!BX34</f>
        <v>0</v>
      </c>
      <c r="BY34" s="6">
        <f>BY$1*'survival matrix'!BY34</f>
        <v>0</v>
      </c>
      <c r="BZ34" s="6">
        <f>BZ$1*'survival matrix'!BZ34</f>
        <v>0</v>
      </c>
      <c r="CA34" s="6">
        <f>CA$1*'survival matrix'!CA34</f>
        <v>0</v>
      </c>
      <c r="CB34" s="6">
        <f>CB$1*'survival matrix'!CB34</f>
        <v>0</v>
      </c>
      <c r="CC34" s="6">
        <f>CC$1*'survival matrix'!CC34</f>
        <v>0</v>
      </c>
      <c r="CD34" s="6">
        <f>CD$1*'survival matrix'!CD34</f>
        <v>0</v>
      </c>
      <c r="CE34" s="6">
        <f>CE$1*'survival matrix'!CE34</f>
        <v>0</v>
      </c>
      <c r="CF34" s="6">
        <f>CF$1*'survival matrix'!CF34</f>
        <v>0</v>
      </c>
      <c r="CG34" s="6">
        <f>CG$1*'survival matrix'!CG34</f>
        <v>0</v>
      </c>
      <c r="CH34" s="6">
        <f>CH$1*'survival matrix'!CH34</f>
        <v>0</v>
      </c>
      <c r="CI34" s="6">
        <f>CI$1*'survival matrix'!CI34</f>
        <v>0</v>
      </c>
      <c r="CJ34" s="6">
        <f>CJ$1*'survival matrix'!CJ34</f>
        <v>0</v>
      </c>
      <c r="CK34" s="6">
        <f>CK$1*'survival matrix'!CK34</f>
        <v>0</v>
      </c>
      <c r="CL34" s="6">
        <f>CL$1*'survival matrix'!CL34</f>
        <v>0</v>
      </c>
      <c r="CM34" s="6">
        <f>CM$1*'survival matrix'!CM34</f>
        <v>0</v>
      </c>
      <c r="CN34" s="6">
        <f>CN$1*'survival matrix'!CN34</f>
        <v>0</v>
      </c>
      <c r="CO34" s="6">
        <f>CO$1*'survival matrix'!CO34</f>
        <v>0</v>
      </c>
      <c r="CP34" s="6">
        <f>CP$1*'survival matrix'!CP34</f>
        <v>0</v>
      </c>
      <c r="CQ34" s="6">
        <f>CQ$1*'survival matrix'!CQ34</f>
        <v>0</v>
      </c>
      <c r="CR34" s="6">
        <f>CR$1*'survival matrix'!CR34</f>
        <v>0</v>
      </c>
      <c r="CS34" s="6">
        <f>CS$1*'survival matrix'!CS34</f>
        <v>0</v>
      </c>
      <c r="CT34" s="6">
        <f>CT$1*'survival matrix'!CT34</f>
        <v>0</v>
      </c>
      <c r="CU34" s="6">
        <f>CU$1*'survival matrix'!CU34</f>
        <v>0</v>
      </c>
      <c r="CV34" s="6">
        <f>CV$1*'survival matrix'!CV34</f>
        <v>0</v>
      </c>
      <c r="CW34" s="6">
        <f>CW$1*'survival matrix'!CW34</f>
        <v>0</v>
      </c>
      <c r="CX34" s="6">
        <f>CX$1*'survival matrix'!CX34</f>
        <v>0</v>
      </c>
      <c r="CY34" s="6">
        <f>CY$1*'survival matrix'!CY34</f>
        <v>0</v>
      </c>
      <c r="CZ34" s="6">
        <f>CZ$1*'survival matrix'!CZ34</f>
        <v>0</v>
      </c>
      <c r="DA34" s="6">
        <f>DA$1*'survival matrix'!DA34</f>
        <v>0</v>
      </c>
      <c r="DB34" s="6">
        <f>DB$1*'survival matrix'!DB34</f>
        <v>0</v>
      </c>
      <c r="DC34" s="6">
        <f>DC$1*'survival matrix'!DC34</f>
        <v>0</v>
      </c>
      <c r="DD34" s="6">
        <f>DD$1*'survival matrix'!DD34</f>
        <v>0</v>
      </c>
      <c r="DE34" s="6">
        <f>DE$1*'survival matrix'!DE34</f>
        <v>0</v>
      </c>
      <c r="DF34" s="6">
        <f>DF$1*'survival matrix'!DF34</f>
        <v>0</v>
      </c>
      <c r="DG34" s="6">
        <f>DG$1*'survival matrix'!DG34</f>
        <v>0</v>
      </c>
      <c r="DH34" s="6">
        <f>DH$1*'survival matrix'!DH34</f>
        <v>0</v>
      </c>
      <c r="DI34" s="6">
        <f>DI$1*'survival matrix'!DI34</f>
        <v>0</v>
      </c>
      <c r="DJ34" s="6">
        <f>DJ$1*'survival matrix'!DJ34</f>
        <v>0</v>
      </c>
      <c r="DK34" s="6">
        <f>DK$1*'survival matrix'!DK34</f>
        <v>0</v>
      </c>
      <c r="DL34" s="6">
        <f>DL$1*'survival matrix'!DL34</f>
        <v>0</v>
      </c>
      <c r="DM34" s="6">
        <f>DM$1*'survival matrix'!DM34</f>
        <v>0</v>
      </c>
      <c r="DN34" s="6">
        <f>DN$1*'survival matrix'!DN34</f>
        <v>0</v>
      </c>
      <c r="DO34" s="6">
        <f>DO$1*'survival matrix'!DO34</f>
        <v>0</v>
      </c>
      <c r="DP34" s="6">
        <f>DP$1*'survival matrix'!DP34</f>
        <v>0</v>
      </c>
      <c r="DQ34" s="6">
        <f>DQ$1*'survival matrix'!DQ34</f>
        <v>0</v>
      </c>
      <c r="DR34" s="6">
        <f>DR$1*'survival matrix'!DR34</f>
        <v>0</v>
      </c>
      <c r="DS34" s="6">
        <f>DS$1*'survival matrix'!DS34</f>
        <v>0</v>
      </c>
      <c r="DT34" s="6">
        <f>DT$1*'survival matrix'!DT34</f>
        <v>0</v>
      </c>
      <c r="DU34" s="6">
        <f>DU$1*'survival matrix'!DU34</f>
        <v>0</v>
      </c>
      <c r="DV34" s="6">
        <f>DV$1*'survival matrix'!DV34</f>
        <v>0</v>
      </c>
      <c r="DW34" s="6">
        <f>DW$1*'survival matrix'!DW34</f>
        <v>0</v>
      </c>
      <c r="DX34" s="6">
        <f>DX$1*'survival matrix'!DX34</f>
        <v>0</v>
      </c>
      <c r="DY34" s="6">
        <f>DY$1*'survival matrix'!DY34</f>
        <v>0</v>
      </c>
      <c r="DZ34" s="6">
        <f>DZ$1*'survival matrix'!DZ34</f>
        <v>0</v>
      </c>
      <c r="EA34" s="6">
        <f>EA$1*'survival matrix'!EA34</f>
        <v>0</v>
      </c>
      <c r="EB34" s="6">
        <f>EB$1*'survival matrix'!EB34</f>
        <v>0</v>
      </c>
      <c r="EC34" s="6">
        <f>EC$1*'survival matrix'!EC34</f>
        <v>0</v>
      </c>
    </row>
    <row r="35" spans="1:133">
      <c r="A35" s="12">
        <f>'data input'!C35-B35</f>
        <v>8108.2969296938536</v>
      </c>
      <c r="B35" s="14">
        <f t="shared" si="2"/>
        <v>114089.44765447616</v>
      </c>
      <c r="C35" s="11">
        <f>SUM(F35:EC35)</f>
        <v>1918717.9437952652</v>
      </c>
      <c r="E35" s="7">
        <f>'data input'!B35</f>
        <v>1910</v>
      </c>
      <c r="F35" s="6">
        <f>F$1*'survival matrix'!F35</f>
        <v>2359.0737433348086</v>
      </c>
      <c r="G35" s="6">
        <f>G$1*'survival matrix'!G35</f>
        <v>4896.0561143465375</v>
      </c>
      <c r="H35" s="6">
        <f>H$1*'survival matrix'!H35</f>
        <v>7592.8877350933999</v>
      </c>
      <c r="I35" s="6">
        <f>I$1*'survival matrix'!I35</f>
        <v>10446.953594717865</v>
      </c>
      <c r="J35" s="6">
        <f>J$1*'survival matrix'!J35</f>
        <v>13444.617198444208</v>
      </c>
      <c r="K35" s="6">
        <f>K$1*'survival matrix'!K35</f>
        <v>16574.340699211469</v>
      </c>
      <c r="L35" s="6">
        <f>L$1*'survival matrix'!L35</f>
        <v>19829.49253349183</v>
      </c>
      <c r="M35" s="6">
        <f>M$1*'survival matrix'!M35</f>
        <v>23194.054003017089</v>
      </c>
      <c r="N35" s="6">
        <f>N$1*'survival matrix'!N35</f>
        <v>26645.383249725928</v>
      </c>
      <c r="O35" s="6">
        <f>O$1*'survival matrix'!O35</f>
        <v>30165.10217689299</v>
      </c>
      <c r="P35" s="6">
        <f>P$1*'survival matrix'!P35</f>
        <v>33753.895071806553</v>
      </c>
      <c r="Q35" s="6">
        <f>Q$1*'survival matrix'!Q35</f>
        <v>37409.985972203503</v>
      </c>
      <c r="R35" s="6">
        <f>R$1*'survival matrix'!R35</f>
        <v>41121.545366805207</v>
      </c>
      <c r="S35" s="6">
        <f>S$1*'survival matrix'!S35</f>
        <v>44871.850302362611</v>
      </c>
      <c r="T35" s="6">
        <f>T$1*'survival matrix'!T35</f>
        <v>48643.628046941973</v>
      </c>
      <c r="U35" s="6">
        <f>U$1*'survival matrix'!U35</f>
        <v>52436.225519817177</v>
      </c>
      <c r="V35" s="6">
        <f>V$1*'survival matrix'!V35</f>
        <v>56235.687087957624</v>
      </c>
      <c r="W35" s="6">
        <f>W$1*'survival matrix'!W35</f>
        <v>60046.30245738825</v>
      </c>
      <c r="X35" s="6">
        <f>X$1*'survival matrix'!X35</f>
        <v>63863.352134587862</v>
      </c>
      <c r="Y35" s="6">
        <f>Y$1*'survival matrix'!Y35</f>
        <v>67678.551792839935</v>
      </c>
      <c r="Z35" s="6">
        <f>Z$1*'survival matrix'!Z35</f>
        <v>71493.31282039592</v>
      </c>
      <c r="AA35" s="6">
        <f>AA$1*'survival matrix'!AA35</f>
        <v>75305.451108694062</v>
      </c>
      <c r="AB35" s="6">
        <f>AB$1*'survival matrix'!AB35</f>
        <v>79103.612575573308</v>
      </c>
      <c r="AC35" s="6">
        <f>AC$1*'survival matrix'!AC35</f>
        <v>83224.023607856783</v>
      </c>
      <c r="AD35" s="6">
        <f>AD$1*'survival matrix'!AD35</f>
        <v>88073.970425018386</v>
      </c>
      <c r="AE35" s="6">
        <f>AE$1*'survival matrix'!AE35</f>
        <v>92844.412284067192</v>
      </c>
      <c r="AF35" s="6">
        <f>AF$1*'survival matrix'!AF35</f>
        <v>96675.563111735377</v>
      </c>
      <c r="AG35" s="6">
        <f>AG$1*'survival matrix'!AG35</f>
        <v>100778.87602322646</v>
      </c>
      <c r="AH35" s="6">
        <f>AH$1*'survival matrix'!AH35</f>
        <v>104516.03138663594</v>
      </c>
      <c r="AI35" s="6">
        <f>AI$1*'survival matrix'!AI35</f>
        <v>110506.62635056869</v>
      </c>
      <c r="AJ35" s="6">
        <f>AJ$1*'survival matrix'!AJ35</f>
        <v>114673.43478861098</v>
      </c>
      <c r="AK35" s="6">
        <f>AK$1*'survival matrix'!AK35</f>
        <v>118280.85442260929</v>
      </c>
      <c r="AL35" s="6">
        <f>AL$1*'survival matrix'!AL35</f>
        <v>122032.79008928619</v>
      </c>
      <c r="AM35" s="6">
        <f>AM$1*'survival matrix'!AM35</f>
        <v>0</v>
      </c>
      <c r="AN35" s="6">
        <f>AN$1*'survival matrix'!AN35</f>
        <v>0</v>
      </c>
      <c r="AO35" s="6">
        <f>AO$1*'survival matrix'!AO35</f>
        <v>0</v>
      </c>
      <c r="AP35" s="6">
        <f>AP$1*'survival matrix'!AP35</f>
        <v>0</v>
      </c>
      <c r="AQ35" s="6">
        <f>AQ$1*'survival matrix'!AQ35</f>
        <v>0</v>
      </c>
      <c r="AR35" s="6">
        <f>AR$1*'survival matrix'!AR35</f>
        <v>0</v>
      </c>
      <c r="AS35" s="6">
        <f>AS$1*'survival matrix'!AS35</f>
        <v>0</v>
      </c>
      <c r="AT35" s="6">
        <f>AT$1*'survival matrix'!AT35</f>
        <v>0</v>
      </c>
      <c r="AU35" s="6">
        <f>AU$1*'survival matrix'!AU35</f>
        <v>0</v>
      </c>
      <c r="AV35" s="6">
        <f>AV$1*'survival matrix'!AV35</f>
        <v>0</v>
      </c>
      <c r="AW35" s="6">
        <f>AW$1*'survival matrix'!AW35</f>
        <v>0</v>
      </c>
      <c r="AX35" s="6">
        <f>AX$1*'survival matrix'!AX35</f>
        <v>0</v>
      </c>
      <c r="AY35" s="6">
        <f>AY$1*'survival matrix'!AY35</f>
        <v>0</v>
      </c>
      <c r="AZ35" s="6">
        <f>AZ$1*'survival matrix'!AZ35</f>
        <v>0</v>
      </c>
      <c r="BA35" s="6">
        <f>BA$1*'survival matrix'!BA35</f>
        <v>0</v>
      </c>
      <c r="BB35" s="6">
        <f>BB$1*'survival matrix'!BB35</f>
        <v>0</v>
      </c>
      <c r="BC35" s="6">
        <f>BC$1*'survival matrix'!BC35</f>
        <v>0</v>
      </c>
      <c r="BD35" s="6">
        <f>BD$1*'survival matrix'!BD35</f>
        <v>0</v>
      </c>
      <c r="BE35" s="6">
        <f>BE$1*'survival matrix'!BE35</f>
        <v>0</v>
      </c>
      <c r="BF35" s="6">
        <f>BF$1*'survival matrix'!BF35</f>
        <v>0</v>
      </c>
      <c r="BG35" s="6">
        <f>BG$1*'survival matrix'!BG35</f>
        <v>0</v>
      </c>
      <c r="BH35" s="6">
        <f>BH$1*'survival matrix'!BH35</f>
        <v>0</v>
      </c>
      <c r="BI35" s="6">
        <f>BI$1*'survival matrix'!BI35</f>
        <v>0</v>
      </c>
      <c r="BJ35" s="6">
        <f>BJ$1*'survival matrix'!BJ35</f>
        <v>0</v>
      </c>
      <c r="BK35" s="6">
        <f>BK$1*'survival matrix'!BK35</f>
        <v>0</v>
      </c>
      <c r="BL35" s="6">
        <f>BL$1*'survival matrix'!BL35</f>
        <v>0</v>
      </c>
      <c r="BM35" s="6">
        <f>BM$1*'survival matrix'!BM35</f>
        <v>0</v>
      </c>
      <c r="BN35" s="6">
        <f>BN$1*'survival matrix'!BN35</f>
        <v>0</v>
      </c>
      <c r="BO35" s="6">
        <f>BO$1*'survival matrix'!BO35</f>
        <v>0</v>
      </c>
      <c r="BP35" s="6">
        <f>BP$1*'survival matrix'!BP35</f>
        <v>0</v>
      </c>
      <c r="BQ35" s="6">
        <f>BQ$1*'survival matrix'!BQ35</f>
        <v>0</v>
      </c>
      <c r="BR35" s="6">
        <f>BR$1*'survival matrix'!BR35</f>
        <v>0</v>
      </c>
      <c r="BS35" s="6">
        <f>BS$1*'survival matrix'!BS35</f>
        <v>0</v>
      </c>
      <c r="BT35" s="6">
        <f>BT$1*'survival matrix'!BT35</f>
        <v>0</v>
      </c>
      <c r="BU35" s="6">
        <f>BU$1*'survival matrix'!BU35</f>
        <v>0</v>
      </c>
      <c r="BV35" s="6">
        <f>BV$1*'survival matrix'!BV35</f>
        <v>0</v>
      </c>
      <c r="BW35" s="6">
        <f>BW$1*'survival matrix'!BW35</f>
        <v>0</v>
      </c>
      <c r="BX35" s="6">
        <f>BX$1*'survival matrix'!BX35</f>
        <v>0</v>
      </c>
      <c r="BY35" s="6">
        <f>BY$1*'survival matrix'!BY35</f>
        <v>0</v>
      </c>
      <c r="BZ35" s="6">
        <f>BZ$1*'survival matrix'!BZ35</f>
        <v>0</v>
      </c>
      <c r="CA35" s="6">
        <f>CA$1*'survival matrix'!CA35</f>
        <v>0</v>
      </c>
      <c r="CB35" s="6">
        <f>CB$1*'survival matrix'!CB35</f>
        <v>0</v>
      </c>
      <c r="CC35" s="6">
        <f>CC$1*'survival matrix'!CC35</f>
        <v>0</v>
      </c>
      <c r="CD35" s="6">
        <f>CD$1*'survival matrix'!CD35</f>
        <v>0</v>
      </c>
      <c r="CE35" s="6">
        <f>CE$1*'survival matrix'!CE35</f>
        <v>0</v>
      </c>
      <c r="CF35" s="6">
        <f>CF$1*'survival matrix'!CF35</f>
        <v>0</v>
      </c>
      <c r="CG35" s="6">
        <f>CG$1*'survival matrix'!CG35</f>
        <v>0</v>
      </c>
      <c r="CH35" s="6">
        <f>CH$1*'survival matrix'!CH35</f>
        <v>0</v>
      </c>
      <c r="CI35" s="6">
        <f>CI$1*'survival matrix'!CI35</f>
        <v>0</v>
      </c>
      <c r="CJ35" s="6">
        <f>CJ$1*'survival matrix'!CJ35</f>
        <v>0</v>
      </c>
      <c r="CK35" s="6">
        <f>CK$1*'survival matrix'!CK35</f>
        <v>0</v>
      </c>
      <c r="CL35" s="6">
        <f>CL$1*'survival matrix'!CL35</f>
        <v>0</v>
      </c>
      <c r="CM35" s="6">
        <f>CM$1*'survival matrix'!CM35</f>
        <v>0</v>
      </c>
      <c r="CN35" s="6">
        <f>CN$1*'survival matrix'!CN35</f>
        <v>0</v>
      </c>
      <c r="CO35" s="6">
        <f>CO$1*'survival matrix'!CO35</f>
        <v>0</v>
      </c>
      <c r="CP35" s="6">
        <f>CP$1*'survival matrix'!CP35</f>
        <v>0</v>
      </c>
      <c r="CQ35" s="6">
        <f>CQ$1*'survival matrix'!CQ35</f>
        <v>0</v>
      </c>
      <c r="CR35" s="6">
        <f>CR$1*'survival matrix'!CR35</f>
        <v>0</v>
      </c>
      <c r="CS35" s="6">
        <f>CS$1*'survival matrix'!CS35</f>
        <v>0</v>
      </c>
      <c r="CT35" s="6">
        <f>CT$1*'survival matrix'!CT35</f>
        <v>0</v>
      </c>
      <c r="CU35" s="6">
        <f>CU$1*'survival matrix'!CU35</f>
        <v>0</v>
      </c>
      <c r="CV35" s="6">
        <f>CV$1*'survival matrix'!CV35</f>
        <v>0</v>
      </c>
      <c r="CW35" s="6">
        <f>CW$1*'survival matrix'!CW35</f>
        <v>0</v>
      </c>
      <c r="CX35" s="6">
        <f>CX$1*'survival matrix'!CX35</f>
        <v>0</v>
      </c>
      <c r="CY35" s="6">
        <f>CY$1*'survival matrix'!CY35</f>
        <v>0</v>
      </c>
      <c r="CZ35" s="6">
        <f>CZ$1*'survival matrix'!CZ35</f>
        <v>0</v>
      </c>
      <c r="DA35" s="6">
        <f>DA$1*'survival matrix'!DA35</f>
        <v>0</v>
      </c>
      <c r="DB35" s="6">
        <f>DB$1*'survival matrix'!DB35</f>
        <v>0</v>
      </c>
      <c r="DC35" s="6">
        <f>DC$1*'survival matrix'!DC35</f>
        <v>0</v>
      </c>
      <c r="DD35" s="6">
        <f>DD$1*'survival matrix'!DD35</f>
        <v>0</v>
      </c>
      <c r="DE35" s="6">
        <f>DE$1*'survival matrix'!DE35</f>
        <v>0</v>
      </c>
      <c r="DF35" s="6">
        <f>DF$1*'survival matrix'!DF35</f>
        <v>0</v>
      </c>
      <c r="DG35" s="6">
        <f>DG$1*'survival matrix'!DG35</f>
        <v>0</v>
      </c>
      <c r="DH35" s="6">
        <f>DH$1*'survival matrix'!DH35</f>
        <v>0</v>
      </c>
      <c r="DI35" s="6">
        <f>DI$1*'survival matrix'!DI35</f>
        <v>0</v>
      </c>
      <c r="DJ35" s="6">
        <f>DJ$1*'survival matrix'!DJ35</f>
        <v>0</v>
      </c>
      <c r="DK35" s="6">
        <f>DK$1*'survival matrix'!DK35</f>
        <v>0</v>
      </c>
      <c r="DL35" s="6">
        <f>DL$1*'survival matrix'!DL35</f>
        <v>0</v>
      </c>
      <c r="DM35" s="6">
        <f>DM$1*'survival matrix'!DM35</f>
        <v>0</v>
      </c>
      <c r="DN35" s="6">
        <f>DN$1*'survival matrix'!DN35</f>
        <v>0</v>
      </c>
      <c r="DO35" s="6">
        <f>DO$1*'survival matrix'!DO35</f>
        <v>0</v>
      </c>
      <c r="DP35" s="6">
        <f>DP$1*'survival matrix'!DP35</f>
        <v>0</v>
      </c>
      <c r="DQ35" s="6">
        <f>DQ$1*'survival matrix'!DQ35</f>
        <v>0</v>
      </c>
      <c r="DR35" s="6">
        <f>DR$1*'survival matrix'!DR35</f>
        <v>0</v>
      </c>
      <c r="DS35" s="6">
        <f>DS$1*'survival matrix'!DS35</f>
        <v>0</v>
      </c>
      <c r="DT35" s="6">
        <f>DT$1*'survival matrix'!DT35</f>
        <v>0</v>
      </c>
      <c r="DU35" s="6">
        <f>DU$1*'survival matrix'!DU35</f>
        <v>0</v>
      </c>
      <c r="DV35" s="6">
        <f>DV$1*'survival matrix'!DV35</f>
        <v>0</v>
      </c>
      <c r="DW35" s="6">
        <f>DW$1*'survival matrix'!DW35</f>
        <v>0</v>
      </c>
      <c r="DX35" s="6">
        <f>DX$1*'survival matrix'!DX35</f>
        <v>0</v>
      </c>
      <c r="DY35" s="6">
        <f>DY$1*'survival matrix'!DY35</f>
        <v>0</v>
      </c>
      <c r="DZ35" s="6">
        <f>DZ$1*'survival matrix'!DZ35</f>
        <v>0</v>
      </c>
      <c r="EA35" s="6">
        <f>EA$1*'survival matrix'!EA35</f>
        <v>0</v>
      </c>
      <c r="EB35" s="6">
        <f>EB$1*'survival matrix'!EB35</f>
        <v>0</v>
      </c>
      <c r="EC35" s="6">
        <f>EC$1*'survival matrix'!EC35</f>
        <v>0</v>
      </c>
    </row>
    <row r="36" spans="1:133">
      <c r="A36" s="12">
        <f>'data input'!C36-B36</f>
        <v>9140.0775292577164</v>
      </c>
      <c r="B36" s="14">
        <f t="shared" si="2"/>
        <v>116941.24073591572</v>
      </c>
      <c r="C36" s="11">
        <f>SUM(F36:EC36)</f>
        <v>2035659.1845311809</v>
      </c>
      <c r="E36" s="7">
        <f>'data input'!B36</f>
        <v>1911</v>
      </c>
      <c r="F36" s="6">
        <f>F$1*'survival matrix'!F36</f>
        <v>2276.0597425802102</v>
      </c>
      <c r="G36" s="6">
        <f>G$1*'survival matrix'!G36</f>
        <v>4736.70607630224</v>
      </c>
      <c r="H36" s="6">
        <f>H$1*'survival matrix'!H36</f>
        <v>7365.0092992264408</v>
      </c>
      <c r="I36" s="6">
        <f>I$1*'survival matrix'!I36</f>
        <v>10158.737407023425</v>
      </c>
      <c r="J36" s="6">
        <f>J$1*'survival matrix'!J36</f>
        <v>13104.75853209834</v>
      </c>
      <c r="K36" s="6">
        <f>K$1*'survival matrix'!K36</f>
        <v>16191.742986497553</v>
      </c>
      <c r="L36" s="6">
        <f>L$1*'survival matrix'!L36</f>
        <v>19412.954330880999</v>
      </c>
      <c r="M36" s="6">
        <f>M$1*'survival matrix'!M36</f>
        <v>22752.296620527508</v>
      </c>
      <c r="N36" s="6">
        <f>N$1*'survival matrix'!N36</f>
        <v>26186.960854967576</v>
      </c>
      <c r="O36" s="6">
        <f>O$1*'survival matrix'!O36</f>
        <v>29698.115427550849</v>
      </c>
      <c r="P36" s="6">
        <f>P$1*'survival matrix'!P36</f>
        <v>33285.57170406566</v>
      </c>
      <c r="Q36" s="6">
        <f>Q$1*'survival matrix'!Q36</f>
        <v>36946.703451127709</v>
      </c>
      <c r="R36" s="6">
        <f>R$1*'survival matrix'!R36</f>
        <v>40668.931703069749</v>
      </c>
      <c r="S36" s="6">
        <f>S$1*'survival matrix'!S36</f>
        <v>44434.785249030887</v>
      </c>
      <c r="T36" s="6">
        <f>T$1*'survival matrix'!T36</f>
        <v>48226.203313123697</v>
      </c>
      <c r="U36" s="6">
        <f>U$1*'survival matrix'!U36</f>
        <v>52041.60096273919</v>
      </c>
      <c r="V36" s="6">
        <f>V$1*'survival matrix'!V36</f>
        <v>55866.248994605798</v>
      </c>
      <c r="W36" s="6">
        <f>W$1*'survival matrix'!W36</f>
        <v>59703.591618050727</v>
      </c>
      <c r="X36" s="6">
        <f>X$1*'survival matrix'!X36</f>
        <v>63548.214063513667</v>
      </c>
      <c r="Y36" s="6">
        <f>Y$1*'survival matrix'!Y36</f>
        <v>67391.231208224926</v>
      </c>
      <c r="Z36" s="6">
        <f>Z$1*'survival matrix'!Z36</f>
        <v>71233.492956448274</v>
      </c>
      <c r="AA36" s="6">
        <f>AA$1*'survival matrix'!AA36</f>
        <v>75072.364305254887</v>
      </c>
      <c r="AB36" s="6">
        <f>AB$1*'survival matrix'!AB36</f>
        <v>78896.151802316192</v>
      </c>
      <c r="AC36" s="6">
        <f>AC$1*'survival matrix'!AC36</f>
        <v>83040.042016220454</v>
      </c>
      <c r="AD36" s="6">
        <f>AD$1*'survival matrix'!AD36</f>
        <v>87910.713038772985</v>
      </c>
      <c r="AE36" s="6">
        <f>AE$1*'survival matrix'!AE36</f>
        <v>92700.872365519623</v>
      </c>
      <c r="AF36" s="6">
        <f>AF$1*'survival matrix'!AF36</f>
        <v>96551.569842694764</v>
      </c>
      <c r="AG36" s="6">
        <f>AG$1*'survival matrix'!AG36</f>
        <v>100672.22349777234</v>
      </c>
      <c r="AH36" s="6">
        <f>AH$1*'survival matrix'!AH36</f>
        <v>104425.26072084118</v>
      </c>
      <c r="AI36" s="6">
        <f>AI$1*'survival matrix'!AI36</f>
        <v>110428.29429381127</v>
      </c>
      <c r="AJ36" s="6">
        <f>AJ$1*'survival matrix'!AJ36</f>
        <v>114607.45379292211</v>
      </c>
      <c r="AK36" s="6">
        <f>AK$1*'survival matrix'!AK36</f>
        <v>118225.91529530653</v>
      </c>
      <c r="AL36" s="6">
        <f>AL$1*'survival matrix'!AL36</f>
        <v>121987.28571627109</v>
      </c>
      <c r="AM36" s="6">
        <f>AM$1*'survival matrix'!AM36</f>
        <v>125911.12134182196</v>
      </c>
      <c r="AN36" s="6">
        <f>AN$1*'survival matrix'!AN36</f>
        <v>0</v>
      </c>
      <c r="AO36" s="6">
        <f>AO$1*'survival matrix'!AO36</f>
        <v>0</v>
      </c>
      <c r="AP36" s="6">
        <f>AP$1*'survival matrix'!AP36</f>
        <v>0</v>
      </c>
      <c r="AQ36" s="6">
        <f>AQ$1*'survival matrix'!AQ36</f>
        <v>0</v>
      </c>
      <c r="AR36" s="6">
        <f>AR$1*'survival matrix'!AR36</f>
        <v>0</v>
      </c>
      <c r="AS36" s="6">
        <f>AS$1*'survival matrix'!AS36</f>
        <v>0</v>
      </c>
      <c r="AT36" s="6">
        <f>AT$1*'survival matrix'!AT36</f>
        <v>0</v>
      </c>
      <c r="AU36" s="6">
        <f>AU$1*'survival matrix'!AU36</f>
        <v>0</v>
      </c>
      <c r="AV36" s="6">
        <f>AV$1*'survival matrix'!AV36</f>
        <v>0</v>
      </c>
      <c r="AW36" s="6">
        <f>AW$1*'survival matrix'!AW36</f>
        <v>0</v>
      </c>
      <c r="AX36" s="6">
        <f>AX$1*'survival matrix'!AX36</f>
        <v>0</v>
      </c>
      <c r="AY36" s="6">
        <f>AY$1*'survival matrix'!AY36</f>
        <v>0</v>
      </c>
      <c r="AZ36" s="6">
        <f>AZ$1*'survival matrix'!AZ36</f>
        <v>0</v>
      </c>
      <c r="BA36" s="6">
        <f>BA$1*'survival matrix'!BA36</f>
        <v>0</v>
      </c>
      <c r="BB36" s="6">
        <f>BB$1*'survival matrix'!BB36</f>
        <v>0</v>
      </c>
      <c r="BC36" s="6">
        <f>BC$1*'survival matrix'!BC36</f>
        <v>0</v>
      </c>
      <c r="BD36" s="6">
        <f>BD$1*'survival matrix'!BD36</f>
        <v>0</v>
      </c>
      <c r="BE36" s="6">
        <f>BE$1*'survival matrix'!BE36</f>
        <v>0</v>
      </c>
      <c r="BF36" s="6">
        <f>BF$1*'survival matrix'!BF36</f>
        <v>0</v>
      </c>
      <c r="BG36" s="6">
        <f>BG$1*'survival matrix'!BG36</f>
        <v>0</v>
      </c>
      <c r="BH36" s="6">
        <f>BH$1*'survival matrix'!BH36</f>
        <v>0</v>
      </c>
      <c r="BI36" s="6">
        <f>BI$1*'survival matrix'!BI36</f>
        <v>0</v>
      </c>
      <c r="BJ36" s="6">
        <f>BJ$1*'survival matrix'!BJ36</f>
        <v>0</v>
      </c>
      <c r="BK36" s="6">
        <f>BK$1*'survival matrix'!BK36</f>
        <v>0</v>
      </c>
      <c r="BL36" s="6">
        <f>BL$1*'survival matrix'!BL36</f>
        <v>0</v>
      </c>
      <c r="BM36" s="6">
        <f>BM$1*'survival matrix'!BM36</f>
        <v>0</v>
      </c>
      <c r="BN36" s="6">
        <f>BN$1*'survival matrix'!BN36</f>
        <v>0</v>
      </c>
      <c r="BO36" s="6">
        <f>BO$1*'survival matrix'!BO36</f>
        <v>0</v>
      </c>
      <c r="BP36" s="6">
        <f>BP$1*'survival matrix'!BP36</f>
        <v>0</v>
      </c>
      <c r="BQ36" s="6">
        <f>BQ$1*'survival matrix'!BQ36</f>
        <v>0</v>
      </c>
      <c r="BR36" s="6">
        <f>BR$1*'survival matrix'!BR36</f>
        <v>0</v>
      </c>
      <c r="BS36" s="6">
        <f>BS$1*'survival matrix'!BS36</f>
        <v>0</v>
      </c>
      <c r="BT36" s="6">
        <f>BT$1*'survival matrix'!BT36</f>
        <v>0</v>
      </c>
      <c r="BU36" s="6">
        <f>BU$1*'survival matrix'!BU36</f>
        <v>0</v>
      </c>
      <c r="BV36" s="6">
        <f>BV$1*'survival matrix'!BV36</f>
        <v>0</v>
      </c>
      <c r="BW36" s="6">
        <f>BW$1*'survival matrix'!BW36</f>
        <v>0</v>
      </c>
      <c r="BX36" s="6">
        <f>BX$1*'survival matrix'!BX36</f>
        <v>0</v>
      </c>
      <c r="BY36" s="6">
        <f>BY$1*'survival matrix'!BY36</f>
        <v>0</v>
      </c>
      <c r="BZ36" s="6">
        <f>BZ$1*'survival matrix'!BZ36</f>
        <v>0</v>
      </c>
      <c r="CA36" s="6">
        <f>CA$1*'survival matrix'!CA36</f>
        <v>0</v>
      </c>
      <c r="CB36" s="6">
        <f>CB$1*'survival matrix'!CB36</f>
        <v>0</v>
      </c>
      <c r="CC36" s="6">
        <f>CC$1*'survival matrix'!CC36</f>
        <v>0</v>
      </c>
      <c r="CD36" s="6">
        <f>CD$1*'survival matrix'!CD36</f>
        <v>0</v>
      </c>
      <c r="CE36" s="6">
        <f>CE$1*'survival matrix'!CE36</f>
        <v>0</v>
      </c>
      <c r="CF36" s="6">
        <f>CF$1*'survival matrix'!CF36</f>
        <v>0</v>
      </c>
      <c r="CG36" s="6">
        <f>CG$1*'survival matrix'!CG36</f>
        <v>0</v>
      </c>
      <c r="CH36" s="6">
        <f>CH$1*'survival matrix'!CH36</f>
        <v>0</v>
      </c>
      <c r="CI36" s="6">
        <f>CI$1*'survival matrix'!CI36</f>
        <v>0</v>
      </c>
      <c r="CJ36" s="6">
        <f>CJ$1*'survival matrix'!CJ36</f>
        <v>0</v>
      </c>
      <c r="CK36" s="6">
        <f>CK$1*'survival matrix'!CK36</f>
        <v>0</v>
      </c>
      <c r="CL36" s="6">
        <f>CL$1*'survival matrix'!CL36</f>
        <v>0</v>
      </c>
      <c r="CM36" s="6">
        <f>CM$1*'survival matrix'!CM36</f>
        <v>0</v>
      </c>
      <c r="CN36" s="6">
        <f>CN$1*'survival matrix'!CN36</f>
        <v>0</v>
      </c>
      <c r="CO36" s="6">
        <f>CO$1*'survival matrix'!CO36</f>
        <v>0</v>
      </c>
      <c r="CP36" s="6">
        <f>CP$1*'survival matrix'!CP36</f>
        <v>0</v>
      </c>
      <c r="CQ36" s="6">
        <f>CQ$1*'survival matrix'!CQ36</f>
        <v>0</v>
      </c>
      <c r="CR36" s="6">
        <f>CR$1*'survival matrix'!CR36</f>
        <v>0</v>
      </c>
      <c r="CS36" s="6">
        <f>CS$1*'survival matrix'!CS36</f>
        <v>0</v>
      </c>
      <c r="CT36" s="6">
        <f>CT$1*'survival matrix'!CT36</f>
        <v>0</v>
      </c>
      <c r="CU36" s="6">
        <f>CU$1*'survival matrix'!CU36</f>
        <v>0</v>
      </c>
      <c r="CV36" s="6">
        <f>CV$1*'survival matrix'!CV36</f>
        <v>0</v>
      </c>
      <c r="CW36" s="6">
        <f>CW$1*'survival matrix'!CW36</f>
        <v>0</v>
      </c>
      <c r="CX36" s="6">
        <f>CX$1*'survival matrix'!CX36</f>
        <v>0</v>
      </c>
      <c r="CY36" s="6">
        <f>CY$1*'survival matrix'!CY36</f>
        <v>0</v>
      </c>
      <c r="CZ36" s="6">
        <f>CZ$1*'survival matrix'!CZ36</f>
        <v>0</v>
      </c>
      <c r="DA36" s="6">
        <f>DA$1*'survival matrix'!DA36</f>
        <v>0</v>
      </c>
      <c r="DB36" s="6">
        <f>DB$1*'survival matrix'!DB36</f>
        <v>0</v>
      </c>
      <c r="DC36" s="6">
        <f>DC$1*'survival matrix'!DC36</f>
        <v>0</v>
      </c>
      <c r="DD36" s="6">
        <f>DD$1*'survival matrix'!DD36</f>
        <v>0</v>
      </c>
      <c r="DE36" s="6">
        <f>DE$1*'survival matrix'!DE36</f>
        <v>0</v>
      </c>
      <c r="DF36" s="6">
        <f>DF$1*'survival matrix'!DF36</f>
        <v>0</v>
      </c>
      <c r="DG36" s="6">
        <f>DG$1*'survival matrix'!DG36</f>
        <v>0</v>
      </c>
      <c r="DH36" s="6">
        <f>DH$1*'survival matrix'!DH36</f>
        <v>0</v>
      </c>
      <c r="DI36" s="6">
        <f>DI$1*'survival matrix'!DI36</f>
        <v>0</v>
      </c>
      <c r="DJ36" s="6">
        <f>DJ$1*'survival matrix'!DJ36</f>
        <v>0</v>
      </c>
      <c r="DK36" s="6">
        <f>DK$1*'survival matrix'!DK36</f>
        <v>0</v>
      </c>
      <c r="DL36" s="6">
        <f>DL$1*'survival matrix'!DL36</f>
        <v>0</v>
      </c>
      <c r="DM36" s="6">
        <f>DM$1*'survival matrix'!DM36</f>
        <v>0</v>
      </c>
      <c r="DN36" s="6">
        <f>DN$1*'survival matrix'!DN36</f>
        <v>0</v>
      </c>
      <c r="DO36" s="6">
        <f>DO$1*'survival matrix'!DO36</f>
        <v>0</v>
      </c>
      <c r="DP36" s="6">
        <f>DP$1*'survival matrix'!DP36</f>
        <v>0</v>
      </c>
      <c r="DQ36" s="6">
        <f>DQ$1*'survival matrix'!DQ36</f>
        <v>0</v>
      </c>
      <c r="DR36" s="6">
        <f>DR$1*'survival matrix'!DR36</f>
        <v>0</v>
      </c>
      <c r="DS36" s="6">
        <f>DS$1*'survival matrix'!DS36</f>
        <v>0</v>
      </c>
      <c r="DT36" s="6">
        <f>DT$1*'survival matrix'!DT36</f>
        <v>0</v>
      </c>
      <c r="DU36" s="6">
        <f>DU$1*'survival matrix'!DU36</f>
        <v>0</v>
      </c>
      <c r="DV36" s="6">
        <f>DV$1*'survival matrix'!DV36</f>
        <v>0</v>
      </c>
      <c r="DW36" s="6">
        <f>DW$1*'survival matrix'!DW36</f>
        <v>0</v>
      </c>
      <c r="DX36" s="6">
        <f>DX$1*'survival matrix'!DX36</f>
        <v>0</v>
      </c>
      <c r="DY36" s="6">
        <f>DY$1*'survival matrix'!DY36</f>
        <v>0</v>
      </c>
      <c r="DZ36" s="6">
        <f>DZ$1*'survival matrix'!DZ36</f>
        <v>0</v>
      </c>
      <c r="EA36" s="6">
        <f>EA$1*'survival matrix'!EA36</f>
        <v>0</v>
      </c>
      <c r="EB36" s="6">
        <f>EB$1*'survival matrix'!EB36</f>
        <v>0</v>
      </c>
      <c r="EC36" s="6">
        <f>EC$1*'survival matrix'!EC36</f>
        <v>0</v>
      </c>
    </row>
    <row r="37" spans="1:133">
      <c r="A37" s="12">
        <f>'data input'!C37-B37</f>
        <v>10263.839809085359</v>
      </c>
      <c r="B37" s="14">
        <f t="shared" si="2"/>
        <v>118389.24951996305</v>
      </c>
      <c r="C37" s="11">
        <f>SUM(F37:EC37)</f>
        <v>2154048.4340511439</v>
      </c>
      <c r="E37" s="7">
        <f>'data input'!B37</f>
        <v>1912</v>
      </c>
      <c r="F37" s="6">
        <f>F$1*'survival matrix'!F37</f>
        <v>2189.713453851341</v>
      </c>
      <c r="G37" s="6">
        <f>G$1*'survival matrix'!G37</f>
        <v>4570.0250122179032</v>
      </c>
      <c r="H37" s="6">
        <f>H$1*'survival matrix'!H37</f>
        <v>7125.3032001502097</v>
      </c>
      <c r="I37" s="6">
        <f>I$1*'survival matrix'!I37</f>
        <v>9853.8524579155619</v>
      </c>
      <c r="J37" s="6">
        <f>J$1*'survival matrix'!J37</f>
        <v>12743.217388976265</v>
      </c>
      <c r="K37" s="6">
        <f>K$1*'survival matrix'!K37</f>
        <v>15782.441323535897</v>
      </c>
      <c r="L37" s="6">
        <f>L$1*'survival matrix'!L37</f>
        <v>18964.830809179279</v>
      </c>
      <c r="M37" s="6">
        <f>M$1*'survival matrix'!M37</f>
        <v>22274.362012590562</v>
      </c>
      <c r="N37" s="6">
        <f>N$1*'survival matrix'!N37</f>
        <v>25688.200125983207</v>
      </c>
      <c r="O37" s="6">
        <f>O$1*'survival matrix'!O37</f>
        <v>29187.172084514194</v>
      </c>
      <c r="P37" s="6">
        <f>P$1*'survival matrix'!P37</f>
        <v>32770.27688295336</v>
      </c>
      <c r="Q37" s="6">
        <f>Q$1*'survival matrix'!Q37</f>
        <v>36434.080995249758</v>
      </c>
      <c r="R37" s="6">
        <f>R$1*'survival matrix'!R37</f>
        <v>40165.290637209502</v>
      </c>
      <c r="S37" s="6">
        <f>S$1*'survival matrix'!S37</f>
        <v>43945.703655198158</v>
      </c>
      <c r="T37" s="6">
        <f>T$1*'survival matrix'!T37</f>
        <v>47756.465872367276</v>
      </c>
      <c r="U37" s="6">
        <f>U$1*'survival matrix'!U37</f>
        <v>51595.017262025402</v>
      </c>
      <c r="V37" s="6">
        <f>V$1*'survival matrix'!V37</f>
        <v>55445.810766137714</v>
      </c>
      <c r="W37" s="6">
        <f>W$1*'survival matrix'!W37</f>
        <v>59311.371264823247</v>
      </c>
      <c r="X37" s="6">
        <f>X$1*'survival matrix'!X37</f>
        <v>63185.516263835452</v>
      </c>
      <c r="Y37" s="6">
        <f>Y$1*'survival matrix'!Y37</f>
        <v>67058.68457701274</v>
      </c>
      <c r="Z37" s="6">
        <f>Z$1*'survival matrix'!Z37</f>
        <v>70931.080326475581</v>
      </c>
      <c r="AA37" s="6">
        <f>AA$1*'survival matrix'!AA37</f>
        <v>74799.537509145724</v>
      </c>
      <c r="AB37" s="6">
        <f>AB$1*'survival matrix'!AB37</f>
        <v>78651.950996710366</v>
      </c>
      <c r="AC37" s="6">
        <f>AC$1*'survival matrix'!AC37</f>
        <v>82822.257382029071</v>
      </c>
      <c r="AD37" s="6">
        <f>AD$1*'survival matrix'!AD37</f>
        <v>87716.370681775588</v>
      </c>
      <c r="AE37" s="6">
        <f>AE$1*'survival matrix'!AE37</f>
        <v>92529.038371298273</v>
      </c>
      <c r="AF37" s="6">
        <f>AF$1*'survival matrix'!AF37</f>
        <v>96402.298560450465</v>
      </c>
      <c r="AG37" s="6">
        <f>AG$1*'survival matrix'!AG37</f>
        <v>100543.10422821454</v>
      </c>
      <c r="AH37" s="6">
        <f>AH$1*'survival matrix'!AH37</f>
        <v>104314.74929010725</v>
      </c>
      <c r="AI37" s="6">
        <f>AI$1*'survival matrix'!AI37</f>
        <v>110332.38891295587</v>
      </c>
      <c r="AJ37" s="6">
        <f>AJ$1*'survival matrix'!AJ37</f>
        <v>114526.21488561123</v>
      </c>
      <c r="AK37" s="6">
        <f>AK$1*'survival matrix'!AK37</f>
        <v>118157.8902673496</v>
      </c>
      <c r="AL37" s="6">
        <f>AL$1*'survival matrix'!AL37</f>
        <v>121930.62502463168</v>
      </c>
      <c r="AM37" s="6">
        <f>AM$1*'survival matrix'!AM37</f>
        <v>125864.17079166164</v>
      </c>
      <c r="AN37" s="6">
        <f>AN$1*'survival matrix'!AN37</f>
        <v>128479.42077699999</v>
      </c>
      <c r="AO37" s="6">
        <f>AO$1*'survival matrix'!AO37</f>
        <v>0</v>
      </c>
      <c r="AP37" s="6">
        <f>AP$1*'survival matrix'!AP37</f>
        <v>0</v>
      </c>
      <c r="AQ37" s="6">
        <f>AQ$1*'survival matrix'!AQ37</f>
        <v>0</v>
      </c>
      <c r="AR37" s="6">
        <f>AR$1*'survival matrix'!AR37</f>
        <v>0</v>
      </c>
      <c r="AS37" s="6">
        <f>AS$1*'survival matrix'!AS37</f>
        <v>0</v>
      </c>
      <c r="AT37" s="6">
        <f>AT$1*'survival matrix'!AT37</f>
        <v>0</v>
      </c>
      <c r="AU37" s="6">
        <f>AU$1*'survival matrix'!AU37</f>
        <v>0</v>
      </c>
      <c r="AV37" s="6">
        <f>AV$1*'survival matrix'!AV37</f>
        <v>0</v>
      </c>
      <c r="AW37" s="6">
        <f>AW$1*'survival matrix'!AW37</f>
        <v>0</v>
      </c>
      <c r="AX37" s="6">
        <f>AX$1*'survival matrix'!AX37</f>
        <v>0</v>
      </c>
      <c r="AY37" s="6">
        <f>AY$1*'survival matrix'!AY37</f>
        <v>0</v>
      </c>
      <c r="AZ37" s="6">
        <f>AZ$1*'survival matrix'!AZ37</f>
        <v>0</v>
      </c>
      <c r="BA37" s="6">
        <f>BA$1*'survival matrix'!BA37</f>
        <v>0</v>
      </c>
      <c r="BB37" s="6">
        <f>BB$1*'survival matrix'!BB37</f>
        <v>0</v>
      </c>
      <c r="BC37" s="6">
        <f>BC$1*'survival matrix'!BC37</f>
        <v>0</v>
      </c>
      <c r="BD37" s="6">
        <f>BD$1*'survival matrix'!BD37</f>
        <v>0</v>
      </c>
      <c r="BE37" s="6">
        <f>BE$1*'survival matrix'!BE37</f>
        <v>0</v>
      </c>
      <c r="BF37" s="6">
        <f>BF$1*'survival matrix'!BF37</f>
        <v>0</v>
      </c>
      <c r="BG37" s="6">
        <f>BG$1*'survival matrix'!BG37</f>
        <v>0</v>
      </c>
      <c r="BH37" s="6">
        <f>BH$1*'survival matrix'!BH37</f>
        <v>0</v>
      </c>
      <c r="BI37" s="6">
        <f>BI$1*'survival matrix'!BI37</f>
        <v>0</v>
      </c>
      <c r="BJ37" s="6">
        <f>BJ$1*'survival matrix'!BJ37</f>
        <v>0</v>
      </c>
      <c r="BK37" s="6">
        <f>BK$1*'survival matrix'!BK37</f>
        <v>0</v>
      </c>
      <c r="BL37" s="6">
        <f>BL$1*'survival matrix'!BL37</f>
        <v>0</v>
      </c>
      <c r="BM37" s="6">
        <f>BM$1*'survival matrix'!BM37</f>
        <v>0</v>
      </c>
      <c r="BN37" s="6">
        <f>BN$1*'survival matrix'!BN37</f>
        <v>0</v>
      </c>
      <c r="BO37" s="6">
        <f>BO$1*'survival matrix'!BO37</f>
        <v>0</v>
      </c>
      <c r="BP37" s="6">
        <f>BP$1*'survival matrix'!BP37</f>
        <v>0</v>
      </c>
      <c r="BQ37" s="6">
        <f>BQ$1*'survival matrix'!BQ37</f>
        <v>0</v>
      </c>
      <c r="BR37" s="6">
        <f>BR$1*'survival matrix'!BR37</f>
        <v>0</v>
      </c>
      <c r="BS37" s="6">
        <f>BS$1*'survival matrix'!BS37</f>
        <v>0</v>
      </c>
      <c r="BT37" s="6">
        <f>BT$1*'survival matrix'!BT37</f>
        <v>0</v>
      </c>
      <c r="BU37" s="6">
        <f>BU$1*'survival matrix'!BU37</f>
        <v>0</v>
      </c>
      <c r="BV37" s="6">
        <f>BV$1*'survival matrix'!BV37</f>
        <v>0</v>
      </c>
      <c r="BW37" s="6">
        <f>BW$1*'survival matrix'!BW37</f>
        <v>0</v>
      </c>
      <c r="BX37" s="6">
        <f>BX$1*'survival matrix'!BX37</f>
        <v>0</v>
      </c>
      <c r="BY37" s="6">
        <f>BY$1*'survival matrix'!BY37</f>
        <v>0</v>
      </c>
      <c r="BZ37" s="6">
        <f>BZ$1*'survival matrix'!BZ37</f>
        <v>0</v>
      </c>
      <c r="CA37" s="6">
        <f>CA$1*'survival matrix'!CA37</f>
        <v>0</v>
      </c>
      <c r="CB37" s="6">
        <f>CB$1*'survival matrix'!CB37</f>
        <v>0</v>
      </c>
      <c r="CC37" s="6">
        <f>CC$1*'survival matrix'!CC37</f>
        <v>0</v>
      </c>
      <c r="CD37" s="6">
        <f>CD$1*'survival matrix'!CD37</f>
        <v>0</v>
      </c>
      <c r="CE37" s="6">
        <f>CE$1*'survival matrix'!CE37</f>
        <v>0</v>
      </c>
      <c r="CF37" s="6">
        <f>CF$1*'survival matrix'!CF37</f>
        <v>0</v>
      </c>
      <c r="CG37" s="6">
        <f>CG$1*'survival matrix'!CG37</f>
        <v>0</v>
      </c>
      <c r="CH37" s="6">
        <f>CH$1*'survival matrix'!CH37</f>
        <v>0</v>
      </c>
      <c r="CI37" s="6">
        <f>CI$1*'survival matrix'!CI37</f>
        <v>0</v>
      </c>
      <c r="CJ37" s="6">
        <f>CJ$1*'survival matrix'!CJ37</f>
        <v>0</v>
      </c>
      <c r="CK37" s="6">
        <f>CK$1*'survival matrix'!CK37</f>
        <v>0</v>
      </c>
      <c r="CL37" s="6">
        <f>CL$1*'survival matrix'!CL37</f>
        <v>0</v>
      </c>
      <c r="CM37" s="6">
        <f>CM$1*'survival matrix'!CM37</f>
        <v>0</v>
      </c>
      <c r="CN37" s="6">
        <f>CN$1*'survival matrix'!CN37</f>
        <v>0</v>
      </c>
      <c r="CO37" s="6">
        <f>CO$1*'survival matrix'!CO37</f>
        <v>0</v>
      </c>
      <c r="CP37" s="6">
        <f>CP$1*'survival matrix'!CP37</f>
        <v>0</v>
      </c>
      <c r="CQ37" s="6">
        <f>CQ$1*'survival matrix'!CQ37</f>
        <v>0</v>
      </c>
      <c r="CR37" s="6">
        <f>CR$1*'survival matrix'!CR37</f>
        <v>0</v>
      </c>
      <c r="CS37" s="6">
        <f>CS$1*'survival matrix'!CS37</f>
        <v>0</v>
      </c>
      <c r="CT37" s="6">
        <f>CT$1*'survival matrix'!CT37</f>
        <v>0</v>
      </c>
      <c r="CU37" s="6">
        <f>CU$1*'survival matrix'!CU37</f>
        <v>0</v>
      </c>
      <c r="CV37" s="6">
        <f>CV$1*'survival matrix'!CV37</f>
        <v>0</v>
      </c>
      <c r="CW37" s="6">
        <f>CW$1*'survival matrix'!CW37</f>
        <v>0</v>
      </c>
      <c r="CX37" s="6">
        <f>CX$1*'survival matrix'!CX37</f>
        <v>0</v>
      </c>
      <c r="CY37" s="6">
        <f>CY$1*'survival matrix'!CY37</f>
        <v>0</v>
      </c>
      <c r="CZ37" s="6">
        <f>CZ$1*'survival matrix'!CZ37</f>
        <v>0</v>
      </c>
      <c r="DA37" s="6">
        <f>DA$1*'survival matrix'!DA37</f>
        <v>0</v>
      </c>
      <c r="DB37" s="6">
        <f>DB$1*'survival matrix'!DB37</f>
        <v>0</v>
      </c>
      <c r="DC37" s="6">
        <f>DC$1*'survival matrix'!DC37</f>
        <v>0</v>
      </c>
      <c r="DD37" s="6">
        <f>DD$1*'survival matrix'!DD37</f>
        <v>0</v>
      </c>
      <c r="DE37" s="6">
        <f>DE$1*'survival matrix'!DE37</f>
        <v>0</v>
      </c>
      <c r="DF37" s="6">
        <f>DF$1*'survival matrix'!DF37</f>
        <v>0</v>
      </c>
      <c r="DG37" s="6">
        <f>DG$1*'survival matrix'!DG37</f>
        <v>0</v>
      </c>
      <c r="DH37" s="6">
        <f>DH$1*'survival matrix'!DH37</f>
        <v>0</v>
      </c>
      <c r="DI37" s="6">
        <f>DI$1*'survival matrix'!DI37</f>
        <v>0</v>
      </c>
      <c r="DJ37" s="6">
        <f>DJ$1*'survival matrix'!DJ37</f>
        <v>0</v>
      </c>
      <c r="DK37" s="6">
        <f>DK$1*'survival matrix'!DK37</f>
        <v>0</v>
      </c>
      <c r="DL37" s="6">
        <f>DL$1*'survival matrix'!DL37</f>
        <v>0</v>
      </c>
      <c r="DM37" s="6">
        <f>DM$1*'survival matrix'!DM37</f>
        <v>0</v>
      </c>
      <c r="DN37" s="6">
        <f>DN$1*'survival matrix'!DN37</f>
        <v>0</v>
      </c>
      <c r="DO37" s="6">
        <f>DO$1*'survival matrix'!DO37</f>
        <v>0</v>
      </c>
      <c r="DP37" s="6">
        <f>DP$1*'survival matrix'!DP37</f>
        <v>0</v>
      </c>
      <c r="DQ37" s="6">
        <f>DQ$1*'survival matrix'!DQ37</f>
        <v>0</v>
      </c>
      <c r="DR37" s="6">
        <f>DR$1*'survival matrix'!DR37</f>
        <v>0</v>
      </c>
      <c r="DS37" s="6">
        <f>DS$1*'survival matrix'!DS37</f>
        <v>0</v>
      </c>
      <c r="DT37" s="6">
        <f>DT$1*'survival matrix'!DT37</f>
        <v>0</v>
      </c>
      <c r="DU37" s="6">
        <f>DU$1*'survival matrix'!DU37</f>
        <v>0</v>
      </c>
      <c r="DV37" s="6">
        <f>DV$1*'survival matrix'!DV37</f>
        <v>0</v>
      </c>
      <c r="DW37" s="6">
        <f>DW$1*'survival matrix'!DW37</f>
        <v>0</v>
      </c>
      <c r="DX37" s="6">
        <f>DX$1*'survival matrix'!DX37</f>
        <v>0</v>
      </c>
      <c r="DY37" s="6">
        <f>DY$1*'survival matrix'!DY37</f>
        <v>0</v>
      </c>
      <c r="DZ37" s="6">
        <f>DZ$1*'survival matrix'!DZ37</f>
        <v>0</v>
      </c>
      <c r="EA37" s="6">
        <f>EA$1*'survival matrix'!EA37</f>
        <v>0</v>
      </c>
      <c r="EB37" s="6">
        <f>EB$1*'survival matrix'!EB37</f>
        <v>0</v>
      </c>
      <c r="EC37" s="6">
        <f>EC$1*'survival matrix'!EC37</f>
        <v>0</v>
      </c>
    </row>
    <row r="38" spans="1:133">
      <c r="A38" s="12">
        <f>'data input'!C38-B38</f>
        <v>11484.31559786461</v>
      </c>
      <c r="B38" s="14">
        <f t="shared" si="2"/>
        <v>119584.08537991345</v>
      </c>
      <c r="C38" s="11">
        <f>SUM(F38:EC38)</f>
        <v>2273632.5194310574</v>
      </c>
      <c r="E38" s="7">
        <f>'data input'!B38</f>
        <v>1913</v>
      </c>
      <c r="F38" s="6">
        <f>F$1*'survival matrix'!F38</f>
        <v>2100.4046556406092</v>
      </c>
      <c r="G38" s="6">
        <f>G$1*'survival matrix'!G38</f>
        <v>4396.6531574194942</v>
      </c>
      <c r="H38" s="6">
        <f>H$1*'survival matrix'!H38</f>
        <v>6874.5692301311701</v>
      </c>
      <c r="I38" s="6">
        <f>I$1*'survival matrix'!I38</f>
        <v>9533.1429465497367</v>
      </c>
      <c r="J38" s="6">
        <f>J$1*'survival matrix'!J38</f>
        <v>12360.766792072132</v>
      </c>
      <c r="K38" s="6">
        <f>K$1*'survival matrix'!K38</f>
        <v>15347.026824032366</v>
      </c>
      <c r="L38" s="6">
        <f>L$1*'survival matrix'!L38</f>
        <v>18485.429870413354</v>
      </c>
      <c r="M38" s="6">
        <f>M$1*'survival matrix'!M38</f>
        <v>21760.186510057036</v>
      </c>
      <c r="N38" s="6">
        <f>N$1*'survival matrix'!N38</f>
        <v>25148.593946414465</v>
      </c>
      <c r="O38" s="6">
        <f>O$1*'survival matrix'!O38</f>
        <v>28631.268888779166</v>
      </c>
      <c r="P38" s="6">
        <f>P$1*'survival matrix'!P38</f>
        <v>32206.478319247875</v>
      </c>
      <c r="Q38" s="6">
        <f>Q$1*'survival matrix'!Q38</f>
        <v>35870.044018034641</v>
      </c>
      <c r="R38" s="6">
        <f>R$1*'survival matrix'!R38</f>
        <v>39608.011421359202</v>
      </c>
      <c r="S38" s="6">
        <f>S$1*'survival matrix'!S38</f>
        <v>43401.483285937466</v>
      </c>
      <c r="T38" s="6">
        <f>T$1*'survival matrix'!T38</f>
        <v>47230.823443495967</v>
      </c>
      <c r="U38" s="6">
        <f>U$1*'survival matrix'!U38</f>
        <v>51092.466580042696</v>
      </c>
      <c r="V38" s="6">
        <f>V$1*'survival matrix'!V38</f>
        <v>54970.014578031456</v>
      </c>
      <c r="W38" s="6">
        <f>W$1*'survival matrix'!W38</f>
        <v>58865.005734447244</v>
      </c>
      <c r="X38" s="6">
        <f>X$1*'survival matrix'!X38</f>
        <v>62770.421546143974</v>
      </c>
      <c r="Y38" s="6">
        <f>Y$1*'survival matrix'!Y38</f>
        <v>66675.95096751918</v>
      </c>
      <c r="Z38" s="6">
        <f>Z$1*'survival matrix'!Z38</f>
        <v>70581.066068123051</v>
      </c>
      <c r="AA38" s="6">
        <f>AA$1*'survival matrix'!AA38</f>
        <v>74481.985695805444</v>
      </c>
      <c r="AB38" s="6">
        <f>AB$1*'survival matrix'!AB38</f>
        <v>78366.115323400343</v>
      </c>
      <c r="AC38" s="6">
        <f>AC$1*'survival matrix'!AC38</f>
        <v>82565.904422946071</v>
      </c>
      <c r="AD38" s="6">
        <f>AD$1*'survival matrix'!AD38</f>
        <v>87486.321692905913</v>
      </c>
      <c r="AE38" s="6">
        <f>AE$1*'survival matrix'!AE38</f>
        <v>92324.486380008544</v>
      </c>
      <c r="AF38" s="6">
        <f>AF$1*'survival matrix'!AF38</f>
        <v>96223.603456606739</v>
      </c>
      <c r="AG38" s="6">
        <f>AG$1*'survival matrix'!AG38</f>
        <v>100387.66192817302</v>
      </c>
      <c r="AH38" s="6">
        <f>AH$1*'survival matrix'!AH38</f>
        <v>104180.95822277533</v>
      </c>
      <c r="AI38" s="6">
        <f>AI$1*'survival matrix'!AI38</f>
        <v>110215.62607156199</v>
      </c>
      <c r="AJ38" s="6">
        <f>AJ$1*'survival matrix'!AJ38</f>
        <v>114426.75051982734</v>
      </c>
      <c r="AK38" s="6">
        <f>AK$1*'survival matrix'!AK38</f>
        <v>118074.13465130719</v>
      </c>
      <c r="AL38" s="6">
        <f>AL$1*'survival matrix'!AL38</f>
        <v>121860.46837449801</v>
      </c>
      <c r="AM38" s="6">
        <f>AM$1*'survival matrix'!AM38</f>
        <v>125805.70936326112</v>
      </c>
      <c r="AN38" s="6">
        <f>AN$1*'survival matrix'!AN38</f>
        <v>128431.51254279897</v>
      </c>
      <c r="AO38" s="6">
        <f>AO$1*'survival matrix'!AO38</f>
        <v>130891.47200128925</v>
      </c>
      <c r="AP38" s="6">
        <f>AP$1*'survival matrix'!AP38</f>
        <v>0</v>
      </c>
      <c r="AQ38" s="6">
        <f>AQ$1*'survival matrix'!AQ38</f>
        <v>0</v>
      </c>
      <c r="AR38" s="6">
        <f>AR$1*'survival matrix'!AR38</f>
        <v>0</v>
      </c>
      <c r="AS38" s="6">
        <f>AS$1*'survival matrix'!AS38</f>
        <v>0</v>
      </c>
      <c r="AT38" s="6">
        <f>AT$1*'survival matrix'!AT38</f>
        <v>0</v>
      </c>
      <c r="AU38" s="6">
        <f>AU$1*'survival matrix'!AU38</f>
        <v>0</v>
      </c>
      <c r="AV38" s="6">
        <f>AV$1*'survival matrix'!AV38</f>
        <v>0</v>
      </c>
      <c r="AW38" s="6">
        <f>AW$1*'survival matrix'!AW38</f>
        <v>0</v>
      </c>
      <c r="AX38" s="6">
        <f>AX$1*'survival matrix'!AX38</f>
        <v>0</v>
      </c>
      <c r="AY38" s="6">
        <f>AY$1*'survival matrix'!AY38</f>
        <v>0</v>
      </c>
      <c r="AZ38" s="6">
        <f>AZ$1*'survival matrix'!AZ38</f>
        <v>0</v>
      </c>
      <c r="BA38" s="6">
        <f>BA$1*'survival matrix'!BA38</f>
        <v>0</v>
      </c>
      <c r="BB38" s="6">
        <f>BB$1*'survival matrix'!BB38</f>
        <v>0</v>
      </c>
      <c r="BC38" s="6">
        <f>BC$1*'survival matrix'!BC38</f>
        <v>0</v>
      </c>
      <c r="BD38" s="6">
        <f>BD$1*'survival matrix'!BD38</f>
        <v>0</v>
      </c>
      <c r="BE38" s="6">
        <f>BE$1*'survival matrix'!BE38</f>
        <v>0</v>
      </c>
      <c r="BF38" s="6">
        <f>BF$1*'survival matrix'!BF38</f>
        <v>0</v>
      </c>
      <c r="BG38" s="6">
        <f>BG$1*'survival matrix'!BG38</f>
        <v>0</v>
      </c>
      <c r="BH38" s="6">
        <f>BH$1*'survival matrix'!BH38</f>
        <v>0</v>
      </c>
      <c r="BI38" s="6">
        <f>BI$1*'survival matrix'!BI38</f>
        <v>0</v>
      </c>
      <c r="BJ38" s="6">
        <f>BJ$1*'survival matrix'!BJ38</f>
        <v>0</v>
      </c>
      <c r="BK38" s="6">
        <f>BK$1*'survival matrix'!BK38</f>
        <v>0</v>
      </c>
      <c r="BL38" s="6">
        <f>BL$1*'survival matrix'!BL38</f>
        <v>0</v>
      </c>
      <c r="BM38" s="6">
        <f>BM$1*'survival matrix'!BM38</f>
        <v>0</v>
      </c>
      <c r="BN38" s="6">
        <f>BN$1*'survival matrix'!BN38</f>
        <v>0</v>
      </c>
      <c r="BO38" s="6">
        <f>BO$1*'survival matrix'!BO38</f>
        <v>0</v>
      </c>
      <c r="BP38" s="6">
        <f>BP$1*'survival matrix'!BP38</f>
        <v>0</v>
      </c>
      <c r="BQ38" s="6">
        <f>BQ$1*'survival matrix'!BQ38</f>
        <v>0</v>
      </c>
      <c r="BR38" s="6">
        <f>BR$1*'survival matrix'!BR38</f>
        <v>0</v>
      </c>
      <c r="BS38" s="6">
        <f>BS$1*'survival matrix'!BS38</f>
        <v>0</v>
      </c>
      <c r="BT38" s="6">
        <f>BT$1*'survival matrix'!BT38</f>
        <v>0</v>
      </c>
      <c r="BU38" s="6">
        <f>BU$1*'survival matrix'!BU38</f>
        <v>0</v>
      </c>
      <c r="BV38" s="6">
        <f>BV$1*'survival matrix'!BV38</f>
        <v>0</v>
      </c>
      <c r="BW38" s="6">
        <f>BW$1*'survival matrix'!BW38</f>
        <v>0</v>
      </c>
      <c r="BX38" s="6">
        <f>BX$1*'survival matrix'!BX38</f>
        <v>0</v>
      </c>
      <c r="BY38" s="6">
        <f>BY$1*'survival matrix'!BY38</f>
        <v>0</v>
      </c>
      <c r="BZ38" s="6">
        <f>BZ$1*'survival matrix'!BZ38</f>
        <v>0</v>
      </c>
      <c r="CA38" s="6">
        <f>CA$1*'survival matrix'!CA38</f>
        <v>0</v>
      </c>
      <c r="CB38" s="6">
        <f>CB$1*'survival matrix'!CB38</f>
        <v>0</v>
      </c>
      <c r="CC38" s="6">
        <f>CC$1*'survival matrix'!CC38</f>
        <v>0</v>
      </c>
      <c r="CD38" s="6">
        <f>CD$1*'survival matrix'!CD38</f>
        <v>0</v>
      </c>
      <c r="CE38" s="6">
        <f>CE$1*'survival matrix'!CE38</f>
        <v>0</v>
      </c>
      <c r="CF38" s="6">
        <f>CF$1*'survival matrix'!CF38</f>
        <v>0</v>
      </c>
      <c r="CG38" s="6">
        <f>CG$1*'survival matrix'!CG38</f>
        <v>0</v>
      </c>
      <c r="CH38" s="6">
        <f>CH$1*'survival matrix'!CH38</f>
        <v>0</v>
      </c>
      <c r="CI38" s="6">
        <f>CI$1*'survival matrix'!CI38</f>
        <v>0</v>
      </c>
      <c r="CJ38" s="6">
        <f>CJ$1*'survival matrix'!CJ38</f>
        <v>0</v>
      </c>
      <c r="CK38" s="6">
        <f>CK$1*'survival matrix'!CK38</f>
        <v>0</v>
      </c>
      <c r="CL38" s="6">
        <f>CL$1*'survival matrix'!CL38</f>
        <v>0</v>
      </c>
      <c r="CM38" s="6">
        <f>CM$1*'survival matrix'!CM38</f>
        <v>0</v>
      </c>
      <c r="CN38" s="6">
        <f>CN$1*'survival matrix'!CN38</f>
        <v>0</v>
      </c>
      <c r="CO38" s="6">
        <f>CO$1*'survival matrix'!CO38</f>
        <v>0</v>
      </c>
      <c r="CP38" s="6">
        <f>CP$1*'survival matrix'!CP38</f>
        <v>0</v>
      </c>
      <c r="CQ38" s="6">
        <f>CQ$1*'survival matrix'!CQ38</f>
        <v>0</v>
      </c>
      <c r="CR38" s="6">
        <f>CR$1*'survival matrix'!CR38</f>
        <v>0</v>
      </c>
      <c r="CS38" s="6">
        <f>CS$1*'survival matrix'!CS38</f>
        <v>0</v>
      </c>
      <c r="CT38" s="6">
        <f>CT$1*'survival matrix'!CT38</f>
        <v>0</v>
      </c>
      <c r="CU38" s="6">
        <f>CU$1*'survival matrix'!CU38</f>
        <v>0</v>
      </c>
      <c r="CV38" s="6">
        <f>CV$1*'survival matrix'!CV38</f>
        <v>0</v>
      </c>
      <c r="CW38" s="6">
        <f>CW$1*'survival matrix'!CW38</f>
        <v>0</v>
      </c>
      <c r="CX38" s="6">
        <f>CX$1*'survival matrix'!CX38</f>
        <v>0</v>
      </c>
      <c r="CY38" s="6">
        <f>CY$1*'survival matrix'!CY38</f>
        <v>0</v>
      </c>
      <c r="CZ38" s="6">
        <f>CZ$1*'survival matrix'!CZ38</f>
        <v>0</v>
      </c>
      <c r="DA38" s="6">
        <f>DA$1*'survival matrix'!DA38</f>
        <v>0</v>
      </c>
      <c r="DB38" s="6">
        <f>DB$1*'survival matrix'!DB38</f>
        <v>0</v>
      </c>
      <c r="DC38" s="6">
        <f>DC$1*'survival matrix'!DC38</f>
        <v>0</v>
      </c>
      <c r="DD38" s="6">
        <f>DD$1*'survival matrix'!DD38</f>
        <v>0</v>
      </c>
      <c r="DE38" s="6">
        <f>DE$1*'survival matrix'!DE38</f>
        <v>0</v>
      </c>
      <c r="DF38" s="6">
        <f>DF$1*'survival matrix'!DF38</f>
        <v>0</v>
      </c>
      <c r="DG38" s="6">
        <f>DG$1*'survival matrix'!DG38</f>
        <v>0</v>
      </c>
      <c r="DH38" s="6">
        <f>DH$1*'survival matrix'!DH38</f>
        <v>0</v>
      </c>
      <c r="DI38" s="6">
        <f>DI$1*'survival matrix'!DI38</f>
        <v>0</v>
      </c>
      <c r="DJ38" s="6">
        <f>DJ$1*'survival matrix'!DJ38</f>
        <v>0</v>
      </c>
      <c r="DK38" s="6">
        <f>DK$1*'survival matrix'!DK38</f>
        <v>0</v>
      </c>
      <c r="DL38" s="6">
        <f>DL$1*'survival matrix'!DL38</f>
        <v>0</v>
      </c>
      <c r="DM38" s="6">
        <f>DM$1*'survival matrix'!DM38</f>
        <v>0</v>
      </c>
      <c r="DN38" s="6">
        <f>DN$1*'survival matrix'!DN38</f>
        <v>0</v>
      </c>
      <c r="DO38" s="6">
        <f>DO$1*'survival matrix'!DO38</f>
        <v>0</v>
      </c>
      <c r="DP38" s="6">
        <f>DP$1*'survival matrix'!DP38</f>
        <v>0</v>
      </c>
      <c r="DQ38" s="6">
        <f>DQ$1*'survival matrix'!DQ38</f>
        <v>0</v>
      </c>
      <c r="DR38" s="6">
        <f>DR$1*'survival matrix'!DR38</f>
        <v>0</v>
      </c>
      <c r="DS38" s="6">
        <f>DS$1*'survival matrix'!DS38</f>
        <v>0</v>
      </c>
      <c r="DT38" s="6">
        <f>DT$1*'survival matrix'!DT38</f>
        <v>0</v>
      </c>
      <c r="DU38" s="6">
        <f>DU$1*'survival matrix'!DU38</f>
        <v>0</v>
      </c>
      <c r="DV38" s="6">
        <f>DV$1*'survival matrix'!DV38</f>
        <v>0</v>
      </c>
      <c r="DW38" s="6">
        <f>DW$1*'survival matrix'!DW38</f>
        <v>0</v>
      </c>
      <c r="DX38" s="6">
        <f>DX$1*'survival matrix'!DX38</f>
        <v>0</v>
      </c>
      <c r="DY38" s="6">
        <f>DY$1*'survival matrix'!DY38</f>
        <v>0</v>
      </c>
      <c r="DZ38" s="6">
        <f>DZ$1*'survival matrix'!DZ38</f>
        <v>0</v>
      </c>
      <c r="EA38" s="6">
        <f>EA$1*'survival matrix'!EA38</f>
        <v>0</v>
      </c>
      <c r="EB38" s="6">
        <f>EB$1*'survival matrix'!EB38</f>
        <v>0</v>
      </c>
      <c r="EC38" s="6">
        <f>EC$1*'survival matrix'!EC38</f>
        <v>0</v>
      </c>
    </row>
    <row r="39" spans="1:133">
      <c r="A39" s="12">
        <f>'data input'!C39-B39</f>
        <v>12804.018875269918</v>
      </c>
      <c r="B39" s="14">
        <f t="shared" si="2"/>
        <v>120091.6460430976</v>
      </c>
      <c r="C39" s="11">
        <f>SUM(F39:EC39)</f>
        <v>2393724.165474155</v>
      </c>
      <c r="E39" s="7">
        <f>'data input'!B39</f>
        <v>1914</v>
      </c>
      <c r="F39" s="6">
        <f>F$1*'survival matrix'!F39</f>
        <v>2008.5496024089541</v>
      </c>
      <c r="G39" s="6">
        <f>G$1*'survival matrix'!G39</f>
        <v>4217.3329779010592</v>
      </c>
      <c r="H39" s="6">
        <f>H$1*'survival matrix'!H39</f>
        <v>6613.7704784434882</v>
      </c>
      <c r="I39" s="6">
        <f>I$1*'survival matrix'!I39</f>
        <v>9197.6789374256023</v>
      </c>
      <c r="J39" s="6">
        <f>J$1*'survival matrix'!J39</f>
        <v>11958.465712882749</v>
      </c>
      <c r="K39" s="6">
        <f>K$1*'survival matrix'!K39</f>
        <v>14886.430462031005</v>
      </c>
      <c r="L39" s="6">
        <f>L$1*'survival matrix'!L39</f>
        <v>17975.443865705027</v>
      </c>
      <c r="M39" s="6">
        <f>M$1*'survival matrix'!M39</f>
        <v>21210.123398732372</v>
      </c>
      <c r="N39" s="6">
        <f>N$1*'survival matrix'!N39</f>
        <v>24568.070431393022</v>
      </c>
      <c r="O39" s="6">
        <f>O$1*'survival matrix'!O39</f>
        <v>28029.84062422542</v>
      </c>
      <c r="P39" s="6">
        <f>P$1*'survival matrix'!P39</f>
        <v>31593.06897046962</v>
      </c>
      <c r="Q39" s="6">
        <f>Q$1*'survival matrix'!Q39</f>
        <v>35252.915289777222</v>
      </c>
      <c r="R39" s="6">
        <f>R$1*'survival matrix'!R39</f>
        <v>38994.838742775159</v>
      </c>
      <c r="S39" s="6">
        <f>S$1*'survival matrix'!S39</f>
        <v>42799.303040541199</v>
      </c>
      <c r="T39" s="6">
        <f>T$1*'survival matrix'!T39</f>
        <v>46645.92039184428</v>
      </c>
      <c r="U39" s="6">
        <f>U$1*'survival matrix'!U39</f>
        <v>50530.105698859908</v>
      </c>
      <c r="V39" s="6">
        <f>V$1*'survival matrix'!V39</f>
        <v>54434.590427003568</v>
      </c>
      <c r="W39" s="6">
        <f>W$1*'survival matrix'!W39</f>
        <v>58359.868467009037</v>
      </c>
      <c r="X39" s="6">
        <f>X$1*'survival matrix'!X39</f>
        <v>62298.02389443115</v>
      </c>
      <c r="Y39" s="6">
        <f>Y$1*'survival matrix'!Y39</f>
        <v>66237.92597887927</v>
      </c>
      <c r="Z39" s="6">
        <f>Z$1*'survival matrix'!Z39</f>
        <v>70178.228667590214</v>
      </c>
      <c r="AA39" s="6">
        <f>AA$1*'survival matrix'!AA39</f>
        <v>74114.449252486811</v>
      </c>
      <c r="AB39" s="6">
        <f>AB$1*'survival matrix'!AB39</f>
        <v>78033.422062799145</v>
      </c>
      <c r="AC39" s="6">
        <f>AC$1*'survival matrix'!AC39</f>
        <v>82265.844722148933</v>
      </c>
      <c r="AD39" s="6">
        <f>AD$1*'survival matrix'!AD39</f>
        <v>87215.532437044254</v>
      </c>
      <c r="AE39" s="6">
        <f>AE$1*'survival matrix'!AE39</f>
        <v>92082.351934926613</v>
      </c>
      <c r="AF39" s="6">
        <f>AF$1*'survival matrix'!AF39</f>
        <v>96010.883968297145</v>
      </c>
      <c r="AG39" s="6">
        <f>AG$1*'survival matrix'!AG39</f>
        <v>100201.57939756163</v>
      </c>
      <c r="AH39" s="6">
        <f>AH$1*'survival matrix'!AH39</f>
        <v>104019.89170418128</v>
      </c>
      <c r="AI39" s="6">
        <f>AI$1*'survival matrix'!AI39</f>
        <v>110074.2667110773</v>
      </c>
      <c r="AJ39" s="6">
        <f>AJ$1*'survival matrix'!AJ39</f>
        <v>114305.65468700978</v>
      </c>
      <c r="AK39" s="6">
        <f>AK$1*'survival matrix'!AK39</f>
        <v>117971.58896837945</v>
      </c>
      <c r="AL39" s="6">
        <f>AL$1*'survival matrix'!AL39</f>
        <v>121774.08820490605</v>
      </c>
      <c r="AM39" s="6">
        <f>AM$1*'survival matrix'!AM39</f>
        <v>125733.32306051861</v>
      </c>
      <c r="AN39" s="6">
        <f>AN$1*'survival matrix'!AN39</f>
        <v>128371.8586347196</v>
      </c>
      <c r="AO39" s="6">
        <f>AO$1*'survival matrix'!AO39</f>
        <v>130842.66434588707</v>
      </c>
      <c r="AP39" s="6">
        <f>AP$1*'survival matrix'!AP39</f>
        <v>132716.26932188205</v>
      </c>
      <c r="AQ39" s="6">
        <f>AQ$1*'survival matrix'!AQ39</f>
        <v>0</v>
      </c>
      <c r="AR39" s="6">
        <f>AR$1*'survival matrix'!AR39</f>
        <v>0</v>
      </c>
      <c r="AS39" s="6">
        <f>AS$1*'survival matrix'!AS39</f>
        <v>0</v>
      </c>
      <c r="AT39" s="6">
        <f>AT$1*'survival matrix'!AT39</f>
        <v>0</v>
      </c>
      <c r="AU39" s="6">
        <f>AU$1*'survival matrix'!AU39</f>
        <v>0</v>
      </c>
      <c r="AV39" s="6">
        <f>AV$1*'survival matrix'!AV39</f>
        <v>0</v>
      </c>
      <c r="AW39" s="6">
        <f>AW$1*'survival matrix'!AW39</f>
        <v>0</v>
      </c>
      <c r="AX39" s="6">
        <f>AX$1*'survival matrix'!AX39</f>
        <v>0</v>
      </c>
      <c r="AY39" s="6">
        <f>AY$1*'survival matrix'!AY39</f>
        <v>0</v>
      </c>
      <c r="AZ39" s="6">
        <f>AZ$1*'survival matrix'!AZ39</f>
        <v>0</v>
      </c>
      <c r="BA39" s="6">
        <f>BA$1*'survival matrix'!BA39</f>
        <v>0</v>
      </c>
      <c r="BB39" s="6">
        <f>BB$1*'survival matrix'!BB39</f>
        <v>0</v>
      </c>
      <c r="BC39" s="6">
        <f>BC$1*'survival matrix'!BC39</f>
        <v>0</v>
      </c>
      <c r="BD39" s="6">
        <f>BD$1*'survival matrix'!BD39</f>
        <v>0</v>
      </c>
      <c r="BE39" s="6">
        <f>BE$1*'survival matrix'!BE39</f>
        <v>0</v>
      </c>
      <c r="BF39" s="6">
        <f>BF$1*'survival matrix'!BF39</f>
        <v>0</v>
      </c>
      <c r="BG39" s="6">
        <f>BG$1*'survival matrix'!BG39</f>
        <v>0</v>
      </c>
      <c r="BH39" s="6">
        <f>BH$1*'survival matrix'!BH39</f>
        <v>0</v>
      </c>
      <c r="BI39" s="6">
        <f>BI$1*'survival matrix'!BI39</f>
        <v>0</v>
      </c>
      <c r="BJ39" s="6">
        <f>BJ$1*'survival matrix'!BJ39</f>
        <v>0</v>
      </c>
      <c r="BK39" s="6">
        <f>BK$1*'survival matrix'!BK39</f>
        <v>0</v>
      </c>
      <c r="BL39" s="6">
        <f>BL$1*'survival matrix'!BL39</f>
        <v>0</v>
      </c>
      <c r="BM39" s="6">
        <f>BM$1*'survival matrix'!BM39</f>
        <v>0</v>
      </c>
      <c r="BN39" s="6">
        <f>BN$1*'survival matrix'!BN39</f>
        <v>0</v>
      </c>
      <c r="BO39" s="6">
        <f>BO$1*'survival matrix'!BO39</f>
        <v>0</v>
      </c>
      <c r="BP39" s="6">
        <f>BP$1*'survival matrix'!BP39</f>
        <v>0</v>
      </c>
      <c r="BQ39" s="6">
        <f>BQ$1*'survival matrix'!BQ39</f>
        <v>0</v>
      </c>
      <c r="BR39" s="6">
        <f>BR$1*'survival matrix'!BR39</f>
        <v>0</v>
      </c>
      <c r="BS39" s="6">
        <f>BS$1*'survival matrix'!BS39</f>
        <v>0</v>
      </c>
      <c r="BT39" s="6">
        <f>BT$1*'survival matrix'!BT39</f>
        <v>0</v>
      </c>
      <c r="BU39" s="6">
        <f>BU$1*'survival matrix'!BU39</f>
        <v>0</v>
      </c>
      <c r="BV39" s="6">
        <f>BV$1*'survival matrix'!BV39</f>
        <v>0</v>
      </c>
      <c r="BW39" s="6">
        <f>BW$1*'survival matrix'!BW39</f>
        <v>0</v>
      </c>
      <c r="BX39" s="6">
        <f>BX$1*'survival matrix'!BX39</f>
        <v>0</v>
      </c>
      <c r="BY39" s="6">
        <f>BY$1*'survival matrix'!BY39</f>
        <v>0</v>
      </c>
      <c r="BZ39" s="6">
        <f>BZ$1*'survival matrix'!BZ39</f>
        <v>0</v>
      </c>
      <c r="CA39" s="6">
        <f>CA$1*'survival matrix'!CA39</f>
        <v>0</v>
      </c>
      <c r="CB39" s="6">
        <f>CB$1*'survival matrix'!CB39</f>
        <v>0</v>
      </c>
      <c r="CC39" s="6">
        <f>CC$1*'survival matrix'!CC39</f>
        <v>0</v>
      </c>
      <c r="CD39" s="6">
        <f>CD$1*'survival matrix'!CD39</f>
        <v>0</v>
      </c>
      <c r="CE39" s="6">
        <f>CE$1*'survival matrix'!CE39</f>
        <v>0</v>
      </c>
      <c r="CF39" s="6">
        <f>CF$1*'survival matrix'!CF39</f>
        <v>0</v>
      </c>
      <c r="CG39" s="6">
        <f>CG$1*'survival matrix'!CG39</f>
        <v>0</v>
      </c>
      <c r="CH39" s="6">
        <f>CH$1*'survival matrix'!CH39</f>
        <v>0</v>
      </c>
      <c r="CI39" s="6">
        <f>CI$1*'survival matrix'!CI39</f>
        <v>0</v>
      </c>
      <c r="CJ39" s="6">
        <f>CJ$1*'survival matrix'!CJ39</f>
        <v>0</v>
      </c>
      <c r="CK39" s="6">
        <f>CK$1*'survival matrix'!CK39</f>
        <v>0</v>
      </c>
      <c r="CL39" s="6">
        <f>CL$1*'survival matrix'!CL39</f>
        <v>0</v>
      </c>
      <c r="CM39" s="6">
        <f>CM$1*'survival matrix'!CM39</f>
        <v>0</v>
      </c>
      <c r="CN39" s="6">
        <f>CN$1*'survival matrix'!CN39</f>
        <v>0</v>
      </c>
      <c r="CO39" s="6">
        <f>CO$1*'survival matrix'!CO39</f>
        <v>0</v>
      </c>
      <c r="CP39" s="6">
        <f>CP$1*'survival matrix'!CP39</f>
        <v>0</v>
      </c>
      <c r="CQ39" s="6">
        <f>CQ$1*'survival matrix'!CQ39</f>
        <v>0</v>
      </c>
      <c r="CR39" s="6">
        <f>CR$1*'survival matrix'!CR39</f>
        <v>0</v>
      </c>
      <c r="CS39" s="6">
        <f>CS$1*'survival matrix'!CS39</f>
        <v>0</v>
      </c>
      <c r="CT39" s="6">
        <f>CT$1*'survival matrix'!CT39</f>
        <v>0</v>
      </c>
      <c r="CU39" s="6">
        <f>CU$1*'survival matrix'!CU39</f>
        <v>0</v>
      </c>
      <c r="CV39" s="6">
        <f>CV$1*'survival matrix'!CV39</f>
        <v>0</v>
      </c>
      <c r="CW39" s="6">
        <f>CW$1*'survival matrix'!CW39</f>
        <v>0</v>
      </c>
      <c r="CX39" s="6">
        <f>CX$1*'survival matrix'!CX39</f>
        <v>0</v>
      </c>
      <c r="CY39" s="6">
        <f>CY$1*'survival matrix'!CY39</f>
        <v>0</v>
      </c>
      <c r="CZ39" s="6">
        <f>CZ$1*'survival matrix'!CZ39</f>
        <v>0</v>
      </c>
      <c r="DA39" s="6">
        <f>DA$1*'survival matrix'!DA39</f>
        <v>0</v>
      </c>
      <c r="DB39" s="6">
        <f>DB$1*'survival matrix'!DB39</f>
        <v>0</v>
      </c>
      <c r="DC39" s="6">
        <f>DC$1*'survival matrix'!DC39</f>
        <v>0</v>
      </c>
      <c r="DD39" s="6">
        <f>DD$1*'survival matrix'!DD39</f>
        <v>0</v>
      </c>
      <c r="DE39" s="6">
        <f>DE$1*'survival matrix'!DE39</f>
        <v>0</v>
      </c>
      <c r="DF39" s="6">
        <f>DF$1*'survival matrix'!DF39</f>
        <v>0</v>
      </c>
      <c r="DG39" s="6">
        <f>DG$1*'survival matrix'!DG39</f>
        <v>0</v>
      </c>
      <c r="DH39" s="6">
        <f>DH$1*'survival matrix'!DH39</f>
        <v>0</v>
      </c>
      <c r="DI39" s="6">
        <f>DI$1*'survival matrix'!DI39</f>
        <v>0</v>
      </c>
      <c r="DJ39" s="6">
        <f>DJ$1*'survival matrix'!DJ39</f>
        <v>0</v>
      </c>
      <c r="DK39" s="6">
        <f>DK$1*'survival matrix'!DK39</f>
        <v>0</v>
      </c>
      <c r="DL39" s="6">
        <f>DL$1*'survival matrix'!DL39</f>
        <v>0</v>
      </c>
      <c r="DM39" s="6">
        <f>DM$1*'survival matrix'!DM39</f>
        <v>0</v>
      </c>
      <c r="DN39" s="6">
        <f>DN$1*'survival matrix'!DN39</f>
        <v>0</v>
      </c>
      <c r="DO39" s="6">
        <f>DO$1*'survival matrix'!DO39</f>
        <v>0</v>
      </c>
      <c r="DP39" s="6">
        <f>DP$1*'survival matrix'!DP39</f>
        <v>0</v>
      </c>
      <c r="DQ39" s="6">
        <f>DQ$1*'survival matrix'!DQ39</f>
        <v>0</v>
      </c>
      <c r="DR39" s="6">
        <f>DR$1*'survival matrix'!DR39</f>
        <v>0</v>
      </c>
      <c r="DS39" s="6">
        <f>DS$1*'survival matrix'!DS39</f>
        <v>0</v>
      </c>
      <c r="DT39" s="6">
        <f>DT$1*'survival matrix'!DT39</f>
        <v>0</v>
      </c>
      <c r="DU39" s="6">
        <f>DU$1*'survival matrix'!DU39</f>
        <v>0</v>
      </c>
      <c r="DV39" s="6">
        <f>DV$1*'survival matrix'!DV39</f>
        <v>0</v>
      </c>
      <c r="DW39" s="6">
        <f>DW$1*'survival matrix'!DW39</f>
        <v>0</v>
      </c>
      <c r="DX39" s="6">
        <f>DX$1*'survival matrix'!DX39</f>
        <v>0</v>
      </c>
      <c r="DY39" s="6">
        <f>DY$1*'survival matrix'!DY39</f>
        <v>0</v>
      </c>
      <c r="DZ39" s="6">
        <f>DZ$1*'survival matrix'!DZ39</f>
        <v>0</v>
      </c>
      <c r="EA39" s="6">
        <f>EA$1*'survival matrix'!EA39</f>
        <v>0</v>
      </c>
      <c r="EB39" s="6">
        <f>EB$1*'survival matrix'!EB39</f>
        <v>0</v>
      </c>
      <c r="EC39" s="6">
        <f>EC$1*'survival matrix'!EC39</f>
        <v>0</v>
      </c>
    </row>
    <row r="40" spans="1:133">
      <c r="A40" s="12">
        <f>'data input'!C40-B40</f>
        <v>14227.226655150938</v>
      </c>
      <c r="B40" s="14">
        <f t="shared" si="2"/>
        <v>121249.10440682899</v>
      </c>
      <c r="C40" s="11">
        <f>SUM(F40:EC40)</f>
        <v>2514973.269880984</v>
      </c>
      <c r="E40" s="7">
        <f>'data input'!B40</f>
        <v>1915</v>
      </c>
      <c r="F40" s="6">
        <f>F$1*'survival matrix'!F40</f>
        <v>1914.6053749318312</v>
      </c>
      <c r="G40" s="6">
        <f>G$1*'survival matrix'!G40</f>
        <v>4032.9002572153559</v>
      </c>
      <c r="H40" s="6">
        <f>H$1*'survival matrix'!H40</f>
        <v>6344.0238172844593</v>
      </c>
      <c r="I40" s="6">
        <f>I$1*'survival matrix'!I40</f>
        <v>8848.7489746882984</v>
      </c>
      <c r="J40" s="6">
        <f>J$1*'survival matrix'!J40</f>
        <v>11537.656450553472</v>
      </c>
      <c r="K40" s="6">
        <f>K$1*'survival matrix'!K40</f>
        <v>14401.9275876629</v>
      </c>
      <c r="L40" s="6">
        <f>L$1*'survival matrix'!L40</f>
        <v>17435.963212883176</v>
      </c>
      <c r="M40" s="6">
        <f>M$1*'survival matrix'!M40</f>
        <v>20624.967080090148</v>
      </c>
      <c r="N40" s="6">
        <f>N$1*'survival matrix'!N40</f>
        <v>23947.028453904011</v>
      </c>
      <c r="O40" s="6">
        <f>O$1*'survival matrix'!O40</f>
        <v>27382.807170214517</v>
      </c>
      <c r="P40" s="6">
        <f>P$1*'survival matrix'!P40</f>
        <v>30929.425150957202</v>
      </c>
      <c r="Q40" s="6">
        <f>Q$1*'survival matrix'!Q40</f>
        <v>34581.483051949661</v>
      </c>
      <c r="R40" s="6">
        <f>R$1*'survival matrix'!R40</f>
        <v>38323.949261016154</v>
      </c>
      <c r="S40" s="6">
        <f>S$1*'survival matrix'!S40</f>
        <v>42136.725891496382</v>
      </c>
      <c r="T40" s="6">
        <f>T$1*'survival matrix'!T40</f>
        <v>45998.724727971741</v>
      </c>
      <c r="U40" s="6">
        <f>U$1*'survival matrix'!U40</f>
        <v>49904.344577864351</v>
      </c>
      <c r="V40" s="6">
        <f>V$1*'survival matrix'!V40</f>
        <v>53835.443697780851</v>
      </c>
      <c r="W40" s="6">
        <f>W$1*'survival matrix'!W40</f>
        <v>57791.426139534458</v>
      </c>
      <c r="X40" s="6">
        <f>X$1*'survival matrix'!X40</f>
        <v>61763.426926942571</v>
      </c>
      <c r="Y40" s="6">
        <f>Y$1*'survival matrix'!Y40</f>
        <v>65739.432581575122</v>
      </c>
      <c r="Z40" s="6">
        <f>Z$1*'survival matrix'!Z40</f>
        <v>69717.195605911562</v>
      </c>
      <c r="AA40" s="6">
        <f>AA$1*'survival matrix'!AA40</f>
        <v>73691.445269379226</v>
      </c>
      <c r="AB40" s="6">
        <f>AB$1*'survival matrix'!AB40</f>
        <v>77648.3608142702</v>
      </c>
      <c r="AC40" s="6">
        <f>AC$1*'survival matrix'!AC40</f>
        <v>81916.595662095686</v>
      </c>
      <c r="AD40" s="6">
        <f>AD$1*'survival matrix'!AD40</f>
        <v>86898.575131836682</v>
      </c>
      <c r="AE40" s="6">
        <f>AE$1*'survival matrix'!AE40</f>
        <v>91797.336962574962</v>
      </c>
      <c r="AF40" s="6">
        <f>AF$1*'survival matrix'!AF40</f>
        <v>95759.081407318867</v>
      </c>
      <c r="AG40" s="6">
        <f>AG$1*'survival matrix'!AG40</f>
        <v>99980.065881838062</v>
      </c>
      <c r="AH40" s="6">
        <f>AH$1*'survival matrix'!AH40</f>
        <v>103827.07632915954</v>
      </c>
      <c r="AI40" s="6">
        <f>AI$1*'survival matrix'!AI40</f>
        <v>109904.0889815921</v>
      </c>
      <c r="AJ40" s="6">
        <f>AJ$1*'survival matrix'!AJ40</f>
        <v>114159.04957462901</v>
      </c>
      <c r="AK40" s="6">
        <f>AK$1*'survival matrix'!AK40</f>
        <v>117846.74169490505</v>
      </c>
      <c r="AL40" s="6">
        <f>AL$1*'survival matrix'!AL40</f>
        <v>121668.32916568249</v>
      </c>
      <c r="AM40" s="6">
        <f>AM$1*'survival matrix'!AM40</f>
        <v>125644.19763769525</v>
      </c>
      <c r="AN40" s="6">
        <f>AN$1*'survival matrix'!AN40</f>
        <v>128297.99581665051</v>
      </c>
      <c r="AO40" s="6">
        <f>AO$1*'survival matrix'!AO40</f>
        <v>130781.89050528352</v>
      </c>
      <c r="AP40" s="6">
        <f>AP$1*'survival matrix'!AP40</f>
        <v>132666.78122429794</v>
      </c>
      <c r="AQ40" s="6">
        <f>AQ$1*'survival matrix'!AQ40</f>
        <v>135293.45182934689</v>
      </c>
      <c r="AR40" s="6">
        <f>AR$1*'survival matrix'!AR40</f>
        <v>0</v>
      </c>
      <c r="AS40" s="6">
        <f>AS$1*'survival matrix'!AS40</f>
        <v>0</v>
      </c>
      <c r="AT40" s="6">
        <f>AT$1*'survival matrix'!AT40</f>
        <v>0</v>
      </c>
      <c r="AU40" s="6">
        <f>AU$1*'survival matrix'!AU40</f>
        <v>0</v>
      </c>
      <c r="AV40" s="6">
        <f>AV$1*'survival matrix'!AV40</f>
        <v>0</v>
      </c>
      <c r="AW40" s="6">
        <f>AW$1*'survival matrix'!AW40</f>
        <v>0</v>
      </c>
      <c r="AX40" s="6">
        <f>AX$1*'survival matrix'!AX40</f>
        <v>0</v>
      </c>
      <c r="AY40" s="6">
        <f>AY$1*'survival matrix'!AY40</f>
        <v>0</v>
      </c>
      <c r="AZ40" s="6">
        <f>AZ$1*'survival matrix'!AZ40</f>
        <v>0</v>
      </c>
      <c r="BA40" s="6">
        <f>BA$1*'survival matrix'!BA40</f>
        <v>0</v>
      </c>
      <c r="BB40" s="6">
        <f>BB$1*'survival matrix'!BB40</f>
        <v>0</v>
      </c>
      <c r="BC40" s="6">
        <f>BC$1*'survival matrix'!BC40</f>
        <v>0</v>
      </c>
      <c r="BD40" s="6">
        <f>BD$1*'survival matrix'!BD40</f>
        <v>0</v>
      </c>
      <c r="BE40" s="6">
        <f>BE$1*'survival matrix'!BE40</f>
        <v>0</v>
      </c>
      <c r="BF40" s="6">
        <f>BF$1*'survival matrix'!BF40</f>
        <v>0</v>
      </c>
      <c r="BG40" s="6">
        <f>BG$1*'survival matrix'!BG40</f>
        <v>0</v>
      </c>
      <c r="BH40" s="6">
        <f>BH$1*'survival matrix'!BH40</f>
        <v>0</v>
      </c>
      <c r="BI40" s="6">
        <f>BI$1*'survival matrix'!BI40</f>
        <v>0</v>
      </c>
      <c r="BJ40" s="6">
        <f>BJ$1*'survival matrix'!BJ40</f>
        <v>0</v>
      </c>
      <c r="BK40" s="6">
        <f>BK$1*'survival matrix'!BK40</f>
        <v>0</v>
      </c>
      <c r="BL40" s="6">
        <f>BL$1*'survival matrix'!BL40</f>
        <v>0</v>
      </c>
      <c r="BM40" s="6">
        <f>BM$1*'survival matrix'!BM40</f>
        <v>0</v>
      </c>
      <c r="BN40" s="6">
        <f>BN$1*'survival matrix'!BN40</f>
        <v>0</v>
      </c>
      <c r="BO40" s="6">
        <f>BO$1*'survival matrix'!BO40</f>
        <v>0</v>
      </c>
      <c r="BP40" s="6">
        <f>BP$1*'survival matrix'!BP40</f>
        <v>0</v>
      </c>
      <c r="BQ40" s="6">
        <f>BQ$1*'survival matrix'!BQ40</f>
        <v>0</v>
      </c>
      <c r="BR40" s="6">
        <f>BR$1*'survival matrix'!BR40</f>
        <v>0</v>
      </c>
      <c r="BS40" s="6">
        <f>BS$1*'survival matrix'!BS40</f>
        <v>0</v>
      </c>
      <c r="BT40" s="6">
        <f>BT$1*'survival matrix'!BT40</f>
        <v>0</v>
      </c>
      <c r="BU40" s="6">
        <f>BU$1*'survival matrix'!BU40</f>
        <v>0</v>
      </c>
      <c r="BV40" s="6">
        <f>BV$1*'survival matrix'!BV40</f>
        <v>0</v>
      </c>
      <c r="BW40" s="6">
        <f>BW$1*'survival matrix'!BW40</f>
        <v>0</v>
      </c>
      <c r="BX40" s="6">
        <f>BX$1*'survival matrix'!BX40</f>
        <v>0</v>
      </c>
      <c r="BY40" s="6">
        <f>BY$1*'survival matrix'!BY40</f>
        <v>0</v>
      </c>
      <c r="BZ40" s="6">
        <f>BZ$1*'survival matrix'!BZ40</f>
        <v>0</v>
      </c>
      <c r="CA40" s="6">
        <f>CA$1*'survival matrix'!CA40</f>
        <v>0</v>
      </c>
      <c r="CB40" s="6">
        <f>CB$1*'survival matrix'!CB40</f>
        <v>0</v>
      </c>
      <c r="CC40" s="6">
        <f>CC$1*'survival matrix'!CC40</f>
        <v>0</v>
      </c>
      <c r="CD40" s="6">
        <f>CD$1*'survival matrix'!CD40</f>
        <v>0</v>
      </c>
      <c r="CE40" s="6">
        <f>CE$1*'survival matrix'!CE40</f>
        <v>0</v>
      </c>
      <c r="CF40" s="6">
        <f>CF$1*'survival matrix'!CF40</f>
        <v>0</v>
      </c>
      <c r="CG40" s="6">
        <f>CG$1*'survival matrix'!CG40</f>
        <v>0</v>
      </c>
      <c r="CH40" s="6">
        <f>CH$1*'survival matrix'!CH40</f>
        <v>0</v>
      </c>
      <c r="CI40" s="6">
        <f>CI$1*'survival matrix'!CI40</f>
        <v>0</v>
      </c>
      <c r="CJ40" s="6">
        <f>CJ$1*'survival matrix'!CJ40</f>
        <v>0</v>
      </c>
      <c r="CK40" s="6">
        <f>CK$1*'survival matrix'!CK40</f>
        <v>0</v>
      </c>
      <c r="CL40" s="6">
        <f>CL$1*'survival matrix'!CL40</f>
        <v>0</v>
      </c>
      <c r="CM40" s="6">
        <f>CM$1*'survival matrix'!CM40</f>
        <v>0</v>
      </c>
      <c r="CN40" s="6">
        <f>CN$1*'survival matrix'!CN40</f>
        <v>0</v>
      </c>
      <c r="CO40" s="6">
        <f>CO$1*'survival matrix'!CO40</f>
        <v>0</v>
      </c>
      <c r="CP40" s="6">
        <f>CP$1*'survival matrix'!CP40</f>
        <v>0</v>
      </c>
      <c r="CQ40" s="6">
        <f>CQ$1*'survival matrix'!CQ40</f>
        <v>0</v>
      </c>
      <c r="CR40" s="6">
        <f>CR$1*'survival matrix'!CR40</f>
        <v>0</v>
      </c>
      <c r="CS40" s="6">
        <f>CS$1*'survival matrix'!CS40</f>
        <v>0</v>
      </c>
      <c r="CT40" s="6">
        <f>CT$1*'survival matrix'!CT40</f>
        <v>0</v>
      </c>
      <c r="CU40" s="6">
        <f>CU$1*'survival matrix'!CU40</f>
        <v>0</v>
      </c>
      <c r="CV40" s="6">
        <f>CV$1*'survival matrix'!CV40</f>
        <v>0</v>
      </c>
      <c r="CW40" s="6">
        <f>CW$1*'survival matrix'!CW40</f>
        <v>0</v>
      </c>
      <c r="CX40" s="6">
        <f>CX$1*'survival matrix'!CX40</f>
        <v>0</v>
      </c>
      <c r="CY40" s="6">
        <f>CY$1*'survival matrix'!CY40</f>
        <v>0</v>
      </c>
      <c r="CZ40" s="6">
        <f>CZ$1*'survival matrix'!CZ40</f>
        <v>0</v>
      </c>
      <c r="DA40" s="6">
        <f>DA$1*'survival matrix'!DA40</f>
        <v>0</v>
      </c>
      <c r="DB40" s="6">
        <f>DB$1*'survival matrix'!DB40</f>
        <v>0</v>
      </c>
      <c r="DC40" s="6">
        <f>DC$1*'survival matrix'!DC40</f>
        <v>0</v>
      </c>
      <c r="DD40" s="6">
        <f>DD$1*'survival matrix'!DD40</f>
        <v>0</v>
      </c>
      <c r="DE40" s="6">
        <f>DE$1*'survival matrix'!DE40</f>
        <v>0</v>
      </c>
      <c r="DF40" s="6">
        <f>DF$1*'survival matrix'!DF40</f>
        <v>0</v>
      </c>
      <c r="DG40" s="6">
        <f>DG$1*'survival matrix'!DG40</f>
        <v>0</v>
      </c>
      <c r="DH40" s="6">
        <f>DH$1*'survival matrix'!DH40</f>
        <v>0</v>
      </c>
      <c r="DI40" s="6">
        <f>DI$1*'survival matrix'!DI40</f>
        <v>0</v>
      </c>
      <c r="DJ40" s="6">
        <f>DJ$1*'survival matrix'!DJ40</f>
        <v>0</v>
      </c>
      <c r="DK40" s="6">
        <f>DK$1*'survival matrix'!DK40</f>
        <v>0</v>
      </c>
      <c r="DL40" s="6">
        <f>DL$1*'survival matrix'!DL40</f>
        <v>0</v>
      </c>
      <c r="DM40" s="6">
        <f>DM$1*'survival matrix'!DM40</f>
        <v>0</v>
      </c>
      <c r="DN40" s="6">
        <f>DN$1*'survival matrix'!DN40</f>
        <v>0</v>
      </c>
      <c r="DO40" s="6">
        <f>DO$1*'survival matrix'!DO40</f>
        <v>0</v>
      </c>
      <c r="DP40" s="6">
        <f>DP$1*'survival matrix'!DP40</f>
        <v>0</v>
      </c>
      <c r="DQ40" s="6">
        <f>DQ$1*'survival matrix'!DQ40</f>
        <v>0</v>
      </c>
      <c r="DR40" s="6">
        <f>DR$1*'survival matrix'!DR40</f>
        <v>0</v>
      </c>
      <c r="DS40" s="6">
        <f>DS$1*'survival matrix'!DS40</f>
        <v>0</v>
      </c>
      <c r="DT40" s="6">
        <f>DT$1*'survival matrix'!DT40</f>
        <v>0</v>
      </c>
      <c r="DU40" s="6">
        <f>DU$1*'survival matrix'!DU40</f>
        <v>0</v>
      </c>
      <c r="DV40" s="6">
        <f>DV$1*'survival matrix'!DV40</f>
        <v>0</v>
      </c>
      <c r="DW40" s="6">
        <f>DW$1*'survival matrix'!DW40</f>
        <v>0</v>
      </c>
      <c r="DX40" s="6">
        <f>DX$1*'survival matrix'!DX40</f>
        <v>0</v>
      </c>
      <c r="DY40" s="6">
        <f>DY$1*'survival matrix'!DY40</f>
        <v>0</v>
      </c>
      <c r="DZ40" s="6">
        <f>DZ$1*'survival matrix'!DZ40</f>
        <v>0</v>
      </c>
      <c r="EA40" s="6">
        <f>EA$1*'survival matrix'!EA40</f>
        <v>0</v>
      </c>
      <c r="EB40" s="6">
        <f>EB$1*'survival matrix'!EB40</f>
        <v>0</v>
      </c>
      <c r="EC40" s="6">
        <f>EC$1*'survival matrix'!EC40</f>
        <v>0</v>
      </c>
    </row>
    <row r="41" spans="1:133">
      <c r="A41" s="12">
        <f>'data input'!C41-B41</f>
        <v>15756.400645707501</v>
      </c>
      <c r="B41" s="14">
        <f t="shared" si="2"/>
        <v>123091.26363514503</v>
      </c>
      <c r="C41" s="11">
        <f>SUM(F41:EC41)</f>
        <v>2638064.533516129</v>
      </c>
      <c r="E41" s="7">
        <f>'data input'!B41</f>
        <v>1916</v>
      </c>
      <c r="F41" s="6">
        <f>F$1*'survival matrix'!F41</f>
        <v>1819.0631426255625</v>
      </c>
      <c r="G41" s="6">
        <f>G$1*'survival matrix'!G41</f>
        <v>3844.2727527205739</v>
      </c>
      <c r="H41" s="6">
        <f>H$1*'survival matrix'!H41</f>
        <v>6066.5864940169477</v>
      </c>
      <c r="I41" s="6">
        <f>I$1*'survival matrix'!I41</f>
        <v>8487.8473529679304</v>
      </c>
      <c r="J41" s="6">
        <f>J$1*'survival matrix'!J41</f>
        <v>11099.95536718708</v>
      </c>
      <c r="K41" s="6">
        <f>K$1*'survival matrix'!K41</f>
        <v>13895.134770775428</v>
      </c>
      <c r="L41" s="6">
        <f>L$1*'survival matrix'!L41</f>
        <v>16868.481685624836</v>
      </c>
      <c r="M41" s="6">
        <f>M$1*'survival matrix'!M41</f>
        <v>20005.968696076681</v>
      </c>
      <c r="N41" s="6">
        <f>N$1*'survival matrix'!N41</f>
        <v>23286.364923141875</v>
      </c>
      <c r="O41" s="6">
        <f>O$1*'survival matrix'!O41</f>
        <v>26690.613098169681</v>
      </c>
      <c r="P41" s="6">
        <f>P$1*'survival matrix'!P41</f>
        <v>30215.458451885097</v>
      </c>
      <c r="Q41" s="6">
        <f>Q$1*'survival matrix'!Q41</f>
        <v>33855.064623956765</v>
      </c>
      <c r="R41" s="6">
        <f>R$1*'survival matrix'!R41</f>
        <v>37594.025656026366</v>
      </c>
      <c r="S41" s="6">
        <f>S$1*'survival matrix'!S41</f>
        <v>41411.781588409474</v>
      </c>
      <c r="T41" s="6">
        <f>T$1*'survival matrix'!T41</f>
        <v>45286.617246663285</v>
      </c>
      <c r="U41" s="6">
        <f>U$1*'survival matrix'!U41</f>
        <v>49211.93942972106</v>
      </c>
      <c r="V41" s="6">
        <f>V$1*'survival matrix'!V41</f>
        <v>53168.749513557588</v>
      </c>
      <c r="W41" s="6">
        <f>W$1*'survival matrix'!W41</f>
        <v>57155.331632769477</v>
      </c>
      <c r="X41" s="6">
        <f>X$1*'survival matrix'!X41</f>
        <v>61161.832936459119</v>
      </c>
      <c r="Y41" s="6">
        <f>Y$1*'survival matrix'!Y41</f>
        <v>65175.303912548894</v>
      </c>
      <c r="Z41" s="6">
        <f>Z$1*'survival matrix'!Z41</f>
        <v>69192.517920514394</v>
      </c>
      <c r="AA41" s="6">
        <f>AA$1*'survival matrix'!AA41</f>
        <v>73207.332271985273</v>
      </c>
      <c r="AB41" s="6">
        <f>AB$1*'survival matrix'!AB41</f>
        <v>77205.187232903947</v>
      </c>
      <c r="AC41" s="6">
        <f>AC$1*'survival matrix'!AC41</f>
        <v>81512.372628335812</v>
      </c>
      <c r="AD41" s="6">
        <f>AD$1*'survival matrix'!AD41</f>
        <v>86529.658410841905</v>
      </c>
      <c r="AE41" s="6">
        <f>AE$1*'survival matrix'!AE41</f>
        <v>91463.728536003808</v>
      </c>
      <c r="AF41" s="6">
        <f>AF$1*'survival matrix'!AF41</f>
        <v>95462.686154958094</v>
      </c>
      <c r="AG41" s="6">
        <f>AG$1*'survival matrix'!AG41</f>
        <v>99717.853561783428</v>
      </c>
      <c r="AH41" s="6">
        <f>AH$1*'survival matrix'!AH41</f>
        <v>103597.54800392507</v>
      </c>
      <c r="AI41" s="6">
        <f>AI$1*'survival matrix'!AI41</f>
        <v>109700.3664263555</v>
      </c>
      <c r="AJ41" s="6">
        <f>AJ$1*'survival matrix'!AJ41</f>
        <v>113982.5566627317</v>
      </c>
      <c r="AK41" s="6">
        <f>AK$1*'survival matrix'!AK41</f>
        <v>117695.59488718852</v>
      </c>
      <c r="AL41" s="6">
        <f>AL$1*'survival matrix'!AL41</f>
        <v>121539.56969658191</v>
      </c>
      <c r="AM41" s="6">
        <f>AM$1*'survival matrix'!AM41</f>
        <v>125535.07746424901</v>
      </c>
      <c r="AN41" s="6">
        <f>AN$1*'survival matrix'!AN41</f>
        <v>128207.05243866435</v>
      </c>
      <c r="AO41" s="6">
        <f>AO$1*'survival matrix'!AO41</f>
        <v>130706.64099898316</v>
      </c>
      <c r="AP41" s="6">
        <f>AP$1*'survival matrix'!AP41</f>
        <v>132605.1601173309</v>
      </c>
      <c r="AQ41" s="6">
        <f>AQ$1*'survival matrix'!AQ41</f>
        <v>135243.00273534487</v>
      </c>
      <c r="AR41" s="6">
        <f>AR$1*'survival matrix'!AR41</f>
        <v>138660.23409214336</v>
      </c>
      <c r="AS41" s="6">
        <f>AS$1*'survival matrix'!AS41</f>
        <v>0</v>
      </c>
      <c r="AT41" s="6">
        <f>AT$1*'survival matrix'!AT41</f>
        <v>0</v>
      </c>
      <c r="AU41" s="6">
        <f>AU$1*'survival matrix'!AU41</f>
        <v>0</v>
      </c>
      <c r="AV41" s="6">
        <f>AV$1*'survival matrix'!AV41</f>
        <v>0</v>
      </c>
      <c r="AW41" s="6">
        <f>AW$1*'survival matrix'!AW41</f>
        <v>0</v>
      </c>
      <c r="AX41" s="6">
        <f>AX$1*'survival matrix'!AX41</f>
        <v>0</v>
      </c>
      <c r="AY41" s="6">
        <f>AY$1*'survival matrix'!AY41</f>
        <v>0</v>
      </c>
      <c r="AZ41" s="6">
        <f>AZ$1*'survival matrix'!AZ41</f>
        <v>0</v>
      </c>
      <c r="BA41" s="6">
        <f>BA$1*'survival matrix'!BA41</f>
        <v>0</v>
      </c>
      <c r="BB41" s="6">
        <f>BB$1*'survival matrix'!BB41</f>
        <v>0</v>
      </c>
      <c r="BC41" s="6">
        <f>BC$1*'survival matrix'!BC41</f>
        <v>0</v>
      </c>
      <c r="BD41" s="6">
        <f>BD$1*'survival matrix'!BD41</f>
        <v>0</v>
      </c>
      <c r="BE41" s="6">
        <f>BE$1*'survival matrix'!BE41</f>
        <v>0</v>
      </c>
      <c r="BF41" s="6">
        <f>BF$1*'survival matrix'!BF41</f>
        <v>0</v>
      </c>
      <c r="BG41" s="6">
        <f>BG$1*'survival matrix'!BG41</f>
        <v>0</v>
      </c>
      <c r="BH41" s="6">
        <f>BH$1*'survival matrix'!BH41</f>
        <v>0</v>
      </c>
      <c r="BI41" s="6">
        <f>BI$1*'survival matrix'!BI41</f>
        <v>0</v>
      </c>
      <c r="BJ41" s="6">
        <f>BJ$1*'survival matrix'!BJ41</f>
        <v>0</v>
      </c>
      <c r="BK41" s="6">
        <f>BK$1*'survival matrix'!BK41</f>
        <v>0</v>
      </c>
      <c r="BL41" s="6">
        <f>BL$1*'survival matrix'!BL41</f>
        <v>0</v>
      </c>
      <c r="BM41" s="6">
        <f>BM$1*'survival matrix'!BM41</f>
        <v>0</v>
      </c>
      <c r="BN41" s="6">
        <f>BN$1*'survival matrix'!BN41</f>
        <v>0</v>
      </c>
      <c r="BO41" s="6">
        <f>BO$1*'survival matrix'!BO41</f>
        <v>0</v>
      </c>
      <c r="BP41" s="6">
        <f>BP$1*'survival matrix'!BP41</f>
        <v>0</v>
      </c>
      <c r="BQ41" s="6">
        <f>BQ$1*'survival matrix'!BQ41</f>
        <v>0</v>
      </c>
      <c r="BR41" s="6">
        <f>BR$1*'survival matrix'!BR41</f>
        <v>0</v>
      </c>
      <c r="BS41" s="6">
        <f>BS$1*'survival matrix'!BS41</f>
        <v>0</v>
      </c>
      <c r="BT41" s="6">
        <f>BT$1*'survival matrix'!BT41</f>
        <v>0</v>
      </c>
      <c r="BU41" s="6">
        <f>BU$1*'survival matrix'!BU41</f>
        <v>0</v>
      </c>
      <c r="BV41" s="6">
        <f>BV$1*'survival matrix'!BV41</f>
        <v>0</v>
      </c>
      <c r="BW41" s="6">
        <f>BW$1*'survival matrix'!BW41</f>
        <v>0</v>
      </c>
      <c r="BX41" s="6">
        <f>BX$1*'survival matrix'!BX41</f>
        <v>0</v>
      </c>
      <c r="BY41" s="6">
        <f>BY$1*'survival matrix'!BY41</f>
        <v>0</v>
      </c>
      <c r="BZ41" s="6">
        <f>BZ$1*'survival matrix'!BZ41</f>
        <v>0</v>
      </c>
      <c r="CA41" s="6">
        <f>CA$1*'survival matrix'!CA41</f>
        <v>0</v>
      </c>
      <c r="CB41" s="6">
        <f>CB$1*'survival matrix'!CB41</f>
        <v>0</v>
      </c>
      <c r="CC41" s="6">
        <f>CC$1*'survival matrix'!CC41</f>
        <v>0</v>
      </c>
      <c r="CD41" s="6">
        <f>CD$1*'survival matrix'!CD41</f>
        <v>0</v>
      </c>
      <c r="CE41" s="6">
        <f>CE$1*'survival matrix'!CE41</f>
        <v>0</v>
      </c>
      <c r="CF41" s="6">
        <f>CF$1*'survival matrix'!CF41</f>
        <v>0</v>
      </c>
      <c r="CG41" s="6">
        <f>CG$1*'survival matrix'!CG41</f>
        <v>0</v>
      </c>
      <c r="CH41" s="6">
        <f>CH$1*'survival matrix'!CH41</f>
        <v>0</v>
      </c>
      <c r="CI41" s="6">
        <f>CI$1*'survival matrix'!CI41</f>
        <v>0</v>
      </c>
      <c r="CJ41" s="6">
        <f>CJ$1*'survival matrix'!CJ41</f>
        <v>0</v>
      </c>
      <c r="CK41" s="6">
        <f>CK$1*'survival matrix'!CK41</f>
        <v>0</v>
      </c>
      <c r="CL41" s="6">
        <f>CL$1*'survival matrix'!CL41</f>
        <v>0</v>
      </c>
      <c r="CM41" s="6">
        <f>CM$1*'survival matrix'!CM41</f>
        <v>0</v>
      </c>
      <c r="CN41" s="6">
        <f>CN$1*'survival matrix'!CN41</f>
        <v>0</v>
      </c>
      <c r="CO41" s="6">
        <f>CO$1*'survival matrix'!CO41</f>
        <v>0</v>
      </c>
      <c r="CP41" s="6">
        <f>CP$1*'survival matrix'!CP41</f>
        <v>0</v>
      </c>
      <c r="CQ41" s="6">
        <f>CQ$1*'survival matrix'!CQ41</f>
        <v>0</v>
      </c>
      <c r="CR41" s="6">
        <f>CR$1*'survival matrix'!CR41</f>
        <v>0</v>
      </c>
      <c r="CS41" s="6">
        <f>CS$1*'survival matrix'!CS41</f>
        <v>0</v>
      </c>
      <c r="CT41" s="6">
        <f>CT$1*'survival matrix'!CT41</f>
        <v>0</v>
      </c>
      <c r="CU41" s="6">
        <f>CU$1*'survival matrix'!CU41</f>
        <v>0</v>
      </c>
      <c r="CV41" s="6">
        <f>CV$1*'survival matrix'!CV41</f>
        <v>0</v>
      </c>
      <c r="CW41" s="6">
        <f>CW$1*'survival matrix'!CW41</f>
        <v>0</v>
      </c>
      <c r="CX41" s="6">
        <f>CX$1*'survival matrix'!CX41</f>
        <v>0</v>
      </c>
      <c r="CY41" s="6">
        <f>CY$1*'survival matrix'!CY41</f>
        <v>0</v>
      </c>
      <c r="CZ41" s="6">
        <f>CZ$1*'survival matrix'!CZ41</f>
        <v>0</v>
      </c>
      <c r="DA41" s="6">
        <f>DA$1*'survival matrix'!DA41</f>
        <v>0</v>
      </c>
      <c r="DB41" s="6">
        <f>DB$1*'survival matrix'!DB41</f>
        <v>0</v>
      </c>
      <c r="DC41" s="6">
        <f>DC$1*'survival matrix'!DC41</f>
        <v>0</v>
      </c>
      <c r="DD41" s="6">
        <f>DD$1*'survival matrix'!DD41</f>
        <v>0</v>
      </c>
      <c r="DE41" s="6">
        <f>DE$1*'survival matrix'!DE41</f>
        <v>0</v>
      </c>
      <c r="DF41" s="6">
        <f>DF$1*'survival matrix'!DF41</f>
        <v>0</v>
      </c>
      <c r="DG41" s="6">
        <f>DG$1*'survival matrix'!DG41</f>
        <v>0</v>
      </c>
      <c r="DH41" s="6">
        <f>DH$1*'survival matrix'!DH41</f>
        <v>0</v>
      </c>
      <c r="DI41" s="6">
        <f>DI$1*'survival matrix'!DI41</f>
        <v>0</v>
      </c>
      <c r="DJ41" s="6">
        <f>DJ$1*'survival matrix'!DJ41</f>
        <v>0</v>
      </c>
      <c r="DK41" s="6">
        <f>DK$1*'survival matrix'!DK41</f>
        <v>0</v>
      </c>
      <c r="DL41" s="6">
        <f>DL$1*'survival matrix'!DL41</f>
        <v>0</v>
      </c>
      <c r="DM41" s="6">
        <f>DM$1*'survival matrix'!DM41</f>
        <v>0</v>
      </c>
      <c r="DN41" s="6">
        <f>DN$1*'survival matrix'!DN41</f>
        <v>0</v>
      </c>
      <c r="DO41" s="6">
        <f>DO$1*'survival matrix'!DO41</f>
        <v>0</v>
      </c>
      <c r="DP41" s="6">
        <f>DP$1*'survival matrix'!DP41</f>
        <v>0</v>
      </c>
      <c r="DQ41" s="6">
        <f>DQ$1*'survival matrix'!DQ41</f>
        <v>0</v>
      </c>
      <c r="DR41" s="6">
        <f>DR$1*'survival matrix'!DR41</f>
        <v>0</v>
      </c>
      <c r="DS41" s="6">
        <f>DS$1*'survival matrix'!DS41</f>
        <v>0</v>
      </c>
      <c r="DT41" s="6">
        <f>DT$1*'survival matrix'!DT41</f>
        <v>0</v>
      </c>
      <c r="DU41" s="6">
        <f>DU$1*'survival matrix'!DU41</f>
        <v>0</v>
      </c>
      <c r="DV41" s="6">
        <f>DV$1*'survival matrix'!DV41</f>
        <v>0</v>
      </c>
      <c r="DW41" s="6">
        <f>DW$1*'survival matrix'!DW41</f>
        <v>0</v>
      </c>
      <c r="DX41" s="6">
        <f>DX$1*'survival matrix'!DX41</f>
        <v>0</v>
      </c>
      <c r="DY41" s="6">
        <f>DY$1*'survival matrix'!DY41</f>
        <v>0</v>
      </c>
      <c r="DZ41" s="6">
        <f>DZ$1*'survival matrix'!DZ41</f>
        <v>0</v>
      </c>
      <c r="EA41" s="6">
        <f>EA$1*'survival matrix'!EA41</f>
        <v>0</v>
      </c>
      <c r="EB41" s="6">
        <f>EB$1*'survival matrix'!EB41</f>
        <v>0</v>
      </c>
      <c r="EC41" s="6">
        <f>EC$1*'survival matrix'!EC41</f>
        <v>0</v>
      </c>
    </row>
    <row r="42" spans="1:133">
      <c r="A42" s="12">
        <f>'data input'!C42-B42</f>
        <v>17392.379244816751</v>
      </c>
      <c r="B42" s="14">
        <f t="shared" si="2"/>
        <v>124796.8055308708</v>
      </c>
      <c r="C42" s="11">
        <f>SUM(F42:EC42)</f>
        <v>2762861.3390469998</v>
      </c>
      <c r="E42" s="7">
        <f>'data input'!B42</f>
        <v>1917</v>
      </c>
      <c r="F42" s="6">
        <f>F$1*'survival matrix'!F42</f>
        <v>1722.4405008755634</v>
      </c>
      <c r="G42" s="6">
        <f>G$1*'survival matrix'!G42</f>
        <v>3652.4366672284577</v>
      </c>
      <c r="H42" s="6">
        <f>H$1*'survival matrix'!H42</f>
        <v>5782.8390670576946</v>
      </c>
      <c r="I42" s="6">
        <f>I$1*'survival matrix'!I42</f>
        <v>8116.6561787647652</v>
      </c>
      <c r="J42" s="6">
        <f>J$1*'survival matrix'!J42</f>
        <v>10647.236920263045</v>
      </c>
      <c r="K42" s="6">
        <f>K$1*'survival matrix'!K42</f>
        <v>13367.998643195664</v>
      </c>
      <c r="L42" s="6">
        <f>L$1*'survival matrix'!L42</f>
        <v>16274.892716506862</v>
      </c>
      <c r="M42" s="6">
        <f>M$1*'survival matrix'!M42</f>
        <v>19354.842197854687</v>
      </c>
      <c r="N42" s="6">
        <f>N$1*'survival matrix'!N42</f>
        <v>22587.492425503464</v>
      </c>
      <c r="O42" s="6">
        <f>O$1*'survival matrix'!O42</f>
        <v>25954.258075182763</v>
      </c>
      <c r="P42" s="6">
        <f>P$1*'survival matrix'!P42</f>
        <v>29451.659433964753</v>
      </c>
      <c r="Q42" s="6">
        <f>Q$1*'survival matrix'!Q42</f>
        <v>33073.563234310306</v>
      </c>
      <c r="R42" s="6">
        <f>R$1*'survival matrix'!R42</f>
        <v>36804.325775950354</v>
      </c>
      <c r="S42" s="6">
        <f>S$1*'survival matrix'!S42</f>
        <v>40623.046672281991</v>
      </c>
      <c r="T42" s="6">
        <f>T$1*'survival matrix'!T42</f>
        <v>44507.480413308338</v>
      </c>
      <c r="U42" s="6">
        <f>U$1*'survival matrix'!U42</f>
        <v>48450.088086127347</v>
      </c>
      <c r="V42" s="6">
        <f>V$1*'survival matrix'!V42</f>
        <v>52431.051900355036</v>
      </c>
      <c r="W42" s="6">
        <f>W$1*'survival matrix'!W42</f>
        <v>56447.524199977954</v>
      </c>
      <c r="X42" s="6">
        <f>X$1*'survival matrix'!X42</f>
        <v>60488.641278917647</v>
      </c>
      <c r="Y42" s="6">
        <f>Y$1*'survival matrix'!Y42</f>
        <v>64540.477234163634</v>
      </c>
      <c r="Z42" s="6">
        <f>Z$1*'survival matrix'!Z42</f>
        <v>68598.757349298059</v>
      </c>
      <c r="AA42" s="6">
        <f>AA$1*'survival matrix'!AA42</f>
        <v>72656.388515330342</v>
      </c>
      <c r="AB42" s="6">
        <f>AB$1*'survival matrix'!AB42</f>
        <v>76697.990848451795</v>
      </c>
      <c r="AC42" s="6">
        <f>AC$1*'survival matrix'!AC42</f>
        <v>81047.145420387853</v>
      </c>
      <c r="AD42" s="6">
        <f>AD$1*'survival matrix'!AD42</f>
        <v>86102.671904013463</v>
      </c>
      <c r="AE42" s="6">
        <f>AE$1*'survival matrix'!AE42</f>
        <v>91075.431043550474</v>
      </c>
      <c r="AF42" s="6">
        <f>AF$1*'survival matrix'!AF42</f>
        <v>95115.757174464947</v>
      </c>
      <c r="AG42" s="6">
        <f>AG$1*'survival matrix'!AG42</f>
        <v>99409.205045768525</v>
      </c>
      <c r="AH42" s="6">
        <f>AH$1*'survival matrix'!AH42</f>
        <v>103325.84830884601</v>
      </c>
      <c r="AI42" s="6">
        <f>AI$1*'survival matrix'!AI42</f>
        <v>109457.8541427232</v>
      </c>
      <c r="AJ42" s="6">
        <f>AJ$1*'survival matrix'!AJ42</f>
        <v>113771.27409889895</v>
      </c>
      <c r="AK42" s="6">
        <f>AK$1*'survival matrix'!AK42</f>
        <v>117513.63438264221</v>
      </c>
      <c r="AL42" s="6">
        <f>AL$1*'survival matrix'!AL42</f>
        <v>121383.68657493872</v>
      </c>
      <c r="AM42" s="6">
        <f>AM$1*'survival matrix'!AM42</f>
        <v>125402.22588291607</v>
      </c>
      <c r="AN42" s="6">
        <f>AN$1*'survival matrix'!AN42</f>
        <v>128095.70646278826</v>
      </c>
      <c r="AO42" s="6">
        <f>AO$1*'survival matrix'!AO42</f>
        <v>130613.99026518168</v>
      </c>
      <c r="AP42" s="6">
        <f>AP$1*'survival matrix'!AP42</f>
        <v>132528.86153506421</v>
      </c>
      <c r="AQ42" s="6">
        <f>AQ$1*'survival matrix'!AQ42</f>
        <v>135180.18502422539</v>
      </c>
      <c r="AR42" s="6">
        <f>AR$1*'survival matrix'!AR42</f>
        <v>138608.5295706793</v>
      </c>
      <c r="AS42" s="6">
        <f>AS$1*'survival matrix'!AS42</f>
        <v>141997.24387503977</v>
      </c>
      <c r="AT42" s="6">
        <f>AT$1*'survival matrix'!AT42</f>
        <v>0</v>
      </c>
      <c r="AU42" s="6">
        <f>AU$1*'survival matrix'!AU42</f>
        <v>0</v>
      </c>
      <c r="AV42" s="6">
        <f>AV$1*'survival matrix'!AV42</f>
        <v>0</v>
      </c>
      <c r="AW42" s="6">
        <f>AW$1*'survival matrix'!AW42</f>
        <v>0</v>
      </c>
      <c r="AX42" s="6">
        <f>AX$1*'survival matrix'!AX42</f>
        <v>0</v>
      </c>
      <c r="AY42" s="6">
        <f>AY$1*'survival matrix'!AY42</f>
        <v>0</v>
      </c>
      <c r="AZ42" s="6">
        <f>AZ$1*'survival matrix'!AZ42</f>
        <v>0</v>
      </c>
      <c r="BA42" s="6">
        <f>BA$1*'survival matrix'!BA42</f>
        <v>0</v>
      </c>
      <c r="BB42" s="6">
        <f>BB$1*'survival matrix'!BB42</f>
        <v>0</v>
      </c>
      <c r="BC42" s="6">
        <f>BC$1*'survival matrix'!BC42</f>
        <v>0</v>
      </c>
      <c r="BD42" s="6">
        <f>BD$1*'survival matrix'!BD42</f>
        <v>0</v>
      </c>
      <c r="BE42" s="6">
        <f>BE$1*'survival matrix'!BE42</f>
        <v>0</v>
      </c>
      <c r="BF42" s="6">
        <f>BF$1*'survival matrix'!BF42</f>
        <v>0</v>
      </c>
      <c r="BG42" s="6">
        <f>BG$1*'survival matrix'!BG42</f>
        <v>0</v>
      </c>
      <c r="BH42" s="6">
        <f>BH$1*'survival matrix'!BH42</f>
        <v>0</v>
      </c>
      <c r="BI42" s="6">
        <f>BI$1*'survival matrix'!BI42</f>
        <v>0</v>
      </c>
      <c r="BJ42" s="6">
        <f>BJ$1*'survival matrix'!BJ42</f>
        <v>0</v>
      </c>
      <c r="BK42" s="6">
        <f>BK$1*'survival matrix'!BK42</f>
        <v>0</v>
      </c>
      <c r="BL42" s="6">
        <f>BL$1*'survival matrix'!BL42</f>
        <v>0</v>
      </c>
      <c r="BM42" s="6">
        <f>BM$1*'survival matrix'!BM42</f>
        <v>0</v>
      </c>
      <c r="BN42" s="6">
        <f>BN$1*'survival matrix'!BN42</f>
        <v>0</v>
      </c>
      <c r="BO42" s="6">
        <f>BO$1*'survival matrix'!BO42</f>
        <v>0</v>
      </c>
      <c r="BP42" s="6">
        <f>BP$1*'survival matrix'!BP42</f>
        <v>0</v>
      </c>
      <c r="BQ42" s="6">
        <f>BQ$1*'survival matrix'!BQ42</f>
        <v>0</v>
      </c>
      <c r="BR42" s="6">
        <f>BR$1*'survival matrix'!BR42</f>
        <v>0</v>
      </c>
      <c r="BS42" s="6">
        <f>BS$1*'survival matrix'!BS42</f>
        <v>0</v>
      </c>
      <c r="BT42" s="6">
        <f>BT$1*'survival matrix'!BT42</f>
        <v>0</v>
      </c>
      <c r="BU42" s="6">
        <f>BU$1*'survival matrix'!BU42</f>
        <v>0</v>
      </c>
      <c r="BV42" s="6">
        <f>BV$1*'survival matrix'!BV42</f>
        <v>0</v>
      </c>
      <c r="BW42" s="6">
        <f>BW$1*'survival matrix'!BW42</f>
        <v>0</v>
      </c>
      <c r="BX42" s="6">
        <f>BX$1*'survival matrix'!BX42</f>
        <v>0</v>
      </c>
      <c r="BY42" s="6">
        <f>BY$1*'survival matrix'!BY42</f>
        <v>0</v>
      </c>
      <c r="BZ42" s="6">
        <f>BZ$1*'survival matrix'!BZ42</f>
        <v>0</v>
      </c>
      <c r="CA42" s="6">
        <f>CA$1*'survival matrix'!CA42</f>
        <v>0</v>
      </c>
      <c r="CB42" s="6">
        <f>CB$1*'survival matrix'!CB42</f>
        <v>0</v>
      </c>
      <c r="CC42" s="6">
        <f>CC$1*'survival matrix'!CC42</f>
        <v>0</v>
      </c>
      <c r="CD42" s="6">
        <f>CD$1*'survival matrix'!CD42</f>
        <v>0</v>
      </c>
      <c r="CE42" s="6">
        <f>CE$1*'survival matrix'!CE42</f>
        <v>0</v>
      </c>
      <c r="CF42" s="6">
        <f>CF$1*'survival matrix'!CF42</f>
        <v>0</v>
      </c>
      <c r="CG42" s="6">
        <f>CG$1*'survival matrix'!CG42</f>
        <v>0</v>
      </c>
      <c r="CH42" s="6">
        <f>CH$1*'survival matrix'!CH42</f>
        <v>0</v>
      </c>
      <c r="CI42" s="6">
        <f>CI$1*'survival matrix'!CI42</f>
        <v>0</v>
      </c>
      <c r="CJ42" s="6">
        <f>CJ$1*'survival matrix'!CJ42</f>
        <v>0</v>
      </c>
      <c r="CK42" s="6">
        <f>CK$1*'survival matrix'!CK42</f>
        <v>0</v>
      </c>
      <c r="CL42" s="6">
        <f>CL$1*'survival matrix'!CL42</f>
        <v>0</v>
      </c>
      <c r="CM42" s="6">
        <f>CM$1*'survival matrix'!CM42</f>
        <v>0</v>
      </c>
      <c r="CN42" s="6">
        <f>CN$1*'survival matrix'!CN42</f>
        <v>0</v>
      </c>
      <c r="CO42" s="6">
        <f>CO$1*'survival matrix'!CO42</f>
        <v>0</v>
      </c>
      <c r="CP42" s="6">
        <f>CP$1*'survival matrix'!CP42</f>
        <v>0</v>
      </c>
      <c r="CQ42" s="6">
        <f>CQ$1*'survival matrix'!CQ42</f>
        <v>0</v>
      </c>
      <c r="CR42" s="6">
        <f>CR$1*'survival matrix'!CR42</f>
        <v>0</v>
      </c>
      <c r="CS42" s="6">
        <f>CS$1*'survival matrix'!CS42</f>
        <v>0</v>
      </c>
      <c r="CT42" s="6">
        <f>CT$1*'survival matrix'!CT42</f>
        <v>0</v>
      </c>
      <c r="CU42" s="6">
        <f>CU$1*'survival matrix'!CU42</f>
        <v>0</v>
      </c>
      <c r="CV42" s="6">
        <f>CV$1*'survival matrix'!CV42</f>
        <v>0</v>
      </c>
      <c r="CW42" s="6">
        <f>CW$1*'survival matrix'!CW42</f>
        <v>0</v>
      </c>
      <c r="CX42" s="6">
        <f>CX$1*'survival matrix'!CX42</f>
        <v>0</v>
      </c>
      <c r="CY42" s="6">
        <f>CY$1*'survival matrix'!CY42</f>
        <v>0</v>
      </c>
      <c r="CZ42" s="6">
        <f>CZ$1*'survival matrix'!CZ42</f>
        <v>0</v>
      </c>
      <c r="DA42" s="6">
        <f>DA$1*'survival matrix'!DA42</f>
        <v>0</v>
      </c>
      <c r="DB42" s="6">
        <f>DB$1*'survival matrix'!DB42</f>
        <v>0</v>
      </c>
      <c r="DC42" s="6">
        <f>DC$1*'survival matrix'!DC42</f>
        <v>0</v>
      </c>
      <c r="DD42" s="6">
        <f>DD$1*'survival matrix'!DD42</f>
        <v>0</v>
      </c>
      <c r="DE42" s="6">
        <f>DE$1*'survival matrix'!DE42</f>
        <v>0</v>
      </c>
      <c r="DF42" s="6">
        <f>DF$1*'survival matrix'!DF42</f>
        <v>0</v>
      </c>
      <c r="DG42" s="6">
        <f>DG$1*'survival matrix'!DG42</f>
        <v>0</v>
      </c>
      <c r="DH42" s="6">
        <f>DH$1*'survival matrix'!DH42</f>
        <v>0</v>
      </c>
      <c r="DI42" s="6">
        <f>DI$1*'survival matrix'!DI42</f>
        <v>0</v>
      </c>
      <c r="DJ42" s="6">
        <f>DJ$1*'survival matrix'!DJ42</f>
        <v>0</v>
      </c>
      <c r="DK42" s="6">
        <f>DK$1*'survival matrix'!DK42</f>
        <v>0</v>
      </c>
      <c r="DL42" s="6">
        <f>DL$1*'survival matrix'!DL42</f>
        <v>0</v>
      </c>
      <c r="DM42" s="6">
        <f>DM$1*'survival matrix'!DM42</f>
        <v>0</v>
      </c>
      <c r="DN42" s="6">
        <f>DN$1*'survival matrix'!DN42</f>
        <v>0</v>
      </c>
      <c r="DO42" s="6">
        <f>DO$1*'survival matrix'!DO42</f>
        <v>0</v>
      </c>
      <c r="DP42" s="6">
        <f>DP$1*'survival matrix'!DP42</f>
        <v>0</v>
      </c>
      <c r="DQ42" s="6">
        <f>DQ$1*'survival matrix'!DQ42</f>
        <v>0</v>
      </c>
      <c r="DR42" s="6">
        <f>DR$1*'survival matrix'!DR42</f>
        <v>0</v>
      </c>
      <c r="DS42" s="6">
        <f>DS$1*'survival matrix'!DS42</f>
        <v>0</v>
      </c>
      <c r="DT42" s="6">
        <f>DT$1*'survival matrix'!DT42</f>
        <v>0</v>
      </c>
      <c r="DU42" s="6">
        <f>DU$1*'survival matrix'!DU42</f>
        <v>0</v>
      </c>
      <c r="DV42" s="6">
        <f>DV$1*'survival matrix'!DV42</f>
        <v>0</v>
      </c>
      <c r="DW42" s="6">
        <f>DW$1*'survival matrix'!DW42</f>
        <v>0</v>
      </c>
      <c r="DX42" s="6">
        <f>DX$1*'survival matrix'!DX42</f>
        <v>0</v>
      </c>
      <c r="DY42" s="6">
        <f>DY$1*'survival matrix'!DY42</f>
        <v>0</v>
      </c>
      <c r="DZ42" s="6">
        <f>DZ$1*'survival matrix'!DZ42</f>
        <v>0</v>
      </c>
      <c r="EA42" s="6">
        <f>EA$1*'survival matrix'!EA42</f>
        <v>0</v>
      </c>
      <c r="EB42" s="6">
        <f>EB$1*'survival matrix'!EB42</f>
        <v>0</v>
      </c>
      <c r="EC42" s="6">
        <f>EC$1*'survival matrix'!EC42</f>
        <v>0</v>
      </c>
    </row>
    <row r="43" spans="1:133">
      <c r="A43" s="12">
        <f>'data input'!C43-B43</f>
        <v>19138.349943379348</v>
      </c>
      <c r="B43" s="14">
        <f t="shared" si="2"/>
        <v>127873.32704565302</v>
      </c>
      <c r="C43" s="11">
        <f>SUM(F43:EC43)</f>
        <v>2890734.6660926528</v>
      </c>
      <c r="E43" s="7">
        <f>'data input'!B43</f>
        <v>1918</v>
      </c>
      <c r="F43" s="6">
        <f>F$1*'survival matrix'!F43</f>
        <v>1625.273081450463</v>
      </c>
      <c r="G43" s="6">
        <f>G$1*'survival matrix'!G43</f>
        <v>3458.4312633793079</v>
      </c>
      <c r="H43" s="6">
        <f>H$1*'survival matrix'!H43</f>
        <v>5494.2650555310302</v>
      </c>
      <c r="I43" s="6">
        <f>I$1*'survival matrix'!I43</f>
        <v>7737.0225398957264</v>
      </c>
      <c r="J43" s="6">
        <f>J$1*'survival matrix'!J43</f>
        <v>10181.611160267517</v>
      </c>
      <c r="K43" s="6">
        <f>K$1*'survival matrix'!K43</f>
        <v>12822.776668509132</v>
      </c>
      <c r="L43" s="6">
        <f>L$1*'survival matrix'!L43</f>
        <v>15657.47632833341</v>
      </c>
      <c r="M43" s="6">
        <f>M$1*'survival matrix'!M43</f>
        <v>18673.760103936518</v>
      </c>
      <c r="N43" s="6">
        <f>N$1*'survival matrix'!N43</f>
        <v>21852.346076428243</v>
      </c>
      <c r="O43" s="6">
        <f>O$1*'survival matrix'!O43</f>
        <v>25175.316526116476</v>
      </c>
      <c r="P43" s="6">
        <f>P$1*'survival matrix'!P43</f>
        <v>28639.13117619359</v>
      </c>
      <c r="Q43" s="6">
        <f>Q$1*'survival matrix'!Q43</f>
        <v>32237.515846258295</v>
      </c>
      <c r="R43" s="6">
        <f>R$1*'survival matrix'!R43</f>
        <v>35954.744419116869</v>
      </c>
      <c r="S43" s="6">
        <f>S$1*'survival matrix'!S43</f>
        <v>39769.719194694313</v>
      </c>
      <c r="T43" s="6">
        <f>T$1*'survival matrix'!T43</f>
        <v>43659.784359568366</v>
      </c>
      <c r="U43" s="6">
        <f>U$1*'survival matrix'!U43</f>
        <v>47616.525093299155</v>
      </c>
      <c r="V43" s="6">
        <f>V$1*'survival matrix'!V43</f>
        <v>51619.365390959043</v>
      </c>
      <c r="W43" s="6">
        <f>W$1*'survival matrix'!W43</f>
        <v>55664.334746502107</v>
      </c>
      <c r="X43" s="6">
        <f>X$1*'survival matrix'!X43</f>
        <v>59739.554384071758</v>
      </c>
      <c r="Y43" s="6">
        <f>Y$1*'survival matrix'!Y43</f>
        <v>63830.097757915391</v>
      </c>
      <c r="Z43" s="6">
        <f>Z$1*'survival matrix'!Z43</f>
        <v>67930.585224963288</v>
      </c>
      <c r="AA43" s="6">
        <f>AA$1*'survival matrix'!AA43</f>
        <v>72032.903490592027</v>
      </c>
      <c r="AB43" s="6">
        <f>AB$1*'survival matrix'!AB43</f>
        <v>76120.777092745775</v>
      </c>
      <c r="AC43" s="6">
        <f>AC$1*'survival matrix'!AC43</f>
        <v>80514.709445543544</v>
      </c>
      <c r="AD43" s="6">
        <f>AD$1*'survival matrix'!AD43</f>
        <v>85611.245825307487</v>
      </c>
      <c r="AE43" s="6">
        <f>AE$1*'survival matrix'!AE43</f>
        <v>90626.013111324966</v>
      </c>
      <c r="AF43" s="6">
        <f>AF$1*'survival matrix'!AF43</f>
        <v>94711.955464269995</v>
      </c>
      <c r="AG43" s="6">
        <f>AG$1*'survival matrix'!AG43</f>
        <v>99047.93368889323</v>
      </c>
      <c r="AH43" s="6">
        <f>AH$1*'survival matrix'!AH43</f>
        <v>103006.03226179534</v>
      </c>
      <c r="AI43" s="6">
        <f>AI$1*'survival matrix'!AI43</f>
        <v>109170.78493917931</v>
      </c>
      <c r="AJ43" s="6">
        <f>AJ$1*'survival matrix'!AJ43</f>
        <v>113519.76234563602</v>
      </c>
      <c r="AK43" s="6">
        <f>AK$1*'survival matrix'!AK43</f>
        <v>117295.80647384093</v>
      </c>
      <c r="AL43" s="6">
        <f>AL$1*'survival matrix'!AL43</f>
        <v>121196.02418303666</v>
      </c>
      <c r="AM43" s="6">
        <f>AM$1*'survival matrix'!AM43</f>
        <v>125241.38863064973</v>
      </c>
      <c r="AN43" s="6">
        <f>AN$1*'survival matrix'!AN43</f>
        <v>127960.14501248057</v>
      </c>
      <c r="AO43" s="6">
        <f>AO$1*'survival matrix'!AO43</f>
        <v>130500.55389851921</v>
      </c>
      <c r="AP43" s="6">
        <f>AP$1*'survival matrix'!AP43</f>
        <v>132434.91912955788</v>
      </c>
      <c r="AQ43" s="6">
        <f>AQ$1*'survival matrix'!AQ43</f>
        <v>135102.40481975392</v>
      </c>
      <c r="AR43" s="6">
        <f>AR$1*'survival matrix'!AR43</f>
        <v>138544.14863862985</v>
      </c>
      <c r="AS43" s="6">
        <f>AS$1*'survival matrix'!AS43</f>
        <v>141944.29502786777</v>
      </c>
      <c r="AT43" s="6">
        <f>AT$1*'survival matrix'!AT43</f>
        <v>146813.22621563822</v>
      </c>
      <c r="AU43" s="6">
        <f>AU$1*'survival matrix'!AU43</f>
        <v>0</v>
      </c>
      <c r="AV43" s="6">
        <f>AV$1*'survival matrix'!AV43</f>
        <v>0</v>
      </c>
      <c r="AW43" s="6">
        <f>AW$1*'survival matrix'!AW43</f>
        <v>0</v>
      </c>
      <c r="AX43" s="6">
        <f>AX$1*'survival matrix'!AX43</f>
        <v>0</v>
      </c>
      <c r="AY43" s="6">
        <f>AY$1*'survival matrix'!AY43</f>
        <v>0</v>
      </c>
      <c r="AZ43" s="6">
        <f>AZ$1*'survival matrix'!AZ43</f>
        <v>0</v>
      </c>
      <c r="BA43" s="6">
        <f>BA$1*'survival matrix'!BA43</f>
        <v>0</v>
      </c>
      <c r="BB43" s="6">
        <f>BB$1*'survival matrix'!BB43</f>
        <v>0</v>
      </c>
      <c r="BC43" s="6">
        <f>BC$1*'survival matrix'!BC43</f>
        <v>0</v>
      </c>
      <c r="BD43" s="6">
        <f>BD$1*'survival matrix'!BD43</f>
        <v>0</v>
      </c>
      <c r="BE43" s="6">
        <f>BE$1*'survival matrix'!BE43</f>
        <v>0</v>
      </c>
      <c r="BF43" s="6">
        <f>BF$1*'survival matrix'!BF43</f>
        <v>0</v>
      </c>
      <c r="BG43" s="6">
        <f>BG$1*'survival matrix'!BG43</f>
        <v>0</v>
      </c>
      <c r="BH43" s="6">
        <f>BH$1*'survival matrix'!BH43</f>
        <v>0</v>
      </c>
      <c r="BI43" s="6">
        <f>BI$1*'survival matrix'!BI43</f>
        <v>0</v>
      </c>
      <c r="BJ43" s="6">
        <f>BJ$1*'survival matrix'!BJ43</f>
        <v>0</v>
      </c>
      <c r="BK43" s="6">
        <f>BK$1*'survival matrix'!BK43</f>
        <v>0</v>
      </c>
      <c r="BL43" s="6">
        <f>BL$1*'survival matrix'!BL43</f>
        <v>0</v>
      </c>
      <c r="BM43" s="6">
        <f>BM$1*'survival matrix'!BM43</f>
        <v>0</v>
      </c>
      <c r="BN43" s="6">
        <f>BN$1*'survival matrix'!BN43</f>
        <v>0</v>
      </c>
      <c r="BO43" s="6">
        <f>BO$1*'survival matrix'!BO43</f>
        <v>0</v>
      </c>
      <c r="BP43" s="6">
        <f>BP$1*'survival matrix'!BP43</f>
        <v>0</v>
      </c>
      <c r="BQ43" s="6">
        <f>BQ$1*'survival matrix'!BQ43</f>
        <v>0</v>
      </c>
      <c r="BR43" s="6">
        <f>BR$1*'survival matrix'!BR43</f>
        <v>0</v>
      </c>
      <c r="BS43" s="6">
        <f>BS$1*'survival matrix'!BS43</f>
        <v>0</v>
      </c>
      <c r="BT43" s="6">
        <f>BT$1*'survival matrix'!BT43</f>
        <v>0</v>
      </c>
      <c r="BU43" s="6">
        <f>BU$1*'survival matrix'!BU43</f>
        <v>0</v>
      </c>
      <c r="BV43" s="6">
        <f>BV$1*'survival matrix'!BV43</f>
        <v>0</v>
      </c>
      <c r="BW43" s="6">
        <f>BW$1*'survival matrix'!BW43</f>
        <v>0</v>
      </c>
      <c r="BX43" s="6">
        <f>BX$1*'survival matrix'!BX43</f>
        <v>0</v>
      </c>
      <c r="BY43" s="6">
        <f>BY$1*'survival matrix'!BY43</f>
        <v>0</v>
      </c>
      <c r="BZ43" s="6">
        <f>BZ$1*'survival matrix'!BZ43</f>
        <v>0</v>
      </c>
      <c r="CA43" s="6">
        <f>CA$1*'survival matrix'!CA43</f>
        <v>0</v>
      </c>
      <c r="CB43" s="6">
        <f>CB$1*'survival matrix'!CB43</f>
        <v>0</v>
      </c>
      <c r="CC43" s="6">
        <f>CC$1*'survival matrix'!CC43</f>
        <v>0</v>
      </c>
      <c r="CD43" s="6">
        <f>CD$1*'survival matrix'!CD43</f>
        <v>0</v>
      </c>
      <c r="CE43" s="6">
        <f>CE$1*'survival matrix'!CE43</f>
        <v>0</v>
      </c>
      <c r="CF43" s="6">
        <f>CF$1*'survival matrix'!CF43</f>
        <v>0</v>
      </c>
      <c r="CG43" s="6">
        <f>CG$1*'survival matrix'!CG43</f>
        <v>0</v>
      </c>
      <c r="CH43" s="6">
        <f>CH$1*'survival matrix'!CH43</f>
        <v>0</v>
      </c>
      <c r="CI43" s="6">
        <f>CI$1*'survival matrix'!CI43</f>
        <v>0</v>
      </c>
      <c r="CJ43" s="6">
        <f>CJ$1*'survival matrix'!CJ43</f>
        <v>0</v>
      </c>
      <c r="CK43" s="6">
        <f>CK$1*'survival matrix'!CK43</f>
        <v>0</v>
      </c>
      <c r="CL43" s="6">
        <f>CL$1*'survival matrix'!CL43</f>
        <v>0</v>
      </c>
      <c r="CM43" s="6">
        <f>CM$1*'survival matrix'!CM43</f>
        <v>0</v>
      </c>
      <c r="CN43" s="6">
        <f>CN$1*'survival matrix'!CN43</f>
        <v>0</v>
      </c>
      <c r="CO43" s="6">
        <f>CO$1*'survival matrix'!CO43</f>
        <v>0</v>
      </c>
      <c r="CP43" s="6">
        <f>CP$1*'survival matrix'!CP43</f>
        <v>0</v>
      </c>
      <c r="CQ43" s="6">
        <f>CQ$1*'survival matrix'!CQ43</f>
        <v>0</v>
      </c>
      <c r="CR43" s="6">
        <f>CR$1*'survival matrix'!CR43</f>
        <v>0</v>
      </c>
      <c r="CS43" s="6">
        <f>CS$1*'survival matrix'!CS43</f>
        <v>0</v>
      </c>
      <c r="CT43" s="6">
        <f>CT$1*'survival matrix'!CT43</f>
        <v>0</v>
      </c>
      <c r="CU43" s="6">
        <f>CU$1*'survival matrix'!CU43</f>
        <v>0</v>
      </c>
      <c r="CV43" s="6">
        <f>CV$1*'survival matrix'!CV43</f>
        <v>0</v>
      </c>
      <c r="CW43" s="6">
        <f>CW$1*'survival matrix'!CW43</f>
        <v>0</v>
      </c>
      <c r="CX43" s="6">
        <f>CX$1*'survival matrix'!CX43</f>
        <v>0</v>
      </c>
      <c r="CY43" s="6">
        <f>CY$1*'survival matrix'!CY43</f>
        <v>0</v>
      </c>
      <c r="CZ43" s="6">
        <f>CZ$1*'survival matrix'!CZ43</f>
        <v>0</v>
      </c>
      <c r="DA43" s="6">
        <f>DA$1*'survival matrix'!DA43</f>
        <v>0</v>
      </c>
      <c r="DB43" s="6">
        <f>DB$1*'survival matrix'!DB43</f>
        <v>0</v>
      </c>
      <c r="DC43" s="6">
        <f>DC$1*'survival matrix'!DC43</f>
        <v>0</v>
      </c>
      <c r="DD43" s="6">
        <f>DD$1*'survival matrix'!DD43</f>
        <v>0</v>
      </c>
      <c r="DE43" s="6">
        <f>DE$1*'survival matrix'!DE43</f>
        <v>0</v>
      </c>
      <c r="DF43" s="6">
        <f>DF$1*'survival matrix'!DF43</f>
        <v>0</v>
      </c>
      <c r="DG43" s="6">
        <f>DG$1*'survival matrix'!DG43</f>
        <v>0</v>
      </c>
      <c r="DH43" s="6">
        <f>DH$1*'survival matrix'!DH43</f>
        <v>0</v>
      </c>
      <c r="DI43" s="6">
        <f>DI$1*'survival matrix'!DI43</f>
        <v>0</v>
      </c>
      <c r="DJ43" s="6">
        <f>DJ$1*'survival matrix'!DJ43</f>
        <v>0</v>
      </c>
      <c r="DK43" s="6">
        <f>DK$1*'survival matrix'!DK43</f>
        <v>0</v>
      </c>
      <c r="DL43" s="6">
        <f>DL$1*'survival matrix'!DL43</f>
        <v>0</v>
      </c>
      <c r="DM43" s="6">
        <f>DM$1*'survival matrix'!DM43</f>
        <v>0</v>
      </c>
      <c r="DN43" s="6">
        <f>DN$1*'survival matrix'!DN43</f>
        <v>0</v>
      </c>
      <c r="DO43" s="6">
        <f>DO$1*'survival matrix'!DO43</f>
        <v>0</v>
      </c>
      <c r="DP43" s="6">
        <f>DP$1*'survival matrix'!DP43</f>
        <v>0</v>
      </c>
      <c r="DQ43" s="6">
        <f>DQ$1*'survival matrix'!DQ43</f>
        <v>0</v>
      </c>
      <c r="DR43" s="6">
        <f>DR$1*'survival matrix'!DR43</f>
        <v>0</v>
      </c>
      <c r="DS43" s="6">
        <f>DS$1*'survival matrix'!DS43</f>
        <v>0</v>
      </c>
      <c r="DT43" s="6">
        <f>DT$1*'survival matrix'!DT43</f>
        <v>0</v>
      </c>
      <c r="DU43" s="6">
        <f>DU$1*'survival matrix'!DU43</f>
        <v>0</v>
      </c>
      <c r="DV43" s="6">
        <f>DV$1*'survival matrix'!DV43</f>
        <v>0</v>
      </c>
      <c r="DW43" s="6">
        <f>DW$1*'survival matrix'!DW43</f>
        <v>0</v>
      </c>
      <c r="DX43" s="6">
        <f>DX$1*'survival matrix'!DX43</f>
        <v>0</v>
      </c>
      <c r="DY43" s="6">
        <f>DY$1*'survival matrix'!DY43</f>
        <v>0</v>
      </c>
      <c r="DZ43" s="6">
        <f>DZ$1*'survival matrix'!DZ43</f>
        <v>0</v>
      </c>
      <c r="EA43" s="6">
        <f>EA$1*'survival matrix'!EA43</f>
        <v>0</v>
      </c>
      <c r="EB43" s="6">
        <f>EB$1*'survival matrix'!EB43</f>
        <v>0</v>
      </c>
      <c r="EC43" s="6">
        <f>EC$1*'survival matrix'!EC43</f>
        <v>0</v>
      </c>
    </row>
    <row r="44" spans="1:133">
      <c r="A44" s="12">
        <f>'data input'!C44-B44</f>
        <v>20993.65197809253</v>
      </c>
      <c r="B44" s="14">
        <f t="shared" si="2"/>
        <v>130989.21059198072</v>
      </c>
      <c r="C44" s="11">
        <f>SUM(F44:EC44)</f>
        <v>3021723.8766846335</v>
      </c>
      <c r="E44" s="7">
        <f>'data input'!B44</f>
        <v>1919</v>
      </c>
      <c r="F44" s="6">
        <f>F$1*'survival matrix'!F44</f>
        <v>1528.1056620253626</v>
      </c>
      <c r="G44" s="6">
        <f>G$1*'survival matrix'!G44</f>
        <v>3263.3320184702179</v>
      </c>
      <c r="H44" s="6">
        <f>H$1*'survival matrix'!H44</f>
        <v>5202.4277950751475</v>
      </c>
      <c r="I44" s="6">
        <f>I$1*'survival matrix'!I44</f>
        <v>7350.9312781954541</v>
      </c>
      <c r="J44" s="6">
        <f>J$1*'survival matrix'!J44</f>
        <v>9705.3950918285791</v>
      </c>
      <c r="K44" s="6">
        <f>K$1*'survival matrix'!K44</f>
        <v>12262.010041802005</v>
      </c>
      <c r="L44" s="6">
        <f>L$1*'survival matrix'!L44</f>
        <v>15018.876610440197</v>
      </c>
      <c r="M44" s="6">
        <f>M$1*'survival matrix'!M44</f>
        <v>17965.338505230913</v>
      </c>
      <c r="N44" s="6">
        <f>N$1*'survival matrix'!N44</f>
        <v>21083.378731170946</v>
      </c>
      <c r="O44" s="6">
        <f>O$1*'survival matrix'!O44</f>
        <v>24355.945270452401</v>
      </c>
      <c r="P44" s="6">
        <f>P$1*'survival matrix'!P44</f>
        <v>27779.610971929778</v>
      </c>
      <c r="Q44" s="6">
        <f>Q$1*'survival matrix'!Q44</f>
        <v>31348.129879937402</v>
      </c>
      <c r="R44" s="6">
        <f>R$1*'survival matrix'!R44</f>
        <v>35045.865325965628</v>
      </c>
      <c r="S44" s="6">
        <f>S$1*'survival matrix'!S44</f>
        <v>38851.685477679632</v>
      </c>
      <c r="T44" s="6">
        <f>T$1*'survival matrix'!T44</f>
        <v>42742.667188123101</v>
      </c>
      <c r="U44" s="6">
        <f>U$1*'survival matrix'!U44</f>
        <v>46709.613714817024</v>
      </c>
      <c r="V44" s="6">
        <f>V$1*'survival matrix'!V44</f>
        <v>50731.276340910445</v>
      </c>
      <c r="W44" s="6">
        <f>W$1*'survival matrix'!W44</f>
        <v>54802.593699343517</v>
      </c>
      <c r="X44" s="6">
        <f>X$1*'survival matrix'!X44</f>
        <v>58910.689174976018</v>
      </c>
      <c r="Y44" s="6">
        <f>Y$1*'survival matrix'!Y44</f>
        <v>63039.630511234951</v>
      </c>
      <c r="Z44" s="6">
        <f>Z$1*'survival matrix'!Z44</f>
        <v>67182.891752256808</v>
      </c>
      <c r="AA44" s="6">
        <f>AA$1*'survival matrix'!AA44</f>
        <v>71331.281770212532</v>
      </c>
      <c r="AB44" s="6">
        <f>AB$1*'survival matrix'!AB44</f>
        <v>75467.563169530244</v>
      </c>
      <c r="AC44" s="6">
        <f>AC$1*'survival matrix'!AC44</f>
        <v>79908.77182821442</v>
      </c>
      <c r="AD44" s="6">
        <f>AD$1*'survival matrix'!AD44</f>
        <v>85048.826175704788</v>
      </c>
      <c r="AE44" s="6">
        <f>AE$1*'survival matrix'!AE44</f>
        <v>90108.770321209187</v>
      </c>
      <c r="AF44" s="6">
        <f>AF$1*'survival matrix'!AF44</f>
        <v>94244.592854024086</v>
      </c>
      <c r="AG44" s="6">
        <f>AG$1*'survival matrix'!AG44</f>
        <v>98627.438429190996</v>
      </c>
      <c r="AH44" s="6">
        <f>AH$1*'survival matrix'!AH44</f>
        <v>102631.68937247813</v>
      </c>
      <c r="AI44" s="6">
        <f>AI$1*'survival matrix'!AI44</f>
        <v>108832.87753784539</v>
      </c>
      <c r="AJ44" s="6">
        <f>AJ$1*'survival matrix'!AJ44</f>
        <v>113222.04019478368</v>
      </c>
      <c r="AK44" s="6">
        <f>AK$1*'survival matrix'!AK44</f>
        <v>117036.50311128052</v>
      </c>
      <c r="AL44" s="6">
        <f>AL$1*'survival matrix'!AL44</f>
        <v>120971.37045122491</v>
      </c>
      <c r="AM44" s="6">
        <f>AM$1*'survival matrix'!AM44</f>
        <v>125047.76212927424</v>
      </c>
      <c r="AN44" s="6">
        <f>AN$1*'survival matrix'!AN44</f>
        <v>127796.02704744041</v>
      </c>
      <c r="AO44" s="6">
        <f>AO$1*'survival matrix'!AO44</f>
        <v>130362.44744014561</v>
      </c>
      <c r="AP44" s="6">
        <f>AP$1*'survival matrix'!AP44</f>
        <v>132319.90131244046</v>
      </c>
      <c r="AQ44" s="6">
        <f>AQ$1*'survival matrix'!AQ44</f>
        <v>135006.638171256</v>
      </c>
      <c r="AR44" s="6">
        <f>AR$1*'survival matrix'!AR44</f>
        <v>138464.43287106004</v>
      </c>
      <c r="AS44" s="6">
        <f>AS$1*'survival matrix'!AS44</f>
        <v>141878.36469846236</v>
      </c>
      <c r="AT44" s="6">
        <f>AT$1*'survival matrix'!AT44</f>
        <v>146758.48155394214</v>
      </c>
      <c r="AU44" s="6">
        <f>AU$1*'survival matrix'!AU44</f>
        <v>151777.7012030484</v>
      </c>
      <c r="AV44" s="6">
        <f>AV$1*'survival matrix'!AV44</f>
        <v>0</v>
      </c>
      <c r="AW44" s="6">
        <f>AW$1*'survival matrix'!AW44</f>
        <v>0</v>
      </c>
      <c r="AX44" s="6">
        <f>AX$1*'survival matrix'!AX44</f>
        <v>0</v>
      </c>
      <c r="AY44" s="6">
        <f>AY$1*'survival matrix'!AY44</f>
        <v>0</v>
      </c>
      <c r="AZ44" s="6">
        <f>AZ$1*'survival matrix'!AZ44</f>
        <v>0</v>
      </c>
      <c r="BA44" s="6">
        <f>BA$1*'survival matrix'!BA44</f>
        <v>0</v>
      </c>
      <c r="BB44" s="6">
        <f>BB$1*'survival matrix'!BB44</f>
        <v>0</v>
      </c>
      <c r="BC44" s="6">
        <f>BC$1*'survival matrix'!BC44</f>
        <v>0</v>
      </c>
      <c r="BD44" s="6">
        <f>BD$1*'survival matrix'!BD44</f>
        <v>0</v>
      </c>
      <c r="BE44" s="6">
        <f>BE$1*'survival matrix'!BE44</f>
        <v>0</v>
      </c>
      <c r="BF44" s="6">
        <f>BF$1*'survival matrix'!BF44</f>
        <v>0</v>
      </c>
      <c r="BG44" s="6">
        <f>BG$1*'survival matrix'!BG44</f>
        <v>0</v>
      </c>
      <c r="BH44" s="6">
        <f>BH$1*'survival matrix'!BH44</f>
        <v>0</v>
      </c>
      <c r="BI44" s="6">
        <f>BI$1*'survival matrix'!BI44</f>
        <v>0</v>
      </c>
      <c r="BJ44" s="6">
        <f>BJ$1*'survival matrix'!BJ44</f>
        <v>0</v>
      </c>
      <c r="BK44" s="6">
        <f>BK$1*'survival matrix'!BK44</f>
        <v>0</v>
      </c>
      <c r="BL44" s="6">
        <f>BL$1*'survival matrix'!BL44</f>
        <v>0</v>
      </c>
      <c r="BM44" s="6">
        <f>BM$1*'survival matrix'!BM44</f>
        <v>0</v>
      </c>
      <c r="BN44" s="6">
        <f>BN$1*'survival matrix'!BN44</f>
        <v>0</v>
      </c>
      <c r="BO44" s="6">
        <f>BO$1*'survival matrix'!BO44</f>
        <v>0</v>
      </c>
      <c r="BP44" s="6">
        <f>BP$1*'survival matrix'!BP44</f>
        <v>0</v>
      </c>
      <c r="BQ44" s="6">
        <f>BQ$1*'survival matrix'!BQ44</f>
        <v>0</v>
      </c>
      <c r="BR44" s="6">
        <f>BR$1*'survival matrix'!BR44</f>
        <v>0</v>
      </c>
      <c r="BS44" s="6">
        <f>BS$1*'survival matrix'!BS44</f>
        <v>0</v>
      </c>
      <c r="BT44" s="6">
        <f>BT$1*'survival matrix'!BT44</f>
        <v>0</v>
      </c>
      <c r="BU44" s="6">
        <f>BU$1*'survival matrix'!BU44</f>
        <v>0</v>
      </c>
      <c r="BV44" s="6">
        <f>BV$1*'survival matrix'!BV44</f>
        <v>0</v>
      </c>
      <c r="BW44" s="6">
        <f>BW$1*'survival matrix'!BW44</f>
        <v>0</v>
      </c>
      <c r="BX44" s="6">
        <f>BX$1*'survival matrix'!BX44</f>
        <v>0</v>
      </c>
      <c r="BY44" s="6">
        <f>BY$1*'survival matrix'!BY44</f>
        <v>0</v>
      </c>
      <c r="BZ44" s="6">
        <f>BZ$1*'survival matrix'!BZ44</f>
        <v>0</v>
      </c>
      <c r="CA44" s="6">
        <f>CA$1*'survival matrix'!CA44</f>
        <v>0</v>
      </c>
      <c r="CB44" s="6">
        <f>CB$1*'survival matrix'!CB44</f>
        <v>0</v>
      </c>
      <c r="CC44" s="6">
        <f>CC$1*'survival matrix'!CC44</f>
        <v>0</v>
      </c>
      <c r="CD44" s="6">
        <f>CD$1*'survival matrix'!CD44</f>
        <v>0</v>
      </c>
      <c r="CE44" s="6">
        <f>CE$1*'survival matrix'!CE44</f>
        <v>0</v>
      </c>
      <c r="CF44" s="6">
        <f>CF$1*'survival matrix'!CF44</f>
        <v>0</v>
      </c>
      <c r="CG44" s="6">
        <f>CG$1*'survival matrix'!CG44</f>
        <v>0</v>
      </c>
      <c r="CH44" s="6">
        <f>CH$1*'survival matrix'!CH44</f>
        <v>0</v>
      </c>
      <c r="CI44" s="6">
        <f>CI$1*'survival matrix'!CI44</f>
        <v>0</v>
      </c>
      <c r="CJ44" s="6">
        <f>CJ$1*'survival matrix'!CJ44</f>
        <v>0</v>
      </c>
      <c r="CK44" s="6">
        <f>CK$1*'survival matrix'!CK44</f>
        <v>0</v>
      </c>
      <c r="CL44" s="6">
        <f>CL$1*'survival matrix'!CL44</f>
        <v>0</v>
      </c>
      <c r="CM44" s="6">
        <f>CM$1*'survival matrix'!CM44</f>
        <v>0</v>
      </c>
      <c r="CN44" s="6">
        <f>CN$1*'survival matrix'!CN44</f>
        <v>0</v>
      </c>
      <c r="CO44" s="6">
        <f>CO$1*'survival matrix'!CO44</f>
        <v>0</v>
      </c>
      <c r="CP44" s="6">
        <f>CP$1*'survival matrix'!CP44</f>
        <v>0</v>
      </c>
      <c r="CQ44" s="6">
        <f>CQ$1*'survival matrix'!CQ44</f>
        <v>0</v>
      </c>
      <c r="CR44" s="6">
        <f>CR$1*'survival matrix'!CR44</f>
        <v>0</v>
      </c>
      <c r="CS44" s="6">
        <f>CS$1*'survival matrix'!CS44</f>
        <v>0</v>
      </c>
      <c r="CT44" s="6">
        <f>CT$1*'survival matrix'!CT44</f>
        <v>0</v>
      </c>
      <c r="CU44" s="6">
        <f>CU$1*'survival matrix'!CU44</f>
        <v>0</v>
      </c>
      <c r="CV44" s="6">
        <f>CV$1*'survival matrix'!CV44</f>
        <v>0</v>
      </c>
      <c r="CW44" s="6">
        <f>CW$1*'survival matrix'!CW44</f>
        <v>0</v>
      </c>
      <c r="CX44" s="6">
        <f>CX$1*'survival matrix'!CX44</f>
        <v>0</v>
      </c>
      <c r="CY44" s="6">
        <f>CY$1*'survival matrix'!CY44</f>
        <v>0</v>
      </c>
      <c r="CZ44" s="6">
        <f>CZ$1*'survival matrix'!CZ44</f>
        <v>0</v>
      </c>
      <c r="DA44" s="6">
        <f>DA$1*'survival matrix'!DA44</f>
        <v>0</v>
      </c>
      <c r="DB44" s="6">
        <f>DB$1*'survival matrix'!DB44</f>
        <v>0</v>
      </c>
      <c r="DC44" s="6">
        <f>DC$1*'survival matrix'!DC44</f>
        <v>0</v>
      </c>
      <c r="DD44" s="6">
        <f>DD$1*'survival matrix'!DD44</f>
        <v>0</v>
      </c>
      <c r="DE44" s="6">
        <f>DE$1*'survival matrix'!DE44</f>
        <v>0</v>
      </c>
      <c r="DF44" s="6">
        <f>DF$1*'survival matrix'!DF44</f>
        <v>0</v>
      </c>
      <c r="DG44" s="6">
        <f>DG$1*'survival matrix'!DG44</f>
        <v>0</v>
      </c>
      <c r="DH44" s="6">
        <f>DH$1*'survival matrix'!DH44</f>
        <v>0</v>
      </c>
      <c r="DI44" s="6">
        <f>DI$1*'survival matrix'!DI44</f>
        <v>0</v>
      </c>
      <c r="DJ44" s="6">
        <f>DJ$1*'survival matrix'!DJ44</f>
        <v>0</v>
      </c>
      <c r="DK44" s="6">
        <f>DK$1*'survival matrix'!DK44</f>
        <v>0</v>
      </c>
      <c r="DL44" s="6">
        <f>DL$1*'survival matrix'!DL44</f>
        <v>0</v>
      </c>
      <c r="DM44" s="6">
        <f>DM$1*'survival matrix'!DM44</f>
        <v>0</v>
      </c>
      <c r="DN44" s="6">
        <f>DN$1*'survival matrix'!DN44</f>
        <v>0</v>
      </c>
      <c r="DO44" s="6">
        <f>DO$1*'survival matrix'!DO44</f>
        <v>0</v>
      </c>
      <c r="DP44" s="6">
        <f>DP$1*'survival matrix'!DP44</f>
        <v>0</v>
      </c>
      <c r="DQ44" s="6">
        <f>DQ$1*'survival matrix'!DQ44</f>
        <v>0</v>
      </c>
      <c r="DR44" s="6">
        <f>DR$1*'survival matrix'!DR44</f>
        <v>0</v>
      </c>
      <c r="DS44" s="6">
        <f>DS$1*'survival matrix'!DS44</f>
        <v>0</v>
      </c>
      <c r="DT44" s="6">
        <f>DT$1*'survival matrix'!DT44</f>
        <v>0</v>
      </c>
      <c r="DU44" s="6">
        <f>DU$1*'survival matrix'!DU44</f>
        <v>0</v>
      </c>
      <c r="DV44" s="6">
        <f>DV$1*'survival matrix'!DV44</f>
        <v>0</v>
      </c>
      <c r="DW44" s="6">
        <f>DW$1*'survival matrix'!DW44</f>
        <v>0</v>
      </c>
      <c r="DX44" s="6">
        <f>DX$1*'survival matrix'!DX44</f>
        <v>0</v>
      </c>
      <c r="DY44" s="6">
        <f>DY$1*'survival matrix'!DY44</f>
        <v>0</v>
      </c>
      <c r="DZ44" s="6">
        <f>DZ$1*'survival matrix'!DZ44</f>
        <v>0</v>
      </c>
      <c r="EA44" s="6">
        <f>EA$1*'survival matrix'!EA44</f>
        <v>0</v>
      </c>
      <c r="EB44" s="6">
        <f>EB$1*'survival matrix'!EB44</f>
        <v>0</v>
      </c>
      <c r="EC44" s="6">
        <f>EC$1*'survival matrix'!EC44</f>
        <v>0</v>
      </c>
    </row>
    <row r="45" spans="1:133">
      <c r="A45" s="12">
        <f>'data input'!C45-B45</f>
        <v>22956.958248669252</v>
      </c>
      <c r="B45" s="14">
        <f t="shared" si="2"/>
        <v>133017.70275998442</v>
      </c>
      <c r="C45" s="11">
        <f>SUM(F45:EC45)</f>
        <v>3154741.579444618</v>
      </c>
      <c r="E45" s="7">
        <f>'data input'!B45</f>
        <v>1920</v>
      </c>
      <c r="F45" s="6">
        <f>F$1*'survival matrix'!F45</f>
        <v>1431.4830202753635</v>
      </c>
      <c r="G45" s="6">
        <f>G$1*'survival matrix'!G45</f>
        <v>3068.2327735611279</v>
      </c>
      <c r="H45" s="6">
        <f>H$1*'survival matrix'!H45</f>
        <v>4908.9450980903139</v>
      </c>
      <c r="I45" s="6">
        <f>I$1*'survival matrix'!I45</f>
        <v>6960.4740242505623</v>
      </c>
      <c r="J45" s="6">
        <f>J$1*'survival matrix'!J45</f>
        <v>9221.0785195319932</v>
      </c>
      <c r="K45" s="6">
        <f>K$1*'survival matrix'!K45</f>
        <v>11688.48919904451</v>
      </c>
      <c r="L45" s="6">
        <f>L$1*'survival matrix'!L45</f>
        <v>14362.069977096069</v>
      </c>
      <c r="M45" s="6">
        <f>M$1*'survival matrix'!M45</f>
        <v>17232.611221426188</v>
      </c>
      <c r="N45" s="6">
        <f>N$1*'survival matrix'!N45</f>
        <v>20283.544054934355</v>
      </c>
      <c r="O45" s="6">
        <f>O$1*'survival matrix'!O45</f>
        <v>23498.878184367106</v>
      </c>
      <c r="P45" s="6">
        <f>P$1*'survival matrix'!P45</f>
        <v>26875.478755744258</v>
      </c>
      <c r="Q45" s="6">
        <f>Q$1*'survival matrix'!Q45</f>
        <v>30407.306960697104</v>
      </c>
      <c r="R45" s="6">
        <f>R$1*'survival matrix'!R45</f>
        <v>34079.00110022525</v>
      </c>
      <c r="S45" s="6">
        <f>S$1*'survival matrix'!S45</f>
        <v>37869.576294737541</v>
      </c>
      <c r="T45" s="6">
        <f>T$1*'survival matrix'!T45</f>
        <v>41756.006723116123</v>
      </c>
      <c r="U45" s="6">
        <f>U$1*'survival matrix'!U45</f>
        <v>45728.431846014551</v>
      </c>
      <c r="V45" s="6">
        <f>V$1*'survival matrix'!V45</f>
        <v>49765.040949555354</v>
      </c>
      <c r="W45" s="6">
        <f>W$1*'survival matrix'!W45</f>
        <v>53859.738571039801</v>
      </c>
      <c r="X45" s="6">
        <f>X$1*'survival matrix'!X45</f>
        <v>57998.691228541051</v>
      </c>
      <c r="Y45" s="6">
        <f>Y$1*'survival matrix'!Y45</f>
        <v>62164.977911902133</v>
      </c>
      <c r="Z45" s="6">
        <f>Z$1*'survival matrix'!Z45</f>
        <v>66350.903750783778</v>
      </c>
      <c r="AA45" s="6">
        <f>AA$1*'survival matrix'!AA45</f>
        <v>70546.157755709326</v>
      </c>
      <c r="AB45" s="6">
        <f>AB$1*'survival matrix'!AB45</f>
        <v>74732.486851097943</v>
      </c>
      <c r="AC45" s="6">
        <f>AC$1*'survival matrix'!AC45</f>
        <v>79223.052050529484</v>
      </c>
      <c r="AD45" s="6">
        <f>AD$1*'survival matrix'!AD45</f>
        <v>84408.76570173139</v>
      </c>
      <c r="AE45" s="6">
        <f>AE$1*'survival matrix'!AE45</f>
        <v>89516.804364615164</v>
      </c>
      <c r="AF45" s="6">
        <f>AF$1*'survival matrix'!AF45</f>
        <v>93706.69722684627</v>
      </c>
      <c r="AG45" s="6">
        <f>AG$1*'survival matrix'!AG45</f>
        <v>98140.754600943736</v>
      </c>
      <c r="AH45" s="6">
        <f>AH$1*'survival matrix'!AH45</f>
        <v>102195.97973908072</v>
      </c>
      <c r="AI45" s="6">
        <f>AI$1*'survival matrix'!AI45</f>
        <v>108437.35881980877</v>
      </c>
      <c r="AJ45" s="6">
        <f>AJ$1*'survival matrix'!AJ45</f>
        <v>112871.59327441703</v>
      </c>
      <c r="AK45" s="6">
        <f>AK$1*'survival matrix'!AK45</f>
        <v>116729.55779431945</v>
      </c>
      <c r="AL45" s="6">
        <f>AL$1*'survival matrix'!AL45</f>
        <v>120703.94159699269</v>
      </c>
      <c r="AM45" s="6">
        <f>AM$1*'survival matrix'!AM45</f>
        <v>124815.96866404783</v>
      </c>
      <c r="AN45" s="6">
        <f>AN$1*'survival matrix'!AN45</f>
        <v>127598.45100746326</v>
      </c>
      <c r="AO45" s="6">
        <f>AO$1*'survival matrix'!AO45</f>
        <v>130195.24835179318</v>
      </c>
      <c r="AP45" s="6">
        <f>AP$1*'survival matrix'!AP45</f>
        <v>132179.86947045443</v>
      </c>
      <c r="AQ45" s="6">
        <f>AQ$1*'survival matrix'!AQ45</f>
        <v>134889.38685324352</v>
      </c>
      <c r="AR45" s="6">
        <f>AR$1*'survival matrix'!AR45</f>
        <v>138366.28306617745</v>
      </c>
      <c r="AS45" s="6">
        <f>AS$1*'survival matrix'!AS45</f>
        <v>141796.73048399267</v>
      </c>
      <c r="AT45" s="6">
        <f>AT$1*'survival matrix'!AT45</f>
        <v>146690.31512971219</v>
      </c>
      <c r="AU45" s="6">
        <f>AU$1*'survival matrix'!AU45</f>
        <v>151721.10535593331</v>
      </c>
      <c r="AV45" s="6">
        <f>AV$1*'survival matrix'!AV45</f>
        <v>155764.11112077392</v>
      </c>
      <c r="AW45" s="6">
        <f>AW$1*'survival matrix'!AW45</f>
        <v>0</v>
      </c>
      <c r="AX45" s="6">
        <f>AX$1*'survival matrix'!AX45</f>
        <v>0</v>
      </c>
      <c r="AY45" s="6">
        <f>AY$1*'survival matrix'!AY45</f>
        <v>0</v>
      </c>
      <c r="AZ45" s="6">
        <f>AZ$1*'survival matrix'!AZ45</f>
        <v>0</v>
      </c>
      <c r="BA45" s="6">
        <f>BA$1*'survival matrix'!BA45</f>
        <v>0</v>
      </c>
      <c r="BB45" s="6">
        <f>BB$1*'survival matrix'!BB45</f>
        <v>0</v>
      </c>
      <c r="BC45" s="6">
        <f>BC$1*'survival matrix'!BC45</f>
        <v>0</v>
      </c>
      <c r="BD45" s="6">
        <f>BD$1*'survival matrix'!BD45</f>
        <v>0</v>
      </c>
      <c r="BE45" s="6">
        <f>BE$1*'survival matrix'!BE45</f>
        <v>0</v>
      </c>
      <c r="BF45" s="6">
        <f>BF$1*'survival matrix'!BF45</f>
        <v>0</v>
      </c>
      <c r="BG45" s="6">
        <f>BG$1*'survival matrix'!BG45</f>
        <v>0</v>
      </c>
      <c r="BH45" s="6">
        <f>BH$1*'survival matrix'!BH45</f>
        <v>0</v>
      </c>
      <c r="BI45" s="6">
        <f>BI$1*'survival matrix'!BI45</f>
        <v>0</v>
      </c>
      <c r="BJ45" s="6">
        <f>BJ$1*'survival matrix'!BJ45</f>
        <v>0</v>
      </c>
      <c r="BK45" s="6">
        <f>BK$1*'survival matrix'!BK45</f>
        <v>0</v>
      </c>
      <c r="BL45" s="6">
        <f>BL$1*'survival matrix'!BL45</f>
        <v>0</v>
      </c>
      <c r="BM45" s="6">
        <f>BM$1*'survival matrix'!BM45</f>
        <v>0</v>
      </c>
      <c r="BN45" s="6">
        <f>BN$1*'survival matrix'!BN45</f>
        <v>0</v>
      </c>
      <c r="BO45" s="6">
        <f>BO$1*'survival matrix'!BO45</f>
        <v>0</v>
      </c>
      <c r="BP45" s="6">
        <f>BP$1*'survival matrix'!BP45</f>
        <v>0</v>
      </c>
      <c r="BQ45" s="6">
        <f>BQ$1*'survival matrix'!BQ45</f>
        <v>0</v>
      </c>
      <c r="BR45" s="6">
        <f>BR$1*'survival matrix'!BR45</f>
        <v>0</v>
      </c>
      <c r="BS45" s="6">
        <f>BS$1*'survival matrix'!BS45</f>
        <v>0</v>
      </c>
      <c r="BT45" s="6">
        <f>BT$1*'survival matrix'!BT45</f>
        <v>0</v>
      </c>
      <c r="BU45" s="6">
        <f>BU$1*'survival matrix'!BU45</f>
        <v>0</v>
      </c>
      <c r="BV45" s="6">
        <f>BV$1*'survival matrix'!BV45</f>
        <v>0</v>
      </c>
      <c r="BW45" s="6">
        <f>BW$1*'survival matrix'!BW45</f>
        <v>0</v>
      </c>
      <c r="BX45" s="6">
        <f>BX$1*'survival matrix'!BX45</f>
        <v>0</v>
      </c>
      <c r="BY45" s="6">
        <f>BY$1*'survival matrix'!BY45</f>
        <v>0</v>
      </c>
      <c r="BZ45" s="6">
        <f>BZ$1*'survival matrix'!BZ45</f>
        <v>0</v>
      </c>
      <c r="CA45" s="6">
        <f>CA$1*'survival matrix'!CA45</f>
        <v>0</v>
      </c>
      <c r="CB45" s="6">
        <f>CB$1*'survival matrix'!CB45</f>
        <v>0</v>
      </c>
      <c r="CC45" s="6">
        <f>CC$1*'survival matrix'!CC45</f>
        <v>0</v>
      </c>
      <c r="CD45" s="6">
        <f>CD$1*'survival matrix'!CD45</f>
        <v>0</v>
      </c>
      <c r="CE45" s="6">
        <f>CE$1*'survival matrix'!CE45</f>
        <v>0</v>
      </c>
      <c r="CF45" s="6">
        <f>CF$1*'survival matrix'!CF45</f>
        <v>0</v>
      </c>
      <c r="CG45" s="6">
        <f>CG$1*'survival matrix'!CG45</f>
        <v>0</v>
      </c>
      <c r="CH45" s="6">
        <f>CH$1*'survival matrix'!CH45</f>
        <v>0</v>
      </c>
      <c r="CI45" s="6">
        <f>CI$1*'survival matrix'!CI45</f>
        <v>0</v>
      </c>
      <c r="CJ45" s="6">
        <f>CJ$1*'survival matrix'!CJ45</f>
        <v>0</v>
      </c>
      <c r="CK45" s="6">
        <f>CK$1*'survival matrix'!CK45</f>
        <v>0</v>
      </c>
      <c r="CL45" s="6">
        <f>CL$1*'survival matrix'!CL45</f>
        <v>0</v>
      </c>
      <c r="CM45" s="6">
        <f>CM$1*'survival matrix'!CM45</f>
        <v>0</v>
      </c>
      <c r="CN45" s="6">
        <f>CN$1*'survival matrix'!CN45</f>
        <v>0</v>
      </c>
      <c r="CO45" s="6">
        <f>CO$1*'survival matrix'!CO45</f>
        <v>0</v>
      </c>
      <c r="CP45" s="6">
        <f>CP$1*'survival matrix'!CP45</f>
        <v>0</v>
      </c>
      <c r="CQ45" s="6">
        <f>CQ$1*'survival matrix'!CQ45</f>
        <v>0</v>
      </c>
      <c r="CR45" s="6">
        <f>CR$1*'survival matrix'!CR45</f>
        <v>0</v>
      </c>
      <c r="CS45" s="6">
        <f>CS$1*'survival matrix'!CS45</f>
        <v>0</v>
      </c>
      <c r="CT45" s="6">
        <f>CT$1*'survival matrix'!CT45</f>
        <v>0</v>
      </c>
      <c r="CU45" s="6">
        <f>CU$1*'survival matrix'!CU45</f>
        <v>0</v>
      </c>
      <c r="CV45" s="6">
        <f>CV$1*'survival matrix'!CV45</f>
        <v>0</v>
      </c>
      <c r="CW45" s="6">
        <f>CW$1*'survival matrix'!CW45</f>
        <v>0</v>
      </c>
      <c r="CX45" s="6">
        <f>CX$1*'survival matrix'!CX45</f>
        <v>0</v>
      </c>
      <c r="CY45" s="6">
        <f>CY$1*'survival matrix'!CY45</f>
        <v>0</v>
      </c>
      <c r="CZ45" s="6">
        <f>CZ$1*'survival matrix'!CZ45</f>
        <v>0</v>
      </c>
      <c r="DA45" s="6">
        <f>DA$1*'survival matrix'!DA45</f>
        <v>0</v>
      </c>
      <c r="DB45" s="6">
        <f>DB$1*'survival matrix'!DB45</f>
        <v>0</v>
      </c>
      <c r="DC45" s="6">
        <f>DC$1*'survival matrix'!DC45</f>
        <v>0</v>
      </c>
      <c r="DD45" s="6">
        <f>DD$1*'survival matrix'!DD45</f>
        <v>0</v>
      </c>
      <c r="DE45" s="6">
        <f>DE$1*'survival matrix'!DE45</f>
        <v>0</v>
      </c>
      <c r="DF45" s="6">
        <f>DF$1*'survival matrix'!DF45</f>
        <v>0</v>
      </c>
      <c r="DG45" s="6">
        <f>DG$1*'survival matrix'!DG45</f>
        <v>0</v>
      </c>
      <c r="DH45" s="6">
        <f>DH$1*'survival matrix'!DH45</f>
        <v>0</v>
      </c>
      <c r="DI45" s="6">
        <f>DI$1*'survival matrix'!DI45</f>
        <v>0</v>
      </c>
      <c r="DJ45" s="6">
        <f>DJ$1*'survival matrix'!DJ45</f>
        <v>0</v>
      </c>
      <c r="DK45" s="6">
        <f>DK$1*'survival matrix'!DK45</f>
        <v>0</v>
      </c>
      <c r="DL45" s="6">
        <f>DL$1*'survival matrix'!DL45</f>
        <v>0</v>
      </c>
      <c r="DM45" s="6">
        <f>DM$1*'survival matrix'!DM45</f>
        <v>0</v>
      </c>
      <c r="DN45" s="6">
        <f>DN$1*'survival matrix'!DN45</f>
        <v>0</v>
      </c>
      <c r="DO45" s="6">
        <f>DO$1*'survival matrix'!DO45</f>
        <v>0</v>
      </c>
      <c r="DP45" s="6">
        <f>DP$1*'survival matrix'!DP45</f>
        <v>0</v>
      </c>
      <c r="DQ45" s="6">
        <f>DQ$1*'survival matrix'!DQ45</f>
        <v>0</v>
      </c>
      <c r="DR45" s="6">
        <f>DR$1*'survival matrix'!DR45</f>
        <v>0</v>
      </c>
      <c r="DS45" s="6">
        <f>DS$1*'survival matrix'!DS45</f>
        <v>0</v>
      </c>
      <c r="DT45" s="6">
        <f>DT$1*'survival matrix'!DT45</f>
        <v>0</v>
      </c>
      <c r="DU45" s="6">
        <f>DU$1*'survival matrix'!DU45</f>
        <v>0</v>
      </c>
      <c r="DV45" s="6">
        <f>DV$1*'survival matrix'!DV45</f>
        <v>0</v>
      </c>
      <c r="DW45" s="6">
        <f>DW$1*'survival matrix'!DW45</f>
        <v>0</v>
      </c>
      <c r="DX45" s="6">
        <f>DX$1*'survival matrix'!DX45</f>
        <v>0</v>
      </c>
      <c r="DY45" s="6">
        <f>DY$1*'survival matrix'!DY45</f>
        <v>0</v>
      </c>
      <c r="DZ45" s="6">
        <f>DZ$1*'survival matrix'!DZ45</f>
        <v>0</v>
      </c>
      <c r="EA45" s="6">
        <f>EA$1*'survival matrix'!EA45</f>
        <v>0</v>
      </c>
      <c r="EB45" s="6">
        <f>EB$1*'survival matrix'!EB45</f>
        <v>0</v>
      </c>
      <c r="EC45" s="6">
        <f>EC$1*'survival matrix'!EC45</f>
        <v>0</v>
      </c>
    </row>
    <row r="46" spans="1:133">
      <c r="A46" s="12">
        <f>'data input'!C46-B46</f>
        <v>25029.373240382498</v>
      </c>
      <c r="B46" s="14">
        <f t="shared" si="2"/>
        <v>135342.8449218059</v>
      </c>
      <c r="C46" s="11">
        <f>SUM(F46:EC46)</f>
        <v>3290084.4243664239</v>
      </c>
      <c r="E46" s="7">
        <f>'data input'!B46</f>
        <v>1921</v>
      </c>
      <c r="F46" s="6">
        <f>F$1*'survival matrix'!F46</f>
        <v>1335.9407879690948</v>
      </c>
      <c r="G46" s="6">
        <f>G$1*'survival matrix'!G46</f>
        <v>2874.2273697119781</v>
      </c>
      <c r="H46" s="6">
        <f>H$1*'survival matrix'!H46</f>
        <v>4615.4624011054802</v>
      </c>
      <c r="I46" s="6">
        <f>I$1*'survival matrix'!I46</f>
        <v>6567.8152946351856</v>
      </c>
      <c r="J46" s="6">
        <f>J$1*'survival matrix'!J46</f>
        <v>8731.2852047956112</v>
      </c>
      <c r="K46" s="6">
        <f>K$1*'survival matrix'!K46</f>
        <v>11105.212684214825</v>
      </c>
      <c r="L46" s="6">
        <f>L$1*'survival matrix'!L46</f>
        <v>13690.324769831848</v>
      </c>
      <c r="M46" s="6">
        <f>M$1*'survival matrix'!M46</f>
        <v>16478.993380781219</v>
      </c>
      <c r="N46" s="6">
        <f>N$1*'survival matrix'!N46</f>
        <v>19456.267344452215</v>
      </c>
      <c r="O46" s="6">
        <f>O$1*'survival matrix'!O46</f>
        <v>22607.407331228733</v>
      </c>
      <c r="P46" s="6">
        <f>P$1*'survival matrix'!P46</f>
        <v>25929.751213308162</v>
      </c>
      <c r="Q46" s="6">
        <f>Q$1*'survival matrix'!Q46</f>
        <v>29417.652143054471</v>
      </c>
      <c r="R46" s="6">
        <f>R$1*'survival matrix'!R46</f>
        <v>33056.219026056708</v>
      </c>
      <c r="S46" s="6">
        <f>S$1*'survival matrix'!S46</f>
        <v>36824.81000853602</v>
      </c>
      <c r="T46" s="6">
        <f>T$1*'survival matrix'!T46</f>
        <v>40700.480890927349</v>
      </c>
      <c r="U46" s="6">
        <f>U$1*'survival matrix'!U46</f>
        <v>44672.848776510509</v>
      </c>
      <c r="V46" s="6">
        <f>V$1*'survival matrix'!V46</f>
        <v>48719.67679437231</v>
      </c>
      <c r="W46" s="6">
        <f>W$1*'survival matrix'!W46</f>
        <v>52833.918025411134</v>
      </c>
      <c r="X46" s="6">
        <f>X$1*'survival matrix'!X46</f>
        <v>57000.848612555732</v>
      </c>
      <c r="Y46" s="6">
        <f>Y$1*'survival matrix'!Y46</f>
        <v>61202.600234950558</v>
      </c>
      <c r="Z46" s="6">
        <f>Z$1*'survival matrix'!Z46</f>
        <v>65430.308405235832</v>
      </c>
      <c r="AA46" s="6">
        <f>AA$1*'survival matrix'!AA46</f>
        <v>69672.519314851321</v>
      </c>
      <c r="AB46" s="6">
        <f>AB$1*'survival matrix'!AB46</f>
        <v>73909.92669748461</v>
      </c>
      <c r="AC46" s="6">
        <f>AC$1*'survival matrix'!AC46</f>
        <v>78451.396163013211</v>
      </c>
      <c r="AD46" s="6">
        <f>AD$1*'survival matrix'!AD46</f>
        <v>83684.430203545009</v>
      </c>
      <c r="AE46" s="6">
        <f>AE$1*'survival matrix'!AE46</f>
        <v>88843.118779445183</v>
      </c>
      <c r="AF46" s="6">
        <f>AF$1*'survival matrix'!AF46</f>
        <v>93091.094833589537</v>
      </c>
      <c r="AG46" s="6">
        <f>AG$1*'survival matrix'!AG46</f>
        <v>97580.621853279954</v>
      </c>
      <c r="AH46" s="6">
        <f>AH$1*'survival matrix'!AH46</f>
        <v>101691.68670011465</v>
      </c>
      <c r="AI46" s="6">
        <f>AI$1*'survival matrix'!AI46</f>
        <v>107977.00196368717</v>
      </c>
      <c r="AJ46" s="6">
        <f>AJ$1*'survival matrix'!AJ46</f>
        <v>112461.39711968316</v>
      </c>
      <c r="AK46" s="6">
        <f>AK$1*'survival matrix'!AK46</f>
        <v>116368.25434161354</v>
      </c>
      <c r="AL46" s="6">
        <f>AL$1*'survival matrix'!AL46</f>
        <v>120387.37788714985</v>
      </c>
      <c r="AM46" s="6">
        <f>AM$1*'survival matrix'!AM46</f>
        <v>124540.04063772885</v>
      </c>
      <c r="AN46" s="6">
        <f>AN$1*'survival matrix'!AN46</f>
        <v>127361.9294847033</v>
      </c>
      <c r="AO46" s="6">
        <f>AO$1*'survival matrix'!AO46</f>
        <v>129993.96305218335</v>
      </c>
      <c r="AP46" s="6">
        <f>AP$1*'survival matrix'!AP46</f>
        <v>132010.33940939794</v>
      </c>
      <c r="AQ46" s="6">
        <f>AQ$1*'survival matrix'!AQ46</f>
        <v>134746.63576955863</v>
      </c>
      <c r="AR46" s="6">
        <f>AR$1*'survival matrix'!AR46</f>
        <v>138246.11394503084</v>
      </c>
      <c r="AS46" s="6">
        <f>AS$1*'survival matrix'!AS46</f>
        <v>141696.21859699453</v>
      </c>
      <c r="AT46" s="6">
        <f>AT$1*'survival matrix'!AT46</f>
        <v>146605.91220702993</v>
      </c>
      <c r="AU46" s="6">
        <f>AU$1*'survival matrix'!AU46</f>
        <v>151650.63389068769</v>
      </c>
      <c r="AV46" s="6">
        <f>AV$1*'survival matrix'!AV46</f>
        <v>155706.02879544461</v>
      </c>
      <c r="AW46" s="6">
        <f>AW$1*'survival matrix'!AW46</f>
        <v>160155.7320205631</v>
      </c>
      <c r="AX46" s="6">
        <f>AX$1*'survival matrix'!AX46</f>
        <v>0</v>
      </c>
      <c r="AY46" s="6">
        <f>AY$1*'survival matrix'!AY46</f>
        <v>0</v>
      </c>
      <c r="AZ46" s="6">
        <f>AZ$1*'survival matrix'!AZ46</f>
        <v>0</v>
      </c>
      <c r="BA46" s="6">
        <f>BA$1*'survival matrix'!BA46</f>
        <v>0</v>
      </c>
      <c r="BB46" s="6">
        <f>BB$1*'survival matrix'!BB46</f>
        <v>0</v>
      </c>
      <c r="BC46" s="6">
        <f>BC$1*'survival matrix'!BC46</f>
        <v>0</v>
      </c>
      <c r="BD46" s="6">
        <f>BD$1*'survival matrix'!BD46</f>
        <v>0</v>
      </c>
      <c r="BE46" s="6">
        <f>BE$1*'survival matrix'!BE46</f>
        <v>0</v>
      </c>
      <c r="BF46" s="6">
        <f>BF$1*'survival matrix'!BF46</f>
        <v>0</v>
      </c>
      <c r="BG46" s="6">
        <f>BG$1*'survival matrix'!BG46</f>
        <v>0</v>
      </c>
      <c r="BH46" s="6">
        <f>BH$1*'survival matrix'!BH46</f>
        <v>0</v>
      </c>
      <c r="BI46" s="6">
        <f>BI$1*'survival matrix'!BI46</f>
        <v>0</v>
      </c>
      <c r="BJ46" s="6">
        <f>BJ$1*'survival matrix'!BJ46</f>
        <v>0</v>
      </c>
      <c r="BK46" s="6">
        <f>BK$1*'survival matrix'!BK46</f>
        <v>0</v>
      </c>
      <c r="BL46" s="6">
        <f>BL$1*'survival matrix'!BL46</f>
        <v>0</v>
      </c>
      <c r="BM46" s="6">
        <f>BM$1*'survival matrix'!BM46</f>
        <v>0</v>
      </c>
      <c r="BN46" s="6">
        <f>BN$1*'survival matrix'!BN46</f>
        <v>0</v>
      </c>
      <c r="BO46" s="6">
        <f>BO$1*'survival matrix'!BO46</f>
        <v>0</v>
      </c>
      <c r="BP46" s="6">
        <f>BP$1*'survival matrix'!BP46</f>
        <v>0</v>
      </c>
      <c r="BQ46" s="6">
        <f>BQ$1*'survival matrix'!BQ46</f>
        <v>0</v>
      </c>
      <c r="BR46" s="6">
        <f>BR$1*'survival matrix'!BR46</f>
        <v>0</v>
      </c>
      <c r="BS46" s="6">
        <f>BS$1*'survival matrix'!BS46</f>
        <v>0</v>
      </c>
      <c r="BT46" s="6">
        <f>BT$1*'survival matrix'!BT46</f>
        <v>0</v>
      </c>
      <c r="BU46" s="6">
        <f>BU$1*'survival matrix'!BU46</f>
        <v>0</v>
      </c>
      <c r="BV46" s="6">
        <f>BV$1*'survival matrix'!BV46</f>
        <v>0</v>
      </c>
      <c r="BW46" s="6">
        <f>BW$1*'survival matrix'!BW46</f>
        <v>0</v>
      </c>
      <c r="BX46" s="6">
        <f>BX$1*'survival matrix'!BX46</f>
        <v>0</v>
      </c>
      <c r="BY46" s="6">
        <f>BY$1*'survival matrix'!BY46</f>
        <v>0</v>
      </c>
      <c r="BZ46" s="6">
        <f>BZ$1*'survival matrix'!BZ46</f>
        <v>0</v>
      </c>
      <c r="CA46" s="6">
        <f>CA$1*'survival matrix'!CA46</f>
        <v>0</v>
      </c>
      <c r="CB46" s="6">
        <f>CB$1*'survival matrix'!CB46</f>
        <v>0</v>
      </c>
      <c r="CC46" s="6">
        <f>CC$1*'survival matrix'!CC46</f>
        <v>0</v>
      </c>
      <c r="CD46" s="6">
        <f>CD$1*'survival matrix'!CD46</f>
        <v>0</v>
      </c>
      <c r="CE46" s="6">
        <f>CE$1*'survival matrix'!CE46</f>
        <v>0</v>
      </c>
      <c r="CF46" s="6">
        <f>CF$1*'survival matrix'!CF46</f>
        <v>0</v>
      </c>
      <c r="CG46" s="6">
        <f>CG$1*'survival matrix'!CG46</f>
        <v>0</v>
      </c>
      <c r="CH46" s="6">
        <f>CH$1*'survival matrix'!CH46</f>
        <v>0</v>
      </c>
      <c r="CI46" s="6">
        <f>CI$1*'survival matrix'!CI46</f>
        <v>0</v>
      </c>
      <c r="CJ46" s="6">
        <f>CJ$1*'survival matrix'!CJ46</f>
        <v>0</v>
      </c>
      <c r="CK46" s="6">
        <f>CK$1*'survival matrix'!CK46</f>
        <v>0</v>
      </c>
      <c r="CL46" s="6">
        <f>CL$1*'survival matrix'!CL46</f>
        <v>0</v>
      </c>
      <c r="CM46" s="6">
        <f>CM$1*'survival matrix'!CM46</f>
        <v>0</v>
      </c>
      <c r="CN46" s="6">
        <f>CN$1*'survival matrix'!CN46</f>
        <v>0</v>
      </c>
      <c r="CO46" s="6">
        <f>CO$1*'survival matrix'!CO46</f>
        <v>0</v>
      </c>
      <c r="CP46" s="6">
        <f>CP$1*'survival matrix'!CP46</f>
        <v>0</v>
      </c>
      <c r="CQ46" s="6">
        <f>CQ$1*'survival matrix'!CQ46</f>
        <v>0</v>
      </c>
      <c r="CR46" s="6">
        <f>CR$1*'survival matrix'!CR46</f>
        <v>0</v>
      </c>
      <c r="CS46" s="6">
        <f>CS$1*'survival matrix'!CS46</f>
        <v>0</v>
      </c>
      <c r="CT46" s="6">
        <f>CT$1*'survival matrix'!CT46</f>
        <v>0</v>
      </c>
      <c r="CU46" s="6">
        <f>CU$1*'survival matrix'!CU46</f>
        <v>0</v>
      </c>
      <c r="CV46" s="6">
        <f>CV$1*'survival matrix'!CV46</f>
        <v>0</v>
      </c>
      <c r="CW46" s="6">
        <f>CW$1*'survival matrix'!CW46</f>
        <v>0</v>
      </c>
      <c r="CX46" s="6">
        <f>CX$1*'survival matrix'!CX46</f>
        <v>0</v>
      </c>
      <c r="CY46" s="6">
        <f>CY$1*'survival matrix'!CY46</f>
        <v>0</v>
      </c>
      <c r="CZ46" s="6">
        <f>CZ$1*'survival matrix'!CZ46</f>
        <v>0</v>
      </c>
      <c r="DA46" s="6">
        <f>DA$1*'survival matrix'!DA46</f>
        <v>0</v>
      </c>
      <c r="DB46" s="6">
        <f>DB$1*'survival matrix'!DB46</f>
        <v>0</v>
      </c>
      <c r="DC46" s="6">
        <f>DC$1*'survival matrix'!DC46</f>
        <v>0</v>
      </c>
      <c r="DD46" s="6">
        <f>DD$1*'survival matrix'!DD46</f>
        <v>0</v>
      </c>
      <c r="DE46" s="6">
        <f>DE$1*'survival matrix'!DE46</f>
        <v>0</v>
      </c>
      <c r="DF46" s="6">
        <f>DF$1*'survival matrix'!DF46</f>
        <v>0</v>
      </c>
      <c r="DG46" s="6">
        <f>DG$1*'survival matrix'!DG46</f>
        <v>0</v>
      </c>
      <c r="DH46" s="6">
        <f>DH$1*'survival matrix'!DH46</f>
        <v>0</v>
      </c>
      <c r="DI46" s="6">
        <f>DI$1*'survival matrix'!DI46</f>
        <v>0</v>
      </c>
      <c r="DJ46" s="6">
        <f>DJ$1*'survival matrix'!DJ46</f>
        <v>0</v>
      </c>
      <c r="DK46" s="6">
        <f>DK$1*'survival matrix'!DK46</f>
        <v>0</v>
      </c>
      <c r="DL46" s="6">
        <f>DL$1*'survival matrix'!DL46</f>
        <v>0</v>
      </c>
      <c r="DM46" s="6">
        <f>DM$1*'survival matrix'!DM46</f>
        <v>0</v>
      </c>
      <c r="DN46" s="6">
        <f>DN$1*'survival matrix'!DN46</f>
        <v>0</v>
      </c>
      <c r="DO46" s="6">
        <f>DO$1*'survival matrix'!DO46</f>
        <v>0</v>
      </c>
      <c r="DP46" s="6">
        <f>DP$1*'survival matrix'!DP46</f>
        <v>0</v>
      </c>
      <c r="DQ46" s="6">
        <f>DQ$1*'survival matrix'!DQ46</f>
        <v>0</v>
      </c>
      <c r="DR46" s="6">
        <f>DR$1*'survival matrix'!DR46</f>
        <v>0</v>
      </c>
      <c r="DS46" s="6">
        <f>DS$1*'survival matrix'!DS46</f>
        <v>0</v>
      </c>
      <c r="DT46" s="6">
        <f>DT$1*'survival matrix'!DT46</f>
        <v>0</v>
      </c>
      <c r="DU46" s="6">
        <f>DU$1*'survival matrix'!DU46</f>
        <v>0</v>
      </c>
      <c r="DV46" s="6">
        <f>DV$1*'survival matrix'!DV46</f>
        <v>0</v>
      </c>
      <c r="DW46" s="6">
        <f>DW$1*'survival matrix'!DW46</f>
        <v>0</v>
      </c>
      <c r="DX46" s="6">
        <f>DX$1*'survival matrix'!DX46</f>
        <v>0</v>
      </c>
      <c r="DY46" s="6">
        <f>DY$1*'survival matrix'!DY46</f>
        <v>0</v>
      </c>
      <c r="DZ46" s="6">
        <f>DZ$1*'survival matrix'!DZ46</f>
        <v>0</v>
      </c>
      <c r="EA46" s="6">
        <f>EA$1*'survival matrix'!EA46</f>
        <v>0</v>
      </c>
      <c r="EB46" s="6">
        <f>EB$1*'survival matrix'!EB46</f>
        <v>0</v>
      </c>
      <c r="EC46" s="6">
        <f>EC$1*'survival matrix'!EC46</f>
        <v>0</v>
      </c>
    </row>
    <row r="47" spans="1:133">
      <c r="A47" s="12">
        <f>'data input'!C47-B47</f>
        <v>27209.394373379357</v>
      </c>
      <c r="B47" s="14">
        <f t="shared" si="2"/>
        <v>137504.39627712499</v>
      </c>
      <c r="C47" s="11">
        <f>SUM(F47:EC47)</f>
        <v>3427588.8206435489</v>
      </c>
      <c r="E47" s="7">
        <f>'data input'!B47</f>
        <v>1922</v>
      </c>
      <c r="F47" s="6">
        <f>F$1*'survival matrix'!F47</f>
        <v>1241.9965604919719</v>
      </c>
      <c r="G47" s="6">
        <f>G$1*'survival matrix'!G47</f>
        <v>2682.391284219862</v>
      </c>
      <c r="H47" s="6">
        <f>H$1*'survival matrix'!H47</f>
        <v>4323.6251406495976</v>
      </c>
      <c r="I47" s="6">
        <f>I$1*'survival matrix'!I47</f>
        <v>6175.156565019809</v>
      </c>
      <c r="J47" s="6">
        <f>J$1*'survival matrix'!J47</f>
        <v>8238.7303379173154</v>
      </c>
      <c r="K47" s="6">
        <f>K$1*'survival matrix'!K47</f>
        <v>10515.34036939474</v>
      </c>
      <c r="L47" s="6">
        <f>L$1*'survival matrix'!L47</f>
        <v>13007.15307991945</v>
      </c>
      <c r="M47" s="6">
        <f>M$1*'survival matrix'!M47</f>
        <v>15708.235067966143</v>
      </c>
      <c r="N47" s="6">
        <f>N$1*'survival matrix'!N47</f>
        <v>18605.404408201059</v>
      </c>
      <c r="O47" s="6">
        <f>O$1*'survival matrix'!O47</f>
        <v>21685.35044024084</v>
      </c>
      <c r="P47" s="6">
        <f>P$1*'survival matrix'!P47</f>
        <v>24946.060959908256</v>
      </c>
      <c r="Q47" s="6">
        <f>Q$1*'survival matrix'!Q47</f>
        <v>28382.467463431061</v>
      </c>
      <c r="R47" s="6">
        <f>R$1*'survival matrix'!R47</f>
        <v>31980.351095546721</v>
      </c>
      <c r="S47" s="6">
        <f>S$1*'survival matrix'!S47</f>
        <v>35719.620468190486</v>
      </c>
      <c r="T47" s="6">
        <f>T$1*'survival matrix'!T47</f>
        <v>39577.614082593427</v>
      </c>
      <c r="U47" s="6">
        <f>U$1*'survival matrix'!U47</f>
        <v>43543.58978884574</v>
      </c>
      <c r="V47" s="6">
        <f>V$1*'survival matrix'!V47</f>
        <v>47595.044614790357</v>
      </c>
      <c r="W47" s="6">
        <f>W$1*'survival matrix'!W47</f>
        <v>51724.089056564728</v>
      </c>
      <c r="X47" s="6">
        <f>X$1*'survival matrix'!X47</f>
        <v>55915.202020567456</v>
      </c>
      <c r="Y47" s="6">
        <f>Y$1*'survival matrix'!Y47</f>
        <v>60149.635738167322</v>
      </c>
      <c r="Z47" s="6">
        <f>Z$1*'survival matrix'!Z47</f>
        <v>64417.380060042939</v>
      </c>
      <c r="AA47" s="6">
        <f>AA$1*'survival matrix'!AA47</f>
        <v>68705.837726989848</v>
      </c>
      <c r="AB47" s="6">
        <f>AB$1*'survival matrix'!AB47</f>
        <v>72994.631588890348</v>
      </c>
      <c r="AC47" s="6">
        <f>AC$1*'survival matrix'!AC47</f>
        <v>77587.902986242523</v>
      </c>
      <c r="AD47" s="6">
        <f>AD$1*'survival matrix'!AD47</f>
        <v>82869.319177289392</v>
      </c>
      <c r="AE47" s="6">
        <f>AE$1*'survival matrix'!AE47</f>
        <v>88080.730842996301</v>
      </c>
      <c r="AF47" s="6">
        <f>AF$1*'survival matrix'!AF47</f>
        <v>92390.509852454197</v>
      </c>
      <c r="AG47" s="6">
        <f>AG$1*'survival matrix'!AG47</f>
        <v>96939.569867391067</v>
      </c>
      <c r="AH47" s="6">
        <f>AH$1*'survival matrix'!AH47</f>
        <v>101111.28721044789</v>
      </c>
      <c r="AI47" s="6">
        <f>AI$1*'survival matrix'!AI47</f>
        <v>107444.18207588204</v>
      </c>
      <c r="AJ47" s="6">
        <f>AJ$1*'survival matrix'!AJ47</f>
        <v>111983.95672666241</v>
      </c>
      <c r="AK47" s="6">
        <f>AK$1*'survival matrix'!AK47</f>
        <v>115945.35067666775</v>
      </c>
      <c r="AL47" s="6">
        <f>AL$1*'survival matrix'!AL47</f>
        <v>120014.75268309076</v>
      </c>
      <c r="AM47" s="6">
        <f>AM$1*'survival matrix'!AM47</f>
        <v>124213.41619807393</v>
      </c>
      <c r="AN47" s="6">
        <f>AN$1*'survival matrix'!AN47</f>
        <v>127080.37315655843</v>
      </c>
      <c r="AO47" s="6">
        <f>AO$1*'survival matrix'!AO47</f>
        <v>129753.00111379033</v>
      </c>
      <c r="AP47" s="6">
        <f>AP$1*'survival matrix'!AP47</f>
        <v>131806.2479309761</v>
      </c>
      <c r="AQ47" s="6">
        <f>AQ$1*'survival matrix'!AQ47</f>
        <v>134573.81364860566</v>
      </c>
      <c r="AR47" s="6">
        <f>AR$1*'survival matrix'!AR47</f>
        <v>138099.81049565462</v>
      </c>
      <c r="AS47" s="6">
        <f>AS$1*'survival matrix'!AS47</f>
        <v>141573.15747486803</v>
      </c>
      <c r="AT47" s="6">
        <f>AT$1*'survival matrix'!AT47</f>
        <v>146501.99135617033</v>
      </c>
      <c r="AU47" s="6">
        <f>AU$1*'survival matrix'!AU47</f>
        <v>151563.37689137133</v>
      </c>
      <c r="AV47" s="6">
        <f>AV$1*'survival matrix'!AV47</f>
        <v>155633.7064117456</v>
      </c>
      <c r="AW47" s="6">
        <f>AW$1*'survival matrix'!AW47</f>
        <v>160096.01211933786</v>
      </c>
      <c r="AX47" s="6">
        <f>AX$1*'survival matrix'!AX47</f>
        <v>164491.4438287229</v>
      </c>
      <c r="AY47" s="6">
        <f>AY$1*'survival matrix'!AY47</f>
        <v>0</v>
      </c>
      <c r="AZ47" s="6">
        <f>AZ$1*'survival matrix'!AZ47</f>
        <v>0</v>
      </c>
      <c r="BA47" s="6">
        <f>BA$1*'survival matrix'!BA47</f>
        <v>0</v>
      </c>
      <c r="BB47" s="6">
        <f>BB$1*'survival matrix'!BB47</f>
        <v>0</v>
      </c>
      <c r="BC47" s="6">
        <f>BC$1*'survival matrix'!BC47</f>
        <v>0</v>
      </c>
      <c r="BD47" s="6">
        <f>BD$1*'survival matrix'!BD47</f>
        <v>0</v>
      </c>
      <c r="BE47" s="6">
        <f>BE$1*'survival matrix'!BE47</f>
        <v>0</v>
      </c>
      <c r="BF47" s="6">
        <f>BF$1*'survival matrix'!BF47</f>
        <v>0</v>
      </c>
      <c r="BG47" s="6">
        <f>BG$1*'survival matrix'!BG47</f>
        <v>0</v>
      </c>
      <c r="BH47" s="6">
        <f>BH$1*'survival matrix'!BH47</f>
        <v>0</v>
      </c>
      <c r="BI47" s="6">
        <f>BI$1*'survival matrix'!BI47</f>
        <v>0</v>
      </c>
      <c r="BJ47" s="6">
        <f>BJ$1*'survival matrix'!BJ47</f>
        <v>0</v>
      </c>
      <c r="BK47" s="6">
        <f>BK$1*'survival matrix'!BK47</f>
        <v>0</v>
      </c>
      <c r="BL47" s="6">
        <f>BL$1*'survival matrix'!BL47</f>
        <v>0</v>
      </c>
      <c r="BM47" s="6">
        <f>BM$1*'survival matrix'!BM47</f>
        <v>0</v>
      </c>
      <c r="BN47" s="6">
        <f>BN$1*'survival matrix'!BN47</f>
        <v>0</v>
      </c>
      <c r="BO47" s="6">
        <f>BO$1*'survival matrix'!BO47</f>
        <v>0</v>
      </c>
      <c r="BP47" s="6">
        <f>BP$1*'survival matrix'!BP47</f>
        <v>0</v>
      </c>
      <c r="BQ47" s="6">
        <f>BQ$1*'survival matrix'!BQ47</f>
        <v>0</v>
      </c>
      <c r="BR47" s="6">
        <f>BR$1*'survival matrix'!BR47</f>
        <v>0</v>
      </c>
      <c r="BS47" s="6">
        <f>BS$1*'survival matrix'!BS47</f>
        <v>0</v>
      </c>
      <c r="BT47" s="6">
        <f>BT$1*'survival matrix'!BT47</f>
        <v>0</v>
      </c>
      <c r="BU47" s="6">
        <f>BU$1*'survival matrix'!BU47</f>
        <v>0</v>
      </c>
      <c r="BV47" s="6">
        <f>BV$1*'survival matrix'!BV47</f>
        <v>0</v>
      </c>
      <c r="BW47" s="6">
        <f>BW$1*'survival matrix'!BW47</f>
        <v>0</v>
      </c>
      <c r="BX47" s="6">
        <f>BX$1*'survival matrix'!BX47</f>
        <v>0</v>
      </c>
      <c r="BY47" s="6">
        <f>BY$1*'survival matrix'!BY47</f>
        <v>0</v>
      </c>
      <c r="BZ47" s="6">
        <f>BZ$1*'survival matrix'!BZ47</f>
        <v>0</v>
      </c>
      <c r="CA47" s="6">
        <f>CA$1*'survival matrix'!CA47</f>
        <v>0</v>
      </c>
      <c r="CB47" s="6">
        <f>CB$1*'survival matrix'!CB47</f>
        <v>0</v>
      </c>
      <c r="CC47" s="6">
        <f>CC$1*'survival matrix'!CC47</f>
        <v>0</v>
      </c>
      <c r="CD47" s="6">
        <f>CD$1*'survival matrix'!CD47</f>
        <v>0</v>
      </c>
      <c r="CE47" s="6">
        <f>CE$1*'survival matrix'!CE47</f>
        <v>0</v>
      </c>
      <c r="CF47" s="6">
        <f>CF$1*'survival matrix'!CF47</f>
        <v>0</v>
      </c>
      <c r="CG47" s="6">
        <f>CG$1*'survival matrix'!CG47</f>
        <v>0</v>
      </c>
      <c r="CH47" s="6">
        <f>CH$1*'survival matrix'!CH47</f>
        <v>0</v>
      </c>
      <c r="CI47" s="6">
        <f>CI$1*'survival matrix'!CI47</f>
        <v>0</v>
      </c>
      <c r="CJ47" s="6">
        <f>CJ$1*'survival matrix'!CJ47</f>
        <v>0</v>
      </c>
      <c r="CK47" s="6">
        <f>CK$1*'survival matrix'!CK47</f>
        <v>0</v>
      </c>
      <c r="CL47" s="6">
        <f>CL$1*'survival matrix'!CL47</f>
        <v>0</v>
      </c>
      <c r="CM47" s="6">
        <f>CM$1*'survival matrix'!CM47</f>
        <v>0</v>
      </c>
      <c r="CN47" s="6">
        <f>CN$1*'survival matrix'!CN47</f>
        <v>0</v>
      </c>
      <c r="CO47" s="6">
        <f>CO$1*'survival matrix'!CO47</f>
        <v>0</v>
      </c>
      <c r="CP47" s="6">
        <f>CP$1*'survival matrix'!CP47</f>
        <v>0</v>
      </c>
      <c r="CQ47" s="6">
        <f>CQ$1*'survival matrix'!CQ47</f>
        <v>0</v>
      </c>
      <c r="CR47" s="6">
        <f>CR$1*'survival matrix'!CR47</f>
        <v>0</v>
      </c>
      <c r="CS47" s="6">
        <f>CS$1*'survival matrix'!CS47</f>
        <v>0</v>
      </c>
      <c r="CT47" s="6">
        <f>CT$1*'survival matrix'!CT47</f>
        <v>0</v>
      </c>
      <c r="CU47" s="6">
        <f>CU$1*'survival matrix'!CU47</f>
        <v>0</v>
      </c>
      <c r="CV47" s="6">
        <f>CV$1*'survival matrix'!CV47</f>
        <v>0</v>
      </c>
      <c r="CW47" s="6">
        <f>CW$1*'survival matrix'!CW47</f>
        <v>0</v>
      </c>
      <c r="CX47" s="6">
        <f>CX$1*'survival matrix'!CX47</f>
        <v>0</v>
      </c>
      <c r="CY47" s="6">
        <f>CY$1*'survival matrix'!CY47</f>
        <v>0</v>
      </c>
      <c r="CZ47" s="6">
        <f>CZ$1*'survival matrix'!CZ47</f>
        <v>0</v>
      </c>
      <c r="DA47" s="6">
        <f>DA$1*'survival matrix'!DA47</f>
        <v>0</v>
      </c>
      <c r="DB47" s="6">
        <f>DB$1*'survival matrix'!DB47</f>
        <v>0</v>
      </c>
      <c r="DC47" s="6">
        <f>DC$1*'survival matrix'!DC47</f>
        <v>0</v>
      </c>
      <c r="DD47" s="6">
        <f>DD$1*'survival matrix'!DD47</f>
        <v>0</v>
      </c>
      <c r="DE47" s="6">
        <f>DE$1*'survival matrix'!DE47</f>
        <v>0</v>
      </c>
      <c r="DF47" s="6">
        <f>DF$1*'survival matrix'!DF47</f>
        <v>0</v>
      </c>
      <c r="DG47" s="6">
        <f>DG$1*'survival matrix'!DG47</f>
        <v>0</v>
      </c>
      <c r="DH47" s="6">
        <f>DH$1*'survival matrix'!DH47</f>
        <v>0</v>
      </c>
      <c r="DI47" s="6">
        <f>DI$1*'survival matrix'!DI47</f>
        <v>0</v>
      </c>
      <c r="DJ47" s="6">
        <f>DJ$1*'survival matrix'!DJ47</f>
        <v>0</v>
      </c>
      <c r="DK47" s="6">
        <f>DK$1*'survival matrix'!DK47</f>
        <v>0</v>
      </c>
      <c r="DL47" s="6">
        <f>DL$1*'survival matrix'!DL47</f>
        <v>0</v>
      </c>
      <c r="DM47" s="6">
        <f>DM$1*'survival matrix'!DM47</f>
        <v>0</v>
      </c>
      <c r="DN47" s="6">
        <f>DN$1*'survival matrix'!DN47</f>
        <v>0</v>
      </c>
      <c r="DO47" s="6">
        <f>DO$1*'survival matrix'!DO47</f>
        <v>0</v>
      </c>
      <c r="DP47" s="6">
        <f>DP$1*'survival matrix'!DP47</f>
        <v>0</v>
      </c>
      <c r="DQ47" s="6">
        <f>DQ$1*'survival matrix'!DQ47</f>
        <v>0</v>
      </c>
      <c r="DR47" s="6">
        <f>DR$1*'survival matrix'!DR47</f>
        <v>0</v>
      </c>
      <c r="DS47" s="6">
        <f>DS$1*'survival matrix'!DS47</f>
        <v>0</v>
      </c>
      <c r="DT47" s="6">
        <f>DT$1*'survival matrix'!DT47</f>
        <v>0</v>
      </c>
      <c r="DU47" s="6">
        <f>DU$1*'survival matrix'!DU47</f>
        <v>0</v>
      </c>
      <c r="DV47" s="6">
        <f>DV$1*'survival matrix'!DV47</f>
        <v>0</v>
      </c>
      <c r="DW47" s="6">
        <f>DW$1*'survival matrix'!DW47</f>
        <v>0</v>
      </c>
      <c r="DX47" s="6">
        <f>DX$1*'survival matrix'!DX47</f>
        <v>0</v>
      </c>
      <c r="DY47" s="6">
        <f>DY$1*'survival matrix'!DY47</f>
        <v>0</v>
      </c>
      <c r="DZ47" s="6">
        <f>DZ$1*'survival matrix'!DZ47</f>
        <v>0</v>
      </c>
      <c r="EA47" s="6">
        <f>EA$1*'survival matrix'!EA47</f>
        <v>0</v>
      </c>
      <c r="EB47" s="6">
        <f>EB$1*'survival matrix'!EB47</f>
        <v>0</v>
      </c>
      <c r="EC47" s="6">
        <f>EC$1*'survival matrix'!EC47</f>
        <v>0</v>
      </c>
    </row>
    <row r="48" spans="1:133">
      <c r="A48" s="12">
        <f>'data input'!C48-B48</f>
        <v>29497.023399188445</v>
      </c>
      <c r="B48" s="14">
        <f t="shared" si="2"/>
        <v>140654.03191143647</v>
      </c>
      <c r="C48" s="11">
        <f>SUM(F48:EC48)</f>
        <v>3568242.8525549853</v>
      </c>
      <c r="E48" s="7">
        <f>'data input'!B48</f>
        <v>1923</v>
      </c>
      <c r="F48" s="6">
        <f>F$1*'survival matrix'!F48</f>
        <v>1150.1415072603168</v>
      </c>
      <c r="G48" s="6">
        <f>G$1*'survival matrix'!G48</f>
        <v>2493.76377972508</v>
      </c>
      <c r="H48" s="6">
        <f>H$1*'survival matrix'!H48</f>
        <v>4035.0511291229327</v>
      </c>
      <c r="I48" s="6">
        <f>I$1*'survival matrix'!I48</f>
        <v>5784.6993110749172</v>
      </c>
      <c r="J48" s="6">
        <f>J$1*'survival matrix'!J48</f>
        <v>7746.1754710390187</v>
      </c>
      <c r="K48" s="6">
        <f>K$1*'survival matrix'!K48</f>
        <v>9922.1422371217905</v>
      </c>
      <c r="L48" s="6">
        <f>L$1*'survival matrix'!L48</f>
        <v>12316.255956681352</v>
      </c>
      <c r="M48" s="6">
        <f>M$1*'survival matrix'!M48</f>
        <v>14924.366045328237</v>
      </c>
      <c r="N48" s="6">
        <f>N$1*'survival matrix'!N48</f>
        <v>17735.189233065925</v>
      </c>
      <c r="O48" s="6">
        <f>O$1*'survival matrix'!O48</f>
        <v>20737.005075605426</v>
      </c>
      <c r="P48" s="6">
        <f>P$1*'survival matrix'!P48</f>
        <v>23928.620654875398</v>
      </c>
      <c r="Q48" s="6">
        <f>Q$1*'survival matrix'!Q48</f>
        <v>27305.72914914721</v>
      </c>
      <c r="R48" s="6">
        <f>R$1*'survival matrix'!R48</f>
        <v>30854.986999795663</v>
      </c>
      <c r="S48" s="6">
        <f>S$1*'survival matrix'!S48</f>
        <v>34557.067844691046</v>
      </c>
      <c r="T48" s="6">
        <f>T$1*'survival matrix'!T48</f>
        <v>38389.807136521595</v>
      </c>
      <c r="U48" s="6">
        <f>U$1*'survival matrix'!U48</f>
        <v>42342.28575952402</v>
      </c>
      <c r="V48" s="6">
        <f>V$1*'survival matrix'!V48</f>
        <v>46391.91713643221</v>
      </c>
      <c r="W48" s="6">
        <f>W$1*'survival matrix'!W48</f>
        <v>50530.103816102397</v>
      </c>
      <c r="X48" s="6">
        <f>X$1*'survival matrix'!X48</f>
        <v>54740.647618384406</v>
      </c>
      <c r="Y48" s="6">
        <f>Y$1*'survival matrix'!Y48</f>
        <v>59004.016880940457</v>
      </c>
      <c r="Z48" s="6">
        <f>Z$1*'survival matrix'!Z48</f>
        <v>63309.106654687144</v>
      </c>
      <c r="AA48" s="6">
        <f>AA$1*'survival matrix'!AA48</f>
        <v>67642.200825221516</v>
      </c>
      <c r="AB48" s="6">
        <f>AB$1*'survival matrix'!AB48</f>
        <v>71981.856867039998</v>
      </c>
      <c r="AC48" s="6">
        <f>AC$1*'survival matrix'!AC48</f>
        <v>76627.060089184</v>
      </c>
      <c r="AD48" s="6">
        <f>AD$1*'survival matrix'!AD48</f>
        <v>81957.199123689134</v>
      </c>
      <c r="AE48" s="6">
        <f>AE$1*'survival matrix'!AE48</f>
        <v>87222.79855217287</v>
      </c>
      <c r="AF48" s="6">
        <f>AF$1*'survival matrix'!AF48</f>
        <v>91597.680749631545</v>
      </c>
      <c r="AG48" s="6">
        <f>AG$1*'survival matrix'!AG48</f>
        <v>96210.022032034525</v>
      </c>
      <c r="AH48" s="6">
        <f>AH$1*'survival matrix'!AH48</f>
        <v>100447.04065994426</v>
      </c>
      <c r="AI48" s="6">
        <f>AI$1*'survival matrix'!AI48</f>
        <v>106830.95054764114</v>
      </c>
      <c r="AJ48" s="6">
        <f>AJ$1*'survival matrix'!AJ48</f>
        <v>111431.36424702364</v>
      </c>
      <c r="AK48" s="6">
        <f>AK$1*'survival matrix'!AK48</f>
        <v>115453.1196070405</v>
      </c>
      <c r="AL48" s="6">
        <f>AL$1*'survival matrix'!AL48</f>
        <v>119578.59697168645</v>
      </c>
      <c r="AM48" s="6">
        <f>AM$1*'survival matrix'!AM48</f>
        <v>123828.94857057005</v>
      </c>
      <c r="AN48" s="6">
        <f>AN$1*'survival matrix'!AN48</f>
        <v>126747.08632397953</v>
      </c>
      <c r="AO48" s="6">
        <f>AO$1*'survival matrix'!AO48</f>
        <v>129466.15889408479</v>
      </c>
      <c r="AP48" s="6">
        <f>AP$1*'survival matrix'!AP48</f>
        <v>131561.92666983409</v>
      </c>
      <c r="AQ48" s="6">
        <f>AQ$1*'survival matrix'!AQ48</f>
        <v>134365.75897116686</v>
      </c>
      <c r="AR48" s="6">
        <f>AR$1*'survival matrix'!AR48</f>
        <v>137922.68769020008</v>
      </c>
      <c r="AS48" s="6">
        <f>AS$1*'survival matrix'!AS48</f>
        <v>141423.33307339594</v>
      </c>
      <c r="AT48" s="6">
        <f>AT$1*'survival matrix'!AT48</f>
        <v>146374.75648971749</v>
      </c>
      <c r="AU48" s="6">
        <f>AU$1*'survival matrix'!AU48</f>
        <v>151455.94196703169</v>
      </c>
      <c r="AV48" s="6">
        <f>AV$1*'survival matrix'!AV48</f>
        <v>155544.15762539656</v>
      </c>
      <c r="AW48" s="6">
        <f>AW$1*'survival matrix'!AW48</f>
        <v>160021.65067484693</v>
      </c>
      <c r="AX48" s="6">
        <f>AX$1*'survival matrix'!AX48</f>
        <v>164430.10719934403</v>
      </c>
      <c r="AY48" s="6">
        <f>AY$1*'survival matrix'!AY48</f>
        <v>169921.36873598132</v>
      </c>
      <c r="AZ48" s="6">
        <f>AZ$1*'survival matrix'!AZ48</f>
        <v>0</v>
      </c>
      <c r="BA48" s="6">
        <f>BA$1*'survival matrix'!BA48</f>
        <v>0</v>
      </c>
      <c r="BB48" s="6">
        <f>BB$1*'survival matrix'!BB48</f>
        <v>0</v>
      </c>
      <c r="BC48" s="6">
        <f>BC$1*'survival matrix'!BC48</f>
        <v>0</v>
      </c>
      <c r="BD48" s="6">
        <f>BD$1*'survival matrix'!BD48</f>
        <v>0</v>
      </c>
      <c r="BE48" s="6">
        <f>BE$1*'survival matrix'!BE48</f>
        <v>0</v>
      </c>
      <c r="BF48" s="6">
        <f>BF$1*'survival matrix'!BF48</f>
        <v>0</v>
      </c>
      <c r="BG48" s="6">
        <f>BG$1*'survival matrix'!BG48</f>
        <v>0</v>
      </c>
      <c r="BH48" s="6">
        <f>BH$1*'survival matrix'!BH48</f>
        <v>0</v>
      </c>
      <c r="BI48" s="6">
        <f>BI$1*'survival matrix'!BI48</f>
        <v>0</v>
      </c>
      <c r="BJ48" s="6">
        <f>BJ$1*'survival matrix'!BJ48</f>
        <v>0</v>
      </c>
      <c r="BK48" s="6">
        <f>BK$1*'survival matrix'!BK48</f>
        <v>0</v>
      </c>
      <c r="BL48" s="6">
        <f>BL$1*'survival matrix'!BL48</f>
        <v>0</v>
      </c>
      <c r="BM48" s="6">
        <f>BM$1*'survival matrix'!BM48</f>
        <v>0</v>
      </c>
      <c r="BN48" s="6">
        <f>BN$1*'survival matrix'!BN48</f>
        <v>0</v>
      </c>
      <c r="BO48" s="6">
        <f>BO$1*'survival matrix'!BO48</f>
        <v>0</v>
      </c>
      <c r="BP48" s="6">
        <f>BP$1*'survival matrix'!BP48</f>
        <v>0</v>
      </c>
      <c r="BQ48" s="6">
        <f>BQ$1*'survival matrix'!BQ48</f>
        <v>0</v>
      </c>
      <c r="BR48" s="6">
        <f>BR$1*'survival matrix'!BR48</f>
        <v>0</v>
      </c>
      <c r="BS48" s="6">
        <f>BS$1*'survival matrix'!BS48</f>
        <v>0</v>
      </c>
      <c r="BT48" s="6">
        <f>BT$1*'survival matrix'!BT48</f>
        <v>0</v>
      </c>
      <c r="BU48" s="6">
        <f>BU$1*'survival matrix'!BU48</f>
        <v>0</v>
      </c>
      <c r="BV48" s="6">
        <f>BV$1*'survival matrix'!BV48</f>
        <v>0</v>
      </c>
      <c r="BW48" s="6">
        <f>BW$1*'survival matrix'!BW48</f>
        <v>0</v>
      </c>
      <c r="BX48" s="6">
        <f>BX$1*'survival matrix'!BX48</f>
        <v>0</v>
      </c>
      <c r="BY48" s="6">
        <f>BY$1*'survival matrix'!BY48</f>
        <v>0</v>
      </c>
      <c r="BZ48" s="6">
        <f>BZ$1*'survival matrix'!BZ48</f>
        <v>0</v>
      </c>
      <c r="CA48" s="6">
        <f>CA$1*'survival matrix'!CA48</f>
        <v>0</v>
      </c>
      <c r="CB48" s="6">
        <f>CB$1*'survival matrix'!CB48</f>
        <v>0</v>
      </c>
      <c r="CC48" s="6">
        <f>CC$1*'survival matrix'!CC48</f>
        <v>0</v>
      </c>
      <c r="CD48" s="6">
        <f>CD$1*'survival matrix'!CD48</f>
        <v>0</v>
      </c>
      <c r="CE48" s="6">
        <f>CE$1*'survival matrix'!CE48</f>
        <v>0</v>
      </c>
      <c r="CF48" s="6">
        <f>CF$1*'survival matrix'!CF48</f>
        <v>0</v>
      </c>
      <c r="CG48" s="6">
        <f>CG$1*'survival matrix'!CG48</f>
        <v>0</v>
      </c>
      <c r="CH48" s="6">
        <f>CH$1*'survival matrix'!CH48</f>
        <v>0</v>
      </c>
      <c r="CI48" s="6">
        <f>CI$1*'survival matrix'!CI48</f>
        <v>0</v>
      </c>
      <c r="CJ48" s="6">
        <f>CJ$1*'survival matrix'!CJ48</f>
        <v>0</v>
      </c>
      <c r="CK48" s="6">
        <f>CK$1*'survival matrix'!CK48</f>
        <v>0</v>
      </c>
      <c r="CL48" s="6">
        <f>CL$1*'survival matrix'!CL48</f>
        <v>0</v>
      </c>
      <c r="CM48" s="6">
        <f>CM$1*'survival matrix'!CM48</f>
        <v>0</v>
      </c>
      <c r="CN48" s="6">
        <f>CN$1*'survival matrix'!CN48</f>
        <v>0</v>
      </c>
      <c r="CO48" s="6">
        <f>CO$1*'survival matrix'!CO48</f>
        <v>0</v>
      </c>
      <c r="CP48" s="6">
        <f>CP$1*'survival matrix'!CP48</f>
        <v>0</v>
      </c>
      <c r="CQ48" s="6">
        <f>CQ$1*'survival matrix'!CQ48</f>
        <v>0</v>
      </c>
      <c r="CR48" s="6">
        <f>CR$1*'survival matrix'!CR48</f>
        <v>0</v>
      </c>
      <c r="CS48" s="6">
        <f>CS$1*'survival matrix'!CS48</f>
        <v>0</v>
      </c>
      <c r="CT48" s="6">
        <f>CT$1*'survival matrix'!CT48</f>
        <v>0</v>
      </c>
      <c r="CU48" s="6">
        <f>CU$1*'survival matrix'!CU48</f>
        <v>0</v>
      </c>
      <c r="CV48" s="6">
        <f>CV$1*'survival matrix'!CV48</f>
        <v>0</v>
      </c>
      <c r="CW48" s="6">
        <f>CW$1*'survival matrix'!CW48</f>
        <v>0</v>
      </c>
      <c r="CX48" s="6">
        <f>CX$1*'survival matrix'!CX48</f>
        <v>0</v>
      </c>
      <c r="CY48" s="6">
        <f>CY$1*'survival matrix'!CY48</f>
        <v>0</v>
      </c>
      <c r="CZ48" s="6">
        <f>CZ$1*'survival matrix'!CZ48</f>
        <v>0</v>
      </c>
      <c r="DA48" s="6">
        <f>DA$1*'survival matrix'!DA48</f>
        <v>0</v>
      </c>
      <c r="DB48" s="6">
        <f>DB$1*'survival matrix'!DB48</f>
        <v>0</v>
      </c>
      <c r="DC48" s="6">
        <f>DC$1*'survival matrix'!DC48</f>
        <v>0</v>
      </c>
      <c r="DD48" s="6">
        <f>DD$1*'survival matrix'!DD48</f>
        <v>0</v>
      </c>
      <c r="DE48" s="6">
        <f>DE$1*'survival matrix'!DE48</f>
        <v>0</v>
      </c>
      <c r="DF48" s="6">
        <f>DF$1*'survival matrix'!DF48</f>
        <v>0</v>
      </c>
      <c r="DG48" s="6">
        <f>DG$1*'survival matrix'!DG48</f>
        <v>0</v>
      </c>
      <c r="DH48" s="6">
        <f>DH$1*'survival matrix'!DH48</f>
        <v>0</v>
      </c>
      <c r="DI48" s="6">
        <f>DI$1*'survival matrix'!DI48</f>
        <v>0</v>
      </c>
      <c r="DJ48" s="6">
        <f>DJ$1*'survival matrix'!DJ48</f>
        <v>0</v>
      </c>
      <c r="DK48" s="6">
        <f>DK$1*'survival matrix'!DK48</f>
        <v>0</v>
      </c>
      <c r="DL48" s="6">
        <f>DL$1*'survival matrix'!DL48</f>
        <v>0</v>
      </c>
      <c r="DM48" s="6">
        <f>DM$1*'survival matrix'!DM48</f>
        <v>0</v>
      </c>
      <c r="DN48" s="6">
        <f>DN$1*'survival matrix'!DN48</f>
        <v>0</v>
      </c>
      <c r="DO48" s="6">
        <f>DO$1*'survival matrix'!DO48</f>
        <v>0</v>
      </c>
      <c r="DP48" s="6">
        <f>DP$1*'survival matrix'!DP48</f>
        <v>0</v>
      </c>
      <c r="DQ48" s="6">
        <f>DQ$1*'survival matrix'!DQ48</f>
        <v>0</v>
      </c>
      <c r="DR48" s="6">
        <f>DR$1*'survival matrix'!DR48</f>
        <v>0</v>
      </c>
      <c r="DS48" s="6">
        <f>DS$1*'survival matrix'!DS48</f>
        <v>0</v>
      </c>
      <c r="DT48" s="6">
        <f>DT$1*'survival matrix'!DT48</f>
        <v>0</v>
      </c>
      <c r="DU48" s="6">
        <f>DU$1*'survival matrix'!DU48</f>
        <v>0</v>
      </c>
      <c r="DV48" s="6">
        <f>DV$1*'survival matrix'!DV48</f>
        <v>0</v>
      </c>
      <c r="DW48" s="6">
        <f>DW$1*'survival matrix'!DW48</f>
        <v>0</v>
      </c>
      <c r="DX48" s="6">
        <f>DX$1*'survival matrix'!DX48</f>
        <v>0</v>
      </c>
      <c r="DY48" s="6">
        <f>DY$1*'survival matrix'!DY48</f>
        <v>0</v>
      </c>
      <c r="DZ48" s="6">
        <f>DZ$1*'survival matrix'!DZ48</f>
        <v>0</v>
      </c>
      <c r="EA48" s="6">
        <f>EA$1*'survival matrix'!EA48</f>
        <v>0</v>
      </c>
      <c r="EB48" s="6">
        <f>EB$1*'survival matrix'!EB48</f>
        <v>0</v>
      </c>
      <c r="EC48" s="6">
        <f>EC$1*'survival matrix'!EC48</f>
        <v>0</v>
      </c>
    </row>
    <row r="49" spans="1:133">
      <c r="A49" s="12">
        <f>'data input'!C49-B49</f>
        <v>31888.474747458764</v>
      </c>
      <c r="B49" s="14">
        <f t="shared" si="2"/>
        <v>143202.19735480007</v>
      </c>
      <c r="C49" s="11">
        <f>SUM(F49:EC49)</f>
        <v>3711445.0499097854</v>
      </c>
      <c r="E49" s="7">
        <f>'data input'!B49</f>
        <v>1924</v>
      </c>
      <c r="F49" s="6">
        <f>F$1*'survival matrix'!F49</f>
        <v>1060.832709049585</v>
      </c>
      <c r="G49" s="6">
        <f>G$1*'survival matrix'!G49</f>
        <v>2309.3310590393767</v>
      </c>
      <c r="H49" s="6">
        <f>H$1*'survival matrix'!H49</f>
        <v>3751.3037021636806</v>
      </c>
      <c r="I49" s="6">
        <f>I$1*'survival matrix'!I49</f>
        <v>5398.6080493746449</v>
      </c>
      <c r="J49" s="6">
        <f>J$1*'survival matrix'!J49</f>
        <v>7256.3821563026386</v>
      </c>
      <c r="K49" s="6">
        <f>K$1*'survival matrix'!K49</f>
        <v>9328.9441048488407</v>
      </c>
      <c r="L49" s="6">
        <f>L$1*'survival matrix'!L49</f>
        <v>11621.463418023899</v>
      </c>
      <c r="M49" s="6">
        <f>M$1*'survival matrix'!M49</f>
        <v>14131.632885080577</v>
      </c>
      <c r="N49" s="6">
        <f>N$1*'survival matrix'!N49</f>
        <v>16850.1715725668</v>
      </c>
      <c r="O49" s="6">
        <f>O$1*'survival matrix'!O49</f>
        <v>19767.090307416256</v>
      </c>
      <c r="P49" s="6">
        <f>P$1*'survival matrix'!P49</f>
        <v>22882.172429715047</v>
      </c>
      <c r="Q49" s="6">
        <f>Q$1*'survival matrix'!Q49</f>
        <v>26192.048338405093</v>
      </c>
      <c r="R49" s="6">
        <f>R$1*'survival matrix'!R49</f>
        <v>29684.449352488729</v>
      </c>
      <c r="S49" s="6">
        <f>S$1*'survival matrix'!S49</f>
        <v>33341.031057269283</v>
      </c>
      <c r="T49" s="6">
        <f>T$1*'survival matrix'!T49</f>
        <v>37140.348983909214</v>
      </c>
      <c r="U49" s="6">
        <f>U$1*'survival matrix'!U49</f>
        <v>41071.505236151315</v>
      </c>
      <c r="V49" s="6">
        <f>V$1*'survival matrix'!V49</f>
        <v>45112.031916719992</v>
      </c>
      <c r="W49" s="6">
        <f>W$1*'survival matrix'!W49</f>
        <v>49252.782681570876</v>
      </c>
      <c r="X49" s="6">
        <f>X$1*'survival matrix'!X49</f>
        <v>53477.028935062131</v>
      </c>
      <c r="Y49" s="6">
        <f>Y$1*'survival matrix'!Y49</f>
        <v>57764.578852110666</v>
      </c>
      <c r="Z49" s="6">
        <f>Z$1*'survival matrix'!Z49</f>
        <v>62103.312047160136</v>
      </c>
      <c r="AA49" s="6">
        <f>AA$1*'survival matrix'!AA49</f>
        <v>66478.445761223993</v>
      </c>
      <c r="AB49" s="6">
        <f>AB$1*'survival matrix'!AB49</f>
        <v>70867.503825806154</v>
      </c>
      <c r="AC49" s="6">
        <f>AC$1*'survival matrix'!AC49</f>
        <v>75563.886705350596</v>
      </c>
      <c r="AD49" s="6">
        <f>AD$1*'survival matrix'!AD49</f>
        <v>80942.247183890344</v>
      </c>
      <c r="AE49" s="6">
        <f>AE$1*'survival matrix'!AE49</f>
        <v>86262.760935351529</v>
      </c>
      <c r="AF49" s="6">
        <f>AF$1*'survival matrix'!AF49</f>
        <v>90705.492329672576</v>
      </c>
      <c r="AG49" s="6">
        <f>AG$1*'survival matrix'!AG49</f>
        <v>95384.416614638089</v>
      </c>
      <c r="AH49" s="6">
        <f>AH$1*'survival matrix'!AH49</f>
        <v>99691.096300157267</v>
      </c>
      <c r="AI49" s="6">
        <f>AI$1*'survival matrix'!AI49</f>
        <v>106129.12889799093</v>
      </c>
      <c r="AJ49" s="6">
        <f>AJ$1*'survival matrix'!AJ49</f>
        <v>110795.37610442779</v>
      </c>
      <c r="AK49" s="6">
        <f>AK$1*'survival matrix'!AK49</f>
        <v>114883.40830632794</v>
      </c>
      <c r="AL49" s="6">
        <f>AL$1*'survival matrix'!AL49</f>
        <v>119070.94142234029</v>
      </c>
      <c r="AM49" s="6">
        <f>AM$1*'survival matrix'!AM49</f>
        <v>123378.93136894437</v>
      </c>
      <c r="AN49" s="6">
        <f>AN$1*'survival matrix'!AN49</f>
        <v>126354.77643456867</v>
      </c>
      <c r="AO49" s="6">
        <f>AO$1*'survival matrix'!AO49</f>
        <v>129126.61499007995</v>
      </c>
      <c r="AP49" s="6">
        <f>AP$1*'survival matrix'!AP49</f>
        <v>131271.08549659894</v>
      </c>
      <c r="AQ49" s="6">
        <f>AQ$1*'survival matrix'!AQ49</f>
        <v>134116.69329938377</v>
      </c>
      <c r="AR49" s="6">
        <f>AR$1*'survival matrix'!AR49</f>
        <v>137709.45556486398</v>
      </c>
      <c r="AS49" s="6">
        <f>AS$1*'survival matrix'!AS49</f>
        <v>141241.94761442402</v>
      </c>
      <c r="AT49" s="6">
        <f>AT$1*'survival matrix'!AT49</f>
        <v>146219.85063981733</v>
      </c>
      <c r="AU49" s="6">
        <f>AU$1*'survival matrix'!AU49</f>
        <v>151324.40466592557</v>
      </c>
      <c r="AV49" s="6">
        <f>AV$1*'survival matrix'!AV49</f>
        <v>155433.90094499852</v>
      </c>
      <c r="AW49" s="6">
        <f>AW$1*'survival matrix'!AW49</f>
        <v>159929.57714567459</v>
      </c>
      <c r="AX49" s="6">
        <f>AX$1*'survival matrix'!AX49</f>
        <v>164353.73265304969</v>
      </c>
      <c r="AY49" s="6">
        <f>AY$1*'survival matrix'!AY49</f>
        <v>169858.00736121848</v>
      </c>
      <c r="AZ49" s="6">
        <f>AZ$1*'survival matrix'!AZ49</f>
        <v>174854.3175486312</v>
      </c>
      <c r="BA49" s="6">
        <f>BA$1*'survival matrix'!BA49</f>
        <v>0</v>
      </c>
      <c r="BB49" s="6">
        <f>BB$1*'survival matrix'!BB49</f>
        <v>0</v>
      </c>
      <c r="BC49" s="6">
        <f>BC$1*'survival matrix'!BC49</f>
        <v>0</v>
      </c>
      <c r="BD49" s="6">
        <f>BD$1*'survival matrix'!BD49</f>
        <v>0</v>
      </c>
      <c r="BE49" s="6">
        <f>BE$1*'survival matrix'!BE49</f>
        <v>0</v>
      </c>
      <c r="BF49" s="6">
        <f>BF$1*'survival matrix'!BF49</f>
        <v>0</v>
      </c>
      <c r="BG49" s="6">
        <f>BG$1*'survival matrix'!BG49</f>
        <v>0</v>
      </c>
      <c r="BH49" s="6">
        <f>BH$1*'survival matrix'!BH49</f>
        <v>0</v>
      </c>
      <c r="BI49" s="6">
        <f>BI$1*'survival matrix'!BI49</f>
        <v>0</v>
      </c>
      <c r="BJ49" s="6">
        <f>BJ$1*'survival matrix'!BJ49</f>
        <v>0</v>
      </c>
      <c r="BK49" s="6">
        <f>BK$1*'survival matrix'!BK49</f>
        <v>0</v>
      </c>
      <c r="BL49" s="6">
        <f>BL$1*'survival matrix'!BL49</f>
        <v>0</v>
      </c>
      <c r="BM49" s="6">
        <f>BM$1*'survival matrix'!BM49</f>
        <v>0</v>
      </c>
      <c r="BN49" s="6">
        <f>BN$1*'survival matrix'!BN49</f>
        <v>0</v>
      </c>
      <c r="BO49" s="6">
        <f>BO$1*'survival matrix'!BO49</f>
        <v>0</v>
      </c>
      <c r="BP49" s="6">
        <f>BP$1*'survival matrix'!BP49</f>
        <v>0</v>
      </c>
      <c r="BQ49" s="6">
        <f>BQ$1*'survival matrix'!BQ49</f>
        <v>0</v>
      </c>
      <c r="BR49" s="6">
        <f>BR$1*'survival matrix'!BR49</f>
        <v>0</v>
      </c>
      <c r="BS49" s="6">
        <f>BS$1*'survival matrix'!BS49</f>
        <v>0</v>
      </c>
      <c r="BT49" s="6">
        <f>BT$1*'survival matrix'!BT49</f>
        <v>0</v>
      </c>
      <c r="BU49" s="6">
        <f>BU$1*'survival matrix'!BU49</f>
        <v>0</v>
      </c>
      <c r="BV49" s="6">
        <f>BV$1*'survival matrix'!BV49</f>
        <v>0</v>
      </c>
      <c r="BW49" s="6">
        <f>BW$1*'survival matrix'!BW49</f>
        <v>0</v>
      </c>
      <c r="BX49" s="6">
        <f>BX$1*'survival matrix'!BX49</f>
        <v>0</v>
      </c>
      <c r="BY49" s="6">
        <f>BY$1*'survival matrix'!BY49</f>
        <v>0</v>
      </c>
      <c r="BZ49" s="6">
        <f>BZ$1*'survival matrix'!BZ49</f>
        <v>0</v>
      </c>
      <c r="CA49" s="6">
        <f>CA$1*'survival matrix'!CA49</f>
        <v>0</v>
      </c>
      <c r="CB49" s="6">
        <f>CB$1*'survival matrix'!CB49</f>
        <v>0</v>
      </c>
      <c r="CC49" s="6">
        <f>CC$1*'survival matrix'!CC49</f>
        <v>0</v>
      </c>
      <c r="CD49" s="6">
        <f>CD$1*'survival matrix'!CD49</f>
        <v>0</v>
      </c>
      <c r="CE49" s="6">
        <f>CE$1*'survival matrix'!CE49</f>
        <v>0</v>
      </c>
      <c r="CF49" s="6">
        <f>CF$1*'survival matrix'!CF49</f>
        <v>0</v>
      </c>
      <c r="CG49" s="6">
        <f>CG$1*'survival matrix'!CG49</f>
        <v>0</v>
      </c>
      <c r="CH49" s="6">
        <f>CH$1*'survival matrix'!CH49</f>
        <v>0</v>
      </c>
      <c r="CI49" s="6">
        <f>CI$1*'survival matrix'!CI49</f>
        <v>0</v>
      </c>
      <c r="CJ49" s="6">
        <f>CJ$1*'survival matrix'!CJ49</f>
        <v>0</v>
      </c>
      <c r="CK49" s="6">
        <f>CK$1*'survival matrix'!CK49</f>
        <v>0</v>
      </c>
      <c r="CL49" s="6">
        <f>CL$1*'survival matrix'!CL49</f>
        <v>0</v>
      </c>
      <c r="CM49" s="6">
        <f>CM$1*'survival matrix'!CM49</f>
        <v>0</v>
      </c>
      <c r="CN49" s="6">
        <f>CN$1*'survival matrix'!CN49</f>
        <v>0</v>
      </c>
      <c r="CO49" s="6">
        <f>CO$1*'survival matrix'!CO49</f>
        <v>0</v>
      </c>
      <c r="CP49" s="6">
        <f>CP$1*'survival matrix'!CP49</f>
        <v>0</v>
      </c>
      <c r="CQ49" s="6">
        <f>CQ$1*'survival matrix'!CQ49</f>
        <v>0</v>
      </c>
      <c r="CR49" s="6">
        <f>CR$1*'survival matrix'!CR49</f>
        <v>0</v>
      </c>
      <c r="CS49" s="6">
        <f>CS$1*'survival matrix'!CS49</f>
        <v>0</v>
      </c>
      <c r="CT49" s="6">
        <f>CT$1*'survival matrix'!CT49</f>
        <v>0</v>
      </c>
      <c r="CU49" s="6">
        <f>CU$1*'survival matrix'!CU49</f>
        <v>0</v>
      </c>
      <c r="CV49" s="6">
        <f>CV$1*'survival matrix'!CV49</f>
        <v>0</v>
      </c>
      <c r="CW49" s="6">
        <f>CW$1*'survival matrix'!CW49</f>
        <v>0</v>
      </c>
      <c r="CX49" s="6">
        <f>CX$1*'survival matrix'!CX49</f>
        <v>0</v>
      </c>
      <c r="CY49" s="6">
        <f>CY$1*'survival matrix'!CY49</f>
        <v>0</v>
      </c>
      <c r="CZ49" s="6">
        <f>CZ$1*'survival matrix'!CZ49</f>
        <v>0</v>
      </c>
      <c r="DA49" s="6">
        <f>DA$1*'survival matrix'!DA49</f>
        <v>0</v>
      </c>
      <c r="DB49" s="6">
        <f>DB$1*'survival matrix'!DB49</f>
        <v>0</v>
      </c>
      <c r="DC49" s="6">
        <f>DC$1*'survival matrix'!DC49</f>
        <v>0</v>
      </c>
      <c r="DD49" s="6">
        <f>DD$1*'survival matrix'!DD49</f>
        <v>0</v>
      </c>
      <c r="DE49" s="6">
        <f>DE$1*'survival matrix'!DE49</f>
        <v>0</v>
      </c>
      <c r="DF49" s="6">
        <f>DF$1*'survival matrix'!DF49</f>
        <v>0</v>
      </c>
      <c r="DG49" s="6">
        <f>DG$1*'survival matrix'!DG49</f>
        <v>0</v>
      </c>
      <c r="DH49" s="6">
        <f>DH$1*'survival matrix'!DH49</f>
        <v>0</v>
      </c>
      <c r="DI49" s="6">
        <f>DI$1*'survival matrix'!DI49</f>
        <v>0</v>
      </c>
      <c r="DJ49" s="6">
        <f>DJ$1*'survival matrix'!DJ49</f>
        <v>0</v>
      </c>
      <c r="DK49" s="6">
        <f>DK$1*'survival matrix'!DK49</f>
        <v>0</v>
      </c>
      <c r="DL49" s="6">
        <f>DL$1*'survival matrix'!DL49</f>
        <v>0</v>
      </c>
      <c r="DM49" s="6">
        <f>DM$1*'survival matrix'!DM49</f>
        <v>0</v>
      </c>
      <c r="DN49" s="6">
        <f>DN$1*'survival matrix'!DN49</f>
        <v>0</v>
      </c>
      <c r="DO49" s="6">
        <f>DO$1*'survival matrix'!DO49</f>
        <v>0</v>
      </c>
      <c r="DP49" s="6">
        <f>DP$1*'survival matrix'!DP49</f>
        <v>0</v>
      </c>
      <c r="DQ49" s="6">
        <f>DQ$1*'survival matrix'!DQ49</f>
        <v>0</v>
      </c>
      <c r="DR49" s="6">
        <f>DR$1*'survival matrix'!DR49</f>
        <v>0</v>
      </c>
      <c r="DS49" s="6">
        <f>DS$1*'survival matrix'!DS49</f>
        <v>0</v>
      </c>
      <c r="DT49" s="6">
        <f>DT$1*'survival matrix'!DT49</f>
        <v>0</v>
      </c>
      <c r="DU49" s="6">
        <f>DU$1*'survival matrix'!DU49</f>
        <v>0</v>
      </c>
      <c r="DV49" s="6">
        <f>DV$1*'survival matrix'!DV49</f>
        <v>0</v>
      </c>
      <c r="DW49" s="6">
        <f>DW$1*'survival matrix'!DW49</f>
        <v>0</v>
      </c>
      <c r="DX49" s="6">
        <f>DX$1*'survival matrix'!DX49</f>
        <v>0</v>
      </c>
      <c r="DY49" s="6">
        <f>DY$1*'survival matrix'!DY49</f>
        <v>0</v>
      </c>
      <c r="DZ49" s="6">
        <f>DZ$1*'survival matrix'!DZ49</f>
        <v>0</v>
      </c>
      <c r="EA49" s="6">
        <f>EA$1*'survival matrix'!EA49</f>
        <v>0</v>
      </c>
      <c r="EB49" s="6">
        <f>EB$1*'survival matrix'!EB49</f>
        <v>0</v>
      </c>
      <c r="EC49" s="6">
        <f>EC$1*'survival matrix'!EC49</f>
        <v>0</v>
      </c>
    </row>
    <row r="50" spans="1:133">
      <c r="A50" s="12">
        <f>'data input'!C50-B50</f>
        <v>34380.858602922148</v>
      </c>
      <c r="B50" s="14">
        <f t="shared" si="2"/>
        <v>144937.78718254296</v>
      </c>
      <c r="C50" s="11">
        <f>SUM(F50:EC50)</f>
        <v>3856382.8370923284</v>
      </c>
      <c r="E50" s="7">
        <f>'data input'!B50</f>
        <v>1925</v>
      </c>
      <c r="F50" s="6">
        <f>F$1*'survival matrix'!F50</f>
        <v>974.48642032071587</v>
      </c>
      <c r="G50" s="6">
        <f>G$1*'survival matrix'!G50</f>
        <v>2130.0108795209417</v>
      </c>
      <c r="H50" s="6">
        <f>H$1*'survival matrix'!H50</f>
        <v>3473.8663788961685</v>
      </c>
      <c r="I50" s="6">
        <f>I$1*'survival matrix'!I50</f>
        <v>5018.9744105056061</v>
      </c>
      <c r="J50" s="6">
        <f>J$1*'survival matrix'!J50</f>
        <v>6772.0655840060517</v>
      </c>
      <c r="K50" s="6">
        <f>K$1*'survival matrix'!K50</f>
        <v>8739.0717900287564</v>
      </c>
      <c r="L50" s="6">
        <f>L$1*'survival matrix'!L50</f>
        <v>10926.670879366446</v>
      </c>
      <c r="M50" s="6">
        <f>M$1*'survival matrix'!M50</f>
        <v>13334.430137578898</v>
      </c>
      <c r="N50" s="6">
        <f>N$1*'survival matrix'!N50</f>
        <v>15955.145966730934</v>
      </c>
      <c r="O50" s="6">
        <f>O$1*'survival matrix'!O50</f>
        <v>18780.677149437215</v>
      </c>
      <c r="P50" s="6">
        <f>P$1*'survival matrix'!P50</f>
        <v>21811.92352506777</v>
      </c>
      <c r="Q50" s="6">
        <f>Q$1*'survival matrix'!Q50</f>
        <v>25046.615724784977</v>
      </c>
      <c r="R50" s="6">
        <f>R$1*'survival matrix'!R50</f>
        <v>28473.750988026801</v>
      </c>
      <c r="S50" s="6">
        <f>S$1*'survival matrix'!S50</f>
        <v>32076.181000686152</v>
      </c>
      <c r="T50" s="6">
        <f>T$1*'survival matrix'!T50</f>
        <v>35833.408508950648</v>
      </c>
      <c r="U50" s="6">
        <f>U$1*'survival matrix'!U50</f>
        <v>39734.766896339454</v>
      </c>
      <c r="V50" s="6">
        <f>V$1*'survival matrix'!V50</f>
        <v>43758.125520284113</v>
      </c>
      <c r="W50" s="6">
        <f>W$1*'survival matrix'!W50</f>
        <v>47893.970360914784</v>
      </c>
      <c r="X50" s="6">
        <f>X$1*'survival matrix'!X50</f>
        <v>52125.214192719548</v>
      </c>
      <c r="Y50" s="6">
        <f>Y$1*'survival matrix'!Y50</f>
        <v>56431.156537113151</v>
      </c>
      <c r="Z50" s="6">
        <f>Z$1*'survival matrix'!Z50</f>
        <v>60798.770242441118</v>
      </c>
      <c r="AA50" s="6">
        <f>AA$1*'survival matrix'!AA50</f>
        <v>65212.287452390454</v>
      </c>
      <c r="AB50" s="6">
        <f>AB$1*'survival matrix'!AB50</f>
        <v>69648.258806513491</v>
      </c>
      <c r="AC50" s="6">
        <f>AC$1*'survival matrix'!AC50</f>
        <v>74394.080164890067</v>
      </c>
      <c r="AD50" s="6">
        <f>AD$1*'survival matrix'!AD50</f>
        <v>79819.202103817865</v>
      </c>
      <c r="AE50" s="6">
        <f>AE$1*'survival matrix'!AE50</f>
        <v>85194.489234026056</v>
      </c>
      <c r="AF50" s="6">
        <f>AF$1*'survival matrix'!AF50</f>
        <v>89707.12164982449</v>
      </c>
      <c r="AG50" s="6">
        <f>AG$1*'survival matrix'!AG50</f>
        <v>94455.344270757108</v>
      </c>
      <c r="AH50" s="6">
        <f>AH$1*'survival matrix'!AH50</f>
        <v>98835.618799651187</v>
      </c>
      <c r="AI50" s="6">
        <f>AI$1*'survival matrix'!AI50</f>
        <v>105330.42227734344</v>
      </c>
      <c r="AJ50" s="6">
        <f>AJ$1*'survival matrix'!AJ50</f>
        <v>110067.5103199092</v>
      </c>
      <c r="AK50" s="6">
        <f>AK$1*'survival matrix'!AK50</f>
        <v>114227.71781956471</v>
      </c>
      <c r="AL50" s="6">
        <f>AL$1*'survival matrix'!AL50</f>
        <v>118483.37773289057</v>
      </c>
      <c r="AM50" s="6">
        <f>AM$1*'survival matrix'!AM50</f>
        <v>122855.14198883752</v>
      </c>
      <c r="AN50" s="6">
        <f>AN$1*'survival matrix'!AN50</f>
        <v>125895.57990936586</v>
      </c>
      <c r="AO50" s="6">
        <f>AO$1*'survival matrix'!AO50</f>
        <v>128726.93994021516</v>
      </c>
      <c r="AP50" s="6">
        <f>AP$1*'survival matrix'!AP50</f>
        <v>130926.80790905633</v>
      </c>
      <c r="AQ50" s="6">
        <f>AQ$1*'survival matrix'!AQ50</f>
        <v>133820.20435750697</v>
      </c>
      <c r="AR50" s="6">
        <f>AR$1*'survival matrix'!AR50</f>
        <v>137454.19188516037</v>
      </c>
      <c r="AS50" s="6">
        <f>AS$1*'survival matrix'!AS50</f>
        <v>141023.58382539981</v>
      </c>
      <c r="AT50" s="6">
        <f>AT$1*'survival matrix'!AT50</f>
        <v>146032.3133067427</v>
      </c>
      <c r="AU50" s="6">
        <f>AU$1*'survival matrix'!AU50</f>
        <v>151164.26068975398</v>
      </c>
      <c r="AV50" s="6">
        <f>AV$1*'survival matrix'!AV50</f>
        <v>155298.90884389527</v>
      </c>
      <c r="AW50" s="6">
        <f>AW$1*'survival matrix'!AW50</f>
        <v>159816.21188308456</v>
      </c>
      <c r="AX50" s="6">
        <f>AX$1*'survival matrix'!AX50</f>
        <v>164259.16652319042</v>
      </c>
      <c r="AY50" s="6">
        <f>AY$1*'survival matrix'!AY50</f>
        <v>169779.11166220307</v>
      </c>
      <c r="AZ50" s="6">
        <f>AZ$1*'survival matrix'!AZ50</f>
        <v>174789.11674413254</v>
      </c>
      <c r="BA50" s="6">
        <f>BA$1*'survival matrix'!BA50</f>
        <v>179076.58389848474</v>
      </c>
      <c r="BB50" s="6">
        <f>BB$1*'survival matrix'!BB50</f>
        <v>0</v>
      </c>
      <c r="BC50" s="6">
        <f>BC$1*'survival matrix'!BC50</f>
        <v>0</v>
      </c>
      <c r="BD50" s="6">
        <f>BD$1*'survival matrix'!BD50</f>
        <v>0</v>
      </c>
      <c r="BE50" s="6">
        <f>BE$1*'survival matrix'!BE50</f>
        <v>0</v>
      </c>
      <c r="BF50" s="6">
        <f>BF$1*'survival matrix'!BF50</f>
        <v>0</v>
      </c>
      <c r="BG50" s="6">
        <f>BG$1*'survival matrix'!BG50</f>
        <v>0</v>
      </c>
      <c r="BH50" s="6">
        <f>BH$1*'survival matrix'!BH50</f>
        <v>0</v>
      </c>
      <c r="BI50" s="6">
        <f>BI$1*'survival matrix'!BI50</f>
        <v>0</v>
      </c>
      <c r="BJ50" s="6">
        <f>BJ$1*'survival matrix'!BJ50</f>
        <v>0</v>
      </c>
      <c r="BK50" s="6">
        <f>BK$1*'survival matrix'!BK50</f>
        <v>0</v>
      </c>
      <c r="BL50" s="6">
        <f>BL$1*'survival matrix'!BL50</f>
        <v>0</v>
      </c>
      <c r="BM50" s="6">
        <f>BM$1*'survival matrix'!BM50</f>
        <v>0</v>
      </c>
      <c r="BN50" s="6">
        <f>BN$1*'survival matrix'!BN50</f>
        <v>0</v>
      </c>
      <c r="BO50" s="6">
        <f>BO$1*'survival matrix'!BO50</f>
        <v>0</v>
      </c>
      <c r="BP50" s="6">
        <f>BP$1*'survival matrix'!BP50</f>
        <v>0</v>
      </c>
      <c r="BQ50" s="6">
        <f>BQ$1*'survival matrix'!BQ50</f>
        <v>0</v>
      </c>
      <c r="BR50" s="6">
        <f>BR$1*'survival matrix'!BR50</f>
        <v>0</v>
      </c>
      <c r="BS50" s="6">
        <f>BS$1*'survival matrix'!BS50</f>
        <v>0</v>
      </c>
      <c r="BT50" s="6">
        <f>BT$1*'survival matrix'!BT50</f>
        <v>0</v>
      </c>
      <c r="BU50" s="6">
        <f>BU$1*'survival matrix'!BU50</f>
        <v>0</v>
      </c>
      <c r="BV50" s="6">
        <f>BV$1*'survival matrix'!BV50</f>
        <v>0</v>
      </c>
      <c r="BW50" s="6">
        <f>BW$1*'survival matrix'!BW50</f>
        <v>0</v>
      </c>
      <c r="BX50" s="6">
        <f>BX$1*'survival matrix'!BX50</f>
        <v>0</v>
      </c>
      <c r="BY50" s="6">
        <f>BY$1*'survival matrix'!BY50</f>
        <v>0</v>
      </c>
      <c r="BZ50" s="6">
        <f>BZ$1*'survival matrix'!BZ50</f>
        <v>0</v>
      </c>
      <c r="CA50" s="6">
        <f>CA$1*'survival matrix'!CA50</f>
        <v>0</v>
      </c>
      <c r="CB50" s="6">
        <f>CB$1*'survival matrix'!CB50</f>
        <v>0</v>
      </c>
      <c r="CC50" s="6">
        <f>CC$1*'survival matrix'!CC50</f>
        <v>0</v>
      </c>
      <c r="CD50" s="6">
        <f>CD$1*'survival matrix'!CD50</f>
        <v>0</v>
      </c>
      <c r="CE50" s="6">
        <f>CE$1*'survival matrix'!CE50</f>
        <v>0</v>
      </c>
      <c r="CF50" s="6">
        <f>CF$1*'survival matrix'!CF50</f>
        <v>0</v>
      </c>
      <c r="CG50" s="6">
        <f>CG$1*'survival matrix'!CG50</f>
        <v>0</v>
      </c>
      <c r="CH50" s="6">
        <f>CH$1*'survival matrix'!CH50</f>
        <v>0</v>
      </c>
      <c r="CI50" s="6">
        <f>CI$1*'survival matrix'!CI50</f>
        <v>0</v>
      </c>
      <c r="CJ50" s="6">
        <f>CJ$1*'survival matrix'!CJ50</f>
        <v>0</v>
      </c>
      <c r="CK50" s="6">
        <f>CK$1*'survival matrix'!CK50</f>
        <v>0</v>
      </c>
      <c r="CL50" s="6">
        <f>CL$1*'survival matrix'!CL50</f>
        <v>0</v>
      </c>
      <c r="CM50" s="6">
        <f>CM$1*'survival matrix'!CM50</f>
        <v>0</v>
      </c>
      <c r="CN50" s="6">
        <f>CN$1*'survival matrix'!CN50</f>
        <v>0</v>
      </c>
      <c r="CO50" s="6">
        <f>CO$1*'survival matrix'!CO50</f>
        <v>0</v>
      </c>
      <c r="CP50" s="6">
        <f>CP$1*'survival matrix'!CP50</f>
        <v>0</v>
      </c>
      <c r="CQ50" s="6">
        <f>CQ$1*'survival matrix'!CQ50</f>
        <v>0</v>
      </c>
      <c r="CR50" s="6">
        <f>CR$1*'survival matrix'!CR50</f>
        <v>0</v>
      </c>
      <c r="CS50" s="6">
        <f>CS$1*'survival matrix'!CS50</f>
        <v>0</v>
      </c>
      <c r="CT50" s="6">
        <f>CT$1*'survival matrix'!CT50</f>
        <v>0</v>
      </c>
      <c r="CU50" s="6">
        <f>CU$1*'survival matrix'!CU50</f>
        <v>0</v>
      </c>
      <c r="CV50" s="6">
        <f>CV$1*'survival matrix'!CV50</f>
        <v>0</v>
      </c>
      <c r="CW50" s="6">
        <f>CW$1*'survival matrix'!CW50</f>
        <v>0</v>
      </c>
      <c r="CX50" s="6">
        <f>CX$1*'survival matrix'!CX50</f>
        <v>0</v>
      </c>
      <c r="CY50" s="6">
        <f>CY$1*'survival matrix'!CY50</f>
        <v>0</v>
      </c>
      <c r="CZ50" s="6">
        <f>CZ$1*'survival matrix'!CZ50</f>
        <v>0</v>
      </c>
      <c r="DA50" s="6">
        <f>DA$1*'survival matrix'!DA50</f>
        <v>0</v>
      </c>
      <c r="DB50" s="6">
        <f>DB$1*'survival matrix'!DB50</f>
        <v>0</v>
      </c>
      <c r="DC50" s="6">
        <f>DC$1*'survival matrix'!DC50</f>
        <v>0</v>
      </c>
      <c r="DD50" s="6">
        <f>DD$1*'survival matrix'!DD50</f>
        <v>0</v>
      </c>
      <c r="DE50" s="6">
        <f>DE$1*'survival matrix'!DE50</f>
        <v>0</v>
      </c>
      <c r="DF50" s="6">
        <f>DF$1*'survival matrix'!DF50</f>
        <v>0</v>
      </c>
      <c r="DG50" s="6">
        <f>DG$1*'survival matrix'!DG50</f>
        <v>0</v>
      </c>
      <c r="DH50" s="6">
        <f>DH$1*'survival matrix'!DH50</f>
        <v>0</v>
      </c>
      <c r="DI50" s="6">
        <f>DI$1*'survival matrix'!DI50</f>
        <v>0</v>
      </c>
      <c r="DJ50" s="6">
        <f>DJ$1*'survival matrix'!DJ50</f>
        <v>0</v>
      </c>
      <c r="DK50" s="6">
        <f>DK$1*'survival matrix'!DK50</f>
        <v>0</v>
      </c>
      <c r="DL50" s="6">
        <f>DL$1*'survival matrix'!DL50</f>
        <v>0</v>
      </c>
      <c r="DM50" s="6">
        <f>DM$1*'survival matrix'!DM50</f>
        <v>0</v>
      </c>
      <c r="DN50" s="6">
        <f>DN$1*'survival matrix'!DN50</f>
        <v>0</v>
      </c>
      <c r="DO50" s="6">
        <f>DO$1*'survival matrix'!DO50</f>
        <v>0</v>
      </c>
      <c r="DP50" s="6">
        <f>DP$1*'survival matrix'!DP50</f>
        <v>0</v>
      </c>
      <c r="DQ50" s="6">
        <f>DQ$1*'survival matrix'!DQ50</f>
        <v>0</v>
      </c>
      <c r="DR50" s="6">
        <f>DR$1*'survival matrix'!DR50</f>
        <v>0</v>
      </c>
      <c r="DS50" s="6">
        <f>DS$1*'survival matrix'!DS50</f>
        <v>0</v>
      </c>
      <c r="DT50" s="6">
        <f>DT$1*'survival matrix'!DT50</f>
        <v>0</v>
      </c>
      <c r="DU50" s="6">
        <f>DU$1*'survival matrix'!DU50</f>
        <v>0</v>
      </c>
      <c r="DV50" s="6">
        <f>DV$1*'survival matrix'!DV50</f>
        <v>0</v>
      </c>
      <c r="DW50" s="6">
        <f>DW$1*'survival matrix'!DW50</f>
        <v>0</v>
      </c>
      <c r="DX50" s="6">
        <f>DX$1*'survival matrix'!DX50</f>
        <v>0</v>
      </c>
      <c r="DY50" s="6">
        <f>DY$1*'survival matrix'!DY50</f>
        <v>0</v>
      </c>
      <c r="DZ50" s="6">
        <f>DZ$1*'survival matrix'!DZ50</f>
        <v>0</v>
      </c>
      <c r="EA50" s="6">
        <f>EA$1*'survival matrix'!EA50</f>
        <v>0</v>
      </c>
      <c r="EB50" s="6">
        <f>EB$1*'survival matrix'!EB50</f>
        <v>0</v>
      </c>
      <c r="EC50" s="6">
        <f>EC$1*'survival matrix'!EC50</f>
        <v>0</v>
      </c>
    </row>
    <row r="51" spans="1:133">
      <c r="A51" s="12">
        <f>'data input'!C51-B51</f>
        <v>36973.008655466576</v>
      </c>
      <c r="B51" s="14">
        <f t="shared" si="2"/>
        <v>147322.65901666554</v>
      </c>
      <c r="C51" s="11">
        <f>SUM(F51:EC51)</f>
        <v>4003705.4961089939</v>
      </c>
      <c r="E51" s="7">
        <f>'data input'!B51</f>
        <v>1926</v>
      </c>
      <c r="F51" s="6">
        <f>F$1*'survival matrix'!F51</f>
        <v>891.47241956611742</v>
      </c>
      <c r="G51" s="6">
        <f>G$1*'survival matrix'!G51</f>
        <v>1956.6390247225324</v>
      </c>
      <c r="H51" s="6">
        <f>H$1*'survival matrix'!H51</f>
        <v>3204.1197177371396</v>
      </c>
      <c r="I51" s="6">
        <f>I$1*'survival matrix'!I51</f>
        <v>4647.7832363024409</v>
      </c>
      <c r="J51" s="6">
        <f>J$1*'survival matrix'!J51</f>
        <v>6295.8495155671126</v>
      </c>
      <c r="K51" s="6">
        <f>K$1*'survival matrix'!K51</f>
        <v>8155.7952751990715</v>
      </c>
      <c r="L51" s="6">
        <f>L$1*'survival matrix'!L51</f>
        <v>10235.773756128348</v>
      </c>
      <c r="M51" s="6">
        <f>M$1*'survival matrix'!M51</f>
        <v>12537.22739007722</v>
      </c>
      <c r="N51" s="6">
        <f>N$1*'survival matrix'!N51</f>
        <v>15055.074028484025</v>
      </c>
      <c r="O51" s="6">
        <f>O$1*'survival matrix'!O51</f>
        <v>17783.109446859671</v>
      </c>
      <c r="P51" s="6">
        <f>P$1*'survival matrix'!P51</f>
        <v>20723.469532530125</v>
      </c>
      <c r="Q51" s="6">
        <f>Q$1*'survival matrix'!Q51</f>
        <v>23875.131106053515</v>
      </c>
      <c r="R51" s="6">
        <f>R$1*'survival matrix'!R51</f>
        <v>27228.534783765248</v>
      </c>
      <c r="S51" s="6">
        <f>S$1*'survival matrix'!S51</f>
        <v>30767.934402793315</v>
      </c>
      <c r="T51" s="6">
        <f>T$1*'survival matrix'!T51</f>
        <v>34474.005774756231</v>
      </c>
      <c r="U51" s="6">
        <f>U$1*'survival matrix'!U51</f>
        <v>38336.5308393124</v>
      </c>
      <c r="V51" s="6">
        <f>V$1*'survival matrix'!V51</f>
        <v>42333.946792844203</v>
      </c>
      <c r="W51" s="6">
        <f>W$1*'survival matrix'!W51</f>
        <v>46456.572175391695</v>
      </c>
      <c r="X51" s="6">
        <f>X$1*'survival matrix'!X51</f>
        <v>50687.15568301412</v>
      </c>
      <c r="Y51" s="6">
        <f>Y$1*'survival matrix'!Y51</f>
        <v>55004.666119574336</v>
      </c>
      <c r="Z51" s="6">
        <f>Z$1*'survival matrix'!Z51</f>
        <v>59395.307453017253</v>
      </c>
      <c r="AA51" s="6">
        <f>AA$1*'survival matrix'!AA51</f>
        <v>63842.43852873893</v>
      </c>
      <c r="AB51" s="6">
        <f>AB$1*'survival matrix'!AB51</f>
        <v>68321.727769665842</v>
      </c>
      <c r="AC51" s="6">
        <f>AC$1*'survival matrix'!AC51</f>
        <v>73114.16191168256</v>
      </c>
      <c r="AD51" s="6">
        <f>AD$1*'survival matrix'!AD51</f>
        <v>78583.518912461121</v>
      </c>
      <c r="AE51" s="6">
        <f>AE$1*'survival matrix'!AE51</f>
        <v>84012.445797967317</v>
      </c>
      <c r="AF51" s="6">
        <f>AF$1*'survival matrix'!AF51</f>
        <v>88596.195238163622</v>
      </c>
      <c r="AG51" s="6">
        <f>AG$1*'survival matrix'!AG51</f>
        <v>93415.699990649591</v>
      </c>
      <c r="AH51" s="6">
        <f>AH$1*'survival matrix'!AH51</f>
        <v>97872.930728830324</v>
      </c>
      <c r="AI51" s="6">
        <f>AI$1*'survival matrix'!AI51</f>
        <v>104426.55212523109</v>
      </c>
      <c r="AJ51" s="6">
        <f>AJ$1*'survival matrix'!AJ51</f>
        <v>109239.16422752588</v>
      </c>
      <c r="AK51" s="6">
        <f>AK$1*'survival matrix'!AK51</f>
        <v>113477.30340365856</v>
      </c>
      <c r="AL51" s="6">
        <f>AL$1*'survival matrix'!AL51</f>
        <v>117807.14062638099</v>
      </c>
      <c r="AM51" s="6">
        <f>AM$1*'survival matrix'!AM51</f>
        <v>122248.90490334417</v>
      </c>
      <c r="AN51" s="6">
        <f>AN$1*'survival matrix'!AN51</f>
        <v>125361.10642165404</v>
      </c>
      <c r="AO51" s="6">
        <f>AO$1*'survival matrix'!AO51</f>
        <v>128259.12253601002</v>
      </c>
      <c r="AP51" s="6">
        <f>AP$1*'survival matrix'!AP51</f>
        <v>130521.56086929065</v>
      </c>
      <c r="AQ51" s="6">
        <f>AQ$1*'survival matrix'!AQ51</f>
        <v>133469.24133357542</v>
      </c>
      <c r="AR51" s="6">
        <f>AR$1*'survival matrix'!AR51</f>
        <v>137150.32480563445</v>
      </c>
      <c r="AS51" s="6">
        <f>AS$1*'survival matrix'!AS51</f>
        <v>140762.17694680457</v>
      </c>
      <c r="AT51" s="6">
        <f>AT$1*'survival matrix'!AT51</f>
        <v>145806.54348557963</v>
      </c>
      <c r="AU51" s="6">
        <f>AU$1*'survival matrix'!AU51</f>
        <v>150970.38179997323</v>
      </c>
      <c r="AV51" s="6">
        <f>AV$1*'survival matrix'!AV51</f>
        <v>155134.55871932497</v>
      </c>
      <c r="AW51" s="6">
        <f>AW$1*'survival matrix'!AW51</f>
        <v>159677.41380813892</v>
      </c>
      <c r="AX51" s="6">
        <f>AX$1*'survival matrix'!AX51</f>
        <v>164142.73225331953</v>
      </c>
      <c r="AY51" s="6">
        <f>AY$1*'survival matrix'!AY51</f>
        <v>169681.42386855415</v>
      </c>
      <c r="AZ51" s="6">
        <f>AZ$1*'survival matrix'!AZ51</f>
        <v>174707.93064192845</v>
      </c>
      <c r="BA51" s="6">
        <f>BA$1*'survival matrix'!BA51</f>
        <v>179009.80866810586</v>
      </c>
      <c r="BB51" s="6">
        <f>BB$1*'survival matrix'!BB51</f>
        <v>184046.88731310354</v>
      </c>
      <c r="BC51" s="6">
        <f>BC$1*'survival matrix'!BC51</f>
        <v>0</v>
      </c>
      <c r="BD51" s="6">
        <f>BD$1*'survival matrix'!BD51</f>
        <v>0</v>
      </c>
      <c r="BE51" s="6">
        <f>BE$1*'survival matrix'!BE51</f>
        <v>0</v>
      </c>
      <c r="BF51" s="6">
        <f>BF$1*'survival matrix'!BF51</f>
        <v>0</v>
      </c>
      <c r="BG51" s="6">
        <f>BG$1*'survival matrix'!BG51</f>
        <v>0</v>
      </c>
      <c r="BH51" s="6">
        <f>BH$1*'survival matrix'!BH51</f>
        <v>0</v>
      </c>
      <c r="BI51" s="6">
        <f>BI$1*'survival matrix'!BI51</f>
        <v>0</v>
      </c>
      <c r="BJ51" s="6">
        <f>BJ$1*'survival matrix'!BJ51</f>
        <v>0</v>
      </c>
      <c r="BK51" s="6">
        <f>BK$1*'survival matrix'!BK51</f>
        <v>0</v>
      </c>
      <c r="BL51" s="6">
        <f>BL$1*'survival matrix'!BL51</f>
        <v>0</v>
      </c>
      <c r="BM51" s="6">
        <f>BM$1*'survival matrix'!BM51</f>
        <v>0</v>
      </c>
      <c r="BN51" s="6">
        <f>BN$1*'survival matrix'!BN51</f>
        <v>0</v>
      </c>
      <c r="BO51" s="6">
        <f>BO$1*'survival matrix'!BO51</f>
        <v>0</v>
      </c>
      <c r="BP51" s="6">
        <f>BP$1*'survival matrix'!BP51</f>
        <v>0</v>
      </c>
      <c r="BQ51" s="6">
        <f>BQ$1*'survival matrix'!BQ51</f>
        <v>0</v>
      </c>
      <c r="BR51" s="6">
        <f>BR$1*'survival matrix'!BR51</f>
        <v>0</v>
      </c>
      <c r="BS51" s="6">
        <f>BS$1*'survival matrix'!BS51</f>
        <v>0</v>
      </c>
      <c r="BT51" s="6">
        <f>BT$1*'survival matrix'!BT51</f>
        <v>0</v>
      </c>
      <c r="BU51" s="6">
        <f>BU$1*'survival matrix'!BU51</f>
        <v>0</v>
      </c>
      <c r="BV51" s="6">
        <f>BV$1*'survival matrix'!BV51</f>
        <v>0</v>
      </c>
      <c r="BW51" s="6">
        <f>BW$1*'survival matrix'!BW51</f>
        <v>0</v>
      </c>
      <c r="BX51" s="6">
        <f>BX$1*'survival matrix'!BX51</f>
        <v>0</v>
      </c>
      <c r="BY51" s="6">
        <f>BY$1*'survival matrix'!BY51</f>
        <v>0</v>
      </c>
      <c r="BZ51" s="6">
        <f>BZ$1*'survival matrix'!BZ51</f>
        <v>0</v>
      </c>
      <c r="CA51" s="6">
        <f>CA$1*'survival matrix'!CA51</f>
        <v>0</v>
      </c>
      <c r="CB51" s="6">
        <f>CB$1*'survival matrix'!CB51</f>
        <v>0</v>
      </c>
      <c r="CC51" s="6">
        <f>CC$1*'survival matrix'!CC51</f>
        <v>0</v>
      </c>
      <c r="CD51" s="6">
        <f>CD$1*'survival matrix'!CD51</f>
        <v>0</v>
      </c>
      <c r="CE51" s="6">
        <f>CE$1*'survival matrix'!CE51</f>
        <v>0</v>
      </c>
      <c r="CF51" s="6">
        <f>CF$1*'survival matrix'!CF51</f>
        <v>0</v>
      </c>
      <c r="CG51" s="6">
        <f>CG$1*'survival matrix'!CG51</f>
        <v>0</v>
      </c>
      <c r="CH51" s="6">
        <f>CH$1*'survival matrix'!CH51</f>
        <v>0</v>
      </c>
      <c r="CI51" s="6">
        <f>CI$1*'survival matrix'!CI51</f>
        <v>0</v>
      </c>
      <c r="CJ51" s="6">
        <f>CJ$1*'survival matrix'!CJ51</f>
        <v>0</v>
      </c>
      <c r="CK51" s="6">
        <f>CK$1*'survival matrix'!CK51</f>
        <v>0</v>
      </c>
      <c r="CL51" s="6">
        <f>CL$1*'survival matrix'!CL51</f>
        <v>0</v>
      </c>
      <c r="CM51" s="6">
        <f>CM$1*'survival matrix'!CM51</f>
        <v>0</v>
      </c>
      <c r="CN51" s="6">
        <f>CN$1*'survival matrix'!CN51</f>
        <v>0</v>
      </c>
      <c r="CO51" s="6">
        <f>CO$1*'survival matrix'!CO51</f>
        <v>0</v>
      </c>
      <c r="CP51" s="6">
        <f>CP$1*'survival matrix'!CP51</f>
        <v>0</v>
      </c>
      <c r="CQ51" s="6">
        <f>CQ$1*'survival matrix'!CQ51</f>
        <v>0</v>
      </c>
      <c r="CR51" s="6">
        <f>CR$1*'survival matrix'!CR51</f>
        <v>0</v>
      </c>
      <c r="CS51" s="6">
        <f>CS$1*'survival matrix'!CS51</f>
        <v>0</v>
      </c>
      <c r="CT51" s="6">
        <f>CT$1*'survival matrix'!CT51</f>
        <v>0</v>
      </c>
      <c r="CU51" s="6">
        <f>CU$1*'survival matrix'!CU51</f>
        <v>0</v>
      </c>
      <c r="CV51" s="6">
        <f>CV$1*'survival matrix'!CV51</f>
        <v>0</v>
      </c>
      <c r="CW51" s="6">
        <f>CW$1*'survival matrix'!CW51</f>
        <v>0</v>
      </c>
      <c r="CX51" s="6">
        <f>CX$1*'survival matrix'!CX51</f>
        <v>0</v>
      </c>
      <c r="CY51" s="6">
        <f>CY$1*'survival matrix'!CY51</f>
        <v>0</v>
      </c>
      <c r="CZ51" s="6">
        <f>CZ$1*'survival matrix'!CZ51</f>
        <v>0</v>
      </c>
      <c r="DA51" s="6">
        <f>DA$1*'survival matrix'!DA51</f>
        <v>0</v>
      </c>
      <c r="DB51" s="6">
        <f>DB$1*'survival matrix'!DB51</f>
        <v>0</v>
      </c>
      <c r="DC51" s="6">
        <f>DC$1*'survival matrix'!DC51</f>
        <v>0</v>
      </c>
      <c r="DD51" s="6">
        <f>DD$1*'survival matrix'!DD51</f>
        <v>0</v>
      </c>
      <c r="DE51" s="6">
        <f>DE$1*'survival matrix'!DE51</f>
        <v>0</v>
      </c>
      <c r="DF51" s="6">
        <f>DF$1*'survival matrix'!DF51</f>
        <v>0</v>
      </c>
      <c r="DG51" s="6">
        <f>DG$1*'survival matrix'!DG51</f>
        <v>0</v>
      </c>
      <c r="DH51" s="6">
        <f>DH$1*'survival matrix'!DH51</f>
        <v>0</v>
      </c>
      <c r="DI51" s="6">
        <f>DI$1*'survival matrix'!DI51</f>
        <v>0</v>
      </c>
      <c r="DJ51" s="6">
        <f>DJ$1*'survival matrix'!DJ51</f>
        <v>0</v>
      </c>
      <c r="DK51" s="6">
        <f>DK$1*'survival matrix'!DK51</f>
        <v>0</v>
      </c>
      <c r="DL51" s="6">
        <f>DL$1*'survival matrix'!DL51</f>
        <v>0</v>
      </c>
      <c r="DM51" s="6">
        <f>DM$1*'survival matrix'!DM51</f>
        <v>0</v>
      </c>
      <c r="DN51" s="6">
        <f>DN$1*'survival matrix'!DN51</f>
        <v>0</v>
      </c>
      <c r="DO51" s="6">
        <f>DO$1*'survival matrix'!DO51</f>
        <v>0</v>
      </c>
      <c r="DP51" s="6">
        <f>DP$1*'survival matrix'!DP51</f>
        <v>0</v>
      </c>
      <c r="DQ51" s="6">
        <f>DQ$1*'survival matrix'!DQ51</f>
        <v>0</v>
      </c>
      <c r="DR51" s="6">
        <f>DR$1*'survival matrix'!DR51</f>
        <v>0</v>
      </c>
      <c r="DS51" s="6">
        <f>DS$1*'survival matrix'!DS51</f>
        <v>0</v>
      </c>
      <c r="DT51" s="6">
        <f>DT$1*'survival matrix'!DT51</f>
        <v>0</v>
      </c>
      <c r="DU51" s="6">
        <f>DU$1*'survival matrix'!DU51</f>
        <v>0</v>
      </c>
      <c r="DV51" s="6">
        <f>DV$1*'survival matrix'!DV51</f>
        <v>0</v>
      </c>
      <c r="DW51" s="6">
        <f>DW$1*'survival matrix'!DW51</f>
        <v>0</v>
      </c>
      <c r="DX51" s="6">
        <f>DX$1*'survival matrix'!DX51</f>
        <v>0</v>
      </c>
      <c r="DY51" s="6">
        <f>DY$1*'survival matrix'!DY51</f>
        <v>0</v>
      </c>
      <c r="DZ51" s="6">
        <f>DZ$1*'survival matrix'!DZ51</f>
        <v>0</v>
      </c>
      <c r="EA51" s="6">
        <f>EA$1*'survival matrix'!EA51</f>
        <v>0</v>
      </c>
      <c r="EB51" s="6">
        <f>EB$1*'survival matrix'!EB51</f>
        <v>0</v>
      </c>
      <c r="EC51" s="6">
        <f>EC$1*'survival matrix'!EC51</f>
        <v>0</v>
      </c>
    </row>
    <row r="52" spans="1:133">
      <c r="A52" s="12">
        <f>'data input'!C52-B52</f>
        <v>39661.115842889907</v>
      </c>
      <c r="B52" s="14">
        <f t="shared" si="2"/>
        <v>149784.92009446165</v>
      </c>
      <c r="C52" s="11">
        <f>SUM(F52:EC52)</f>
        <v>4153490.4162034555</v>
      </c>
      <c r="E52" s="7">
        <f>'data input'!B52</f>
        <v>1927</v>
      </c>
      <c r="F52" s="6">
        <f>F$1*'survival matrix'!F52</f>
        <v>812.10957021592708</v>
      </c>
      <c r="G52" s="6">
        <f>G$1*'survival matrix'!G52</f>
        <v>1789.9579606381958</v>
      </c>
      <c r="H52" s="6">
        <f>H$1*'survival matrix'!H52</f>
        <v>2943.3209660494576</v>
      </c>
      <c r="I52" s="6">
        <f>I$1*'survival matrix'!I52</f>
        <v>4286.8816145820738</v>
      </c>
      <c r="J52" s="6">
        <f>J$1*'survival matrix'!J52</f>
        <v>5830.2237555715847</v>
      </c>
      <c r="K52" s="6">
        <f>K$1*'survival matrix'!K52</f>
        <v>7582.2744324415771</v>
      </c>
      <c r="L52" s="6">
        <f>L$1*'survival matrix'!L52</f>
        <v>9552.6020662159499</v>
      </c>
      <c r="M52" s="6">
        <f>M$1*'survival matrix'!M52</f>
        <v>11744.494229829559</v>
      </c>
      <c r="N52" s="6">
        <f>N$1*'survival matrix'!N52</f>
        <v>14155.002090237116</v>
      </c>
      <c r="O52" s="6">
        <f>O$1*'survival matrix'!O52</f>
        <v>16779.917259131202</v>
      </c>
      <c r="P52" s="6">
        <f>P$1*'survival matrix'!P52</f>
        <v>19622.707098539759</v>
      </c>
      <c r="Q52" s="6">
        <f>Q$1*'survival matrix'!Q52</f>
        <v>22683.719365366011</v>
      </c>
      <c r="R52" s="6">
        <f>R$1*'survival matrix'!R52</f>
        <v>25954.997071514128</v>
      </c>
      <c r="S52" s="6">
        <f>S$1*'survival matrix'!S52</f>
        <v>29422.388798137112</v>
      </c>
      <c r="T52" s="6">
        <f>T$1*'survival matrix'!T52</f>
        <v>33067.962431578999</v>
      </c>
      <c r="U52" s="6">
        <f>U$1*'survival matrix'!U52</f>
        <v>36882.167801828196</v>
      </c>
      <c r="V52" s="6">
        <f>V$1*'survival matrix'!V52</f>
        <v>40844.247583171156</v>
      </c>
      <c r="W52" s="6">
        <f>W$1*'survival matrix'!W52</f>
        <v>44944.568152017797</v>
      </c>
      <c r="X52" s="6">
        <f>X$1*'survival matrix'!X52</f>
        <v>49165.928166083337</v>
      </c>
      <c r="Y52" s="6">
        <f>Y$1*'survival matrix'!Y52</f>
        <v>53487.167737806391</v>
      </c>
      <c r="Z52" s="6">
        <f>Z$1*'survival matrix'!Z52</f>
        <v>57893.887986755239</v>
      </c>
      <c r="AA52" s="6">
        <f>AA$1*'survival matrix'!AA52</f>
        <v>62368.716502719741</v>
      </c>
      <c r="AB52" s="6">
        <f>AB$1*'survival matrix'!AB52</f>
        <v>66886.561961142157</v>
      </c>
      <c r="AC52" s="6">
        <f>AC$1*'survival matrix'!AC52</f>
        <v>71721.618771754424</v>
      </c>
      <c r="AD52" s="6">
        <f>AD$1*'survival matrix'!AD52</f>
        <v>77231.523161799167</v>
      </c>
      <c r="AE52" s="6">
        <f>AE$1*'survival matrix'!AE52</f>
        <v>82711.846889420325</v>
      </c>
      <c r="AF52" s="6">
        <f>AF$1*'survival matrix'!AF52</f>
        <v>87366.954333234025</v>
      </c>
      <c r="AG52" s="6">
        <f>AG$1*'survival matrix'!AG52</f>
        <v>92258.846816957288</v>
      </c>
      <c r="AH52" s="6">
        <f>AH$1*'survival matrix'!AH52</f>
        <v>96795.670004250118</v>
      </c>
      <c r="AI52" s="6">
        <f>AI$1*'survival matrix'!AI52</f>
        <v>103409.40671521756</v>
      </c>
      <c r="AJ52" s="6">
        <f>AJ$1*'survival matrix'!AJ52</f>
        <v>108301.75205493461</v>
      </c>
      <c r="AK52" s="6">
        <f>AK$1*'survival matrix'!AK52</f>
        <v>112623.2958897663</v>
      </c>
      <c r="AL52" s="6">
        <f>AL$1*'survival matrix'!AL52</f>
        <v>117033.21133574801</v>
      </c>
      <c r="AM52" s="6">
        <f>AM$1*'survival matrix'!AM52</f>
        <v>121551.17626572739</v>
      </c>
      <c r="AN52" s="6">
        <f>AN$1*'survival matrix'!AN52</f>
        <v>124742.50348358417</v>
      </c>
      <c r="AO52" s="6">
        <f>AO$1*'survival matrix'!AO52</f>
        <v>127714.61493215269</v>
      </c>
      <c r="AP52" s="6">
        <f>AP$1*'survival matrix'!AP52</f>
        <v>130047.22148215823</v>
      </c>
      <c r="AQ52" s="6">
        <f>AQ$1*'survival matrix'!AQ52</f>
        <v>133056.12490758134</v>
      </c>
      <c r="AR52" s="6">
        <f>AR$1*'survival matrix'!AR52</f>
        <v>136790.62805462375</v>
      </c>
      <c r="AS52" s="6">
        <f>AS$1*'survival matrix'!AS52</f>
        <v>140450.99697455406</v>
      </c>
      <c r="AT52" s="6">
        <f>AT$1*'survival matrix'!AT52</f>
        <v>145536.27072426252</v>
      </c>
      <c r="AU52" s="6">
        <f>AU$1*'survival matrix'!AU52</f>
        <v>150736.97759423213</v>
      </c>
      <c r="AV52" s="6">
        <f>AV$1*'survival matrix'!AV52</f>
        <v>154935.58764061969</v>
      </c>
      <c r="AW52" s="6">
        <f>AW$1*'survival matrix'!AW52</f>
        <v>159508.42998818943</v>
      </c>
      <c r="AX52" s="6">
        <f>AX$1*'survival matrix'!AX52</f>
        <v>164000.17665783496</v>
      </c>
      <c r="AY52" s="6">
        <f>AY$1*'survival matrix'!AY52</f>
        <v>169561.14605930325</v>
      </c>
      <c r="AZ52" s="6">
        <f>AZ$1*'survival matrix'!AZ52</f>
        <v>174607.40689604304</v>
      </c>
      <c r="BA52" s="6">
        <f>BA$1*'survival matrix'!BA52</f>
        <v>178926.66213763083</v>
      </c>
      <c r="BB52" s="6">
        <f>BB$1*'survival matrix'!BB52</f>
        <v>183978.25872396419</v>
      </c>
      <c r="BC52" s="6">
        <f>BC$1*'survival matrix'!BC52</f>
        <v>189190.30310633959</v>
      </c>
      <c r="BD52" s="6">
        <f>BD$1*'survival matrix'!BD52</f>
        <v>0</v>
      </c>
      <c r="BE52" s="6">
        <f>BE$1*'survival matrix'!BE52</f>
        <v>0</v>
      </c>
      <c r="BF52" s="6">
        <f>BF$1*'survival matrix'!BF52</f>
        <v>0</v>
      </c>
      <c r="BG52" s="6">
        <f>BG$1*'survival matrix'!BG52</f>
        <v>0</v>
      </c>
      <c r="BH52" s="6">
        <f>BH$1*'survival matrix'!BH52</f>
        <v>0</v>
      </c>
      <c r="BI52" s="6">
        <f>BI$1*'survival matrix'!BI52</f>
        <v>0</v>
      </c>
      <c r="BJ52" s="6">
        <f>BJ$1*'survival matrix'!BJ52</f>
        <v>0</v>
      </c>
      <c r="BK52" s="6">
        <f>BK$1*'survival matrix'!BK52</f>
        <v>0</v>
      </c>
      <c r="BL52" s="6">
        <f>BL$1*'survival matrix'!BL52</f>
        <v>0</v>
      </c>
      <c r="BM52" s="6">
        <f>BM$1*'survival matrix'!BM52</f>
        <v>0</v>
      </c>
      <c r="BN52" s="6">
        <f>BN$1*'survival matrix'!BN52</f>
        <v>0</v>
      </c>
      <c r="BO52" s="6">
        <f>BO$1*'survival matrix'!BO52</f>
        <v>0</v>
      </c>
      <c r="BP52" s="6">
        <f>BP$1*'survival matrix'!BP52</f>
        <v>0</v>
      </c>
      <c r="BQ52" s="6">
        <f>BQ$1*'survival matrix'!BQ52</f>
        <v>0</v>
      </c>
      <c r="BR52" s="6">
        <f>BR$1*'survival matrix'!BR52</f>
        <v>0</v>
      </c>
      <c r="BS52" s="6">
        <f>BS$1*'survival matrix'!BS52</f>
        <v>0</v>
      </c>
      <c r="BT52" s="6">
        <f>BT$1*'survival matrix'!BT52</f>
        <v>0</v>
      </c>
      <c r="BU52" s="6">
        <f>BU$1*'survival matrix'!BU52</f>
        <v>0</v>
      </c>
      <c r="BV52" s="6">
        <f>BV$1*'survival matrix'!BV52</f>
        <v>0</v>
      </c>
      <c r="BW52" s="6">
        <f>BW$1*'survival matrix'!BW52</f>
        <v>0</v>
      </c>
      <c r="BX52" s="6">
        <f>BX$1*'survival matrix'!BX52</f>
        <v>0</v>
      </c>
      <c r="BY52" s="6">
        <f>BY$1*'survival matrix'!BY52</f>
        <v>0</v>
      </c>
      <c r="BZ52" s="6">
        <f>BZ$1*'survival matrix'!BZ52</f>
        <v>0</v>
      </c>
      <c r="CA52" s="6">
        <f>CA$1*'survival matrix'!CA52</f>
        <v>0</v>
      </c>
      <c r="CB52" s="6">
        <f>CB$1*'survival matrix'!CB52</f>
        <v>0</v>
      </c>
      <c r="CC52" s="6">
        <f>CC$1*'survival matrix'!CC52</f>
        <v>0</v>
      </c>
      <c r="CD52" s="6">
        <f>CD$1*'survival matrix'!CD52</f>
        <v>0</v>
      </c>
      <c r="CE52" s="6">
        <f>CE$1*'survival matrix'!CE52</f>
        <v>0</v>
      </c>
      <c r="CF52" s="6">
        <f>CF$1*'survival matrix'!CF52</f>
        <v>0</v>
      </c>
      <c r="CG52" s="6">
        <f>CG$1*'survival matrix'!CG52</f>
        <v>0</v>
      </c>
      <c r="CH52" s="6">
        <f>CH$1*'survival matrix'!CH52</f>
        <v>0</v>
      </c>
      <c r="CI52" s="6">
        <f>CI$1*'survival matrix'!CI52</f>
        <v>0</v>
      </c>
      <c r="CJ52" s="6">
        <f>CJ$1*'survival matrix'!CJ52</f>
        <v>0</v>
      </c>
      <c r="CK52" s="6">
        <f>CK$1*'survival matrix'!CK52</f>
        <v>0</v>
      </c>
      <c r="CL52" s="6">
        <f>CL$1*'survival matrix'!CL52</f>
        <v>0</v>
      </c>
      <c r="CM52" s="6">
        <f>CM$1*'survival matrix'!CM52</f>
        <v>0</v>
      </c>
      <c r="CN52" s="6">
        <f>CN$1*'survival matrix'!CN52</f>
        <v>0</v>
      </c>
      <c r="CO52" s="6">
        <f>CO$1*'survival matrix'!CO52</f>
        <v>0</v>
      </c>
      <c r="CP52" s="6">
        <f>CP$1*'survival matrix'!CP52</f>
        <v>0</v>
      </c>
      <c r="CQ52" s="6">
        <f>CQ$1*'survival matrix'!CQ52</f>
        <v>0</v>
      </c>
      <c r="CR52" s="6">
        <f>CR$1*'survival matrix'!CR52</f>
        <v>0</v>
      </c>
      <c r="CS52" s="6">
        <f>CS$1*'survival matrix'!CS52</f>
        <v>0</v>
      </c>
      <c r="CT52" s="6">
        <f>CT$1*'survival matrix'!CT52</f>
        <v>0</v>
      </c>
      <c r="CU52" s="6">
        <f>CU$1*'survival matrix'!CU52</f>
        <v>0</v>
      </c>
      <c r="CV52" s="6">
        <f>CV$1*'survival matrix'!CV52</f>
        <v>0</v>
      </c>
      <c r="CW52" s="6">
        <f>CW$1*'survival matrix'!CW52</f>
        <v>0</v>
      </c>
      <c r="CX52" s="6">
        <f>CX$1*'survival matrix'!CX52</f>
        <v>0</v>
      </c>
      <c r="CY52" s="6">
        <f>CY$1*'survival matrix'!CY52</f>
        <v>0</v>
      </c>
      <c r="CZ52" s="6">
        <f>CZ$1*'survival matrix'!CZ52</f>
        <v>0</v>
      </c>
      <c r="DA52" s="6">
        <f>DA$1*'survival matrix'!DA52</f>
        <v>0</v>
      </c>
      <c r="DB52" s="6">
        <f>DB$1*'survival matrix'!DB52</f>
        <v>0</v>
      </c>
      <c r="DC52" s="6">
        <f>DC$1*'survival matrix'!DC52</f>
        <v>0</v>
      </c>
      <c r="DD52" s="6">
        <f>DD$1*'survival matrix'!DD52</f>
        <v>0</v>
      </c>
      <c r="DE52" s="6">
        <f>DE$1*'survival matrix'!DE52</f>
        <v>0</v>
      </c>
      <c r="DF52" s="6">
        <f>DF$1*'survival matrix'!DF52</f>
        <v>0</v>
      </c>
      <c r="DG52" s="6">
        <f>DG$1*'survival matrix'!DG52</f>
        <v>0</v>
      </c>
      <c r="DH52" s="6">
        <f>DH$1*'survival matrix'!DH52</f>
        <v>0</v>
      </c>
      <c r="DI52" s="6">
        <f>DI$1*'survival matrix'!DI52</f>
        <v>0</v>
      </c>
      <c r="DJ52" s="6">
        <f>DJ$1*'survival matrix'!DJ52</f>
        <v>0</v>
      </c>
      <c r="DK52" s="6">
        <f>DK$1*'survival matrix'!DK52</f>
        <v>0</v>
      </c>
      <c r="DL52" s="6">
        <f>DL$1*'survival matrix'!DL52</f>
        <v>0</v>
      </c>
      <c r="DM52" s="6">
        <f>DM$1*'survival matrix'!DM52</f>
        <v>0</v>
      </c>
      <c r="DN52" s="6">
        <f>DN$1*'survival matrix'!DN52</f>
        <v>0</v>
      </c>
      <c r="DO52" s="6">
        <f>DO$1*'survival matrix'!DO52</f>
        <v>0</v>
      </c>
      <c r="DP52" s="6">
        <f>DP$1*'survival matrix'!DP52</f>
        <v>0</v>
      </c>
      <c r="DQ52" s="6">
        <f>DQ$1*'survival matrix'!DQ52</f>
        <v>0</v>
      </c>
      <c r="DR52" s="6">
        <f>DR$1*'survival matrix'!DR52</f>
        <v>0</v>
      </c>
      <c r="DS52" s="6">
        <f>DS$1*'survival matrix'!DS52</f>
        <v>0</v>
      </c>
      <c r="DT52" s="6">
        <f>DT$1*'survival matrix'!DT52</f>
        <v>0</v>
      </c>
      <c r="DU52" s="6">
        <f>DU$1*'survival matrix'!DU52</f>
        <v>0</v>
      </c>
      <c r="DV52" s="6">
        <f>DV$1*'survival matrix'!DV52</f>
        <v>0</v>
      </c>
      <c r="DW52" s="6">
        <f>DW$1*'survival matrix'!DW52</f>
        <v>0</v>
      </c>
      <c r="DX52" s="6">
        <f>DX$1*'survival matrix'!DX52</f>
        <v>0</v>
      </c>
      <c r="DY52" s="6">
        <f>DY$1*'survival matrix'!DY52</f>
        <v>0</v>
      </c>
      <c r="DZ52" s="6">
        <f>DZ$1*'survival matrix'!DZ52</f>
        <v>0</v>
      </c>
      <c r="EA52" s="6">
        <f>EA$1*'survival matrix'!EA52</f>
        <v>0</v>
      </c>
      <c r="EB52" s="6">
        <f>EB$1*'survival matrix'!EB52</f>
        <v>0</v>
      </c>
      <c r="EC52" s="6">
        <f>EC$1*'survival matrix'!EC52</f>
        <v>0</v>
      </c>
    </row>
    <row r="53" spans="1:133">
      <c r="A53" s="12">
        <f>'data input'!C53-B53</f>
        <v>42442.085918861325</v>
      </c>
      <c r="B53" s="14">
        <f t="shared" si="2"/>
        <v>152637.48704668181</v>
      </c>
      <c r="C53" s="11">
        <f>SUM(F53:EC53)</f>
        <v>4306127.9032501373</v>
      </c>
      <c r="E53" s="7">
        <f>'data input'!B53</f>
        <v>1928</v>
      </c>
      <c r="F53" s="6">
        <f>F$1*'survival matrix'!F53</f>
        <v>736.66267067702518</v>
      </c>
      <c r="G53" s="6">
        <f>G$1*'survival matrix'!G53</f>
        <v>1630.6079225938979</v>
      </c>
      <c r="H53" s="6">
        <f>H$1*'survival matrix'!H53</f>
        <v>2692.5869960304185</v>
      </c>
      <c r="I53" s="6">
        <f>I$1*'survival matrix'!I53</f>
        <v>3937.9516518447699</v>
      </c>
      <c r="J53" s="6">
        <f>J$1*'survival matrix'!J53</f>
        <v>5377.5053086475518</v>
      </c>
      <c r="K53" s="6">
        <f>K$1*'survival matrix'!K53</f>
        <v>7021.5078057344499</v>
      </c>
      <c r="L53" s="6">
        <f>L$1*'survival matrix'!L53</f>
        <v>8880.856858951729</v>
      </c>
      <c r="M53" s="6">
        <f>M$1*'survival matrix'!M53</f>
        <v>10960.625207191653</v>
      </c>
      <c r="N53" s="6">
        <f>N$1*'survival matrix'!N53</f>
        <v>13259.976484401248</v>
      </c>
      <c r="O53" s="6">
        <f>O$1*'survival matrix'!O53</f>
        <v>15776.72507140273</v>
      </c>
      <c r="P53" s="6">
        <f>P$1*'survival matrix'!P53</f>
        <v>18515.738346974471</v>
      </c>
      <c r="Q53" s="6">
        <f>Q$1*'survival matrix'!Q53</f>
        <v>21478.834917741075</v>
      </c>
      <c r="R53" s="6">
        <f>R$1*'survival matrix'!R53</f>
        <v>24659.796299499467</v>
      </c>
      <c r="S53" s="6">
        <f>S$1*'survival matrix'!S53</f>
        <v>28046.23976857993</v>
      </c>
      <c r="T53" s="6">
        <f>T$1*'survival matrix'!T53</f>
        <v>31621.831829431456</v>
      </c>
      <c r="U53" s="6">
        <f>U$1*'survival matrix'!U53</f>
        <v>35377.906102200606</v>
      </c>
      <c r="V53" s="6">
        <f>V$1*'survival matrix'!V53</f>
        <v>39294.749945322743</v>
      </c>
      <c r="W53" s="6">
        <f>W$1*'survival matrix'!W53</f>
        <v>43363.003173378136</v>
      </c>
      <c r="X53" s="6">
        <f>X$1*'survival matrix'!X53</f>
        <v>47565.743784864448</v>
      </c>
      <c r="Y53" s="6">
        <f>Y$1*'survival matrix'!Y53</f>
        <v>51881.906004946715</v>
      </c>
      <c r="Z53" s="6">
        <f>Z$1*'survival matrix'!Z53</f>
        <v>56296.680194544104</v>
      </c>
      <c r="AA53" s="6">
        <f>AA$1*'survival matrix'!AA53</f>
        <v>60792.133956749552</v>
      </c>
      <c r="AB53" s="6">
        <f>AB$1*'survival matrix'!AB53</f>
        <v>65342.570192054896</v>
      </c>
      <c r="AC53" s="6">
        <f>AC$1*'survival matrix'!AC53</f>
        <v>70215.034872995151</v>
      </c>
      <c r="AD53" s="6">
        <f>AD$1*'survival matrix'!AD53</f>
        <v>75760.560150623889</v>
      </c>
      <c r="AE53" s="6">
        <f>AE$1*'survival matrix'!AE53</f>
        <v>81288.825025911414</v>
      </c>
      <c r="AF53" s="6">
        <f>AF$1*'survival matrix'!AF53</f>
        <v>86014.424188805962</v>
      </c>
      <c r="AG53" s="6">
        <f>AG$1*'survival matrix'!AG53</f>
        <v>90978.787915509267</v>
      </c>
      <c r="AH53" s="6">
        <f>AH$1*'survival matrix'!AH53</f>
        <v>95596.959529936939</v>
      </c>
      <c r="AI53" s="6">
        <f>AI$1*'survival matrix'!AI53</f>
        <v>102271.20750551892</v>
      </c>
      <c r="AJ53" s="6">
        <f>AJ$1*'survival matrix'!AJ53</f>
        <v>107246.86105492346</v>
      </c>
      <c r="AK53" s="6">
        <f>AK$1*'survival matrix'!AK53</f>
        <v>111656.84352599205</v>
      </c>
      <c r="AL53" s="6">
        <f>AL$1*'survival matrix'!AL53</f>
        <v>116152.44276919035</v>
      </c>
      <c r="AM53" s="6">
        <f>AM$1*'survival matrix'!AM53</f>
        <v>120752.65068295918</v>
      </c>
      <c r="AN53" s="6">
        <f>AN$1*'survival matrix'!AN53</f>
        <v>124030.54277459196</v>
      </c>
      <c r="AO53" s="6">
        <f>AO$1*'survival matrix'!AO53</f>
        <v>127084.39844566317</v>
      </c>
      <c r="AP53" s="6">
        <f>AP$1*'survival matrix'!AP53</f>
        <v>129495.1227342686</v>
      </c>
      <c r="AQ53" s="6">
        <f>AQ$1*'survival matrix'!AQ53</f>
        <v>132572.5744480057</v>
      </c>
      <c r="AR53" s="6">
        <f>AR$1*'survival matrix'!AR53</f>
        <v>136367.23121197463</v>
      </c>
      <c r="AS53" s="6">
        <f>AS$1*'survival matrix'!AS53</f>
        <v>140082.64372887599</v>
      </c>
      <c r="AT53" s="6">
        <f>AT$1*'survival matrix'!AT53</f>
        <v>145214.53676370767</v>
      </c>
      <c r="AU53" s="6">
        <f>AU$1*'survival matrix'!AU53</f>
        <v>150457.56558573732</v>
      </c>
      <c r="AV53" s="6">
        <f>AV$1*'survival matrix'!AV53</f>
        <v>154696.05312170851</v>
      </c>
      <c r="AW53" s="6">
        <f>AW$1*'survival matrix'!AW53</f>
        <v>159303.84910924576</v>
      </c>
      <c r="AX53" s="6">
        <f>AX$1*'survival matrix'!AX53</f>
        <v>163826.61813341314</v>
      </c>
      <c r="AY53" s="6">
        <f>AY$1*'survival matrix'!AY53</f>
        <v>169413.88464957953</v>
      </c>
      <c r="AZ53" s="6">
        <f>AZ$1*'survival matrix'!AZ53</f>
        <v>174483.63732892353</v>
      </c>
      <c r="BA53" s="6">
        <f>BA$1*'survival matrix'!BA53</f>
        <v>178823.71101085166</v>
      </c>
      <c r="BB53" s="6">
        <f>BB$1*'survival matrix'!BB53</f>
        <v>183892.80444629333</v>
      </c>
      <c r="BC53" s="6">
        <f>BC$1*'survival matrix'!BC53</f>
        <v>189119.75660718069</v>
      </c>
      <c r="BD53" s="6">
        <f>BD$1*'survival matrix'!BD53</f>
        <v>194816.23543398571</v>
      </c>
      <c r="BE53" s="6">
        <f>BE$1*'survival matrix'!BE53</f>
        <v>0</v>
      </c>
      <c r="BF53" s="6">
        <f>BF$1*'survival matrix'!BF53</f>
        <v>0</v>
      </c>
      <c r="BG53" s="6">
        <f>BG$1*'survival matrix'!BG53</f>
        <v>0</v>
      </c>
      <c r="BH53" s="6">
        <f>BH$1*'survival matrix'!BH53</f>
        <v>0</v>
      </c>
      <c r="BI53" s="6">
        <f>BI$1*'survival matrix'!BI53</f>
        <v>0</v>
      </c>
      <c r="BJ53" s="6">
        <f>BJ$1*'survival matrix'!BJ53</f>
        <v>0</v>
      </c>
      <c r="BK53" s="6">
        <f>BK$1*'survival matrix'!BK53</f>
        <v>0</v>
      </c>
      <c r="BL53" s="6">
        <f>BL$1*'survival matrix'!BL53</f>
        <v>0</v>
      </c>
      <c r="BM53" s="6">
        <f>BM$1*'survival matrix'!BM53</f>
        <v>0</v>
      </c>
      <c r="BN53" s="6">
        <f>BN$1*'survival matrix'!BN53</f>
        <v>0</v>
      </c>
      <c r="BO53" s="6">
        <f>BO$1*'survival matrix'!BO53</f>
        <v>0</v>
      </c>
      <c r="BP53" s="6">
        <f>BP$1*'survival matrix'!BP53</f>
        <v>0</v>
      </c>
      <c r="BQ53" s="6">
        <f>BQ$1*'survival matrix'!BQ53</f>
        <v>0</v>
      </c>
      <c r="BR53" s="6">
        <f>BR$1*'survival matrix'!BR53</f>
        <v>0</v>
      </c>
      <c r="BS53" s="6">
        <f>BS$1*'survival matrix'!BS53</f>
        <v>0</v>
      </c>
      <c r="BT53" s="6">
        <f>BT$1*'survival matrix'!BT53</f>
        <v>0</v>
      </c>
      <c r="BU53" s="6">
        <f>BU$1*'survival matrix'!BU53</f>
        <v>0</v>
      </c>
      <c r="BV53" s="6">
        <f>BV$1*'survival matrix'!BV53</f>
        <v>0</v>
      </c>
      <c r="BW53" s="6">
        <f>BW$1*'survival matrix'!BW53</f>
        <v>0</v>
      </c>
      <c r="BX53" s="6">
        <f>BX$1*'survival matrix'!BX53</f>
        <v>0</v>
      </c>
      <c r="BY53" s="6">
        <f>BY$1*'survival matrix'!BY53</f>
        <v>0</v>
      </c>
      <c r="BZ53" s="6">
        <f>BZ$1*'survival matrix'!BZ53</f>
        <v>0</v>
      </c>
      <c r="CA53" s="6">
        <f>CA$1*'survival matrix'!CA53</f>
        <v>0</v>
      </c>
      <c r="CB53" s="6">
        <f>CB$1*'survival matrix'!CB53</f>
        <v>0</v>
      </c>
      <c r="CC53" s="6">
        <f>CC$1*'survival matrix'!CC53</f>
        <v>0</v>
      </c>
      <c r="CD53" s="6">
        <f>CD$1*'survival matrix'!CD53</f>
        <v>0</v>
      </c>
      <c r="CE53" s="6">
        <f>CE$1*'survival matrix'!CE53</f>
        <v>0</v>
      </c>
      <c r="CF53" s="6">
        <f>CF$1*'survival matrix'!CF53</f>
        <v>0</v>
      </c>
      <c r="CG53" s="6">
        <f>CG$1*'survival matrix'!CG53</f>
        <v>0</v>
      </c>
      <c r="CH53" s="6">
        <f>CH$1*'survival matrix'!CH53</f>
        <v>0</v>
      </c>
      <c r="CI53" s="6">
        <f>CI$1*'survival matrix'!CI53</f>
        <v>0</v>
      </c>
      <c r="CJ53" s="6">
        <f>CJ$1*'survival matrix'!CJ53</f>
        <v>0</v>
      </c>
      <c r="CK53" s="6">
        <f>CK$1*'survival matrix'!CK53</f>
        <v>0</v>
      </c>
      <c r="CL53" s="6">
        <f>CL$1*'survival matrix'!CL53</f>
        <v>0</v>
      </c>
      <c r="CM53" s="6">
        <f>CM$1*'survival matrix'!CM53</f>
        <v>0</v>
      </c>
      <c r="CN53" s="6">
        <f>CN$1*'survival matrix'!CN53</f>
        <v>0</v>
      </c>
      <c r="CO53" s="6">
        <f>CO$1*'survival matrix'!CO53</f>
        <v>0</v>
      </c>
      <c r="CP53" s="6">
        <f>CP$1*'survival matrix'!CP53</f>
        <v>0</v>
      </c>
      <c r="CQ53" s="6">
        <f>CQ$1*'survival matrix'!CQ53</f>
        <v>0</v>
      </c>
      <c r="CR53" s="6">
        <f>CR$1*'survival matrix'!CR53</f>
        <v>0</v>
      </c>
      <c r="CS53" s="6">
        <f>CS$1*'survival matrix'!CS53</f>
        <v>0</v>
      </c>
      <c r="CT53" s="6">
        <f>CT$1*'survival matrix'!CT53</f>
        <v>0</v>
      </c>
      <c r="CU53" s="6">
        <f>CU$1*'survival matrix'!CU53</f>
        <v>0</v>
      </c>
      <c r="CV53" s="6">
        <f>CV$1*'survival matrix'!CV53</f>
        <v>0</v>
      </c>
      <c r="CW53" s="6">
        <f>CW$1*'survival matrix'!CW53</f>
        <v>0</v>
      </c>
      <c r="CX53" s="6">
        <f>CX$1*'survival matrix'!CX53</f>
        <v>0</v>
      </c>
      <c r="CY53" s="6">
        <f>CY$1*'survival matrix'!CY53</f>
        <v>0</v>
      </c>
      <c r="CZ53" s="6">
        <f>CZ$1*'survival matrix'!CZ53</f>
        <v>0</v>
      </c>
      <c r="DA53" s="6">
        <f>DA$1*'survival matrix'!DA53</f>
        <v>0</v>
      </c>
      <c r="DB53" s="6">
        <f>DB$1*'survival matrix'!DB53</f>
        <v>0</v>
      </c>
      <c r="DC53" s="6">
        <f>DC$1*'survival matrix'!DC53</f>
        <v>0</v>
      </c>
      <c r="DD53" s="6">
        <f>DD$1*'survival matrix'!DD53</f>
        <v>0</v>
      </c>
      <c r="DE53" s="6">
        <f>DE$1*'survival matrix'!DE53</f>
        <v>0</v>
      </c>
      <c r="DF53" s="6">
        <f>DF$1*'survival matrix'!DF53</f>
        <v>0</v>
      </c>
      <c r="DG53" s="6">
        <f>DG$1*'survival matrix'!DG53</f>
        <v>0</v>
      </c>
      <c r="DH53" s="6">
        <f>DH$1*'survival matrix'!DH53</f>
        <v>0</v>
      </c>
      <c r="DI53" s="6">
        <f>DI$1*'survival matrix'!DI53</f>
        <v>0</v>
      </c>
      <c r="DJ53" s="6">
        <f>DJ$1*'survival matrix'!DJ53</f>
        <v>0</v>
      </c>
      <c r="DK53" s="6">
        <f>DK$1*'survival matrix'!DK53</f>
        <v>0</v>
      </c>
      <c r="DL53" s="6">
        <f>DL$1*'survival matrix'!DL53</f>
        <v>0</v>
      </c>
      <c r="DM53" s="6">
        <f>DM$1*'survival matrix'!DM53</f>
        <v>0</v>
      </c>
      <c r="DN53" s="6">
        <f>DN$1*'survival matrix'!DN53</f>
        <v>0</v>
      </c>
      <c r="DO53" s="6">
        <f>DO$1*'survival matrix'!DO53</f>
        <v>0</v>
      </c>
      <c r="DP53" s="6">
        <f>DP$1*'survival matrix'!DP53</f>
        <v>0</v>
      </c>
      <c r="DQ53" s="6">
        <f>DQ$1*'survival matrix'!DQ53</f>
        <v>0</v>
      </c>
      <c r="DR53" s="6">
        <f>DR$1*'survival matrix'!DR53</f>
        <v>0</v>
      </c>
      <c r="DS53" s="6">
        <f>DS$1*'survival matrix'!DS53</f>
        <v>0</v>
      </c>
      <c r="DT53" s="6">
        <f>DT$1*'survival matrix'!DT53</f>
        <v>0</v>
      </c>
      <c r="DU53" s="6">
        <f>DU$1*'survival matrix'!DU53</f>
        <v>0</v>
      </c>
      <c r="DV53" s="6">
        <f>DV$1*'survival matrix'!DV53</f>
        <v>0</v>
      </c>
      <c r="DW53" s="6">
        <f>DW$1*'survival matrix'!DW53</f>
        <v>0</v>
      </c>
      <c r="DX53" s="6">
        <f>DX$1*'survival matrix'!DX53</f>
        <v>0</v>
      </c>
      <c r="DY53" s="6">
        <f>DY$1*'survival matrix'!DY53</f>
        <v>0</v>
      </c>
      <c r="DZ53" s="6">
        <f>DZ$1*'survival matrix'!DZ53</f>
        <v>0</v>
      </c>
      <c r="EA53" s="6">
        <f>EA$1*'survival matrix'!EA53</f>
        <v>0</v>
      </c>
      <c r="EB53" s="6">
        <f>EB$1*'survival matrix'!EB53</f>
        <v>0</v>
      </c>
      <c r="EC53" s="6">
        <f>EC$1*'survival matrix'!EC53</f>
        <v>0</v>
      </c>
    </row>
    <row r="54" spans="1:133">
      <c r="A54" s="12">
        <f>'data input'!C54-B54</f>
        <v>45311.328378949373</v>
      </c>
      <c r="B54" s="14">
        <f t="shared" si="2"/>
        <v>155187.09358724672</v>
      </c>
      <c r="C54" s="11">
        <f>SUM(F54:EC54)</f>
        <v>4461314.9968373841</v>
      </c>
      <c r="E54" s="7">
        <f>'data input'!B54</f>
        <v>1929</v>
      </c>
      <c r="F54" s="6">
        <f>F$1*'survival matrix'!F54</f>
        <v>665.34062666633622</v>
      </c>
      <c r="G54" s="6">
        <f>G$1*'survival matrix'!G54</f>
        <v>1479.1205905451336</v>
      </c>
      <c r="H54" s="6">
        <f>H$1*'survival matrix'!H54</f>
        <v>2452.8808969541869</v>
      </c>
      <c r="I54" s="6">
        <f>I$1*'survival matrix'!I54</f>
        <v>3602.487642720635</v>
      </c>
      <c r="J54" s="6">
        <f>J$1*'survival matrix'!J54</f>
        <v>4939.8042252811592</v>
      </c>
      <c r="K54" s="6">
        <f>K$1*'survival matrix'!K54</f>
        <v>6476.285831047916</v>
      </c>
      <c r="L54" s="6">
        <f>L$1*'survival matrix'!L54</f>
        <v>8224.0502256076015</v>
      </c>
      <c r="M54" s="6">
        <f>M$1*'survival matrix'!M54</f>
        <v>10189.866894376579</v>
      </c>
      <c r="N54" s="6">
        <f>N$1*'survival matrix'!N54</f>
        <v>12374.958823902123</v>
      </c>
      <c r="O54" s="6">
        <f>O$1*'survival matrix'!O54</f>
        <v>14779.157368825188</v>
      </c>
      <c r="P54" s="6">
        <f>P$1*'survival matrix'!P54</f>
        <v>17408.769595409183</v>
      </c>
      <c r="Q54" s="6">
        <f>Q$1*'survival matrix'!Q54</f>
        <v>20267.157091915604</v>
      </c>
      <c r="R54" s="6">
        <f>R$1*'survival matrix'!R54</f>
        <v>23349.949154756923</v>
      </c>
      <c r="S54" s="6">
        <f>S$1*'survival matrix'!S54</f>
        <v>26646.682245984768</v>
      </c>
      <c r="T54" s="6">
        <f>T$1*'survival matrix'!T54</f>
        <v>30142.810072107393</v>
      </c>
      <c r="U54" s="6">
        <f>U$1*'survival matrix'!U54</f>
        <v>33830.756870972582</v>
      </c>
      <c r="V54" s="6">
        <f>V$1*'survival matrix'!V54</f>
        <v>37692.089612101699</v>
      </c>
      <c r="W54" s="6">
        <f>W$1*'survival matrix'!W54</f>
        <v>41717.952157311745</v>
      </c>
      <c r="X54" s="6">
        <f>X$1*'survival matrix'!X54</f>
        <v>45891.941640439763</v>
      </c>
      <c r="Y54" s="6">
        <f>Y$1*'survival matrix'!Y54</f>
        <v>50193.325747160525</v>
      </c>
      <c r="Z54" s="6">
        <f>Z$1*'survival matrix'!Z54</f>
        <v>54607.099118830047</v>
      </c>
      <c r="AA54" s="6">
        <f>AA$1*'survival matrix'!AA54</f>
        <v>59114.967792281939</v>
      </c>
      <c r="AB54" s="6">
        <f>AB$1*'survival matrix'!AB54</f>
        <v>63690.813326589603</v>
      </c>
      <c r="AC54" s="6">
        <f>AC$1*'survival matrix'!AC54</f>
        <v>68594.209512393398</v>
      </c>
      <c r="AD54" s="6">
        <f>AD$1*'survival matrix'!AD54</f>
        <v>74169.134273202624</v>
      </c>
      <c r="AE54" s="6">
        <f>AE$1*'survival matrix'!AE54</f>
        <v>79740.586043436459</v>
      </c>
      <c r="AF54" s="6">
        <f>AF$1*'survival matrix'!AF54</f>
        <v>84534.582898821944</v>
      </c>
      <c r="AG54" s="6">
        <f>AG$1*'survival matrix'!AG54</f>
        <v>89570.342879301286</v>
      </c>
      <c r="AH54" s="6">
        <f>AH$1*'survival matrix'!AH54</f>
        <v>94270.585494063242</v>
      </c>
      <c r="AI54" s="6">
        <f>AI$1*'survival matrix'!AI54</f>
        <v>101004.68837659364</v>
      </c>
      <c r="AJ54" s="6">
        <f>AJ$1*'survival matrix'!AJ54</f>
        <v>106066.42402919388</v>
      </c>
      <c r="AK54" s="6">
        <f>AK$1*'survival matrix'!AK54</f>
        <v>110569.27294573518</v>
      </c>
      <c r="AL54" s="6">
        <f>AL$1*'survival matrix'!AL54</f>
        <v>115155.70579762886</v>
      </c>
      <c r="AM54" s="6">
        <f>AM$1*'survival matrix'!AM54</f>
        <v>119843.8903589777</v>
      </c>
      <c r="AN54" s="6">
        <f>AN$1*'survival matrix'!AN54</f>
        <v>123215.72909287471</v>
      </c>
      <c r="AO54" s="6">
        <f>AO$1*'survival matrix'!AO54</f>
        <v>126359.07150502558</v>
      </c>
      <c r="AP54" s="6">
        <f>AP$1*'survival matrix'!AP54</f>
        <v>128856.12021047386</v>
      </c>
      <c r="AQ54" s="6">
        <f>AQ$1*'survival matrix'!AQ54</f>
        <v>132009.75463899277</v>
      </c>
      <c r="AR54" s="6">
        <f>AR$1*'survival matrix'!AR54</f>
        <v>135871.64758236412</v>
      </c>
      <c r="AS54" s="6">
        <f>AS$1*'survival matrix'!AS54</f>
        <v>139649.05737937064</v>
      </c>
      <c r="AT54" s="6">
        <f>AT$1*'survival matrix'!AT54</f>
        <v>144833.69043944668</v>
      </c>
      <c r="AU54" s="6">
        <f>AU$1*'survival matrix'!AU54</f>
        <v>150124.95222254997</v>
      </c>
      <c r="AV54" s="6">
        <f>AV$1*'survival matrix'!AV54</f>
        <v>154409.30241462382</v>
      </c>
      <c r="AW54" s="6">
        <f>AW$1*'survival matrix'!AW54</f>
        <v>159057.56114249668</v>
      </c>
      <c r="AX54" s="6">
        <f>AX$1*'survival matrix'!AX54</f>
        <v>163616.498871788</v>
      </c>
      <c r="AY54" s="6">
        <f>AY$1*'survival matrix'!AY54</f>
        <v>169234.59689248342</v>
      </c>
      <c r="AZ54" s="6">
        <f>AZ$1*'survival matrix'!AZ54</f>
        <v>174332.10080653062</v>
      </c>
      <c r="BA54" s="6">
        <f>BA$1*'survival matrix'!BA54</f>
        <v>178696.95273813017</v>
      </c>
      <c r="BB54" s="6">
        <f>BB$1*'survival matrix'!BB54</f>
        <v>183786.99589211729</v>
      </c>
      <c r="BC54" s="6">
        <f>BC$1*'survival matrix'!BC54</f>
        <v>189031.91420500638</v>
      </c>
      <c r="BD54" s="6">
        <f>BD$1*'survival matrix'!BD54</f>
        <v>194743.59110093306</v>
      </c>
      <c r="BE54" s="6">
        <f>BE$1*'survival matrix'!BE54</f>
        <v>200227.76954103899</v>
      </c>
      <c r="BF54" s="6">
        <f>BF$1*'survival matrix'!BF54</f>
        <v>0</v>
      </c>
      <c r="BG54" s="6">
        <f>BG$1*'survival matrix'!BG54</f>
        <v>0</v>
      </c>
      <c r="BH54" s="6">
        <f>BH$1*'survival matrix'!BH54</f>
        <v>0</v>
      </c>
      <c r="BI54" s="6">
        <f>BI$1*'survival matrix'!BI54</f>
        <v>0</v>
      </c>
      <c r="BJ54" s="6">
        <f>BJ$1*'survival matrix'!BJ54</f>
        <v>0</v>
      </c>
      <c r="BK54" s="6">
        <f>BK$1*'survival matrix'!BK54</f>
        <v>0</v>
      </c>
      <c r="BL54" s="6">
        <f>BL$1*'survival matrix'!BL54</f>
        <v>0</v>
      </c>
      <c r="BM54" s="6">
        <f>BM$1*'survival matrix'!BM54</f>
        <v>0</v>
      </c>
      <c r="BN54" s="6">
        <f>BN$1*'survival matrix'!BN54</f>
        <v>0</v>
      </c>
      <c r="BO54" s="6">
        <f>BO$1*'survival matrix'!BO54</f>
        <v>0</v>
      </c>
      <c r="BP54" s="6">
        <f>BP$1*'survival matrix'!BP54</f>
        <v>0</v>
      </c>
      <c r="BQ54" s="6">
        <f>BQ$1*'survival matrix'!BQ54</f>
        <v>0</v>
      </c>
      <c r="BR54" s="6">
        <f>BR$1*'survival matrix'!BR54</f>
        <v>0</v>
      </c>
      <c r="BS54" s="6">
        <f>BS$1*'survival matrix'!BS54</f>
        <v>0</v>
      </c>
      <c r="BT54" s="6">
        <f>BT$1*'survival matrix'!BT54</f>
        <v>0</v>
      </c>
      <c r="BU54" s="6">
        <f>BU$1*'survival matrix'!BU54</f>
        <v>0</v>
      </c>
      <c r="BV54" s="6">
        <f>BV$1*'survival matrix'!BV54</f>
        <v>0</v>
      </c>
      <c r="BW54" s="6">
        <f>BW$1*'survival matrix'!BW54</f>
        <v>0</v>
      </c>
      <c r="BX54" s="6">
        <f>BX$1*'survival matrix'!BX54</f>
        <v>0</v>
      </c>
      <c r="BY54" s="6">
        <f>BY$1*'survival matrix'!BY54</f>
        <v>0</v>
      </c>
      <c r="BZ54" s="6">
        <f>BZ$1*'survival matrix'!BZ54</f>
        <v>0</v>
      </c>
      <c r="CA54" s="6">
        <f>CA$1*'survival matrix'!CA54</f>
        <v>0</v>
      </c>
      <c r="CB54" s="6">
        <f>CB$1*'survival matrix'!CB54</f>
        <v>0</v>
      </c>
      <c r="CC54" s="6">
        <f>CC$1*'survival matrix'!CC54</f>
        <v>0</v>
      </c>
      <c r="CD54" s="6">
        <f>CD$1*'survival matrix'!CD54</f>
        <v>0</v>
      </c>
      <c r="CE54" s="6">
        <f>CE$1*'survival matrix'!CE54</f>
        <v>0</v>
      </c>
      <c r="CF54" s="6">
        <f>CF$1*'survival matrix'!CF54</f>
        <v>0</v>
      </c>
      <c r="CG54" s="6">
        <f>CG$1*'survival matrix'!CG54</f>
        <v>0</v>
      </c>
      <c r="CH54" s="6">
        <f>CH$1*'survival matrix'!CH54</f>
        <v>0</v>
      </c>
      <c r="CI54" s="6">
        <f>CI$1*'survival matrix'!CI54</f>
        <v>0</v>
      </c>
      <c r="CJ54" s="6">
        <f>CJ$1*'survival matrix'!CJ54</f>
        <v>0</v>
      </c>
      <c r="CK54" s="6">
        <f>CK$1*'survival matrix'!CK54</f>
        <v>0</v>
      </c>
      <c r="CL54" s="6">
        <f>CL$1*'survival matrix'!CL54</f>
        <v>0</v>
      </c>
      <c r="CM54" s="6">
        <f>CM$1*'survival matrix'!CM54</f>
        <v>0</v>
      </c>
      <c r="CN54" s="6">
        <f>CN$1*'survival matrix'!CN54</f>
        <v>0</v>
      </c>
      <c r="CO54" s="6">
        <f>CO$1*'survival matrix'!CO54</f>
        <v>0</v>
      </c>
      <c r="CP54" s="6">
        <f>CP$1*'survival matrix'!CP54</f>
        <v>0</v>
      </c>
      <c r="CQ54" s="6">
        <f>CQ$1*'survival matrix'!CQ54</f>
        <v>0</v>
      </c>
      <c r="CR54" s="6">
        <f>CR$1*'survival matrix'!CR54</f>
        <v>0</v>
      </c>
      <c r="CS54" s="6">
        <f>CS$1*'survival matrix'!CS54</f>
        <v>0</v>
      </c>
      <c r="CT54" s="6">
        <f>CT$1*'survival matrix'!CT54</f>
        <v>0</v>
      </c>
      <c r="CU54" s="6">
        <f>CU$1*'survival matrix'!CU54</f>
        <v>0</v>
      </c>
      <c r="CV54" s="6">
        <f>CV$1*'survival matrix'!CV54</f>
        <v>0</v>
      </c>
      <c r="CW54" s="6">
        <f>CW$1*'survival matrix'!CW54</f>
        <v>0</v>
      </c>
      <c r="CX54" s="6">
        <f>CX$1*'survival matrix'!CX54</f>
        <v>0</v>
      </c>
      <c r="CY54" s="6">
        <f>CY$1*'survival matrix'!CY54</f>
        <v>0</v>
      </c>
      <c r="CZ54" s="6">
        <f>CZ$1*'survival matrix'!CZ54</f>
        <v>0</v>
      </c>
      <c r="DA54" s="6">
        <f>DA$1*'survival matrix'!DA54</f>
        <v>0</v>
      </c>
      <c r="DB54" s="6">
        <f>DB$1*'survival matrix'!DB54</f>
        <v>0</v>
      </c>
      <c r="DC54" s="6">
        <f>DC$1*'survival matrix'!DC54</f>
        <v>0</v>
      </c>
      <c r="DD54" s="6">
        <f>DD$1*'survival matrix'!DD54</f>
        <v>0</v>
      </c>
      <c r="DE54" s="6">
        <f>DE$1*'survival matrix'!DE54</f>
        <v>0</v>
      </c>
      <c r="DF54" s="6">
        <f>DF$1*'survival matrix'!DF54</f>
        <v>0</v>
      </c>
      <c r="DG54" s="6">
        <f>DG$1*'survival matrix'!DG54</f>
        <v>0</v>
      </c>
      <c r="DH54" s="6">
        <f>DH$1*'survival matrix'!DH54</f>
        <v>0</v>
      </c>
      <c r="DI54" s="6">
        <f>DI$1*'survival matrix'!DI54</f>
        <v>0</v>
      </c>
      <c r="DJ54" s="6">
        <f>DJ$1*'survival matrix'!DJ54</f>
        <v>0</v>
      </c>
      <c r="DK54" s="6">
        <f>DK$1*'survival matrix'!DK54</f>
        <v>0</v>
      </c>
      <c r="DL54" s="6">
        <f>DL$1*'survival matrix'!DL54</f>
        <v>0</v>
      </c>
      <c r="DM54" s="6">
        <f>DM$1*'survival matrix'!DM54</f>
        <v>0</v>
      </c>
      <c r="DN54" s="6">
        <f>DN$1*'survival matrix'!DN54</f>
        <v>0</v>
      </c>
      <c r="DO54" s="6">
        <f>DO$1*'survival matrix'!DO54</f>
        <v>0</v>
      </c>
      <c r="DP54" s="6">
        <f>DP$1*'survival matrix'!DP54</f>
        <v>0</v>
      </c>
      <c r="DQ54" s="6">
        <f>DQ$1*'survival matrix'!DQ54</f>
        <v>0</v>
      </c>
      <c r="DR54" s="6">
        <f>DR$1*'survival matrix'!DR54</f>
        <v>0</v>
      </c>
      <c r="DS54" s="6">
        <f>DS$1*'survival matrix'!DS54</f>
        <v>0</v>
      </c>
      <c r="DT54" s="6">
        <f>DT$1*'survival matrix'!DT54</f>
        <v>0</v>
      </c>
      <c r="DU54" s="6">
        <f>DU$1*'survival matrix'!DU54</f>
        <v>0</v>
      </c>
      <c r="DV54" s="6">
        <f>DV$1*'survival matrix'!DV54</f>
        <v>0</v>
      </c>
      <c r="DW54" s="6">
        <f>DW$1*'survival matrix'!DW54</f>
        <v>0</v>
      </c>
      <c r="DX54" s="6">
        <f>DX$1*'survival matrix'!DX54</f>
        <v>0</v>
      </c>
      <c r="DY54" s="6">
        <f>DY$1*'survival matrix'!DY54</f>
        <v>0</v>
      </c>
      <c r="DZ54" s="6">
        <f>DZ$1*'survival matrix'!DZ54</f>
        <v>0</v>
      </c>
      <c r="EA54" s="6">
        <f>EA$1*'survival matrix'!EA54</f>
        <v>0</v>
      </c>
      <c r="EB54" s="6">
        <f>EB$1*'survival matrix'!EB54</f>
        <v>0</v>
      </c>
      <c r="EC54" s="6">
        <f>EC$1*'survival matrix'!EC54</f>
        <v>0</v>
      </c>
    </row>
    <row r="55" spans="1:133">
      <c r="A55" s="12">
        <f>'data input'!C55-B55</f>
        <v>48263.743970136537</v>
      </c>
      <c r="B55" s="14">
        <f t="shared" si="2"/>
        <v>156676.84239188675</v>
      </c>
      <c r="C55" s="11">
        <f>SUM(F55:EC55)</f>
        <v>4617991.8392292708</v>
      </c>
      <c r="E55" s="7">
        <f>'data input'!B55</f>
        <v>1930</v>
      </c>
      <c r="F55" s="6">
        <f>F$1*'survival matrix'!F55</f>
        <v>598.29593418897264</v>
      </c>
      <c r="G55" s="6">
        <f>G$1*'survival matrix'!G55</f>
        <v>1335.9154193654635</v>
      </c>
      <c r="H55" s="6">
        <f>H$1*'survival matrix'!H55</f>
        <v>2225.0024610872274</v>
      </c>
      <c r="I55" s="6">
        <f>I$1*'survival matrix'!I55</f>
        <v>3281.7781313548094</v>
      </c>
      <c r="J55" s="6">
        <f>J$1*'survival matrix'!J55</f>
        <v>4518.9949629518815</v>
      </c>
      <c r="K55" s="6">
        <f>K$1*'survival matrix'!K55</f>
        <v>5949.1497034681524</v>
      </c>
      <c r="L55" s="6">
        <f>L$1*'survival matrix'!L55</f>
        <v>7585.4505077143886</v>
      </c>
      <c r="M55" s="6">
        <f>M$1*'survival matrix'!M55</f>
        <v>9436.2490537316098</v>
      </c>
      <c r="N55" s="6">
        <f>N$1*'survival matrix'!N55</f>
        <v>11504.743648766993</v>
      </c>
      <c r="O55" s="6">
        <f>O$1*'survival matrix'!O55</f>
        <v>13792.744210846146</v>
      </c>
      <c r="P55" s="6">
        <f>P$1*'survival matrix'!P55</f>
        <v>16308.007161418818</v>
      </c>
      <c r="Q55" s="6">
        <f>Q$1*'survival matrix'!Q55</f>
        <v>19055.479266090133</v>
      </c>
      <c r="R55" s="6">
        <f>R$1*'survival matrix'!R55</f>
        <v>22032.716831247511</v>
      </c>
      <c r="S55" s="6">
        <f>S$1*'survival matrix'!S55</f>
        <v>25231.298264995701</v>
      </c>
      <c r="T55" s="6">
        <f>T$1*'survival matrix'!T55</f>
        <v>28638.629941841355</v>
      </c>
      <c r="U55" s="6">
        <f>U$1*'survival matrix'!U55</f>
        <v>32248.418891667465</v>
      </c>
      <c r="V55" s="6">
        <f>V$1*'survival matrix'!V55</f>
        <v>36043.736334825247</v>
      </c>
      <c r="W55" s="6">
        <f>W$1*'survival matrix'!W55</f>
        <v>40016.460044529005</v>
      </c>
      <c r="X55" s="6">
        <f>X$1*'survival matrix'!X55</f>
        <v>44150.950940994539</v>
      </c>
      <c r="Y55" s="6">
        <f>Y$1*'survival matrix'!Y55</f>
        <v>48427.061003117196</v>
      </c>
      <c r="Z55" s="6">
        <f>Z$1*'survival matrix'!Z55</f>
        <v>52829.823058497212</v>
      </c>
      <c r="AA55" s="6">
        <f>AA$1*'survival matrix'!AA55</f>
        <v>57340.80401338535</v>
      </c>
      <c r="AB55" s="6">
        <f>AB$1*'survival matrix'!AB55</f>
        <v>61933.676832996935</v>
      </c>
      <c r="AC55" s="6">
        <f>AC$1*'survival matrix'!AC55</f>
        <v>66860.256345870468</v>
      </c>
      <c r="AD55" s="6">
        <f>AD$1*'survival matrix'!AD55</f>
        <v>72457.033524106242</v>
      </c>
      <c r="AE55" s="6">
        <f>AE$1*'survival matrix'!AE55</f>
        <v>78065.555765704063</v>
      </c>
      <c r="AF55" s="6">
        <f>AF$1*'survival matrix'!AF55</f>
        <v>82924.52473191527</v>
      </c>
      <c r="AG55" s="6">
        <f>AG$1*'survival matrix'!AG55</f>
        <v>88029.323532826762</v>
      </c>
      <c r="AH55" s="6">
        <f>AH$1*'survival matrix'!AH55</f>
        <v>92811.180051963471</v>
      </c>
      <c r="AI55" s="6">
        <f>AI$1*'survival matrix'!AI55</f>
        <v>99603.284013704091</v>
      </c>
      <c r="AJ55" s="6">
        <f>AJ$1*'survival matrix'!AJ55</f>
        <v>104752.9052173384</v>
      </c>
      <c r="AK55" s="6">
        <f>AK$1*'survival matrix'!AK55</f>
        <v>109352.26703610482</v>
      </c>
      <c r="AL55" s="6">
        <f>AL$1*'survival matrix'!AL55</f>
        <v>114034.05526713486</v>
      </c>
      <c r="AM55" s="6">
        <f>AM$1*'survival matrix'!AM55</f>
        <v>118815.47603131761</v>
      </c>
      <c r="AN55" s="6">
        <f>AN$1*'survival matrix'!AN55</f>
        <v>122288.43213287632</v>
      </c>
      <c r="AO55" s="6">
        <f>AO$1*'survival matrix'!AO55</f>
        <v>125528.96064710169</v>
      </c>
      <c r="AP55" s="6">
        <f>AP$1*'survival matrix'!AP55</f>
        <v>128120.68126912611</v>
      </c>
      <c r="AQ55" s="6">
        <f>AQ$1*'survival matrix'!AQ55</f>
        <v>131358.34349238966</v>
      </c>
      <c r="AR55" s="6">
        <f>AR$1*'survival matrix'!AR55</f>
        <v>135294.8219827936</v>
      </c>
      <c r="AS55" s="6">
        <f>AS$1*'survival matrix'!AS55</f>
        <v>139141.54698913489</v>
      </c>
      <c r="AT55" s="6">
        <f>AT$1*'survival matrix'!AT55</f>
        <v>144385.39856365536</v>
      </c>
      <c r="AU55" s="6">
        <f>AU$1*'survival matrix'!AU55</f>
        <v>149731.22761681819</v>
      </c>
      <c r="AV55" s="6">
        <f>AV$1*'survival matrix'!AV55</f>
        <v>154067.95303027352</v>
      </c>
      <c r="AW55" s="6">
        <f>AW$1*'survival matrix'!AW55</f>
        <v>158762.72577207585</v>
      </c>
      <c r="AX55" s="6">
        <f>AX$1*'survival matrix'!AX55</f>
        <v>163363.54343437043</v>
      </c>
      <c r="AY55" s="6">
        <f>AY$1*'survival matrix'!AY55</f>
        <v>169017.54151439146</v>
      </c>
      <c r="AZ55" s="6">
        <f>AZ$1*'survival matrix'!AZ55</f>
        <v>174147.60818712044</v>
      </c>
      <c r="BA55" s="6">
        <f>BA$1*'survival matrix'!BA55</f>
        <v>178541.75701207423</v>
      </c>
      <c r="BB55" s="6">
        <f>BB$1*'survival matrix'!BB55</f>
        <v>183656.71942029896</v>
      </c>
      <c r="BC55" s="6">
        <f>BC$1*'survival matrix'!BC55</f>
        <v>188923.14870112829</v>
      </c>
      <c r="BD55" s="6">
        <f>BD$1*'survival matrix'!BD55</f>
        <v>194653.13653839953</v>
      </c>
      <c r="BE55" s="6">
        <f>BE$1*'survival matrix'!BE55</f>
        <v>200153.10732028246</v>
      </c>
      <c r="BF55" s="6">
        <f>BF$1*'survival matrix'!BF55</f>
        <v>204663.93746789207</v>
      </c>
      <c r="BG55" s="6">
        <f>BG$1*'survival matrix'!BG55</f>
        <v>0</v>
      </c>
      <c r="BH55" s="6">
        <f>BH$1*'survival matrix'!BH55</f>
        <v>0</v>
      </c>
      <c r="BI55" s="6">
        <f>BI$1*'survival matrix'!BI55</f>
        <v>0</v>
      </c>
      <c r="BJ55" s="6">
        <f>BJ$1*'survival matrix'!BJ55</f>
        <v>0</v>
      </c>
      <c r="BK55" s="6">
        <f>BK$1*'survival matrix'!BK55</f>
        <v>0</v>
      </c>
      <c r="BL55" s="6">
        <f>BL$1*'survival matrix'!BL55</f>
        <v>0</v>
      </c>
      <c r="BM55" s="6">
        <f>BM$1*'survival matrix'!BM55</f>
        <v>0</v>
      </c>
      <c r="BN55" s="6">
        <f>BN$1*'survival matrix'!BN55</f>
        <v>0</v>
      </c>
      <c r="BO55" s="6">
        <f>BO$1*'survival matrix'!BO55</f>
        <v>0</v>
      </c>
      <c r="BP55" s="6">
        <f>BP$1*'survival matrix'!BP55</f>
        <v>0</v>
      </c>
      <c r="BQ55" s="6">
        <f>BQ$1*'survival matrix'!BQ55</f>
        <v>0</v>
      </c>
      <c r="BR55" s="6">
        <f>BR$1*'survival matrix'!BR55</f>
        <v>0</v>
      </c>
      <c r="BS55" s="6">
        <f>BS$1*'survival matrix'!BS55</f>
        <v>0</v>
      </c>
      <c r="BT55" s="6">
        <f>BT$1*'survival matrix'!BT55</f>
        <v>0</v>
      </c>
      <c r="BU55" s="6">
        <f>BU$1*'survival matrix'!BU55</f>
        <v>0</v>
      </c>
      <c r="BV55" s="6">
        <f>BV$1*'survival matrix'!BV55</f>
        <v>0</v>
      </c>
      <c r="BW55" s="6">
        <f>BW$1*'survival matrix'!BW55</f>
        <v>0</v>
      </c>
      <c r="BX55" s="6">
        <f>BX$1*'survival matrix'!BX55</f>
        <v>0</v>
      </c>
      <c r="BY55" s="6">
        <f>BY$1*'survival matrix'!BY55</f>
        <v>0</v>
      </c>
      <c r="BZ55" s="6">
        <f>BZ$1*'survival matrix'!BZ55</f>
        <v>0</v>
      </c>
      <c r="CA55" s="6">
        <f>CA$1*'survival matrix'!CA55</f>
        <v>0</v>
      </c>
      <c r="CB55" s="6">
        <f>CB$1*'survival matrix'!CB55</f>
        <v>0</v>
      </c>
      <c r="CC55" s="6">
        <f>CC$1*'survival matrix'!CC55</f>
        <v>0</v>
      </c>
      <c r="CD55" s="6">
        <f>CD$1*'survival matrix'!CD55</f>
        <v>0</v>
      </c>
      <c r="CE55" s="6">
        <f>CE$1*'survival matrix'!CE55</f>
        <v>0</v>
      </c>
      <c r="CF55" s="6">
        <f>CF$1*'survival matrix'!CF55</f>
        <v>0</v>
      </c>
      <c r="CG55" s="6">
        <f>CG$1*'survival matrix'!CG55</f>
        <v>0</v>
      </c>
      <c r="CH55" s="6">
        <f>CH$1*'survival matrix'!CH55</f>
        <v>0</v>
      </c>
      <c r="CI55" s="6">
        <f>CI$1*'survival matrix'!CI55</f>
        <v>0</v>
      </c>
      <c r="CJ55" s="6">
        <f>CJ$1*'survival matrix'!CJ55</f>
        <v>0</v>
      </c>
      <c r="CK55" s="6">
        <f>CK$1*'survival matrix'!CK55</f>
        <v>0</v>
      </c>
      <c r="CL55" s="6">
        <f>CL$1*'survival matrix'!CL55</f>
        <v>0</v>
      </c>
      <c r="CM55" s="6">
        <f>CM$1*'survival matrix'!CM55</f>
        <v>0</v>
      </c>
      <c r="CN55" s="6">
        <f>CN$1*'survival matrix'!CN55</f>
        <v>0</v>
      </c>
      <c r="CO55" s="6">
        <f>CO$1*'survival matrix'!CO55</f>
        <v>0</v>
      </c>
      <c r="CP55" s="6">
        <f>CP$1*'survival matrix'!CP55</f>
        <v>0</v>
      </c>
      <c r="CQ55" s="6">
        <f>CQ$1*'survival matrix'!CQ55</f>
        <v>0</v>
      </c>
      <c r="CR55" s="6">
        <f>CR$1*'survival matrix'!CR55</f>
        <v>0</v>
      </c>
      <c r="CS55" s="6">
        <f>CS$1*'survival matrix'!CS55</f>
        <v>0</v>
      </c>
      <c r="CT55" s="6">
        <f>CT$1*'survival matrix'!CT55</f>
        <v>0</v>
      </c>
      <c r="CU55" s="6">
        <f>CU$1*'survival matrix'!CU55</f>
        <v>0</v>
      </c>
      <c r="CV55" s="6">
        <f>CV$1*'survival matrix'!CV55</f>
        <v>0</v>
      </c>
      <c r="CW55" s="6">
        <f>CW$1*'survival matrix'!CW55</f>
        <v>0</v>
      </c>
      <c r="CX55" s="6">
        <f>CX$1*'survival matrix'!CX55</f>
        <v>0</v>
      </c>
      <c r="CY55" s="6">
        <f>CY$1*'survival matrix'!CY55</f>
        <v>0</v>
      </c>
      <c r="CZ55" s="6">
        <f>CZ$1*'survival matrix'!CZ55</f>
        <v>0</v>
      </c>
      <c r="DA55" s="6">
        <f>DA$1*'survival matrix'!DA55</f>
        <v>0</v>
      </c>
      <c r="DB55" s="6">
        <f>DB$1*'survival matrix'!DB55</f>
        <v>0</v>
      </c>
      <c r="DC55" s="6">
        <f>DC$1*'survival matrix'!DC55</f>
        <v>0</v>
      </c>
      <c r="DD55" s="6">
        <f>DD$1*'survival matrix'!DD55</f>
        <v>0</v>
      </c>
      <c r="DE55" s="6">
        <f>DE$1*'survival matrix'!DE55</f>
        <v>0</v>
      </c>
      <c r="DF55" s="6">
        <f>DF$1*'survival matrix'!DF55</f>
        <v>0</v>
      </c>
      <c r="DG55" s="6">
        <f>DG$1*'survival matrix'!DG55</f>
        <v>0</v>
      </c>
      <c r="DH55" s="6">
        <f>DH$1*'survival matrix'!DH55</f>
        <v>0</v>
      </c>
      <c r="DI55" s="6">
        <f>DI$1*'survival matrix'!DI55</f>
        <v>0</v>
      </c>
      <c r="DJ55" s="6">
        <f>DJ$1*'survival matrix'!DJ55</f>
        <v>0</v>
      </c>
      <c r="DK55" s="6">
        <f>DK$1*'survival matrix'!DK55</f>
        <v>0</v>
      </c>
      <c r="DL55" s="6">
        <f>DL$1*'survival matrix'!DL55</f>
        <v>0</v>
      </c>
      <c r="DM55" s="6">
        <f>DM$1*'survival matrix'!DM55</f>
        <v>0</v>
      </c>
      <c r="DN55" s="6">
        <f>DN$1*'survival matrix'!DN55</f>
        <v>0</v>
      </c>
      <c r="DO55" s="6">
        <f>DO$1*'survival matrix'!DO55</f>
        <v>0</v>
      </c>
      <c r="DP55" s="6">
        <f>DP$1*'survival matrix'!DP55</f>
        <v>0</v>
      </c>
      <c r="DQ55" s="6">
        <f>DQ$1*'survival matrix'!DQ55</f>
        <v>0</v>
      </c>
      <c r="DR55" s="6">
        <f>DR$1*'survival matrix'!DR55</f>
        <v>0</v>
      </c>
      <c r="DS55" s="6">
        <f>DS$1*'survival matrix'!DS55</f>
        <v>0</v>
      </c>
      <c r="DT55" s="6">
        <f>DT$1*'survival matrix'!DT55</f>
        <v>0</v>
      </c>
      <c r="DU55" s="6">
        <f>DU$1*'survival matrix'!DU55</f>
        <v>0</v>
      </c>
      <c r="DV55" s="6">
        <f>DV$1*'survival matrix'!DV55</f>
        <v>0</v>
      </c>
      <c r="DW55" s="6">
        <f>DW$1*'survival matrix'!DW55</f>
        <v>0</v>
      </c>
      <c r="DX55" s="6">
        <f>DX$1*'survival matrix'!DX55</f>
        <v>0</v>
      </c>
      <c r="DY55" s="6">
        <f>DY$1*'survival matrix'!DY55</f>
        <v>0</v>
      </c>
      <c r="DZ55" s="6">
        <f>DZ$1*'survival matrix'!DZ55</f>
        <v>0</v>
      </c>
      <c r="EA55" s="6">
        <f>EA$1*'survival matrix'!EA55</f>
        <v>0</v>
      </c>
      <c r="EB55" s="6">
        <f>EB$1*'survival matrix'!EB55</f>
        <v>0</v>
      </c>
      <c r="EC55" s="6">
        <f>EC$1*'survival matrix'!EC55</f>
        <v>0</v>
      </c>
    </row>
    <row r="56" spans="1:133">
      <c r="A56" s="12">
        <f>'data input'!C56-B56</f>
        <v>51296.123843614507</v>
      </c>
      <c r="B56" s="14">
        <f t="shared" si="2"/>
        <v>158075.25291479938</v>
      </c>
      <c r="C56" s="11">
        <f>SUM(F56:EC56)</f>
        <v>4776067.0921440702</v>
      </c>
      <c r="E56" s="7">
        <f>'data input'!B56</f>
        <v>1931</v>
      </c>
      <c r="F56" s="6">
        <f>F$1*'survival matrix'!F56</f>
        <v>535.62541922981359</v>
      </c>
      <c r="G56" s="6">
        <f>G$1*'survival matrix'!G56</f>
        <v>1201.2986007354441</v>
      </c>
      <c r="H56" s="6">
        <f>H$1*'survival matrix'!H56</f>
        <v>2009.5826634372258</v>
      </c>
      <c r="I56" s="6">
        <f>I$1*'survival matrix'!I56</f>
        <v>2976.8931822469463</v>
      </c>
      <c r="J56" s="6">
        <f>J$1*'survival matrix'!J56</f>
        <v>4116.6938837624994</v>
      </c>
      <c r="K56" s="6">
        <f>K$1*'survival matrix'!K56</f>
        <v>5442.356886580681</v>
      </c>
      <c r="L56" s="6">
        <f>L$1*'survival matrix'!L56</f>
        <v>6968.0341195409355</v>
      </c>
      <c r="M56" s="6">
        <f>M$1*'survival matrix'!M56</f>
        <v>8703.5217699268833</v>
      </c>
      <c r="N56" s="6">
        <f>N$1*'survival matrix'!N56</f>
        <v>10653.880712515835</v>
      </c>
      <c r="O56" s="6">
        <f>O$1*'survival matrix'!O56</f>
        <v>12822.829442656976</v>
      </c>
      <c r="P56" s="6">
        <f>P$1*'survival matrix'!P56</f>
        <v>15219.55316888117</v>
      </c>
      <c r="Q56" s="6">
        <f>Q$1*'survival matrix'!Q56</f>
        <v>17850.594818465197</v>
      </c>
      <c r="R56" s="6">
        <f>R$1*'survival matrix'!R56</f>
        <v>20715.4845077381</v>
      </c>
      <c r="S56" s="6">
        <f>S$1*'survival matrix'!S56</f>
        <v>23807.934067562815</v>
      </c>
      <c r="T56" s="6">
        <f>T$1*'survival matrix'!T56</f>
        <v>27117.440261153661</v>
      </c>
      <c r="U56" s="6">
        <f>U$1*'survival matrix'!U56</f>
        <v>30639.165115615961</v>
      </c>
      <c r="V56" s="6">
        <f>V$1*'survival matrix'!V56</f>
        <v>34357.892499401343</v>
      </c>
      <c r="W56" s="6">
        <f>W$1*'survival matrix'!W56</f>
        <v>38266.457225947583</v>
      </c>
      <c r="X56" s="6">
        <f>X$1*'survival matrix'!X56</f>
        <v>42350.227489500925</v>
      </c>
      <c r="Y56" s="6">
        <f>Y$1*'survival matrix'!Y56</f>
        <v>46589.89613725763</v>
      </c>
      <c r="Z56" s="6">
        <f>Z$1*'survival matrix'!Z56</f>
        <v>50970.781990521165</v>
      </c>
      <c r="AA56" s="6">
        <f>AA$1*'survival matrix'!AA56</f>
        <v>55474.555120884019</v>
      </c>
      <c r="AB56" s="6">
        <f>AB$1*'survival matrix'!AB56</f>
        <v>60074.917702532919</v>
      </c>
      <c r="AC56" s="6">
        <f>AC$1*'survival matrix'!AC56</f>
        <v>65015.679549624045</v>
      </c>
      <c r="AD56" s="6">
        <f>AD$1*'survival matrix'!AD56</f>
        <v>70625.434273833045</v>
      </c>
      <c r="AE56" s="6">
        <f>AE$1*'survival matrix'!AE56</f>
        <v>76263.511049734152</v>
      </c>
      <c r="AF56" s="6">
        <f>AF$1*'survival matrix'!AF56</f>
        <v>81182.612656966827</v>
      </c>
      <c r="AG56" s="6">
        <f>AG$1*'survival matrix'!AG56</f>
        <v>86352.704019000856</v>
      </c>
      <c r="AH56" s="6">
        <f>AH$1*'survival matrix'!AH56</f>
        <v>91214.403491423393</v>
      </c>
      <c r="AI56" s="6">
        <f>AI$1*'survival matrix'!AI56</f>
        <v>98061.322923945481</v>
      </c>
      <c r="AJ56" s="6">
        <f>AJ$1*'survival matrix'!AJ56</f>
        <v>103299.49567015392</v>
      </c>
      <c r="AK56" s="6">
        <f>AK$1*'survival matrix'!AK56</f>
        <v>107998.05658557212</v>
      </c>
      <c r="AL56" s="6">
        <f>AL$1*'survival matrix'!AL56</f>
        <v>112778.91344100267</v>
      </c>
      <c r="AM56" s="6">
        <f>AM$1*'survival matrix'!AM56</f>
        <v>117658.17825958904</v>
      </c>
      <c r="AN56" s="6">
        <f>AN$1*'survival matrix'!AN56</f>
        <v>121239.04050068022</v>
      </c>
      <c r="AO56" s="6">
        <f>AO$1*'survival matrix'!AO56</f>
        <v>124584.25476858453</v>
      </c>
      <c r="AP56" s="6">
        <f>AP$1*'survival matrix'!AP56</f>
        <v>127278.99758643241</v>
      </c>
      <c r="AQ56" s="6">
        <f>AQ$1*'survival matrix'!AQ56</f>
        <v>130608.62325467462</v>
      </c>
      <c r="AR56" s="6">
        <f>AR$1*'survival matrix'!AR56</f>
        <v>134627.20044711017</v>
      </c>
      <c r="AS56" s="6">
        <f>AS$1*'survival matrix'!AS56</f>
        <v>138550.83945231399</v>
      </c>
      <c r="AT56" s="6">
        <f>AT$1*'survival matrix'!AT56</f>
        <v>143860.67543738091</v>
      </c>
      <c r="AU56" s="6">
        <f>AU$1*'survival matrix'!AU56</f>
        <v>149267.77679478072</v>
      </c>
      <c r="AV56" s="6">
        <f>AV$1*'survival matrix'!AV56</f>
        <v>153663.88732923786</v>
      </c>
      <c r="AW56" s="6">
        <f>AW$1*'survival matrix'!AW56</f>
        <v>158411.75236663586</v>
      </c>
      <c r="AX56" s="6">
        <f>AX$1*'survival matrix'!AX56</f>
        <v>163060.72632529517</v>
      </c>
      <c r="AY56" s="6">
        <f>AY$1*'survival matrix'!AY56</f>
        <v>168756.23592210811</v>
      </c>
      <c r="AZ56" s="6">
        <f>AZ$1*'survival matrix'!AZ56</f>
        <v>173924.25152345383</v>
      </c>
      <c r="BA56" s="6">
        <f>BA$1*'survival matrix'!BA56</f>
        <v>178352.809386979</v>
      </c>
      <c r="BB56" s="6">
        <f>BB$1*'survival matrix'!BB56</f>
        <v>183497.21620841566</v>
      </c>
      <c r="BC56" s="6">
        <f>BC$1*'survival matrix'!BC56</f>
        <v>188789.23149366686</v>
      </c>
      <c r="BD56" s="6">
        <f>BD$1*'survival matrix'!BD56</f>
        <v>194541.13668606721</v>
      </c>
      <c r="BE56" s="6">
        <f>BE$1*'survival matrix'!BE56</f>
        <v>200060.14014400708</v>
      </c>
      <c r="BF56" s="6">
        <f>BF$1*'survival matrix'!BF56</f>
        <v>204587.62106025714</v>
      </c>
      <c r="BG56" s="6">
        <f>BG$1*'survival matrix'!BG56</f>
        <v>209088.746749048</v>
      </c>
      <c r="BH56" s="6">
        <f>BH$1*'survival matrix'!BH56</f>
        <v>0</v>
      </c>
      <c r="BI56" s="6">
        <f>BI$1*'survival matrix'!BI56</f>
        <v>0</v>
      </c>
      <c r="BJ56" s="6">
        <f>BJ$1*'survival matrix'!BJ56</f>
        <v>0</v>
      </c>
      <c r="BK56" s="6">
        <f>BK$1*'survival matrix'!BK56</f>
        <v>0</v>
      </c>
      <c r="BL56" s="6">
        <f>BL$1*'survival matrix'!BL56</f>
        <v>0</v>
      </c>
      <c r="BM56" s="6">
        <f>BM$1*'survival matrix'!BM56</f>
        <v>0</v>
      </c>
      <c r="BN56" s="6">
        <f>BN$1*'survival matrix'!BN56</f>
        <v>0</v>
      </c>
      <c r="BO56" s="6">
        <f>BO$1*'survival matrix'!BO56</f>
        <v>0</v>
      </c>
      <c r="BP56" s="6">
        <f>BP$1*'survival matrix'!BP56</f>
        <v>0</v>
      </c>
      <c r="BQ56" s="6">
        <f>BQ$1*'survival matrix'!BQ56</f>
        <v>0</v>
      </c>
      <c r="BR56" s="6">
        <f>BR$1*'survival matrix'!BR56</f>
        <v>0</v>
      </c>
      <c r="BS56" s="6">
        <f>BS$1*'survival matrix'!BS56</f>
        <v>0</v>
      </c>
      <c r="BT56" s="6">
        <f>BT$1*'survival matrix'!BT56</f>
        <v>0</v>
      </c>
      <c r="BU56" s="6">
        <f>BU$1*'survival matrix'!BU56</f>
        <v>0</v>
      </c>
      <c r="BV56" s="6">
        <f>BV$1*'survival matrix'!BV56</f>
        <v>0</v>
      </c>
      <c r="BW56" s="6">
        <f>BW$1*'survival matrix'!BW56</f>
        <v>0</v>
      </c>
      <c r="BX56" s="6">
        <f>BX$1*'survival matrix'!BX56</f>
        <v>0</v>
      </c>
      <c r="BY56" s="6">
        <f>BY$1*'survival matrix'!BY56</f>
        <v>0</v>
      </c>
      <c r="BZ56" s="6">
        <f>BZ$1*'survival matrix'!BZ56</f>
        <v>0</v>
      </c>
      <c r="CA56" s="6">
        <f>CA$1*'survival matrix'!CA56</f>
        <v>0</v>
      </c>
      <c r="CB56" s="6">
        <f>CB$1*'survival matrix'!CB56</f>
        <v>0</v>
      </c>
      <c r="CC56" s="6">
        <f>CC$1*'survival matrix'!CC56</f>
        <v>0</v>
      </c>
      <c r="CD56" s="6">
        <f>CD$1*'survival matrix'!CD56</f>
        <v>0</v>
      </c>
      <c r="CE56" s="6">
        <f>CE$1*'survival matrix'!CE56</f>
        <v>0</v>
      </c>
      <c r="CF56" s="6">
        <f>CF$1*'survival matrix'!CF56</f>
        <v>0</v>
      </c>
      <c r="CG56" s="6">
        <f>CG$1*'survival matrix'!CG56</f>
        <v>0</v>
      </c>
      <c r="CH56" s="6">
        <f>CH$1*'survival matrix'!CH56</f>
        <v>0</v>
      </c>
      <c r="CI56" s="6">
        <f>CI$1*'survival matrix'!CI56</f>
        <v>0</v>
      </c>
      <c r="CJ56" s="6">
        <f>CJ$1*'survival matrix'!CJ56</f>
        <v>0</v>
      </c>
      <c r="CK56" s="6">
        <f>CK$1*'survival matrix'!CK56</f>
        <v>0</v>
      </c>
      <c r="CL56" s="6">
        <f>CL$1*'survival matrix'!CL56</f>
        <v>0</v>
      </c>
      <c r="CM56" s="6">
        <f>CM$1*'survival matrix'!CM56</f>
        <v>0</v>
      </c>
      <c r="CN56" s="6">
        <f>CN$1*'survival matrix'!CN56</f>
        <v>0</v>
      </c>
      <c r="CO56" s="6">
        <f>CO$1*'survival matrix'!CO56</f>
        <v>0</v>
      </c>
      <c r="CP56" s="6">
        <f>CP$1*'survival matrix'!CP56</f>
        <v>0</v>
      </c>
      <c r="CQ56" s="6">
        <f>CQ$1*'survival matrix'!CQ56</f>
        <v>0</v>
      </c>
      <c r="CR56" s="6">
        <f>CR$1*'survival matrix'!CR56</f>
        <v>0</v>
      </c>
      <c r="CS56" s="6">
        <f>CS$1*'survival matrix'!CS56</f>
        <v>0</v>
      </c>
      <c r="CT56" s="6">
        <f>CT$1*'survival matrix'!CT56</f>
        <v>0</v>
      </c>
      <c r="CU56" s="6">
        <f>CU$1*'survival matrix'!CU56</f>
        <v>0</v>
      </c>
      <c r="CV56" s="6">
        <f>CV$1*'survival matrix'!CV56</f>
        <v>0</v>
      </c>
      <c r="CW56" s="6">
        <f>CW$1*'survival matrix'!CW56</f>
        <v>0</v>
      </c>
      <c r="CX56" s="6">
        <f>CX$1*'survival matrix'!CX56</f>
        <v>0</v>
      </c>
      <c r="CY56" s="6">
        <f>CY$1*'survival matrix'!CY56</f>
        <v>0</v>
      </c>
      <c r="CZ56" s="6">
        <f>CZ$1*'survival matrix'!CZ56</f>
        <v>0</v>
      </c>
      <c r="DA56" s="6">
        <f>DA$1*'survival matrix'!DA56</f>
        <v>0</v>
      </c>
      <c r="DB56" s="6">
        <f>DB$1*'survival matrix'!DB56</f>
        <v>0</v>
      </c>
      <c r="DC56" s="6">
        <f>DC$1*'survival matrix'!DC56</f>
        <v>0</v>
      </c>
      <c r="DD56" s="6">
        <f>DD$1*'survival matrix'!DD56</f>
        <v>0</v>
      </c>
      <c r="DE56" s="6">
        <f>DE$1*'survival matrix'!DE56</f>
        <v>0</v>
      </c>
      <c r="DF56" s="6">
        <f>DF$1*'survival matrix'!DF56</f>
        <v>0</v>
      </c>
      <c r="DG56" s="6">
        <f>DG$1*'survival matrix'!DG56</f>
        <v>0</v>
      </c>
      <c r="DH56" s="6">
        <f>DH$1*'survival matrix'!DH56</f>
        <v>0</v>
      </c>
      <c r="DI56" s="6">
        <f>DI$1*'survival matrix'!DI56</f>
        <v>0</v>
      </c>
      <c r="DJ56" s="6">
        <f>DJ$1*'survival matrix'!DJ56</f>
        <v>0</v>
      </c>
      <c r="DK56" s="6">
        <f>DK$1*'survival matrix'!DK56</f>
        <v>0</v>
      </c>
      <c r="DL56" s="6">
        <f>DL$1*'survival matrix'!DL56</f>
        <v>0</v>
      </c>
      <c r="DM56" s="6">
        <f>DM$1*'survival matrix'!DM56</f>
        <v>0</v>
      </c>
      <c r="DN56" s="6">
        <f>DN$1*'survival matrix'!DN56</f>
        <v>0</v>
      </c>
      <c r="DO56" s="6">
        <f>DO$1*'survival matrix'!DO56</f>
        <v>0</v>
      </c>
      <c r="DP56" s="6">
        <f>DP$1*'survival matrix'!DP56</f>
        <v>0</v>
      </c>
      <c r="DQ56" s="6">
        <f>DQ$1*'survival matrix'!DQ56</f>
        <v>0</v>
      </c>
      <c r="DR56" s="6">
        <f>DR$1*'survival matrix'!DR56</f>
        <v>0</v>
      </c>
      <c r="DS56" s="6">
        <f>DS$1*'survival matrix'!DS56</f>
        <v>0</v>
      </c>
      <c r="DT56" s="6">
        <f>DT$1*'survival matrix'!DT56</f>
        <v>0</v>
      </c>
      <c r="DU56" s="6">
        <f>DU$1*'survival matrix'!DU56</f>
        <v>0</v>
      </c>
      <c r="DV56" s="6">
        <f>DV$1*'survival matrix'!DV56</f>
        <v>0</v>
      </c>
      <c r="DW56" s="6">
        <f>DW$1*'survival matrix'!DW56</f>
        <v>0</v>
      </c>
      <c r="DX56" s="6">
        <f>DX$1*'survival matrix'!DX56</f>
        <v>0</v>
      </c>
      <c r="DY56" s="6">
        <f>DY$1*'survival matrix'!DY56</f>
        <v>0</v>
      </c>
      <c r="DZ56" s="6">
        <f>DZ$1*'survival matrix'!DZ56</f>
        <v>0</v>
      </c>
      <c r="EA56" s="6">
        <f>EA$1*'survival matrix'!EA56</f>
        <v>0</v>
      </c>
      <c r="EB56" s="6">
        <f>EB$1*'survival matrix'!EB56</f>
        <v>0</v>
      </c>
      <c r="EC56" s="6">
        <f>EC$1*'survival matrix'!EC56</f>
        <v>0</v>
      </c>
    </row>
    <row r="57" spans="1:133">
      <c r="A57" s="12">
        <f>'data input'!C57-B57</f>
        <v>54404.068429785344</v>
      </c>
      <c r="B57" s="14">
        <f t="shared" si="2"/>
        <v>159329.77331148274</v>
      </c>
      <c r="C57" s="11">
        <f>SUM(F57:EC57)</f>
        <v>4935396.8654555529</v>
      </c>
      <c r="E57" s="7">
        <f>'data input'!B57</f>
        <v>1932</v>
      </c>
      <c r="F57" s="6">
        <f>F$1*'survival matrix'!F57</f>
        <v>477.37214218991926</v>
      </c>
      <c r="G57" s="6">
        <f>G$1*'survival matrix'!G57</f>
        <v>1075.4645483448619</v>
      </c>
      <c r="H57" s="6">
        <f>H$1*'survival matrix'!H57</f>
        <v>1807.0821001497279</v>
      </c>
      <c r="I57" s="6">
        <f>I$1*'survival matrix'!I57</f>
        <v>2688.6769945525066</v>
      </c>
      <c r="J57" s="6">
        <f>J$1*'survival matrix'!J57</f>
        <v>3734.2432868583646</v>
      </c>
      <c r="K57" s="6">
        <f>K$1*'survival matrix'!K57</f>
        <v>4957.854012212576</v>
      </c>
      <c r="L57" s="6">
        <f>L$1*'survival matrix'!L57</f>
        <v>6374.445150422961</v>
      </c>
      <c r="M57" s="6">
        <f>M$1*'survival matrix'!M57</f>
        <v>7995.1001712212783</v>
      </c>
      <c r="N57" s="6">
        <f>N$1*'survival matrix'!N57</f>
        <v>9826.6040020336968</v>
      </c>
      <c r="O57" s="6">
        <f>O$1*'survival matrix'!O57</f>
        <v>11874.484078021562</v>
      </c>
      <c r="P57" s="6">
        <f>P$1*'survival matrix'!P57</f>
        <v>14149.304264233895</v>
      </c>
      <c r="Q57" s="6">
        <f>Q$1*'survival matrix'!Q57</f>
        <v>16659.183077777692</v>
      </c>
      <c r="R57" s="6">
        <f>R$1*'survival matrix'!R57</f>
        <v>19405.637362995556</v>
      </c>
      <c r="S57" s="6">
        <f>S$1*'survival matrix'!S57</f>
        <v>22384.56987012993</v>
      </c>
      <c r="T57" s="6">
        <f>T$1*'survival matrix'!T57</f>
        <v>25587.673810439563</v>
      </c>
      <c r="U57" s="6">
        <f>U$1*'survival matrix'!U57</f>
        <v>29011.713596691632</v>
      </c>
      <c r="V57" s="6">
        <f>V$1*'survival matrix'!V57</f>
        <v>32643.372217722681</v>
      </c>
      <c r="W57" s="6">
        <f>W$1*'survival matrix'!W57</f>
        <v>36476.6519066931</v>
      </c>
      <c r="X57" s="6">
        <f>X$1*'survival matrix'!X57</f>
        <v>40498.164178760278</v>
      </c>
      <c r="Y57" s="6">
        <f>Y$1*'survival matrix'!Y57</f>
        <v>44689.698818990721</v>
      </c>
      <c r="Z57" s="6">
        <f>Z$1*'survival matrix'!Z57</f>
        <v>49037.116640638691</v>
      </c>
      <c r="AA57" s="6">
        <f>AA$1*'survival matrix'!AA57</f>
        <v>53522.447954383933</v>
      </c>
      <c r="AB57" s="6">
        <f>AB$1*'survival matrix'!AB57</f>
        <v>58119.68267298417</v>
      </c>
      <c r="AC57" s="6">
        <f>AC$1*'survival matrix'!AC57</f>
        <v>63064.423073893529</v>
      </c>
      <c r="AD57" s="6">
        <f>AD$1*'survival matrix'!AD57</f>
        <v>68676.981719113144</v>
      </c>
      <c r="AE57" s="6">
        <f>AE$1*'survival matrix'!AE57</f>
        <v>74335.690065793067</v>
      </c>
      <c r="AF57" s="6">
        <f>AF$1*'survival matrix'!AF57</f>
        <v>79308.614621185334</v>
      </c>
      <c r="AG57" s="6">
        <f>AG$1*'survival matrix'!AG57</f>
        <v>84538.77963026987</v>
      </c>
      <c r="AH57" s="6">
        <f>AH$1*'survival matrix'!AH57</f>
        <v>89477.120473694871</v>
      </c>
      <c r="AI57" s="6">
        <f>AI$1*'survival matrix'!AI57</f>
        <v>96374.219906261191</v>
      </c>
      <c r="AJ57" s="6">
        <f>AJ$1*'survival matrix'!AJ57</f>
        <v>101700.31342940422</v>
      </c>
      <c r="AK57" s="6">
        <f>AK$1*'survival matrix'!AK57</f>
        <v>106499.62170977396</v>
      </c>
      <c r="AL57" s="6">
        <f>AL$1*'survival matrix'!AL57</f>
        <v>111382.26765284444</v>
      </c>
      <c r="AM57" s="6">
        <f>AM$1*'survival matrix'!AM57</f>
        <v>116363.14669753349</v>
      </c>
      <c r="AN57" s="6">
        <f>AN$1*'survival matrix'!AN57</f>
        <v>120058.1364963823</v>
      </c>
      <c r="AO57" s="6">
        <f>AO$1*'survival matrix'!AO57</f>
        <v>123515.1620328507</v>
      </c>
      <c r="AP57" s="6">
        <f>AP$1*'survival matrix'!AP57</f>
        <v>126321.1212795481</v>
      </c>
      <c r="AQ57" s="6">
        <f>AQ$1*'survival matrix'!AQ57</f>
        <v>129750.59513678137</v>
      </c>
      <c r="AR57" s="6">
        <f>AR$1*'survival matrix'!AR57</f>
        <v>133858.82339515712</v>
      </c>
      <c r="AS57" s="6">
        <f>AS$1*'survival matrix'!AS57</f>
        <v>137867.15087613816</v>
      </c>
      <c r="AT57" s="6">
        <f>AT$1*'survival matrix'!AT57</f>
        <v>143249.93344786111</v>
      </c>
      <c r="AU57" s="6">
        <f>AU$1*'survival matrix'!AU57</f>
        <v>148725.3102069473</v>
      </c>
      <c r="AV57" s="6">
        <f>AV$1*'survival matrix'!AV57</f>
        <v>153188.26406725234</v>
      </c>
      <c r="AW57" s="6">
        <f>AW$1*'survival matrix'!AW57</f>
        <v>157996.29441763766</v>
      </c>
      <c r="AX57" s="6">
        <f>AX$1*'survival matrix'!AX57</f>
        <v>162700.2514207885</v>
      </c>
      <c r="AY57" s="6">
        <f>AY$1*'survival matrix'!AY57</f>
        <v>168443.42270548685</v>
      </c>
      <c r="AZ57" s="6">
        <f>AZ$1*'survival matrix'!AZ57</f>
        <v>173655.36002763888</v>
      </c>
      <c r="BA57" s="6">
        <f>BA$1*'survival matrix'!BA57</f>
        <v>178124.05925440506</v>
      </c>
      <c r="BB57" s="6">
        <f>BB$1*'survival matrix'!BB57</f>
        <v>183303.02430734783</v>
      </c>
      <c r="BC57" s="6">
        <f>BC$1*'survival matrix'!BC57</f>
        <v>188625.27076907555</v>
      </c>
      <c r="BD57" s="6">
        <f>BD$1*'survival matrix'!BD57</f>
        <v>194403.23719656325</v>
      </c>
      <c r="BE57" s="6">
        <f>BE$1*'survival matrix'!BE57</f>
        <v>199945.02920075602</v>
      </c>
      <c r="BF57" s="6">
        <f>BF$1*'survival matrix'!BF57</f>
        <v>204492.59413968859</v>
      </c>
      <c r="BG57" s="6">
        <f>BG$1*'survival matrix'!BG57</f>
        <v>209010.78039001967</v>
      </c>
      <c r="BH57" s="6">
        <f>BH$1*'survival matrix'!BH57</f>
        <v>213445.32284900881</v>
      </c>
      <c r="BI57" s="6">
        <f>BI$1*'survival matrix'!BI57</f>
        <v>0</v>
      </c>
      <c r="BJ57" s="6">
        <f>BJ$1*'survival matrix'!BJ57</f>
        <v>0</v>
      </c>
      <c r="BK57" s="6">
        <f>BK$1*'survival matrix'!BK57</f>
        <v>0</v>
      </c>
      <c r="BL57" s="6">
        <f>BL$1*'survival matrix'!BL57</f>
        <v>0</v>
      </c>
      <c r="BM57" s="6">
        <f>BM$1*'survival matrix'!BM57</f>
        <v>0</v>
      </c>
      <c r="BN57" s="6">
        <f>BN$1*'survival matrix'!BN57</f>
        <v>0</v>
      </c>
      <c r="BO57" s="6">
        <f>BO$1*'survival matrix'!BO57</f>
        <v>0</v>
      </c>
      <c r="BP57" s="6">
        <f>BP$1*'survival matrix'!BP57</f>
        <v>0</v>
      </c>
      <c r="BQ57" s="6">
        <f>BQ$1*'survival matrix'!BQ57</f>
        <v>0</v>
      </c>
      <c r="BR57" s="6">
        <f>BR$1*'survival matrix'!BR57</f>
        <v>0</v>
      </c>
      <c r="BS57" s="6">
        <f>BS$1*'survival matrix'!BS57</f>
        <v>0</v>
      </c>
      <c r="BT57" s="6">
        <f>BT$1*'survival matrix'!BT57</f>
        <v>0</v>
      </c>
      <c r="BU57" s="6">
        <f>BU$1*'survival matrix'!BU57</f>
        <v>0</v>
      </c>
      <c r="BV57" s="6">
        <f>BV$1*'survival matrix'!BV57</f>
        <v>0</v>
      </c>
      <c r="BW57" s="6">
        <f>BW$1*'survival matrix'!BW57</f>
        <v>0</v>
      </c>
      <c r="BX57" s="6">
        <f>BX$1*'survival matrix'!BX57</f>
        <v>0</v>
      </c>
      <c r="BY57" s="6">
        <f>BY$1*'survival matrix'!BY57</f>
        <v>0</v>
      </c>
      <c r="BZ57" s="6">
        <f>BZ$1*'survival matrix'!BZ57</f>
        <v>0</v>
      </c>
      <c r="CA57" s="6">
        <f>CA$1*'survival matrix'!CA57</f>
        <v>0</v>
      </c>
      <c r="CB57" s="6">
        <f>CB$1*'survival matrix'!CB57</f>
        <v>0</v>
      </c>
      <c r="CC57" s="6">
        <f>CC$1*'survival matrix'!CC57</f>
        <v>0</v>
      </c>
      <c r="CD57" s="6">
        <f>CD$1*'survival matrix'!CD57</f>
        <v>0</v>
      </c>
      <c r="CE57" s="6">
        <f>CE$1*'survival matrix'!CE57</f>
        <v>0</v>
      </c>
      <c r="CF57" s="6">
        <f>CF$1*'survival matrix'!CF57</f>
        <v>0</v>
      </c>
      <c r="CG57" s="6">
        <f>CG$1*'survival matrix'!CG57</f>
        <v>0</v>
      </c>
      <c r="CH57" s="6">
        <f>CH$1*'survival matrix'!CH57</f>
        <v>0</v>
      </c>
      <c r="CI57" s="6">
        <f>CI$1*'survival matrix'!CI57</f>
        <v>0</v>
      </c>
      <c r="CJ57" s="6">
        <f>CJ$1*'survival matrix'!CJ57</f>
        <v>0</v>
      </c>
      <c r="CK57" s="6">
        <f>CK$1*'survival matrix'!CK57</f>
        <v>0</v>
      </c>
      <c r="CL57" s="6">
        <f>CL$1*'survival matrix'!CL57</f>
        <v>0</v>
      </c>
      <c r="CM57" s="6">
        <f>CM$1*'survival matrix'!CM57</f>
        <v>0</v>
      </c>
      <c r="CN57" s="6">
        <f>CN$1*'survival matrix'!CN57</f>
        <v>0</v>
      </c>
      <c r="CO57" s="6">
        <f>CO$1*'survival matrix'!CO57</f>
        <v>0</v>
      </c>
      <c r="CP57" s="6">
        <f>CP$1*'survival matrix'!CP57</f>
        <v>0</v>
      </c>
      <c r="CQ57" s="6">
        <f>CQ$1*'survival matrix'!CQ57</f>
        <v>0</v>
      </c>
      <c r="CR57" s="6">
        <f>CR$1*'survival matrix'!CR57</f>
        <v>0</v>
      </c>
      <c r="CS57" s="6">
        <f>CS$1*'survival matrix'!CS57</f>
        <v>0</v>
      </c>
      <c r="CT57" s="6">
        <f>CT$1*'survival matrix'!CT57</f>
        <v>0</v>
      </c>
      <c r="CU57" s="6">
        <f>CU$1*'survival matrix'!CU57</f>
        <v>0</v>
      </c>
      <c r="CV57" s="6">
        <f>CV$1*'survival matrix'!CV57</f>
        <v>0</v>
      </c>
      <c r="CW57" s="6">
        <f>CW$1*'survival matrix'!CW57</f>
        <v>0</v>
      </c>
      <c r="CX57" s="6">
        <f>CX$1*'survival matrix'!CX57</f>
        <v>0</v>
      </c>
      <c r="CY57" s="6">
        <f>CY$1*'survival matrix'!CY57</f>
        <v>0</v>
      </c>
      <c r="CZ57" s="6">
        <f>CZ$1*'survival matrix'!CZ57</f>
        <v>0</v>
      </c>
      <c r="DA57" s="6">
        <f>DA$1*'survival matrix'!DA57</f>
        <v>0</v>
      </c>
      <c r="DB57" s="6">
        <f>DB$1*'survival matrix'!DB57</f>
        <v>0</v>
      </c>
      <c r="DC57" s="6">
        <f>DC$1*'survival matrix'!DC57</f>
        <v>0</v>
      </c>
      <c r="DD57" s="6">
        <f>DD$1*'survival matrix'!DD57</f>
        <v>0</v>
      </c>
      <c r="DE57" s="6">
        <f>DE$1*'survival matrix'!DE57</f>
        <v>0</v>
      </c>
      <c r="DF57" s="6">
        <f>DF$1*'survival matrix'!DF57</f>
        <v>0</v>
      </c>
      <c r="DG57" s="6">
        <f>DG$1*'survival matrix'!DG57</f>
        <v>0</v>
      </c>
      <c r="DH57" s="6">
        <f>DH$1*'survival matrix'!DH57</f>
        <v>0</v>
      </c>
      <c r="DI57" s="6">
        <f>DI$1*'survival matrix'!DI57</f>
        <v>0</v>
      </c>
      <c r="DJ57" s="6">
        <f>DJ$1*'survival matrix'!DJ57</f>
        <v>0</v>
      </c>
      <c r="DK57" s="6">
        <f>DK$1*'survival matrix'!DK57</f>
        <v>0</v>
      </c>
      <c r="DL57" s="6">
        <f>DL$1*'survival matrix'!DL57</f>
        <v>0</v>
      </c>
      <c r="DM57" s="6">
        <f>DM$1*'survival matrix'!DM57</f>
        <v>0</v>
      </c>
      <c r="DN57" s="6">
        <f>DN$1*'survival matrix'!DN57</f>
        <v>0</v>
      </c>
      <c r="DO57" s="6">
        <f>DO$1*'survival matrix'!DO57</f>
        <v>0</v>
      </c>
      <c r="DP57" s="6">
        <f>DP$1*'survival matrix'!DP57</f>
        <v>0</v>
      </c>
      <c r="DQ57" s="6">
        <f>DQ$1*'survival matrix'!DQ57</f>
        <v>0</v>
      </c>
      <c r="DR57" s="6">
        <f>DR$1*'survival matrix'!DR57</f>
        <v>0</v>
      </c>
      <c r="DS57" s="6">
        <f>DS$1*'survival matrix'!DS57</f>
        <v>0</v>
      </c>
      <c r="DT57" s="6">
        <f>DT$1*'survival matrix'!DT57</f>
        <v>0</v>
      </c>
      <c r="DU57" s="6">
        <f>DU$1*'survival matrix'!DU57</f>
        <v>0</v>
      </c>
      <c r="DV57" s="6">
        <f>DV$1*'survival matrix'!DV57</f>
        <v>0</v>
      </c>
      <c r="DW57" s="6">
        <f>DW$1*'survival matrix'!DW57</f>
        <v>0</v>
      </c>
      <c r="DX57" s="6">
        <f>DX$1*'survival matrix'!DX57</f>
        <v>0</v>
      </c>
      <c r="DY57" s="6">
        <f>DY$1*'survival matrix'!DY57</f>
        <v>0</v>
      </c>
      <c r="DZ57" s="6">
        <f>DZ$1*'survival matrix'!DZ57</f>
        <v>0</v>
      </c>
      <c r="EA57" s="6">
        <f>EA$1*'survival matrix'!EA57</f>
        <v>0</v>
      </c>
      <c r="EB57" s="6">
        <f>EB$1*'survival matrix'!EB57</f>
        <v>0</v>
      </c>
      <c r="EC57" s="6">
        <f>EC$1*'survival matrix'!EC57</f>
        <v>0</v>
      </c>
    </row>
    <row r="58" spans="1:133">
      <c r="A58" s="12">
        <f>'data input'!C58-B58</f>
        <v>57583.959423309134</v>
      </c>
      <c r="B58" s="14">
        <f t="shared" si="2"/>
        <v>161012.02273458708</v>
      </c>
      <c r="C58" s="11">
        <f>SUM(F58:EC58)</f>
        <v>5096408.88819014</v>
      </c>
      <c r="E58" s="7">
        <f>'data input'!B58</f>
        <v>1933</v>
      </c>
      <c r="F58" s="6">
        <f>F$1*'survival matrix'!F58</f>
        <v>423.52834272608294</v>
      </c>
      <c r="G58" s="6">
        <f>G$1*'survival matrix'!G58</f>
        <v>958.49972174756783</v>
      </c>
      <c r="H58" s="6">
        <f>H$1*'survival matrix'!H58</f>
        <v>1617.7932226590583</v>
      </c>
      <c r="I58" s="6">
        <f>I$1*'survival matrix'!I58</f>
        <v>2417.7458127698333</v>
      </c>
      <c r="J58" s="6">
        <f>J$1*'survival matrix'!J58</f>
        <v>3372.7021437362901</v>
      </c>
      <c r="K58" s="6">
        <f>K$1*'survival matrix'!K58</f>
        <v>4497.2576502112161</v>
      </c>
      <c r="L58" s="6">
        <f>L$1*'survival matrix'!L58</f>
        <v>5806.9636231646209</v>
      </c>
      <c r="M58" s="6">
        <f>M$1*'survival matrix'!M58</f>
        <v>7314.0180773031097</v>
      </c>
      <c r="N58" s="6">
        <f>N$1*'survival matrix'!N58</f>
        <v>9026.7693257971041</v>
      </c>
      <c r="O58" s="6">
        <f>O$1*'survival matrix'!O58</f>
        <v>10952.427187033671</v>
      </c>
      <c r="P58" s="6">
        <f>P$1*'survival matrix'!P58</f>
        <v>13102.856039073542</v>
      </c>
      <c r="Q58" s="6">
        <f>Q$1*'survival matrix'!Q58</f>
        <v>15487.698459046229</v>
      </c>
      <c r="R58" s="6">
        <f>R$1*'survival matrix'!R58</f>
        <v>18110.436590980895</v>
      </c>
      <c r="S58" s="6">
        <f>S$1*'survival matrix'!S58</f>
        <v>20969.185889140863</v>
      </c>
      <c r="T58" s="6">
        <f>T$1*'survival matrix'!T58</f>
        <v>24057.907359725465</v>
      </c>
      <c r="U58" s="6">
        <f>U$1*'survival matrix'!U58</f>
        <v>27375.086182358507</v>
      </c>
      <c r="V58" s="6">
        <f>V$1*'survival matrix'!V58</f>
        <v>30909.463819824843</v>
      </c>
      <c r="W58" s="6">
        <f>W$1*'survival matrix'!W58</f>
        <v>34656.401741382535</v>
      </c>
      <c r="X58" s="6">
        <f>X$1*'survival matrix'!X58</f>
        <v>38603.97707805223</v>
      </c>
      <c r="Y58" s="6">
        <f>Y$1*'survival matrix'!Y58</f>
        <v>42735.325573387228</v>
      </c>
      <c r="Z58" s="6">
        <f>Z$1*'survival matrix'!Z58</f>
        <v>47037.107942152499</v>
      </c>
      <c r="AA58" s="6">
        <f>AA$1*'survival matrix'!AA58</f>
        <v>51491.980713965153</v>
      </c>
      <c r="AB58" s="6">
        <f>AB$1*'survival matrix'!AB58</f>
        <v>56074.495490979505</v>
      </c>
      <c r="AC58" s="6">
        <f>AC$1*'survival matrix'!AC58</f>
        <v>61011.889773341703</v>
      </c>
      <c r="AD58" s="6">
        <f>AD$1*'survival matrix'!AD58</f>
        <v>66615.841910357252</v>
      </c>
      <c r="AE58" s="6">
        <f>AE$1*'survival matrix'!AE58</f>
        <v>72284.876974096085</v>
      </c>
      <c r="AF58" s="6">
        <f>AF$1*'survival matrix'!AF58</f>
        <v>77303.818233377926</v>
      </c>
      <c r="AG58" s="6">
        <f>AG$1*'survival matrix'!AG58</f>
        <v>82587.308720557863</v>
      </c>
      <c r="AH58" s="6">
        <f>AH$1*'survival matrix'!AH58</f>
        <v>87597.564611437891</v>
      </c>
      <c r="AI58" s="6">
        <f>AI$1*'survival matrix'!AI58</f>
        <v>94538.662262059472</v>
      </c>
      <c r="AJ58" s="6">
        <f>AJ$1*'survival matrix'!AJ58</f>
        <v>99950.603140269523</v>
      </c>
      <c r="AK58" s="6">
        <f>AK$1*'survival matrix'!AK58</f>
        <v>104850.89823266564</v>
      </c>
      <c r="AL58" s="6">
        <f>AL$1*'survival matrix'!AL58</f>
        <v>109836.87804424288</v>
      </c>
      <c r="AM58" s="6">
        <f>AM$1*'survival matrix'!AM58</f>
        <v>114922.1140277431</v>
      </c>
      <c r="AN58" s="6">
        <f>AN$1*'survival matrix'!AN58</f>
        <v>118736.68924686467</v>
      </c>
      <c r="AO58" s="6">
        <f>AO$1*'survival matrix'!AO58</f>
        <v>122312.08793366824</v>
      </c>
      <c r="AP58" s="6">
        <f>AP$1*'survival matrix'!AP58</f>
        <v>125237.12400091467</v>
      </c>
      <c r="AQ58" s="6">
        <f>AQ$1*'survival matrix'!AQ58</f>
        <v>128774.11808053126</v>
      </c>
      <c r="AR58" s="6">
        <f>AR$1*'survival matrix'!AR58</f>
        <v>132979.44321765387</v>
      </c>
      <c r="AS58" s="6">
        <f>AS$1*'survival matrix'!AS58</f>
        <v>137080.28199229034</v>
      </c>
      <c r="AT58" s="6">
        <f>AT$1*'survival matrix'!AT58</f>
        <v>142543.05687155598</v>
      </c>
      <c r="AU58" s="6">
        <f>AU$1*'survival matrix'!AU58</f>
        <v>148093.91603636122</v>
      </c>
      <c r="AV58" s="6">
        <f>AV$1*'survival matrix'!AV58</f>
        <v>152631.54970673143</v>
      </c>
      <c r="AW58" s="6">
        <f>AW$1*'survival matrix'!AW58</f>
        <v>157507.2614103473</v>
      </c>
      <c r="AX58" s="6">
        <f>AX$1*'survival matrix'!AX58</f>
        <v>162273.54625689177</v>
      </c>
      <c r="AY58" s="6">
        <f>AY$1*'survival matrix'!AY58</f>
        <v>168071.0483877532</v>
      </c>
      <c r="AZ58" s="6">
        <f>AZ$1*'survival matrix'!AZ58</f>
        <v>173333.46560129695</v>
      </c>
      <c r="BA58" s="6">
        <f>BA$1*'survival matrix'!BA58</f>
        <v>177848.67474468882</v>
      </c>
      <c r="BB58" s="6">
        <f>BB$1*'survival matrix'!BB58</f>
        <v>183067.92517290957</v>
      </c>
      <c r="BC58" s="6">
        <f>BC$1*'survival matrix'!BC58</f>
        <v>188425.65193737359</v>
      </c>
      <c r="BD58" s="6">
        <f>BD$1*'survival matrix'!BD58</f>
        <v>194234.40078899136</v>
      </c>
      <c r="BE58" s="6">
        <f>BE$1*'survival matrix'!BE58</f>
        <v>199803.29918968832</v>
      </c>
      <c r="BF58" s="6">
        <f>BF$1*'survival matrix'!BF58</f>
        <v>204374.93284352869</v>
      </c>
      <c r="BG58" s="6">
        <f>BG$1*'survival matrix'!BG58</f>
        <v>208913.69899905787</v>
      </c>
      <c r="BH58" s="6">
        <f>BH$1*'survival matrix'!BH58</f>
        <v>213365.73198181528</v>
      </c>
      <c r="BI58" s="6">
        <f>BI$1*'survival matrix'!BI58</f>
        <v>218300.89987185903</v>
      </c>
      <c r="BJ58" s="6">
        <f>BJ$1*'survival matrix'!BJ58</f>
        <v>0</v>
      </c>
      <c r="BK58" s="6">
        <f>BK$1*'survival matrix'!BK58</f>
        <v>0</v>
      </c>
      <c r="BL58" s="6">
        <f>BL$1*'survival matrix'!BL58</f>
        <v>0</v>
      </c>
      <c r="BM58" s="6">
        <f>BM$1*'survival matrix'!BM58</f>
        <v>0</v>
      </c>
      <c r="BN58" s="6">
        <f>BN$1*'survival matrix'!BN58</f>
        <v>0</v>
      </c>
      <c r="BO58" s="6">
        <f>BO$1*'survival matrix'!BO58</f>
        <v>0</v>
      </c>
      <c r="BP58" s="6">
        <f>BP$1*'survival matrix'!BP58</f>
        <v>0</v>
      </c>
      <c r="BQ58" s="6">
        <f>BQ$1*'survival matrix'!BQ58</f>
        <v>0</v>
      </c>
      <c r="BR58" s="6">
        <f>BR$1*'survival matrix'!BR58</f>
        <v>0</v>
      </c>
      <c r="BS58" s="6">
        <f>BS$1*'survival matrix'!BS58</f>
        <v>0</v>
      </c>
      <c r="BT58" s="6">
        <f>BT$1*'survival matrix'!BT58</f>
        <v>0</v>
      </c>
      <c r="BU58" s="6">
        <f>BU$1*'survival matrix'!BU58</f>
        <v>0</v>
      </c>
      <c r="BV58" s="6">
        <f>BV$1*'survival matrix'!BV58</f>
        <v>0</v>
      </c>
      <c r="BW58" s="6">
        <f>BW$1*'survival matrix'!BW58</f>
        <v>0</v>
      </c>
      <c r="BX58" s="6">
        <f>BX$1*'survival matrix'!BX58</f>
        <v>0</v>
      </c>
      <c r="BY58" s="6">
        <f>BY$1*'survival matrix'!BY58</f>
        <v>0</v>
      </c>
      <c r="BZ58" s="6">
        <f>BZ$1*'survival matrix'!BZ58</f>
        <v>0</v>
      </c>
      <c r="CA58" s="6">
        <f>CA$1*'survival matrix'!CA58</f>
        <v>0</v>
      </c>
      <c r="CB58" s="6">
        <f>CB$1*'survival matrix'!CB58</f>
        <v>0</v>
      </c>
      <c r="CC58" s="6">
        <f>CC$1*'survival matrix'!CC58</f>
        <v>0</v>
      </c>
      <c r="CD58" s="6">
        <f>CD$1*'survival matrix'!CD58</f>
        <v>0</v>
      </c>
      <c r="CE58" s="6">
        <f>CE$1*'survival matrix'!CE58</f>
        <v>0</v>
      </c>
      <c r="CF58" s="6">
        <f>CF$1*'survival matrix'!CF58</f>
        <v>0</v>
      </c>
      <c r="CG58" s="6">
        <f>CG$1*'survival matrix'!CG58</f>
        <v>0</v>
      </c>
      <c r="CH58" s="6">
        <f>CH$1*'survival matrix'!CH58</f>
        <v>0</v>
      </c>
      <c r="CI58" s="6">
        <f>CI$1*'survival matrix'!CI58</f>
        <v>0</v>
      </c>
      <c r="CJ58" s="6">
        <f>CJ$1*'survival matrix'!CJ58</f>
        <v>0</v>
      </c>
      <c r="CK58" s="6">
        <f>CK$1*'survival matrix'!CK58</f>
        <v>0</v>
      </c>
      <c r="CL58" s="6">
        <f>CL$1*'survival matrix'!CL58</f>
        <v>0</v>
      </c>
      <c r="CM58" s="6">
        <f>CM$1*'survival matrix'!CM58</f>
        <v>0</v>
      </c>
      <c r="CN58" s="6">
        <f>CN$1*'survival matrix'!CN58</f>
        <v>0</v>
      </c>
      <c r="CO58" s="6">
        <f>CO$1*'survival matrix'!CO58</f>
        <v>0</v>
      </c>
      <c r="CP58" s="6">
        <f>CP$1*'survival matrix'!CP58</f>
        <v>0</v>
      </c>
      <c r="CQ58" s="6">
        <f>CQ$1*'survival matrix'!CQ58</f>
        <v>0</v>
      </c>
      <c r="CR58" s="6">
        <f>CR$1*'survival matrix'!CR58</f>
        <v>0</v>
      </c>
      <c r="CS58" s="6">
        <f>CS$1*'survival matrix'!CS58</f>
        <v>0</v>
      </c>
      <c r="CT58" s="6">
        <f>CT$1*'survival matrix'!CT58</f>
        <v>0</v>
      </c>
      <c r="CU58" s="6">
        <f>CU$1*'survival matrix'!CU58</f>
        <v>0</v>
      </c>
      <c r="CV58" s="6">
        <f>CV$1*'survival matrix'!CV58</f>
        <v>0</v>
      </c>
      <c r="CW58" s="6">
        <f>CW$1*'survival matrix'!CW58</f>
        <v>0</v>
      </c>
      <c r="CX58" s="6">
        <f>CX$1*'survival matrix'!CX58</f>
        <v>0</v>
      </c>
      <c r="CY58" s="6">
        <f>CY$1*'survival matrix'!CY58</f>
        <v>0</v>
      </c>
      <c r="CZ58" s="6">
        <f>CZ$1*'survival matrix'!CZ58</f>
        <v>0</v>
      </c>
      <c r="DA58" s="6">
        <f>DA$1*'survival matrix'!DA58</f>
        <v>0</v>
      </c>
      <c r="DB58" s="6">
        <f>DB$1*'survival matrix'!DB58</f>
        <v>0</v>
      </c>
      <c r="DC58" s="6">
        <f>DC$1*'survival matrix'!DC58</f>
        <v>0</v>
      </c>
      <c r="DD58" s="6">
        <f>DD$1*'survival matrix'!DD58</f>
        <v>0</v>
      </c>
      <c r="DE58" s="6">
        <f>DE$1*'survival matrix'!DE58</f>
        <v>0</v>
      </c>
      <c r="DF58" s="6">
        <f>DF$1*'survival matrix'!DF58</f>
        <v>0</v>
      </c>
      <c r="DG58" s="6">
        <f>DG$1*'survival matrix'!DG58</f>
        <v>0</v>
      </c>
      <c r="DH58" s="6">
        <f>DH$1*'survival matrix'!DH58</f>
        <v>0</v>
      </c>
      <c r="DI58" s="6">
        <f>DI$1*'survival matrix'!DI58</f>
        <v>0</v>
      </c>
      <c r="DJ58" s="6">
        <f>DJ$1*'survival matrix'!DJ58</f>
        <v>0</v>
      </c>
      <c r="DK58" s="6">
        <f>DK$1*'survival matrix'!DK58</f>
        <v>0</v>
      </c>
      <c r="DL58" s="6">
        <f>DL$1*'survival matrix'!DL58</f>
        <v>0</v>
      </c>
      <c r="DM58" s="6">
        <f>DM$1*'survival matrix'!DM58</f>
        <v>0</v>
      </c>
      <c r="DN58" s="6">
        <f>DN$1*'survival matrix'!DN58</f>
        <v>0</v>
      </c>
      <c r="DO58" s="6">
        <f>DO$1*'survival matrix'!DO58</f>
        <v>0</v>
      </c>
      <c r="DP58" s="6">
        <f>DP$1*'survival matrix'!DP58</f>
        <v>0</v>
      </c>
      <c r="DQ58" s="6">
        <f>DQ$1*'survival matrix'!DQ58</f>
        <v>0</v>
      </c>
      <c r="DR58" s="6">
        <f>DR$1*'survival matrix'!DR58</f>
        <v>0</v>
      </c>
      <c r="DS58" s="6">
        <f>DS$1*'survival matrix'!DS58</f>
        <v>0</v>
      </c>
      <c r="DT58" s="6">
        <f>DT$1*'survival matrix'!DT58</f>
        <v>0</v>
      </c>
      <c r="DU58" s="6">
        <f>DU$1*'survival matrix'!DU58</f>
        <v>0</v>
      </c>
      <c r="DV58" s="6">
        <f>DV$1*'survival matrix'!DV58</f>
        <v>0</v>
      </c>
      <c r="DW58" s="6">
        <f>DW$1*'survival matrix'!DW58</f>
        <v>0</v>
      </c>
      <c r="DX58" s="6">
        <f>DX$1*'survival matrix'!DX58</f>
        <v>0</v>
      </c>
      <c r="DY58" s="6">
        <f>DY$1*'survival matrix'!DY58</f>
        <v>0</v>
      </c>
      <c r="DZ58" s="6">
        <f>DZ$1*'survival matrix'!DZ58</f>
        <v>0</v>
      </c>
      <c r="EA58" s="6">
        <f>EA$1*'survival matrix'!EA58</f>
        <v>0</v>
      </c>
      <c r="EB58" s="6">
        <f>EB$1*'survival matrix'!EB58</f>
        <v>0</v>
      </c>
      <c r="EC58" s="6">
        <f>EC$1*'survival matrix'!EC58</f>
        <v>0</v>
      </c>
    </row>
    <row r="59" spans="1:133">
      <c r="A59" s="12">
        <f>'data input'!C59-B59</f>
        <v>60831.519504818949</v>
      </c>
      <c r="B59" s="14">
        <f t="shared" si="2"/>
        <v>163043.2084378032</v>
      </c>
      <c r="C59" s="11">
        <f>SUM(F59:EC59)</f>
        <v>5259452.0966279432</v>
      </c>
      <c r="E59" s="7">
        <f>'data input'!B59</f>
        <v>1934</v>
      </c>
      <c r="F59" s="6">
        <f>F$1*'survival matrix'!F59</f>
        <v>374.03927500544859</v>
      </c>
      <c r="G59" s="6">
        <f>G$1*'survival matrix'!G59</f>
        <v>850.38853920732959</v>
      </c>
      <c r="H59" s="6">
        <f>H$1*'survival matrix'!H59</f>
        <v>1441.8460898132466</v>
      </c>
      <c r="I59" s="6">
        <f>I$1*'survival matrix'!I59</f>
        <v>2164.4909158733121</v>
      </c>
      <c r="J59" s="6">
        <f>J$1*'survival matrix'!J59</f>
        <v>3032.8434773904232</v>
      </c>
      <c r="K59" s="6">
        <f>K$1*'survival matrix'!K59</f>
        <v>4061.8431507076843</v>
      </c>
      <c r="L59" s="6">
        <f>L$1*'survival matrix'!L59</f>
        <v>5267.4829703427722</v>
      </c>
      <c r="M59" s="6">
        <f>M$1*'survival matrix'!M59</f>
        <v>6662.8915790811152</v>
      </c>
      <c r="N59" s="6">
        <f>N$1*'survival matrix'!N59</f>
        <v>8257.8019805398071</v>
      </c>
      <c r="O59" s="6">
        <f>O$1*'survival matrix'!O59</f>
        <v>10060.956333895298</v>
      </c>
      <c r="P59" s="6">
        <f>P$1*'survival matrix'!P59</f>
        <v>12085.415734040685</v>
      </c>
      <c r="Q59" s="6">
        <f>Q$1*'survival matrix'!Q59</f>
        <v>14342.265845426115</v>
      </c>
      <c r="R59" s="6">
        <f>R$1*'survival matrix'!R59</f>
        <v>16836.898878729775</v>
      </c>
      <c r="S59" s="6">
        <f>S$1*'survival matrix'!S59</f>
        <v>19569.628366545701</v>
      </c>
      <c r="T59" s="6">
        <f>T$1*'survival matrix'!T59</f>
        <v>22536.717679037771</v>
      </c>
      <c r="U59" s="6">
        <f>U$1*'survival matrix'!U59</f>
        <v>25738.458768025383</v>
      </c>
      <c r="V59" s="6">
        <f>V$1*'survival matrix'!V59</f>
        <v>29165.77930145734</v>
      </c>
      <c r="W59" s="6">
        <f>W$1*'survival matrix'!W59</f>
        <v>32815.567846541242</v>
      </c>
      <c r="X59" s="6">
        <f>X$1*'survival matrix'!X59</f>
        <v>36677.569582163705</v>
      </c>
      <c r="Y59" s="6">
        <f>Y$1*'survival matrix'!Y59</f>
        <v>40736.501575134898</v>
      </c>
      <c r="Z59" s="6">
        <f>Z$1*'survival matrix'!Z59</f>
        <v>44980.077625500606</v>
      </c>
      <c r="AA59" s="6">
        <f>AA$1*'survival matrix'!AA59</f>
        <v>49391.84888759943</v>
      </c>
      <c r="AB59" s="6">
        <f>AB$1*'survival matrix'!AB59</f>
        <v>53947.21188439853</v>
      </c>
      <c r="AC59" s="6">
        <f>AC$1*'survival matrix'!AC59</f>
        <v>58864.928035501347</v>
      </c>
      <c r="AD59" s="6">
        <f>AD$1*'survival matrix'!AD59</f>
        <v>64447.721959349481</v>
      </c>
      <c r="AE59" s="6">
        <f>AE$1*'survival matrix'!AE59</f>
        <v>70115.456685480429</v>
      </c>
      <c r="AF59" s="6">
        <f>AF$1*'survival matrix'!AF59</f>
        <v>75171.118821684038</v>
      </c>
      <c r="AG59" s="6">
        <f>AG$1*'survival matrix'!AG59</f>
        <v>80499.63212965343</v>
      </c>
      <c r="AH59" s="6">
        <f>AH$1*'survival matrix'!AH59</f>
        <v>85575.485515330001</v>
      </c>
      <c r="AI59" s="6">
        <f>AI$1*'survival matrix'!AI59</f>
        <v>92552.783683000525</v>
      </c>
      <c r="AJ59" s="6">
        <f>AJ$1*'survival matrix'!AJ59</f>
        <v>98046.92917211559</v>
      </c>
      <c r="AK59" s="6">
        <f>AK$1*'survival matrix'!AK59</f>
        <v>103046.98348278576</v>
      </c>
      <c r="AL59" s="6">
        <f>AL$1*'survival matrix'!AL59</f>
        <v>108136.49041303304</v>
      </c>
      <c r="AM59" s="6">
        <f>AM$1*'survival matrix'!AM59</f>
        <v>113327.61030143597</v>
      </c>
      <c r="AN59" s="6">
        <f>AN$1*'survival matrix'!AN59</f>
        <v>117266.26280031767</v>
      </c>
      <c r="AO59" s="6">
        <f>AO$1*'survival matrix'!AO59</f>
        <v>120965.83205381312</v>
      </c>
      <c r="AP59" s="6">
        <f>AP$1*'survival matrix'!AP59</f>
        <v>124017.27748440742</v>
      </c>
      <c r="AQ59" s="6">
        <f>AQ$1*'survival matrix'!AQ59</f>
        <v>127669.07094238244</v>
      </c>
      <c r="AR59" s="6">
        <f>AR$1*'survival matrix'!AR59</f>
        <v>131978.66649583564</v>
      </c>
      <c r="AS59" s="6">
        <f>AS$1*'survival matrix'!AS59</f>
        <v>136179.73857159461</v>
      </c>
      <c r="AT59" s="6">
        <f>AT$1*'survival matrix'!AT59</f>
        <v>141729.50052149006</v>
      </c>
      <c r="AU59" s="6">
        <f>AU$1*'survival matrix'!AU59</f>
        <v>147363.13649727331</v>
      </c>
      <c r="AV59" s="6">
        <f>AV$1*'survival matrix'!AV59</f>
        <v>151983.57209889684</v>
      </c>
      <c r="AW59" s="6">
        <f>AW$1*'survival matrix'!AW59</f>
        <v>156934.85101815846</v>
      </c>
      <c r="AX59" s="6">
        <f>AX$1*'survival matrix'!AX59</f>
        <v>161771.274221828</v>
      </c>
      <c r="AY59" s="6">
        <f>AY$1*'survival matrix'!AY59</f>
        <v>167630.25752466402</v>
      </c>
      <c r="AZ59" s="6">
        <f>AZ$1*'survival matrix'!AZ59</f>
        <v>172950.28096899137</v>
      </c>
      <c r="BA59" s="6">
        <f>BA$1*'survival matrix'!BA59</f>
        <v>177519.00742475409</v>
      </c>
      <c r="BB59" s="6">
        <f>BB$1*'survival matrix'!BB59</f>
        <v>182784.89731564239</v>
      </c>
      <c r="BC59" s="6">
        <f>BC$1*'survival matrix'!BC59</f>
        <v>188183.98266953783</v>
      </c>
      <c r="BD59" s="6">
        <f>BD$1*'survival matrix'!BD59</f>
        <v>194028.84591289371</v>
      </c>
      <c r="BE59" s="6">
        <f>BE$1*'survival matrix'!BE59</f>
        <v>199629.77290616205</v>
      </c>
      <c r="BF59" s="6">
        <f>BF$1*'survival matrix'!BF59</f>
        <v>204230.06271792637</v>
      </c>
      <c r="BG59" s="6">
        <f>BG$1*'survival matrix'!BG59</f>
        <v>208793.49388007447</v>
      </c>
      <c r="BH59" s="6">
        <f>BH$1*'survival matrix'!BH59</f>
        <v>213266.62780161115</v>
      </c>
      <c r="BI59" s="6">
        <f>BI$1*'survival matrix'!BI59</f>
        <v>218219.49842582113</v>
      </c>
      <c r="BJ59" s="6">
        <f>BJ$1*'survival matrix'!BJ59</f>
        <v>223572.51988804067</v>
      </c>
      <c r="BK59" s="6">
        <f>BK$1*'survival matrix'!BK59</f>
        <v>0</v>
      </c>
      <c r="BL59" s="6">
        <f>BL$1*'survival matrix'!BL59</f>
        <v>0</v>
      </c>
      <c r="BM59" s="6">
        <f>BM$1*'survival matrix'!BM59</f>
        <v>0</v>
      </c>
      <c r="BN59" s="6">
        <f>BN$1*'survival matrix'!BN59</f>
        <v>0</v>
      </c>
      <c r="BO59" s="6">
        <f>BO$1*'survival matrix'!BO59</f>
        <v>0</v>
      </c>
      <c r="BP59" s="6">
        <f>BP$1*'survival matrix'!BP59</f>
        <v>0</v>
      </c>
      <c r="BQ59" s="6">
        <f>BQ$1*'survival matrix'!BQ59</f>
        <v>0</v>
      </c>
      <c r="BR59" s="6">
        <f>BR$1*'survival matrix'!BR59</f>
        <v>0</v>
      </c>
      <c r="BS59" s="6">
        <f>BS$1*'survival matrix'!BS59</f>
        <v>0</v>
      </c>
      <c r="BT59" s="6">
        <f>BT$1*'survival matrix'!BT59</f>
        <v>0</v>
      </c>
      <c r="BU59" s="6">
        <f>BU$1*'survival matrix'!BU59</f>
        <v>0</v>
      </c>
      <c r="BV59" s="6">
        <f>BV$1*'survival matrix'!BV59</f>
        <v>0</v>
      </c>
      <c r="BW59" s="6">
        <f>BW$1*'survival matrix'!BW59</f>
        <v>0</v>
      </c>
      <c r="BX59" s="6">
        <f>BX$1*'survival matrix'!BX59</f>
        <v>0</v>
      </c>
      <c r="BY59" s="6">
        <f>BY$1*'survival matrix'!BY59</f>
        <v>0</v>
      </c>
      <c r="BZ59" s="6">
        <f>BZ$1*'survival matrix'!BZ59</f>
        <v>0</v>
      </c>
      <c r="CA59" s="6">
        <f>CA$1*'survival matrix'!CA59</f>
        <v>0</v>
      </c>
      <c r="CB59" s="6">
        <f>CB$1*'survival matrix'!CB59</f>
        <v>0</v>
      </c>
      <c r="CC59" s="6">
        <f>CC$1*'survival matrix'!CC59</f>
        <v>0</v>
      </c>
      <c r="CD59" s="6">
        <f>CD$1*'survival matrix'!CD59</f>
        <v>0</v>
      </c>
      <c r="CE59" s="6">
        <f>CE$1*'survival matrix'!CE59</f>
        <v>0</v>
      </c>
      <c r="CF59" s="6">
        <f>CF$1*'survival matrix'!CF59</f>
        <v>0</v>
      </c>
      <c r="CG59" s="6">
        <f>CG$1*'survival matrix'!CG59</f>
        <v>0</v>
      </c>
      <c r="CH59" s="6">
        <f>CH$1*'survival matrix'!CH59</f>
        <v>0</v>
      </c>
      <c r="CI59" s="6">
        <f>CI$1*'survival matrix'!CI59</f>
        <v>0</v>
      </c>
      <c r="CJ59" s="6">
        <f>CJ$1*'survival matrix'!CJ59</f>
        <v>0</v>
      </c>
      <c r="CK59" s="6">
        <f>CK$1*'survival matrix'!CK59</f>
        <v>0</v>
      </c>
      <c r="CL59" s="6">
        <f>CL$1*'survival matrix'!CL59</f>
        <v>0</v>
      </c>
      <c r="CM59" s="6">
        <f>CM$1*'survival matrix'!CM59</f>
        <v>0</v>
      </c>
      <c r="CN59" s="6">
        <f>CN$1*'survival matrix'!CN59</f>
        <v>0</v>
      </c>
      <c r="CO59" s="6">
        <f>CO$1*'survival matrix'!CO59</f>
        <v>0</v>
      </c>
      <c r="CP59" s="6">
        <f>CP$1*'survival matrix'!CP59</f>
        <v>0</v>
      </c>
      <c r="CQ59" s="6">
        <f>CQ$1*'survival matrix'!CQ59</f>
        <v>0</v>
      </c>
      <c r="CR59" s="6">
        <f>CR$1*'survival matrix'!CR59</f>
        <v>0</v>
      </c>
      <c r="CS59" s="6">
        <f>CS$1*'survival matrix'!CS59</f>
        <v>0</v>
      </c>
      <c r="CT59" s="6">
        <f>CT$1*'survival matrix'!CT59</f>
        <v>0</v>
      </c>
      <c r="CU59" s="6">
        <f>CU$1*'survival matrix'!CU59</f>
        <v>0</v>
      </c>
      <c r="CV59" s="6">
        <f>CV$1*'survival matrix'!CV59</f>
        <v>0</v>
      </c>
      <c r="CW59" s="6">
        <f>CW$1*'survival matrix'!CW59</f>
        <v>0</v>
      </c>
      <c r="CX59" s="6">
        <f>CX$1*'survival matrix'!CX59</f>
        <v>0</v>
      </c>
      <c r="CY59" s="6">
        <f>CY$1*'survival matrix'!CY59</f>
        <v>0</v>
      </c>
      <c r="CZ59" s="6">
        <f>CZ$1*'survival matrix'!CZ59</f>
        <v>0</v>
      </c>
      <c r="DA59" s="6">
        <f>DA$1*'survival matrix'!DA59</f>
        <v>0</v>
      </c>
      <c r="DB59" s="6">
        <f>DB$1*'survival matrix'!DB59</f>
        <v>0</v>
      </c>
      <c r="DC59" s="6">
        <f>DC$1*'survival matrix'!DC59</f>
        <v>0</v>
      </c>
      <c r="DD59" s="6">
        <f>DD$1*'survival matrix'!DD59</f>
        <v>0</v>
      </c>
      <c r="DE59" s="6">
        <f>DE$1*'survival matrix'!DE59</f>
        <v>0</v>
      </c>
      <c r="DF59" s="6">
        <f>DF$1*'survival matrix'!DF59</f>
        <v>0</v>
      </c>
      <c r="DG59" s="6">
        <f>DG$1*'survival matrix'!DG59</f>
        <v>0</v>
      </c>
      <c r="DH59" s="6">
        <f>DH$1*'survival matrix'!DH59</f>
        <v>0</v>
      </c>
      <c r="DI59" s="6">
        <f>DI$1*'survival matrix'!DI59</f>
        <v>0</v>
      </c>
      <c r="DJ59" s="6">
        <f>DJ$1*'survival matrix'!DJ59</f>
        <v>0</v>
      </c>
      <c r="DK59" s="6">
        <f>DK$1*'survival matrix'!DK59</f>
        <v>0</v>
      </c>
      <c r="DL59" s="6">
        <f>DL$1*'survival matrix'!DL59</f>
        <v>0</v>
      </c>
      <c r="DM59" s="6">
        <f>DM$1*'survival matrix'!DM59</f>
        <v>0</v>
      </c>
      <c r="DN59" s="6">
        <f>DN$1*'survival matrix'!DN59</f>
        <v>0</v>
      </c>
      <c r="DO59" s="6">
        <f>DO$1*'survival matrix'!DO59</f>
        <v>0</v>
      </c>
      <c r="DP59" s="6">
        <f>DP$1*'survival matrix'!DP59</f>
        <v>0</v>
      </c>
      <c r="DQ59" s="6">
        <f>DQ$1*'survival matrix'!DQ59</f>
        <v>0</v>
      </c>
      <c r="DR59" s="6">
        <f>DR$1*'survival matrix'!DR59</f>
        <v>0</v>
      </c>
      <c r="DS59" s="6">
        <f>DS$1*'survival matrix'!DS59</f>
        <v>0</v>
      </c>
      <c r="DT59" s="6">
        <f>DT$1*'survival matrix'!DT59</f>
        <v>0</v>
      </c>
      <c r="DU59" s="6">
        <f>DU$1*'survival matrix'!DU59</f>
        <v>0</v>
      </c>
      <c r="DV59" s="6">
        <f>DV$1*'survival matrix'!DV59</f>
        <v>0</v>
      </c>
      <c r="DW59" s="6">
        <f>DW$1*'survival matrix'!DW59</f>
        <v>0</v>
      </c>
      <c r="DX59" s="6">
        <f>DX$1*'survival matrix'!DX59</f>
        <v>0</v>
      </c>
      <c r="DY59" s="6">
        <f>DY$1*'survival matrix'!DY59</f>
        <v>0</v>
      </c>
      <c r="DZ59" s="6">
        <f>DZ$1*'survival matrix'!DZ59</f>
        <v>0</v>
      </c>
      <c r="EA59" s="6">
        <f>EA$1*'survival matrix'!EA59</f>
        <v>0</v>
      </c>
      <c r="EB59" s="6">
        <f>EB$1*'survival matrix'!EB59</f>
        <v>0</v>
      </c>
      <c r="EC59" s="6">
        <f>EC$1*'survival matrix'!EC59</f>
        <v>0</v>
      </c>
    </row>
    <row r="60" spans="1:133">
      <c r="A60" s="12">
        <f>'data input'!C60-B60</f>
        <v>64142.207803128869</v>
      </c>
      <c r="B60" s="14">
        <f t="shared" si="2"/>
        <v>165090.27087156754</v>
      </c>
      <c r="C60" s="11">
        <f>SUM(F60:EC60)</f>
        <v>5424542.3674995108</v>
      </c>
      <c r="E60" s="7">
        <f>'data input'!B60</f>
        <v>1935</v>
      </c>
      <c r="F60" s="6">
        <f>F$1*'survival matrix'!F60</f>
        <v>328.80776513689926</v>
      </c>
      <c r="G60" s="6">
        <f>G$1*'survival matrix'!G60</f>
        <v>751.02107837861888</v>
      </c>
      <c r="H60" s="6">
        <f>H$1*'survival matrix'!H60</f>
        <v>1279.2172624135644</v>
      </c>
      <c r="I60" s="6">
        <f>I$1*'survival matrix'!I60</f>
        <v>1929.0863132426002</v>
      </c>
      <c r="J60" s="6">
        <f>J$1*'survival matrix'!J60</f>
        <v>2715.1581119094826</v>
      </c>
      <c r="K60" s="6">
        <f>K$1*'survival matrix'!K60</f>
        <v>3652.5414877460275</v>
      </c>
      <c r="L60" s="6">
        <f>L$1*'survival matrix'!L60</f>
        <v>4757.4969656344456</v>
      </c>
      <c r="M60" s="6">
        <f>M$1*'survival matrix'!M60</f>
        <v>6043.8931950676497</v>
      </c>
      <c r="N60" s="6">
        <f>N$1*'survival matrix'!N60</f>
        <v>7522.6556314645868</v>
      </c>
      <c r="O60" s="6">
        <f>O$1*'survival matrix'!O60</f>
        <v>9203.8892478100024</v>
      </c>
      <c r="P60" s="6">
        <f>P$1*'survival matrix'!P60</f>
        <v>11101.725480640778</v>
      </c>
      <c r="Q60" s="6">
        <f>Q$1*'survival matrix'!Q60</f>
        <v>13228.585034683998</v>
      </c>
      <c r="R60" s="6">
        <f>R$1*'survival matrix'!R60</f>
        <v>15591.682674468222</v>
      </c>
      <c r="S60" s="6">
        <f>S$1*'survival matrix'!S60</f>
        <v>18193.479336988519</v>
      </c>
      <c r="T60" s="6">
        <f>T$1*'survival matrix'!T60</f>
        <v>21032.537548771732</v>
      </c>
      <c r="U60" s="6">
        <f>U$1*'survival matrix'!U60</f>
        <v>24111.007249101054</v>
      </c>
      <c r="V60" s="6">
        <f>V$1*'survival matrix'!V60</f>
        <v>27422.094783089837</v>
      </c>
      <c r="W60" s="6">
        <f>W$1*'survival matrix'!W60</f>
        <v>30964.354964008082</v>
      </c>
      <c r="X60" s="6">
        <f>X$1*'survival matrix'!X60</f>
        <v>34729.377909782852</v>
      </c>
      <c r="Y60" s="6">
        <f>Y$1*'survival matrix'!Y60</f>
        <v>38703.677293016292</v>
      </c>
      <c r="Z60" s="6">
        <f>Z$1*'survival matrix'!Z60</f>
        <v>42876.261698166432</v>
      </c>
      <c r="AA60" s="6">
        <f>AA$1*'survival matrix'!AA60</f>
        <v>47231.840864099511</v>
      </c>
      <c r="AB60" s="6">
        <f>AB$1*'survival matrix'!AB60</f>
        <v>51746.941957873962</v>
      </c>
      <c r="AC60" s="6">
        <f>AC$1*'survival matrix'!AC60</f>
        <v>56631.784512477854</v>
      </c>
      <c r="AD60" s="6">
        <f>AD$1*'survival matrix'!AD60</f>
        <v>62179.855914686254</v>
      </c>
      <c r="AE60" s="6">
        <f>AE$1*'survival matrix'!AE60</f>
        <v>67833.43613069439</v>
      </c>
      <c r="AF60" s="6">
        <f>AF$1*'survival matrix'!AF60</f>
        <v>72915.076380771541</v>
      </c>
      <c r="AG60" s="6">
        <f>AG$1*'survival matrix'!AG60</f>
        <v>78278.764881334791</v>
      </c>
      <c r="AH60" s="6">
        <f>AH$1*'survival matrix'!AH60</f>
        <v>83412.272539470374</v>
      </c>
      <c r="AI60" s="6">
        <f>AI$1*'survival matrix'!AI60</f>
        <v>90416.319615738626</v>
      </c>
      <c r="AJ60" s="6">
        <f>AJ$1*'survival matrix'!AJ60</f>
        <v>95987.355959140739</v>
      </c>
      <c r="AK60" s="6">
        <f>AK$1*'survival matrix'!AK60</f>
        <v>101084.33539673399</v>
      </c>
      <c r="AL60" s="6">
        <f>AL$1*'survival matrix'!AL60</f>
        <v>106276.04845836847</v>
      </c>
      <c r="AM60" s="6">
        <f>AM$1*'survival matrix'!AM60</f>
        <v>111573.18255128169</v>
      </c>
      <c r="AN60" s="6">
        <f>AN$1*'survival matrix'!AN60</f>
        <v>115639.23483805725</v>
      </c>
      <c r="AO60" s="6">
        <f>AO$1*'survival matrix'!AO60</f>
        <v>119467.8000663229</v>
      </c>
      <c r="AP60" s="6">
        <f>AP$1*'survival matrix'!AP60</f>
        <v>122652.25304702268</v>
      </c>
      <c r="AQ60" s="6">
        <f>AQ$1*'survival matrix'!AQ60</f>
        <v>126425.53654555579</v>
      </c>
      <c r="AR60" s="6">
        <f>AR$1*'survival matrix'!AR60</f>
        <v>130846.12022115088</v>
      </c>
      <c r="AS60" s="6">
        <f>AS$1*'survival matrix'!AS60</f>
        <v>135154.87706632665</v>
      </c>
      <c r="AT60" s="6">
        <f>AT$1*'survival matrix'!AT60</f>
        <v>140798.41424592861</v>
      </c>
      <c r="AU60" s="6">
        <f>AU$1*'survival matrix'!AU60</f>
        <v>146522.06981823457</v>
      </c>
      <c r="AV60" s="6">
        <f>AV$1*'survival matrix'!AV60</f>
        <v>151233.59878642063</v>
      </c>
      <c r="AW60" s="6">
        <f>AW$1*'survival matrix'!AW60</f>
        <v>156268.6042982371</v>
      </c>
      <c r="AX60" s="6">
        <f>AX$1*'survival matrix'!AX60</f>
        <v>161183.3676218843</v>
      </c>
      <c r="AY60" s="6">
        <f>AY$1*'survival matrix'!AY60</f>
        <v>167111.40529934884</v>
      </c>
      <c r="AZ60" s="6">
        <f>AZ$1*'survival matrix'!AZ60</f>
        <v>172496.69360608069</v>
      </c>
      <c r="BA60" s="6">
        <f>BA$1*'survival matrix'!BA60</f>
        <v>177126.56990352104</v>
      </c>
      <c r="BB60" s="6">
        <f>BB$1*'survival matrix'!BB60</f>
        <v>182446.08001880787</v>
      </c>
      <c r="BC60" s="6">
        <f>BC$1*'survival matrix'!BC60</f>
        <v>187893.04525198278</v>
      </c>
      <c r="BD60" s="6">
        <f>BD$1*'survival matrix'!BD60</f>
        <v>193779.99015122504</v>
      </c>
      <c r="BE60" s="6">
        <f>BE$1*'survival matrix'!BE60</f>
        <v>199418.5082019261</v>
      </c>
      <c r="BF60" s="6">
        <f>BF$1*'survival matrix'!BF60</f>
        <v>204052.69185412431</v>
      </c>
      <c r="BG60" s="6">
        <f>BG$1*'survival matrix'!BG60</f>
        <v>208645.49168008592</v>
      </c>
      <c r="BH60" s="6">
        <f>BH$1*'survival matrix'!BH60</f>
        <v>213143.9180870596</v>
      </c>
      <c r="BI60" s="6">
        <f>BI$1*'survival matrix'!BI60</f>
        <v>218118.13976670016</v>
      </c>
      <c r="BJ60" s="6">
        <f>BJ$1*'survival matrix'!BJ60</f>
        <v>223489.15272636659</v>
      </c>
      <c r="BK60" s="6">
        <f>BK$1*'survival matrix'!BK60</f>
        <v>228923.03820294773</v>
      </c>
      <c r="BL60" s="6">
        <f>BL$1*'survival matrix'!BL60</f>
        <v>0</v>
      </c>
      <c r="BM60" s="6">
        <f>BM$1*'survival matrix'!BM60</f>
        <v>0</v>
      </c>
      <c r="BN60" s="6">
        <f>BN$1*'survival matrix'!BN60</f>
        <v>0</v>
      </c>
      <c r="BO60" s="6">
        <f>BO$1*'survival matrix'!BO60</f>
        <v>0</v>
      </c>
      <c r="BP60" s="6">
        <f>BP$1*'survival matrix'!BP60</f>
        <v>0</v>
      </c>
      <c r="BQ60" s="6">
        <f>BQ$1*'survival matrix'!BQ60</f>
        <v>0</v>
      </c>
      <c r="BR60" s="6">
        <f>BR$1*'survival matrix'!BR60</f>
        <v>0</v>
      </c>
      <c r="BS60" s="6">
        <f>BS$1*'survival matrix'!BS60</f>
        <v>0</v>
      </c>
      <c r="BT60" s="6">
        <f>BT$1*'survival matrix'!BT60</f>
        <v>0</v>
      </c>
      <c r="BU60" s="6">
        <f>BU$1*'survival matrix'!BU60</f>
        <v>0</v>
      </c>
      <c r="BV60" s="6">
        <f>BV$1*'survival matrix'!BV60</f>
        <v>0</v>
      </c>
      <c r="BW60" s="6">
        <f>BW$1*'survival matrix'!BW60</f>
        <v>0</v>
      </c>
      <c r="BX60" s="6">
        <f>BX$1*'survival matrix'!BX60</f>
        <v>0</v>
      </c>
      <c r="BY60" s="6">
        <f>BY$1*'survival matrix'!BY60</f>
        <v>0</v>
      </c>
      <c r="BZ60" s="6">
        <f>BZ$1*'survival matrix'!BZ60</f>
        <v>0</v>
      </c>
      <c r="CA60" s="6">
        <f>CA$1*'survival matrix'!CA60</f>
        <v>0</v>
      </c>
      <c r="CB60" s="6">
        <f>CB$1*'survival matrix'!CB60</f>
        <v>0</v>
      </c>
      <c r="CC60" s="6">
        <f>CC$1*'survival matrix'!CC60</f>
        <v>0</v>
      </c>
      <c r="CD60" s="6">
        <f>CD$1*'survival matrix'!CD60</f>
        <v>0</v>
      </c>
      <c r="CE60" s="6">
        <f>CE$1*'survival matrix'!CE60</f>
        <v>0</v>
      </c>
      <c r="CF60" s="6">
        <f>CF$1*'survival matrix'!CF60</f>
        <v>0</v>
      </c>
      <c r="CG60" s="6">
        <f>CG$1*'survival matrix'!CG60</f>
        <v>0</v>
      </c>
      <c r="CH60" s="6">
        <f>CH$1*'survival matrix'!CH60</f>
        <v>0</v>
      </c>
      <c r="CI60" s="6">
        <f>CI$1*'survival matrix'!CI60</f>
        <v>0</v>
      </c>
      <c r="CJ60" s="6">
        <f>CJ$1*'survival matrix'!CJ60</f>
        <v>0</v>
      </c>
      <c r="CK60" s="6">
        <f>CK$1*'survival matrix'!CK60</f>
        <v>0</v>
      </c>
      <c r="CL60" s="6">
        <f>CL$1*'survival matrix'!CL60</f>
        <v>0</v>
      </c>
      <c r="CM60" s="6">
        <f>CM$1*'survival matrix'!CM60</f>
        <v>0</v>
      </c>
      <c r="CN60" s="6">
        <f>CN$1*'survival matrix'!CN60</f>
        <v>0</v>
      </c>
      <c r="CO60" s="6">
        <f>CO$1*'survival matrix'!CO60</f>
        <v>0</v>
      </c>
      <c r="CP60" s="6">
        <f>CP$1*'survival matrix'!CP60</f>
        <v>0</v>
      </c>
      <c r="CQ60" s="6">
        <f>CQ$1*'survival matrix'!CQ60</f>
        <v>0</v>
      </c>
      <c r="CR60" s="6">
        <f>CR$1*'survival matrix'!CR60</f>
        <v>0</v>
      </c>
      <c r="CS60" s="6">
        <f>CS$1*'survival matrix'!CS60</f>
        <v>0</v>
      </c>
      <c r="CT60" s="6">
        <f>CT$1*'survival matrix'!CT60</f>
        <v>0</v>
      </c>
      <c r="CU60" s="6">
        <f>CU$1*'survival matrix'!CU60</f>
        <v>0</v>
      </c>
      <c r="CV60" s="6">
        <f>CV$1*'survival matrix'!CV60</f>
        <v>0</v>
      </c>
      <c r="CW60" s="6">
        <f>CW$1*'survival matrix'!CW60</f>
        <v>0</v>
      </c>
      <c r="CX60" s="6">
        <f>CX$1*'survival matrix'!CX60</f>
        <v>0</v>
      </c>
      <c r="CY60" s="6">
        <f>CY$1*'survival matrix'!CY60</f>
        <v>0</v>
      </c>
      <c r="CZ60" s="6">
        <f>CZ$1*'survival matrix'!CZ60</f>
        <v>0</v>
      </c>
      <c r="DA60" s="6">
        <f>DA$1*'survival matrix'!DA60</f>
        <v>0</v>
      </c>
      <c r="DB60" s="6">
        <f>DB$1*'survival matrix'!DB60</f>
        <v>0</v>
      </c>
      <c r="DC60" s="6">
        <f>DC$1*'survival matrix'!DC60</f>
        <v>0</v>
      </c>
      <c r="DD60" s="6">
        <f>DD$1*'survival matrix'!DD60</f>
        <v>0</v>
      </c>
      <c r="DE60" s="6">
        <f>DE$1*'survival matrix'!DE60</f>
        <v>0</v>
      </c>
      <c r="DF60" s="6">
        <f>DF$1*'survival matrix'!DF60</f>
        <v>0</v>
      </c>
      <c r="DG60" s="6">
        <f>DG$1*'survival matrix'!DG60</f>
        <v>0</v>
      </c>
      <c r="DH60" s="6">
        <f>DH$1*'survival matrix'!DH60</f>
        <v>0</v>
      </c>
      <c r="DI60" s="6">
        <f>DI$1*'survival matrix'!DI60</f>
        <v>0</v>
      </c>
      <c r="DJ60" s="6">
        <f>DJ$1*'survival matrix'!DJ60</f>
        <v>0</v>
      </c>
      <c r="DK60" s="6">
        <f>DK$1*'survival matrix'!DK60</f>
        <v>0</v>
      </c>
      <c r="DL60" s="6">
        <f>DL$1*'survival matrix'!DL60</f>
        <v>0</v>
      </c>
      <c r="DM60" s="6">
        <f>DM$1*'survival matrix'!DM60</f>
        <v>0</v>
      </c>
      <c r="DN60" s="6">
        <f>DN$1*'survival matrix'!DN60</f>
        <v>0</v>
      </c>
      <c r="DO60" s="6">
        <f>DO$1*'survival matrix'!DO60</f>
        <v>0</v>
      </c>
      <c r="DP60" s="6">
        <f>DP$1*'survival matrix'!DP60</f>
        <v>0</v>
      </c>
      <c r="DQ60" s="6">
        <f>DQ$1*'survival matrix'!DQ60</f>
        <v>0</v>
      </c>
      <c r="DR60" s="6">
        <f>DR$1*'survival matrix'!DR60</f>
        <v>0</v>
      </c>
      <c r="DS60" s="6">
        <f>DS$1*'survival matrix'!DS60</f>
        <v>0</v>
      </c>
      <c r="DT60" s="6">
        <f>DT$1*'survival matrix'!DT60</f>
        <v>0</v>
      </c>
      <c r="DU60" s="6">
        <f>DU$1*'survival matrix'!DU60</f>
        <v>0</v>
      </c>
      <c r="DV60" s="6">
        <f>DV$1*'survival matrix'!DV60</f>
        <v>0</v>
      </c>
      <c r="DW60" s="6">
        <f>DW$1*'survival matrix'!DW60</f>
        <v>0</v>
      </c>
      <c r="DX60" s="6">
        <f>DX$1*'survival matrix'!DX60</f>
        <v>0</v>
      </c>
      <c r="DY60" s="6">
        <f>DY$1*'survival matrix'!DY60</f>
        <v>0</v>
      </c>
      <c r="DZ60" s="6">
        <f>DZ$1*'survival matrix'!DZ60</f>
        <v>0</v>
      </c>
      <c r="EA60" s="6">
        <f>EA$1*'survival matrix'!EA60</f>
        <v>0</v>
      </c>
      <c r="EB60" s="6">
        <f>EB$1*'survival matrix'!EB60</f>
        <v>0</v>
      </c>
      <c r="EC60" s="6">
        <f>EC$1*'survival matrix'!EC60</f>
        <v>0</v>
      </c>
    </row>
    <row r="61" spans="1:133">
      <c r="A61" s="12">
        <f>'data input'!C61-B61</f>
        <v>67512.943745675322</v>
      </c>
      <c r="B61" s="14">
        <f t="shared" si="2"/>
        <v>167874.16170202568</v>
      </c>
      <c r="C61" s="11">
        <f>SUM(F61:EC61)</f>
        <v>5592416.5292015364</v>
      </c>
      <c r="E61" s="7">
        <f>'data input'!B61</f>
        <v>1936</v>
      </c>
      <c r="F61" s="6">
        <f>F$1*'survival matrix'!F61</f>
        <v>287.69931195291531</v>
      </c>
      <c r="G61" s="6">
        <f>G$1*'survival matrix'!G61</f>
        <v>660.20222702223055</v>
      </c>
      <c r="H61" s="6">
        <f>H$1*'survival matrix'!H61</f>
        <v>1129.7413871474471</v>
      </c>
      <c r="I61" s="6">
        <f>I$1*'survival matrix'!I61</f>
        <v>1711.5006449164789</v>
      </c>
      <c r="J61" s="6">
        <f>J$1*'survival matrix'!J61</f>
        <v>2419.864326324006</v>
      </c>
      <c r="K61" s="6">
        <f>K$1*'survival matrix'!K61</f>
        <v>3269.9437750321117</v>
      </c>
      <c r="L61" s="6">
        <f>L$1*'survival matrix'!L61</f>
        <v>4278.0960268685185</v>
      </c>
      <c r="M61" s="6">
        <f>M$1*'survival matrix'!M61</f>
        <v>5458.7368764254243</v>
      </c>
      <c r="N61" s="6">
        <f>N$1*'survival matrix'!N61</f>
        <v>6823.7831338261731</v>
      </c>
      <c r="O61" s="6">
        <f>O$1*'survival matrix'!O61</f>
        <v>8384.5179921459257</v>
      </c>
      <c r="P61" s="6">
        <f>P$1*'survival matrix'!P61</f>
        <v>10155.997938204684</v>
      </c>
      <c r="Q61" s="6">
        <f>Q$1*'survival matrix'!Q61</f>
        <v>12151.846720400144</v>
      </c>
      <c r="R61" s="6">
        <f>R$1*'survival matrix'!R61</f>
        <v>14380.984310006292</v>
      </c>
      <c r="S61" s="6">
        <f>S$1*'survival matrix'!S61</f>
        <v>16847.933732332316</v>
      </c>
      <c r="T61" s="6">
        <f>T$1*'survival matrix'!T61</f>
        <v>19553.515791447669</v>
      </c>
      <c r="U61" s="6">
        <f>U$1*'survival matrix'!U61</f>
        <v>22501.75347304955</v>
      </c>
      <c r="V61" s="6">
        <f>V$1*'survival matrix'!V61</f>
        <v>25688.186385191999</v>
      </c>
      <c r="W61" s="6">
        <f>W$1*'survival matrix'!W61</f>
        <v>29113.142081474922</v>
      </c>
      <c r="X61" s="6">
        <f>X$1*'survival matrix'!X61</f>
        <v>32770.201945203924</v>
      </c>
      <c r="Y61" s="6">
        <f>Y$1*'survival matrix'!Y61</f>
        <v>36647.86545347068</v>
      </c>
      <c r="Z61" s="6">
        <f>Z$1*'survival matrix'!Z61</f>
        <v>40736.659559142645</v>
      </c>
      <c r="AA61" s="6">
        <f>AA$1*'survival matrix'!AA61</f>
        <v>45022.705079263265</v>
      </c>
      <c r="AB61" s="6">
        <f>AB$1*'survival matrix'!AB61</f>
        <v>49483.94082837677</v>
      </c>
      <c r="AC61" s="6">
        <f>AC$1*'survival matrix'!AC61</f>
        <v>54322.022654622509</v>
      </c>
      <c r="AD61" s="6">
        <f>AD$1*'survival matrix'!AD61</f>
        <v>59820.954831605486</v>
      </c>
      <c r="AE61" s="6">
        <f>AE$1*'survival matrix'!AE61</f>
        <v>65446.429393812883</v>
      </c>
      <c r="AF61" s="6">
        <f>AF$1*'survival matrix'!AF61</f>
        <v>70541.937690381019</v>
      </c>
      <c r="AG61" s="6">
        <f>AG$1*'survival matrix'!AG61</f>
        <v>75929.455484817474</v>
      </c>
      <c r="AH61" s="6">
        <f>AH$1*'survival matrix'!AH61</f>
        <v>81111.04979732944</v>
      </c>
      <c r="AI61" s="6">
        <f>AI$1*'survival matrix'!AI61</f>
        <v>88130.738007356165</v>
      </c>
      <c r="AJ61" s="6">
        <f>AJ$1*'survival matrix'!AJ61</f>
        <v>93771.609130600467</v>
      </c>
      <c r="AK61" s="6">
        <f>AK$1*'survival matrix'!AK61</f>
        <v>98960.958446610326</v>
      </c>
      <c r="AL61" s="6">
        <f>AL$1*'survival matrix'!AL61</f>
        <v>104251.89912327606</v>
      </c>
      <c r="AM61" s="6">
        <f>AM$1*'survival matrix'!AM61</f>
        <v>109653.61378184035</v>
      </c>
      <c r="AN61" s="6">
        <f>AN$1*'survival matrix'!AN61</f>
        <v>113849.02076695084</v>
      </c>
      <c r="AO61" s="6">
        <f>AO$1*'survival matrix'!AO61</f>
        <v>117810.22655237344</v>
      </c>
      <c r="AP61" s="6">
        <f>AP$1*'survival matrix'!AP61</f>
        <v>121133.33654570479</v>
      </c>
      <c r="AQ61" s="6">
        <f>AQ$1*'survival matrix'!AQ61</f>
        <v>125034.00505579334</v>
      </c>
      <c r="AR61" s="6">
        <f>AR$1*'survival matrix'!AR61</f>
        <v>129571.64042753079</v>
      </c>
      <c r="AS61" s="6">
        <f>AS$1*'survival matrix'!AS61</f>
        <v>133995.07483016921</v>
      </c>
      <c r="AT61" s="6">
        <f>AT$1*'survival matrix'!AT61</f>
        <v>139738.79351029644</v>
      </c>
      <c r="AU61" s="6">
        <f>AU$1*'survival matrix'!AU61</f>
        <v>145559.49895068305</v>
      </c>
      <c r="AV61" s="6">
        <f>AV$1*'survival matrix'!AV61</f>
        <v>150370.44166508233</v>
      </c>
      <c r="AW61" s="6">
        <f>AW$1*'survival matrix'!AW61</f>
        <v>155497.48620183309</v>
      </c>
      <c r="AX61" s="6">
        <f>AX$1*'survival matrix'!AX61</f>
        <v>160499.08437130452</v>
      </c>
      <c r="AY61" s="6">
        <f>AY$1*'survival matrix'!AY61</f>
        <v>166504.09167970932</v>
      </c>
      <c r="AZ61" s="6">
        <f>AZ$1*'survival matrix'!AZ61</f>
        <v>171962.77869919786</v>
      </c>
      <c r="BA61" s="6">
        <f>BA$1*'survival matrix'!BA61</f>
        <v>176662.02961313346</v>
      </c>
      <c r="BB61" s="6">
        <f>BB$1*'survival matrix'!BB61</f>
        <v>182042.75032223095</v>
      </c>
      <c r="BC61" s="6">
        <f>BC$1*'survival matrix'!BC61</f>
        <v>187544.75929060849</v>
      </c>
      <c r="BD61" s="6">
        <f>BD$1*'survival matrix'!BD61</f>
        <v>193480.40115800322</v>
      </c>
      <c r="BE61" s="6">
        <f>BE$1*'survival matrix'!BE61</f>
        <v>199162.73981596302</v>
      </c>
      <c r="BF61" s="6">
        <f>BF$1*'survival matrix'!BF61</f>
        <v>203836.74645196542</v>
      </c>
      <c r="BG61" s="6">
        <f>BG$1*'survival matrix'!BG61</f>
        <v>208464.28607991521</v>
      </c>
      <c r="BH61" s="6">
        <f>BH$1*'survival matrix'!BH61</f>
        <v>212992.83211112788</v>
      </c>
      <c r="BI61" s="6">
        <f>BI$1*'survival matrix'!BI61</f>
        <v>217992.63858095353</v>
      </c>
      <c r="BJ61" s="6">
        <f>BJ$1*'survival matrix'!BJ61</f>
        <v>223385.34641661038</v>
      </c>
      <c r="BK61" s="6">
        <f>BK$1*'survival matrix'!BK61</f>
        <v>228837.67590553145</v>
      </c>
      <c r="BL61" s="6">
        <f>BL$1*'survival matrix'!BL61</f>
        <v>235069.35685738604</v>
      </c>
      <c r="BM61" s="6">
        <f>BM$1*'survival matrix'!BM61</f>
        <v>0</v>
      </c>
      <c r="BN61" s="6">
        <f>BN$1*'survival matrix'!BN61</f>
        <v>0</v>
      </c>
      <c r="BO61" s="6">
        <f>BO$1*'survival matrix'!BO61</f>
        <v>0</v>
      </c>
      <c r="BP61" s="6">
        <f>BP$1*'survival matrix'!BP61</f>
        <v>0</v>
      </c>
      <c r="BQ61" s="6">
        <f>BQ$1*'survival matrix'!BQ61</f>
        <v>0</v>
      </c>
      <c r="BR61" s="6">
        <f>BR$1*'survival matrix'!BR61</f>
        <v>0</v>
      </c>
      <c r="BS61" s="6">
        <f>BS$1*'survival matrix'!BS61</f>
        <v>0</v>
      </c>
      <c r="BT61" s="6">
        <f>BT$1*'survival matrix'!BT61</f>
        <v>0</v>
      </c>
      <c r="BU61" s="6">
        <f>BU$1*'survival matrix'!BU61</f>
        <v>0</v>
      </c>
      <c r="BV61" s="6">
        <f>BV$1*'survival matrix'!BV61</f>
        <v>0</v>
      </c>
      <c r="BW61" s="6">
        <f>BW$1*'survival matrix'!BW61</f>
        <v>0</v>
      </c>
      <c r="BX61" s="6">
        <f>BX$1*'survival matrix'!BX61</f>
        <v>0</v>
      </c>
      <c r="BY61" s="6">
        <f>BY$1*'survival matrix'!BY61</f>
        <v>0</v>
      </c>
      <c r="BZ61" s="6">
        <f>BZ$1*'survival matrix'!BZ61</f>
        <v>0</v>
      </c>
      <c r="CA61" s="6">
        <f>CA$1*'survival matrix'!CA61</f>
        <v>0</v>
      </c>
      <c r="CB61" s="6">
        <f>CB$1*'survival matrix'!CB61</f>
        <v>0</v>
      </c>
      <c r="CC61" s="6">
        <f>CC$1*'survival matrix'!CC61</f>
        <v>0</v>
      </c>
      <c r="CD61" s="6">
        <f>CD$1*'survival matrix'!CD61</f>
        <v>0</v>
      </c>
      <c r="CE61" s="6">
        <f>CE$1*'survival matrix'!CE61</f>
        <v>0</v>
      </c>
      <c r="CF61" s="6">
        <f>CF$1*'survival matrix'!CF61</f>
        <v>0</v>
      </c>
      <c r="CG61" s="6">
        <f>CG$1*'survival matrix'!CG61</f>
        <v>0</v>
      </c>
      <c r="CH61" s="6">
        <f>CH$1*'survival matrix'!CH61</f>
        <v>0</v>
      </c>
      <c r="CI61" s="6">
        <f>CI$1*'survival matrix'!CI61</f>
        <v>0</v>
      </c>
      <c r="CJ61" s="6">
        <f>CJ$1*'survival matrix'!CJ61</f>
        <v>0</v>
      </c>
      <c r="CK61" s="6">
        <f>CK$1*'survival matrix'!CK61</f>
        <v>0</v>
      </c>
      <c r="CL61" s="6">
        <f>CL$1*'survival matrix'!CL61</f>
        <v>0</v>
      </c>
      <c r="CM61" s="6">
        <f>CM$1*'survival matrix'!CM61</f>
        <v>0</v>
      </c>
      <c r="CN61" s="6">
        <f>CN$1*'survival matrix'!CN61</f>
        <v>0</v>
      </c>
      <c r="CO61" s="6">
        <f>CO$1*'survival matrix'!CO61</f>
        <v>0</v>
      </c>
      <c r="CP61" s="6">
        <f>CP$1*'survival matrix'!CP61</f>
        <v>0</v>
      </c>
      <c r="CQ61" s="6">
        <f>CQ$1*'survival matrix'!CQ61</f>
        <v>0</v>
      </c>
      <c r="CR61" s="6">
        <f>CR$1*'survival matrix'!CR61</f>
        <v>0</v>
      </c>
      <c r="CS61" s="6">
        <f>CS$1*'survival matrix'!CS61</f>
        <v>0</v>
      </c>
      <c r="CT61" s="6">
        <f>CT$1*'survival matrix'!CT61</f>
        <v>0</v>
      </c>
      <c r="CU61" s="6">
        <f>CU$1*'survival matrix'!CU61</f>
        <v>0</v>
      </c>
      <c r="CV61" s="6">
        <f>CV$1*'survival matrix'!CV61</f>
        <v>0</v>
      </c>
      <c r="CW61" s="6">
        <f>CW$1*'survival matrix'!CW61</f>
        <v>0</v>
      </c>
      <c r="CX61" s="6">
        <f>CX$1*'survival matrix'!CX61</f>
        <v>0</v>
      </c>
      <c r="CY61" s="6">
        <f>CY$1*'survival matrix'!CY61</f>
        <v>0</v>
      </c>
      <c r="CZ61" s="6">
        <f>CZ$1*'survival matrix'!CZ61</f>
        <v>0</v>
      </c>
      <c r="DA61" s="6">
        <f>DA$1*'survival matrix'!DA61</f>
        <v>0</v>
      </c>
      <c r="DB61" s="6">
        <f>DB$1*'survival matrix'!DB61</f>
        <v>0</v>
      </c>
      <c r="DC61" s="6">
        <f>DC$1*'survival matrix'!DC61</f>
        <v>0</v>
      </c>
      <c r="DD61" s="6">
        <f>DD$1*'survival matrix'!DD61</f>
        <v>0</v>
      </c>
      <c r="DE61" s="6">
        <f>DE$1*'survival matrix'!DE61</f>
        <v>0</v>
      </c>
      <c r="DF61" s="6">
        <f>DF$1*'survival matrix'!DF61</f>
        <v>0</v>
      </c>
      <c r="DG61" s="6">
        <f>DG$1*'survival matrix'!DG61</f>
        <v>0</v>
      </c>
      <c r="DH61" s="6">
        <f>DH$1*'survival matrix'!DH61</f>
        <v>0</v>
      </c>
      <c r="DI61" s="6">
        <f>DI$1*'survival matrix'!DI61</f>
        <v>0</v>
      </c>
      <c r="DJ61" s="6">
        <f>DJ$1*'survival matrix'!DJ61</f>
        <v>0</v>
      </c>
      <c r="DK61" s="6">
        <f>DK$1*'survival matrix'!DK61</f>
        <v>0</v>
      </c>
      <c r="DL61" s="6">
        <f>DL$1*'survival matrix'!DL61</f>
        <v>0</v>
      </c>
      <c r="DM61" s="6">
        <f>DM$1*'survival matrix'!DM61</f>
        <v>0</v>
      </c>
      <c r="DN61" s="6">
        <f>DN$1*'survival matrix'!DN61</f>
        <v>0</v>
      </c>
      <c r="DO61" s="6">
        <f>DO$1*'survival matrix'!DO61</f>
        <v>0</v>
      </c>
      <c r="DP61" s="6">
        <f>DP$1*'survival matrix'!DP61</f>
        <v>0</v>
      </c>
      <c r="DQ61" s="6">
        <f>DQ$1*'survival matrix'!DQ61</f>
        <v>0</v>
      </c>
      <c r="DR61" s="6">
        <f>DR$1*'survival matrix'!DR61</f>
        <v>0</v>
      </c>
      <c r="DS61" s="6">
        <f>DS$1*'survival matrix'!DS61</f>
        <v>0</v>
      </c>
      <c r="DT61" s="6">
        <f>DT$1*'survival matrix'!DT61</f>
        <v>0</v>
      </c>
      <c r="DU61" s="6">
        <f>DU$1*'survival matrix'!DU61</f>
        <v>0</v>
      </c>
      <c r="DV61" s="6">
        <f>DV$1*'survival matrix'!DV61</f>
        <v>0</v>
      </c>
      <c r="DW61" s="6">
        <f>DW$1*'survival matrix'!DW61</f>
        <v>0</v>
      </c>
      <c r="DX61" s="6">
        <f>DX$1*'survival matrix'!DX61</f>
        <v>0</v>
      </c>
      <c r="DY61" s="6">
        <f>DY$1*'survival matrix'!DY61</f>
        <v>0</v>
      </c>
      <c r="DZ61" s="6">
        <f>DZ$1*'survival matrix'!DZ61</f>
        <v>0</v>
      </c>
      <c r="EA61" s="6">
        <f>EA$1*'survival matrix'!EA61</f>
        <v>0</v>
      </c>
      <c r="EB61" s="6">
        <f>EB$1*'survival matrix'!EB61</f>
        <v>0</v>
      </c>
      <c r="EC61" s="6">
        <f>EC$1*'survival matrix'!EC61</f>
        <v>0</v>
      </c>
    </row>
    <row r="62" spans="1:133">
      <c r="A62" s="12">
        <f>'data input'!C62-B62</f>
        <v>70940.273257857712</v>
      </c>
      <c r="B62" s="14">
        <f t="shared" si="2"/>
        <v>171505.17851063516</v>
      </c>
      <c r="C62" s="11">
        <f>SUM(F62:EC62)</f>
        <v>5763921.7077121716</v>
      </c>
      <c r="E62" s="7">
        <f>'data input'!B62</f>
        <v>1937</v>
      </c>
      <c r="F62" s="6">
        <f>F$1*'survival matrix'!F62</f>
        <v>250.54754926631028</v>
      </c>
      <c r="G62" s="6">
        <f>G$1*'survival matrix'!G62</f>
        <v>577.66192469632415</v>
      </c>
      <c r="H62" s="6">
        <f>H$1*'survival matrix'!H62</f>
        <v>993.1249617709301</v>
      </c>
      <c r="I62" s="6">
        <f>I$1*'survival matrix'!I62</f>
        <v>1511.5126800615244</v>
      </c>
      <c r="J62" s="6">
        <f>J$1*'survival matrix'!J62</f>
        <v>2146.9227823986289</v>
      </c>
      <c r="K62" s="6">
        <f>K$1*'survival matrix'!K62</f>
        <v>2914.3128923422541</v>
      </c>
      <c r="L62" s="6">
        <f>L$1*'survival matrix'!L62</f>
        <v>3829.9725051667992</v>
      </c>
      <c r="M62" s="6">
        <f>M$1*'survival matrix'!M62</f>
        <v>4908.6737651007597</v>
      </c>
      <c r="N62" s="6">
        <f>N$1*'survival matrix'!N62</f>
        <v>6163.1196030640385</v>
      </c>
      <c r="O62" s="6">
        <f>O$1*'survival matrix'!O62</f>
        <v>7605.5764430796407</v>
      </c>
      <c r="P62" s="6">
        <f>P$1*'survival matrix'!P62</f>
        <v>9251.8657220191635</v>
      </c>
      <c r="Q62" s="6">
        <f>Q$1*'survival matrix'!Q62</f>
        <v>11116.662040776737</v>
      </c>
      <c r="R62" s="6">
        <f>R$1*'survival matrix'!R62</f>
        <v>13210.44666269936</v>
      </c>
      <c r="S62" s="6">
        <f>S$1*'survival matrix'!S62</f>
        <v>15539.68713443948</v>
      </c>
      <c r="T62" s="6">
        <f>T$1*'survival matrix'!T62</f>
        <v>18107.385189300127</v>
      </c>
      <c r="U62" s="6">
        <f>U$1*'survival matrix'!U62</f>
        <v>20919.415493744429</v>
      </c>
      <c r="V62" s="6">
        <f>V$1*'survival matrix'!V62</f>
        <v>23973.666103513337</v>
      </c>
      <c r="W62" s="6">
        <f>W$1*'survival matrix'!W62</f>
        <v>27272.308186633632</v>
      </c>
      <c r="X62" s="6">
        <f>X$1*'survival matrix'!X62</f>
        <v>30811.025980625</v>
      </c>
      <c r="Y62" s="6">
        <f>Y$1*'survival matrix'!Y62</f>
        <v>34580.462537815889</v>
      </c>
      <c r="Z62" s="6">
        <f>Z$1*'survival matrix'!Z62</f>
        <v>38572.862398702389</v>
      </c>
      <c r="AA62" s="6">
        <f>AA$1*'survival matrix'!AA62</f>
        <v>42775.991576804437</v>
      </c>
      <c r="AB62" s="6">
        <f>AB$1*'survival matrix'!AB62</f>
        <v>47169.469436647101</v>
      </c>
      <c r="AC62" s="6">
        <f>AC$1*'survival matrix'!AC62</f>
        <v>51946.407903821222</v>
      </c>
      <c r="AD62" s="6">
        <f>AD$1*'survival matrix'!AD62</f>
        <v>57381.120717953527</v>
      </c>
      <c r="AE62" s="6">
        <f>AE$1*'survival matrix'!AE62</f>
        <v>62963.605159021266</v>
      </c>
      <c r="AF62" s="6">
        <f>AF$1*'survival matrix'!AF62</f>
        <v>68059.620855137851</v>
      </c>
      <c r="AG62" s="6">
        <f>AG$1*'survival matrix'!AG62</f>
        <v>73458.208967700426</v>
      </c>
      <c r="AH62" s="6">
        <f>AH$1*'survival matrix'!AH62</f>
        <v>78676.737608843599</v>
      </c>
      <c r="AI62" s="6">
        <f>AI$1*'survival matrix'!AI62</f>
        <v>85699.33969617571</v>
      </c>
      <c r="AJ62" s="6">
        <f>AJ$1*'survival matrix'!AJ62</f>
        <v>91401.211108117568</v>
      </c>
      <c r="AK62" s="6">
        <f>AK$1*'survival matrix'!AK62</f>
        <v>96676.569761909806</v>
      </c>
      <c r="AL62" s="6">
        <f>AL$1*'survival matrix'!AL62</f>
        <v>102061.98434828971</v>
      </c>
      <c r="AM62" s="6">
        <f>AM$1*'survival matrix'!AM62</f>
        <v>107565.13483812106</v>
      </c>
      <c r="AN62" s="6">
        <f>AN$1*'survival matrix'!AN62</f>
        <v>111890.29717676132</v>
      </c>
      <c r="AO62" s="6">
        <f>AO$1*'survival matrix'!AO62</f>
        <v>115986.40330077852</v>
      </c>
      <c r="AP62" s="6">
        <f>AP$1*'survival matrix'!AP62</f>
        <v>119452.65430159366</v>
      </c>
      <c r="AQ62" s="6">
        <f>AQ$1*'survival matrix'!AQ62</f>
        <v>123485.59311237556</v>
      </c>
      <c r="AR62" s="6">
        <f>AR$1*'survival matrix'!AR62</f>
        <v>128145.48062816053</v>
      </c>
      <c r="AS62" s="6">
        <f>AS$1*'survival matrix'!AS62</f>
        <v>132689.92329012335</v>
      </c>
      <c r="AT62" s="6">
        <f>AT$1*'survival matrix'!AT62</f>
        <v>138539.65539031837</v>
      </c>
      <c r="AU62" s="6">
        <f>AU$1*'survival matrix'!AU62</f>
        <v>144464.04724277553</v>
      </c>
      <c r="AV62" s="6">
        <f>AV$1*'survival matrix'!AV62</f>
        <v>149382.5890728604</v>
      </c>
      <c r="AW62" s="6">
        <f>AW$1*'survival matrix'!AW62</f>
        <v>154609.99318677321</v>
      </c>
      <c r="AX62" s="6">
        <f>AX$1*'survival matrix'!AX62</f>
        <v>159707.0906821641</v>
      </c>
      <c r="AY62" s="6">
        <f>AY$1*'survival matrix'!AY62</f>
        <v>165797.21997966702</v>
      </c>
      <c r="AZ62" s="6">
        <f>AZ$1*'survival matrix'!AZ62</f>
        <v>171337.83429526561</v>
      </c>
      <c r="BA62" s="6">
        <f>BA$1*'survival matrix'!BA62</f>
        <v>176115.22208239883</v>
      </c>
      <c r="BB62" s="6">
        <f>BB$1*'survival matrix'!BB62</f>
        <v>181565.3166309236</v>
      </c>
      <c r="BC62" s="6">
        <f>BC$1*'survival matrix'!BC62</f>
        <v>187130.15805142879</v>
      </c>
      <c r="BD62" s="6">
        <f>BD$1*'survival matrix'!BD62</f>
        <v>193121.75825329099</v>
      </c>
      <c r="BE62" s="6">
        <f>BE$1*'survival matrix'!BE62</f>
        <v>198854.82894930337</v>
      </c>
      <c r="BF62" s="6">
        <f>BF$1*'survival matrix'!BF62</f>
        <v>203575.31136196267</v>
      </c>
      <c r="BG62" s="6">
        <f>BG$1*'survival matrix'!BG62</f>
        <v>208243.67196458919</v>
      </c>
      <c r="BH62" s="6">
        <f>BH$1*'survival matrix'!BH62</f>
        <v>212807.85090849575</v>
      </c>
      <c r="BI62" s="6">
        <f>BI$1*'survival matrix'!BI62</f>
        <v>217838.11561430484</v>
      </c>
      <c r="BJ62" s="6">
        <f>BJ$1*'survival matrix'!BJ62</f>
        <v>223256.81457655487</v>
      </c>
      <c r="BK62" s="6">
        <f>BK$1*'survival matrix'!BK62</f>
        <v>228731.3853120993</v>
      </c>
      <c r="BL62" s="6">
        <f>BL$1*'survival matrix'!BL62</f>
        <v>234981.7026810697</v>
      </c>
      <c r="BM62" s="6">
        <f>BM$1*'survival matrix'!BM62</f>
        <v>242118.17513037293</v>
      </c>
      <c r="BN62" s="6">
        <f>BN$1*'survival matrix'!BN62</f>
        <v>0</v>
      </c>
      <c r="BO62" s="6">
        <f>BO$1*'survival matrix'!BO62</f>
        <v>0</v>
      </c>
      <c r="BP62" s="6">
        <f>BP$1*'survival matrix'!BP62</f>
        <v>0</v>
      </c>
      <c r="BQ62" s="6">
        <f>BQ$1*'survival matrix'!BQ62</f>
        <v>0</v>
      </c>
      <c r="BR62" s="6">
        <f>BR$1*'survival matrix'!BR62</f>
        <v>0</v>
      </c>
      <c r="BS62" s="6">
        <f>BS$1*'survival matrix'!BS62</f>
        <v>0</v>
      </c>
      <c r="BT62" s="6">
        <f>BT$1*'survival matrix'!BT62</f>
        <v>0</v>
      </c>
      <c r="BU62" s="6">
        <f>BU$1*'survival matrix'!BU62</f>
        <v>0</v>
      </c>
      <c r="BV62" s="6">
        <f>BV$1*'survival matrix'!BV62</f>
        <v>0</v>
      </c>
      <c r="BW62" s="6">
        <f>BW$1*'survival matrix'!BW62</f>
        <v>0</v>
      </c>
      <c r="BX62" s="6">
        <f>BX$1*'survival matrix'!BX62</f>
        <v>0</v>
      </c>
      <c r="BY62" s="6">
        <f>BY$1*'survival matrix'!BY62</f>
        <v>0</v>
      </c>
      <c r="BZ62" s="6">
        <f>BZ$1*'survival matrix'!BZ62</f>
        <v>0</v>
      </c>
      <c r="CA62" s="6">
        <f>CA$1*'survival matrix'!CA62</f>
        <v>0</v>
      </c>
      <c r="CB62" s="6">
        <f>CB$1*'survival matrix'!CB62</f>
        <v>0</v>
      </c>
      <c r="CC62" s="6">
        <f>CC$1*'survival matrix'!CC62</f>
        <v>0</v>
      </c>
      <c r="CD62" s="6">
        <f>CD$1*'survival matrix'!CD62</f>
        <v>0</v>
      </c>
      <c r="CE62" s="6">
        <f>CE$1*'survival matrix'!CE62</f>
        <v>0</v>
      </c>
      <c r="CF62" s="6">
        <f>CF$1*'survival matrix'!CF62</f>
        <v>0</v>
      </c>
      <c r="CG62" s="6">
        <f>CG$1*'survival matrix'!CG62</f>
        <v>0</v>
      </c>
      <c r="CH62" s="6">
        <f>CH$1*'survival matrix'!CH62</f>
        <v>0</v>
      </c>
      <c r="CI62" s="6">
        <f>CI$1*'survival matrix'!CI62</f>
        <v>0</v>
      </c>
      <c r="CJ62" s="6">
        <f>CJ$1*'survival matrix'!CJ62</f>
        <v>0</v>
      </c>
      <c r="CK62" s="6">
        <f>CK$1*'survival matrix'!CK62</f>
        <v>0</v>
      </c>
      <c r="CL62" s="6">
        <f>CL$1*'survival matrix'!CL62</f>
        <v>0</v>
      </c>
      <c r="CM62" s="6">
        <f>CM$1*'survival matrix'!CM62</f>
        <v>0</v>
      </c>
      <c r="CN62" s="6">
        <f>CN$1*'survival matrix'!CN62</f>
        <v>0</v>
      </c>
      <c r="CO62" s="6">
        <f>CO$1*'survival matrix'!CO62</f>
        <v>0</v>
      </c>
      <c r="CP62" s="6">
        <f>CP$1*'survival matrix'!CP62</f>
        <v>0</v>
      </c>
      <c r="CQ62" s="6">
        <f>CQ$1*'survival matrix'!CQ62</f>
        <v>0</v>
      </c>
      <c r="CR62" s="6">
        <f>CR$1*'survival matrix'!CR62</f>
        <v>0</v>
      </c>
      <c r="CS62" s="6">
        <f>CS$1*'survival matrix'!CS62</f>
        <v>0</v>
      </c>
      <c r="CT62" s="6">
        <f>CT$1*'survival matrix'!CT62</f>
        <v>0</v>
      </c>
      <c r="CU62" s="6">
        <f>CU$1*'survival matrix'!CU62</f>
        <v>0</v>
      </c>
      <c r="CV62" s="6">
        <f>CV$1*'survival matrix'!CV62</f>
        <v>0</v>
      </c>
      <c r="CW62" s="6">
        <f>CW$1*'survival matrix'!CW62</f>
        <v>0</v>
      </c>
      <c r="CX62" s="6">
        <f>CX$1*'survival matrix'!CX62</f>
        <v>0</v>
      </c>
      <c r="CY62" s="6">
        <f>CY$1*'survival matrix'!CY62</f>
        <v>0</v>
      </c>
      <c r="CZ62" s="6">
        <f>CZ$1*'survival matrix'!CZ62</f>
        <v>0</v>
      </c>
      <c r="DA62" s="6">
        <f>DA$1*'survival matrix'!DA62</f>
        <v>0</v>
      </c>
      <c r="DB62" s="6">
        <f>DB$1*'survival matrix'!DB62</f>
        <v>0</v>
      </c>
      <c r="DC62" s="6">
        <f>DC$1*'survival matrix'!DC62</f>
        <v>0</v>
      </c>
      <c r="DD62" s="6">
        <f>DD$1*'survival matrix'!DD62</f>
        <v>0</v>
      </c>
      <c r="DE62" s="6">
        <f>DE$1*'survival matrix'!DE62</f>
        <v>0</v>
      </c>
      <c r="DF62" s="6">
        <f>DF$1*'survival matrix'!DF62</f>
        <v>0</v>
      </c>
      <c r="DG62" s="6">
        <f>DG$1*'survival matrix'!DG62</f>
        <v>0</v>
      </c>
      <c r="DH62" s="6">
        <f>DH$1*'survival matrix'!DH62</f>
        <v>0</v>
      </c>
      <c r="DI62" s="6">
        <f>DI$1*'survival matrix'!DI62</f>
        <v>0</v>
      </c>
      <c r="DJ62" s="6">
        <f>DJ$1*'survival matrix'!DJ62</f>
        <v>0</v>
      </c>
      <c r="DK62" s="6">
        <f>DK$1*'survival matrix'!DK62</f>
        <v>0</v>
      </c>
      <c r="DL62" s="6">
        <f>DL$1*'survival matrix'!DL62</f>
        <v>0</v>
      </c>
      <c r="DM62" s="6">
        <f>DM$1*'survival matrix'!DM62</f>
        <v>0</v>
      </c>
      <c r="DN62" s="6">
        <f>DN$1*'survival matrix'!DN62</f>
        <v>0</v>
      </c>
      <c r="DO62" s="6">
        <f>DO$1*'survival matrix'!DO62</f>
        <v>0</v>
      </c>
      <c r="DP62" s="6">
        <f>DP$1*'survival matrix'!DP62</f>
        <v>0</v>
      </c>
      <c r="DQ62" s="6">
        <f>DQ$1*'survival matrix'!DQ62</f>
        <v>0</v>
      </c>
      <c r="DR62" s="6">
        <f>DR$1*'survival matrix'!DR62</f>
        <v>0</v>
      </c>
      <c r="DS62" s="6">
        <f>DS$1*'survival matrix'!DS62</f>
        <v>0</v>
      </c>
      <c r="DT62" s="6">
        <f>DT$1*'survival matrix'!DT62</f>
        <v>0</v>
      </c>
      <c r="DU62" s="6">
        <f>DU$1*'survival matrix'!DU62</f>
        <v>0</v>
      </c>
      <c r="DV62" s="6">
        <f>DV$1*'survival matrix'!DV62</f>
        <v>0</v>
      </c>
      <c r="DW62" s="6">
        <f>DW$1*'survival matrix'!DW62</f>
        <v>0</v>
      </c>
      <c r="DX62" s="6">
        <f>DX$1*'survival matrix'!DX62</f>
        <v>0</v>
      </c>
      <c r="DY62" s="6">
        <f>DY$1*'survival matrix'!DY62</f>
        <v>0</v>
      </c>
      <c r="DZ62" s="6">
        <f>DZ$1*'survival matrix'!DZ62</f>
        <v>0</v>
      </c>
      <c r="EA62" s="6">
        <f>EA$1*'survival matrix'!EA62</f>
        <v>0</v>
      </c>
      <c r="EB62" s="6">
        <f>EB$1*'survival matrix'!EB62</f>
        <v>0</v>
      </c>
      <c r="EC62" s="6">
        <f>EC$1*'survival matrix'!EC62</f>
        <v>0</v>
      </c>
    </row>
    <row r="63" spans="1:133">
      <c r="A63" s="12">
        <f>'data input'!C63-B63</f>
        <v>74421.433170372446</v>
      </c>
      <c r="B63" s="14">
        <f t="shared" si="2"/>
        <v>176357.98238602653</v>
      </c>
      <c r="C63" s="11">
        <f>SUM(F63:EC63)</f>
        <v>5940279.6900981981</v>
      </c>
      <c r="E63" s="7">
        <f>'data input'!B63</f>
        <v>1938</v>
      </c>
      <c r="F63" s="6">
        <f>F$1*'survival matrix'!F63</f>
        <v>217.15989173863653</v>
      </c>
      <c r="G63" s="6">
        <f>G$1*'survival matrix'!G63</f>
        <v>503.06613024090444</v>
      </c>
      <c r="H63" s="6">
        <f>H$1*'survival matrix'!H63</f>
        <v>868.96174141690869</v>
      </c>
      <c r="I63" s="6">
        <f>I$1*'survival matrix'!I63</f>
        <v>1328.7297337956693</v>
      </c>
      <c r="J63" s="6">
        <f>J$1*'survival matrix'!J63</f>
        <v>1896.0559660594565</v>
      </c>
      <c r="K63" s="6">
        <f>K$1*'survival matrix'!K63</f>
        <v>2585.6014634970397</v>
      </c>
      <c r="L63" s="6">
        <f>L$1*'survival matrix'!L63</f>
        <v>3413.4343025559674</v>
      </c>
      <c r="M63" s="6">
        <f>M$1*'survival matrix'!M63</f>
        <v>4394.4982625672365</v>
      </c>
      <c r="N63" s="6">
        <f>N$1*'survival matrix'!N63</f>
        <v>5542.077625575027</v>
      </c>
      <c r="O63" s="6">
        <f>O$1*'survival matrix'!O63</f>
        <v>6869.2214200927228</v>
      </c>
      <c r="P63" s="6">
        <f>P$1*'survival matrix'!P63</f>
        <v>8392.3455177553515</v>
      </c>
      <c r="Q63" s="6">
        <f>Q$1*'survival matrix'!Q63</f>
        <v>10127.007223134104</v>
      </c>
      <c r="R63" s="6">
        <f>R$1*'survival matrix'!R63</f>
        <v>12085.082566948302</v>
      </c>
      <c r="S63" s="6">
        <f>S$1*'survival matrix'!S63</f>
        <v>14274.837077856348</v>
      </c>
      <c r="T63" s="6">
        <f>T$1*'survival matrix'!T63</f>
        <v>16701.341846122894</v>
      </c>
      <c r="U63" s="6">
        <f>U$1*'survival matrix'!U63</f>
        <v>19372.266262516408</v>
      </c>
      <c r="V63" s="6">
        <f>V$1*'survival matrix'!V63</f>
        <v>22287.822268089432</v>
      </c>
      <c r="W63" s="6">
        <f>W$1*'survival matrix'!W63</f>
        <v>25452.058021323064</v>
      </c>
      <c r="X63" s="6">
        <f>X$1*'survival matrix'!X63</f>
        <v>28862.834308244142</v>
      </c>
      <c r="Y63" s="6">
        <f>Y$1*'survival matrix'!Y63</f>
        <v>32513.059622161101</v>
      </c>
      <c r="Z63" s="6">
        <f>Z$1*'survival matrix'!Z63</f>
        <v>36396.865319432494</v>
      </c>
      <c r="AA63" s="6">
        <f>AA$1*'survival matrix'!AA63</f>
        <v>40503.871817585437</v>
      </c>
      <c r="AB63" s="6">
        <f>AB$1*'survival matrix'!AB63</f>
        <v>44815.628553462469</v>
      </c>
      <c r="AC63" s="6">
        <f>AC$1*'survival matrix'!AC63</f>
        <v>49516.761578491198</v>
      </c>
      <c r="AD63" s="6">
        <f>AD$1*'survival matrix'!AD63</f>
        <v>54871.72526223259</v>
      </c>
      <c r="AE63" s="6">
        <f>AE$1*'survival matrix'!AE63</f>
        <v>60395.596135796361</v>
      </c>
      <c r="AF63" s="6">
        <f>AF$1*'survival matrix'!AF63</f>
        <v>65477.66065295392</v>
      </c>
      <c r="AG63" s="6">
        <f>AG$1*'survival matrix'!AG63</f>
        <v>70873.27077663911</v>
      </c>
      <c r="AH63" s="6">
        <f>AH$1*'survival matrix'!AH63</f>
        <v>76116.076366740221</v>
      </c>
      <c r="AI63" s="6">
        <f>AI$1*'survival matrix'!AI63</f>
        <v>83127.323334793866</v>
      </c>
      <c r="AJ63" s="6">
        <f>AJ$1*'survival matrix'!AJ63</f>
        <v>88879.585221930422</v>
      </c>
      <c r="AK63" s="6">
        <f>AK$1*'survival matrix'!AK63</f>
        <v>94232.738927516242</v>
      </c>
      <c r="AL63" s="6">
        <f>AL$1*'survival matrix'!AL63</f>
        <v>99706.012398916369</v>
      </c>
      <c r="AM63" s="6">
        <f>AM$1*'survival matrix'!AM63</f>
        <v>105305.62225334928</v>
      </c>
      <c r="AN63" s="6">
        <f>AN$1*'survival matrix'!AN63</f>
        <v>109759.21803034052</v>
      </c>
      <c r="AO63" s="6">
        <f>AO$1*'survival matrix'!AO63</f>
        <v>113990.90696048482</v>
      </c>
      <c r="AP63" s="6">
        <f>AP$1*'survival matrix'!AP63</f>
        <v>117603.40458231633</v>
      </c>
      <c r="AQ63" s="6">
        <f>AQ$1*'survival matrix'!AQ63</f>
        <v>121772.27413953282</v>
      </c>
      <c r="AR63" s="6">
        <f>AR$1*'survival matrix'!AR63</f>
        <v>126558.53639957956</v>
      </c>
      <c r="AS63" s="6">
        <f>AS$1*'survival matrix'!AS63</f>
        <v>131229.44139953761</v>
      </c>
      <c r="AT63" s="6">
        <f>AT$1*'survival matrix'!AT63</f>
        <v>137190.23829555372</v>
      </c>
      <c r="AU63" s="6">
        <f>AU$1*'survival matrix'!AU63</f>
        <v>143224.36038371903</v>
      </c>
      <c r="AV63" s="6">
        <f>AV$1*'survival matrix'!AV63</f>
        <v>148258.36555250495</v>
      </c>
      <c r="AW63" s="6">
        <f>AW$1*'survival matrix'!AW63</f>
        <v>153594.28903067886</v>
      </c>
      <c r="AX63" s="6">
        <f>AX$1*'survival matrix'!AX63</f>
        <v>158795.57159013208</v>
      </c>
      <c r="AY63" s="6">
        <f>AY$1*'survival matrix'!AY63</f>
        <v>164979.08227866216</v>
      </c>
      <c r="AZ63" s="6">
        <f>AZ$1*'survival matrix'!AZ63</f>
        <v>170610.44156282253</v>
      </c>
      <c r="BA63" s="6">
        <f>BA$1*'survival matrix'!BA63</f>
        <v>175475.18693455905</v>
      </c>
      <c r="BB63" s="6">
        <f>BB$1*'survival matrix'!BB63</f>
        <v>181003.33235693208</v>
      </c>
      <c r="BC63" s="6">
        <f>BC$1*'survival matrix'!BC63</f>
        <v>186639.38189058044</v>
      </c>
      <c r="BD63" s="6">
        <f>BD$1*'survival matrix'!BD63</f>
        <v>192694.82806026808</v>
      </c>
      <c r="BE63" s="6">
        <f>BE$1*'survival matrix'!BE63</f>
        <v>198486.223793207</v>
      </c>
      <c r="BF63" s="6">
        <f>BF$1*'survival matrix'!BF63</f>
        <v>203260.57854291279</v>
      </c>
      <c r="BG63" s="6">
        <f>BG$1*'survival matrix'!BG63</f>
        <v>207976.58467993516</v>
      </c>
      <c r="BH63" s="6">
        <f>BH$1*'survival matrix'!BH63</f>
        <v>212582.64007432622</v>
      </c>
      <c r="BI63" s="6">
        <f>BI$1*'survival matrix'!BI63</f>
        <v>217648.92635283511</v>
      </c>
      <c r="BJ63" s="6">
        <f>BJ$1*'survival matrix'!BJ63</f>
        <v>223098.56012568224</v>
      </c>
      <c r="BK63" s="6">
        <f>BK$1*'survival matrix'!BK63</f>
        <v>228599.7774591035</v>
      </c>
      <c r="BL63" s="6">
        <f>BL$1*'survival matrix'!BL63</f>
        <v>234872.55830820874</v>
      </c>
      <c r="BM63" s="6">
        <f>BM$1*'survival matrix'!BM63</f>
        <v>242027.892545284</v>
      </c>
      <c r="BN63" s="6">
        <f>BN$1*'survival matrix'!BN63</f>
        <v>250440.88891696604</v>
      </c>
      <c r="BO63" s="6">
        <f>BO$1*'survival matrix'!BO63</f>
        <v>0</v>
      </c>
      <c r="BP63" s="6">
        <f>BP$1*'survival matrix'!BP63</f>
        <v>0</v>
      </c>
      <c r="BQ63" s="6">
        <f>BQ$1*'survival matrix'!BQ63</f>
        <v>0</v>
      </c>
      <c r="BR63" s="6">
        <f>BR$1*'survival matrix'!BR63</f>
        <v>0</v>
      </c>
      <c r="BS63" s="6">
        <f>BS$1*'survival matrix'!BS63</f>
        <v>0</v>
      </c>
      <c r="BT63" s="6">
        <f>BT$1*'survival matrix'!BT63</f>
        <v>0</v>
      </c>
      <c r="BU63" s="6">
        <f>BU$1*'survival matrix'!BU63</f>
        <v>0</v>
      </c>
      <c r="BV63" s="6">
        <f>BV$1*'survival matrix'!BV63</f>
        <v>0</v>
      </c>
      <c r="BW63" s="6">
        <f>BW$1*'survival matrix'!BW63</f>
        <v>0</v>
      </c>
      <c r="BX63" s="6">
        <f>BX$1*'survival matrix'!BX63</f>
        <v>0</v>
      </c>
      <c r="BY63" s="6">
        <f>BY$1*'survival matrix'!BY63</f>
        <v>0</v>
      </c>
      <c r="BZ63" s="6">
        <f>BZ$1*'survival matrix'!BZ63</f>
        <v>0</v>
      </c>
      <c r="CA63" s="6">
        <f>CA$1*'survival matrix'!CA63</f>
        <v>0</v>
      </c>
      <c r="CB63" s="6">
        <f>CB$1*'survival matrix'!CB63</f>
        <v>0</v>
      </c>
      <c r="CC63" s="6">
        <f>CC$1*'survival matrix'!CC63</f>
        <v>0</v>
      </c>
      <c r="CD63" s="6">
        <f>CD$1*'survival matrix'!CD63</f>
        <v>0</v>
      </c>
      <c r="CE63" s="6">
        <f>CE$1*'survival matrix'!CE63</f>
        <v>0</v>
      </c>
      <c r="CF63" s="6">
        <f>CF$1*'survival matrix'!CF63</f>
        <v>0</v>
      </c>
      <c r="CG63" s="6">
        <f>CG$1*'survival matrix'!CG63</f>
        <v>0</v>
      </c>
      <c r="CH63" s="6">
        <f>CH$1*'survival matrix'!CH63</f>
        <v>0</v>
      </c>
      <c r="CI63" s="6">
        <f>CI$1*'survival matrix'!CI63</f>
        <v>0</v>
      </c>
      <c r="CJ63" s="6">
        <f>CJ$1*'survival matrix'!CJ63</f>
        <v>0</v>
      </c>
      <c r="CK63" s="6">
        <f>CK$1*'survival matrix'!CK63</f>
        <v>0</v>
      </c>
      <c r="CL63" s="6">
        <f>CL$1*'survival matrix'!CL63</f>
        <v>0</v>
      </c>
      <c r="CM63" s="6">
        <f>CM$1*'survival matrix'!CM63</f>
        <v>0</v>
      </c>
      <c r="CN63" s="6">
        <f>CN$1*'survival matrix'!CN63</f>
        <v>0</v>
      </c>
      <c r="CO63" s="6">
        <f>CO$1*'survival matrix'!CO63</f>
        <v>0</v>
      </c>
      <c r="CP63" s="6">
        <f>CP$1*'survival matrix'!CP63</f>
        <v>0</v>
      </c>
      <c r="CQ63" s="6">
        <f>CQ$1*'survival matrix'!CQ63</f>
        <v>0</v>
      </c>
      <c r="CR63" s="6">
        <f>CR$1*'survival matrix'!CR63</f>
        <v>0</v>
      </c>
      <c r="CS63" s="6">
        <f>CS$1*'survival matrix'!CS63</f>
        <v>0</v>
      </c>
      <c r="CT63" s="6">
        <f>CT$1*'survival matrix'!CT63</f>
        <v>0</v>
      </c>
      <c r="CU63" s="6">
        <f>CU$1*'survival matrix'!CU63</f>
        <v>0</v>
      </c>
      <c r="CV63" s="6">
        <f>CV$1*'survival matrix'!CV63</f>
        <v>0</v>
      </c>
      <c r="CW63" s="6">
        <f>CW$1*'survival matrix'!CW63</f>
        <v>0</v>
      </c>
      <c r="CX63" s="6">
        <f>CX$1*'survival matrix'!CX63</f>
        <v>0</v>
      </c>
      <c r="CY63" s="6">
        <f>CY$1*'survival matrix'!CY63</f>
        <v>0</v>
      </c>
      <c r="CZ63" s="6">
        <f>CZ$1*'survival matrix'!CZ63</f>
        <v>0</v>
      </c>
      <c r="DA63" s="6">
        <f>DA$1*'survival matrix'!DA63</f>
        <v>0</v>
      </c>
      <c r="DB63" s="6">
        <f>DB$1*'survival matrix'!DB63</f>
        <v>0</v>
      </c>
      <c r="DC63" s="6">
        <f>DC$1*'survival matrix'!DC63</f>
        <v>0</v>
      </c>
      <c r="DD63" s="6">
        <f>DD$1*'survival matrix'!DD63</f>
        <v>0</v>
      </c>
      <c r="DE63" s="6">
        <f>DE$1*'survival matrix'!DE63</f>
        <v>0</v>
      </c>
      <c r="DF63" s="6">
        <f>DF$1*'survival matrix'!DF63</f>
        <v>0</v>
      </c>
      <c r="DG63" s="6">
        <f>DG$1*'survival matrix'!DG63</f>
        <v>0</v>
      </c>
      <c r="DH63" s="6">
        <f>DH$1*'survival matrix'!DH63</f>
        <v>0</v>
      </c>
      <c r="DI63" s="6">
        <f>DI$1*'survival matrix'!DI63</f>
        <v>0</v>
      </c>
      <c r="DJ63" s="6">
        <f>DJ$1*'survival matrix'!DJ63</f>
        <v>0</v>
      </c>
      <c r="DK63" s="6">
        <f>DK$1*'survival matrix'!DK63</f>
        <v>0</v>
      </c>
      <c r="DL63" s="6">
        <f>DL$1*'survival matrix'!DL63</f>
        <v>0</v>
      </c>
      <c r="DM63" s="6">
        <f>DM$1*'survival matrix'!DM63</f>
        <v>0</v>
      </c>
      <c r="DN63" s="6">
        <f>DN$1*'survival matrix'!DN63</f>
        <v>0</v>
      </c>
      <c r="DO63" s="6">
        <f>DO$1*'survival matrix'!DO63</f>
        <v>0</v>
      </c>
      <c r="DP63" s="6">
        <f>DP$1*'survival matrix'!DP63</f>
        <v>0</v>
      </c>
      <c r="DQ63" s="6">
        <f>DQ$1*'survival matrix'!DQ63</f>
        <v>0</v>
      </c>
      <c r="DR63" s="6">
        <f>DR$1*'survival matrix'!DR63</f>
        <v>0</v>
      </c>
      <c r="DS63" s="6">
        <f>DS$1*'survival matrix'!DS63</f>
        <v>0</v>
      </c>
      <c r="DT63" s="6">
        <f>DT$1*'survival matrix'!DT63</f>
        <v>0</v>
      </c>
      <c r="DU63" s="6">
        <f>DU$1*'survival matrix'!DU63</f>
        <v>0</v>
      </c>
      <c r="DV63" s="6">
        <f>DV$1*'survival matrix'!DV63</f>
        <v>0</v>
      </c>
      <c r="DW63" s="6">
        <f>DW$1*'survival matrix'!DW63</f>
        <v>0</v>
      </c>
      <c r="DX63" s="6">
        <f>DX$1*'survival matrix'!DX63</f>
        <v>0</v>
      </c>
      <c r="DY63" s="6">
        <f>DY$1*'survival matrix'!DY63</f>
        <v>0</v>
      </c>
      <c r="DZ63" s="6">
        <f>DZ$1*'survival matrix'!DZ63</f>
        <v>0</v>
      </c>
      <c r="EA63" s="6">
        <f>EA$1*'survival matrix'!EA63</f>
        <v>0</v>
      </c>
      <c r="EB63" s="6">
        <f>EB$1*'survival matrix'!EB63</f>
        <v>0</v>
      </c>
      <c r="EC63" s="6">
        <f>EC$1*'survival matrix'!EC63</f>
        <v>0</v>
      </c>
    </row>
    <row r="64" spans="1:133">
      <c r="A64" s="12">
        <f>'data input'!C64-B64</f>
        <v>77955.610617016413</v>
      </c>
      <c r="B64" s="14">
        <f t="shared" si="2"/>
        <v>183883.85582199413</v>
      </c>
      <c r="C64" s="11">
        <f>SUM(F64:EC64)</f>
        <v>6124163.5459201923</v>
      </c>
      <c r="E64" s="7">
        <f>'data input'!B64</f>
        <v>1939</v>
      </c>
      <c r="F64" s="6">
        <f>F$1*'survival matrix'!F64</f>
        <v>187.32319679455134</v>
      </c>
      <c r="G64" s="6">
        <f>G$1*'survival matrix'!G64</f>
        <v>436.02815793009751</v>
      </c>
      <c r="H64" s="6">
        <f>H$1*'survival matrix'!H64</f>
        <v>756.74923669550878</v>
      </c>
      <c r="I64" s="6">
        <f>I$1*'survival matrix'!I64</f>
        <v>1162.6082797200188</v>
      </c>
      <c r="J64" s="6">
        <f>J$1*'survival matrix'!J64</f>
        <v>1666.7712896337232</v>
      </c>
      <c r="K64" s="6">
        <f>K$1*'survival matrix'!K64</f>
        <v>2283.4752702369733</v>
      </c>
      <c r="L64" s="6">
        <f>L$1*'survival matrix'!L64</f>
        <v>3028.4259289490237</v>
      </c>
      <c r="M64" s="6">
        <f>M$1*'survival matrix'!M64</f>
        <v>3916.5636546302899</v>
      </c>
      <c r="N64" s="6">
        <f>N$1*'survival matrix'!N64</f>
        <v>4961.554110553584</v>
      </c>
      <c r="O64" s="6">
        <f>O$1*'survival matrix'!O64</f>
        <v>6177.0273480478854</v>
      </c>
      <c r="P64" s="6">
        <f>P$1*'survival matrix'!P64</f>
        <v>7579.8172599841882</v>
      </c>
      <c r="Q64" s="6">
        <f>Q$1*'survival matrix'!Q64</f>
        <v>9186.1843038938041</v>
      </c>
      <c r="R64" s="6">
        <f>R$1*'survival matrix'!R64</f>
        <v>11009.214636438315</v>
      </c>
      <c r="S64" s="6">
        <f>S$1*'survival matrix'!S64</f>
        <v>13058.800290434585</v>
      </c>
      <c r="T64" s="6">
        <f>T$1*'survival matrix'!T64</f>
        <v>15341.939111928481</v>
      </c>
      <c r="U64" s="6">
        <f>U$1*'survival matrix'!U64</f>
        <v>17868.004562888815</v>
      </c>
      <c r="V64" s="6">
        <f>V$1*'survival matrix'!V64</f>
        <v>20639.468990812984</v>
      </c>
      <c r="W64" s="6">
        <f>W$1*'survival matrix'!W64</f>
        <v>23662.252702068585</v>
      </c>
      <c r="X64" s="6">
        <f>X$1*'survival matrix'!X64</f>
        <v>26936.426812355621</v>
      </c>
      <c r="Y64" s="6">
        <f>Y$1*'survival matrix'!Y64</f>
        <v>30457.247782615483</v>
      </c>
      <c r="Z64" s="6">
        <f>Z$1*'survival matrix'!Z64</f>
        <v>34220.868240162599</v>
      </c>
      <c r="AA64" s="6">
        <f>AA$1*'survival matrix'!AA64</f>
        <v>38218.941395176516</v>
      </c>
      <c r="AB64" s="6">
        <f>AB$1*'survival matrix'!AB64</f>
        <v>42435.169997047444</v>
      </c>
      <c r="AC64" s="6">
        <f>AC$1*'survival matrix'!AC64</f>
        <v>47045.786619510545</v>
      </c>
      <c r="AD64" s="6">
        <f>AD$1*'survival matrix'!AD64</f>
        <v>52305.255490256401</v>
      </c>
      <c r="AE64" s="6">
        <f>AE$1*'survival matrix'!AE64</f>
        <v>57754.371416020105</v>
      </c>
      <c r="AF64" s="6">
        <f>AF$1*'survival matrix'!AF64</f>
        <v>62807.11434367302</v>
      </c>
      <c r="AG64" s="6">
        <f>AG$1*'survival matrix'!AG64</f>
        <v>68184.569866397796</v>
      </c>
      <c r="AH64" s="6">
        <f>AH$1*'survival matrix'!AH64</f>
        <v>73437.609854704235</v>
      </c>
      <c r="AI64" s="6">
        <f>AI$1*'survival matrix'!AI64</f>
        <v>80421.810606476618</v>
      </c>
      <c r="AJ64" s="6">
        <f>AJ$1*'survival matrix'!AJ64</f>
        <v>86212.123043177635</v>
      </c>
      <c r="AK64" s="6">
        <f>AK$1*'survival matrix'!AK64</f>
        <v>91632.995325378841</v>
      </c>
      <c r="AL64" s="6">
        <f>AL$1*'survival matrix'!AL64</f>
        <v>97185.602044318744</v>
      </c>
      <c r="AM64" s="6">
        <f>AM$1*'survival matrix'!AM64</f>
        <v>102874.77502140093</v>
      </c>
      <c r="AN64" s="6">
        <f>AN$1*'survival matrix'!AN64</f>
        <v>107453.61654703933</v>
      </c>
      <c r="AO64" s="6">
        <f>AO$1*'survival matrix'!AO64</f>
        <v>111819.81928948402</v>
      </c>
      <c r="AP64" s="6">
        <f>AP$1*'survival matrix'!AP64</f>
        <v>115580.08842825367</v>
      </c>
      <c r="AQ64" s="6">
        <f>AQ$1*'survival matrix'!AQ64</f>
        <v>119887.11432383093</v>
      </c>
      <c r="AR64" s="6">
        <f>AR$1*'survival matrix'!AR64</f>
        <v>124802.58142440055</v>
      </c>
      <c r="AS64" s="6">
        <f>AS$1*'survival matrix'!AS64</f>
        <v>129604.30562706981</v>
      </c>
      <c r="AT64" s="6">
        <f>AT$1*'survival matrix'!AT64</f>
        <v>135680.22266190453</v>
      </c>
      <c r="AU64" s="6">
        <f>AU$1*'survival matrix'!AU64</f>
        <v>141829.31288093716</v>
      </c>
      <c r="AV64" s="6">
        <f>AV$1*'survival matrix'!AV64</f>
        <v>146986.11857459933</v>
      </c>
      <c r="AW64" s="6">
        <f>AW$1*'survival matrix'!AW64</f>
        <v>152438.36909789246</v>
      </c>
      <c r="AX64" s="6">
        <f>AX$1*'survival matrix'!AX64</f>
        <v>157752.37044440384</v>
      </c>
      <c r="AY64" s="6">
        <f>AY$1*'survival matrix'!AY64</f>
        <v>164037.47359591309</v>
      </c>
      <c r="AZ64" s="6">
        <f>AZ$1*'survival matrix'!AZ64</f>
        <v>169768.55269131582</v>
      </c>
      <c r="BA64" s="6">
        <f>BA$1*'survival matrix'!BA64</f>
        <v>174730.22960376702</v>
      </c>
      <c r="BB64" s="6">
        <f>BB$1*'survival matrix'!BB64</f>
        <v>180345.53291623204</v>
      </c>
      <c r="BC64" s="6">
        <f>BC$1*'survival matrix'!BC64</f>
        <v>186061.69227740823</v>
      </c>
      <c r="BD64" s="6">
        <f>BD$1*'survival matrix'!BD64</f>
        <v>192189.45773986913</v>
      </c>
      <c r="BE64" s="6">
        <f>BE$1*'survival matrix'!BE64</f>
        <v>198047.43448949073</v>
      </c>
      <c r="BF64" s="6">
        <f>BF$1*'survival matrix'!BF64</f>
        <v>202883.80671555552</v>
      </c>
      <c r="BG64" s="6">
        <f>BG$1*'survival matrix'!BG64</f>
        <v>207655.04737585463</v>
      </c>
      <c r="BH64" s="6">
        <f>BH$1*'survival matrix'!BH64</f>
        <v>212309.98775521186</v>
      </c>
      <c r="BI64" s="6">
        <f>BI$1*'survival matrix'!BI64</f>
        <v>217418.59229302121</v>
      </c>
      <c r="BJ64" s="6">
        <f>BJ$1*'survival matrix'!BJ64</f>
        <v>222904.80224402723</v>
      </c>
      <c r="BK64" s="6">
        <f>BK$1*'survival matrix'!BK64</f>
        <v>228437.73567632516</v>
      </c>
      <c r="BL64" s="6">
        <f>BL$1*'survival matrix'!BL64</f>
        <v>234737.41693666324</v>
      </c>
      <c r="BM64" s="6">
        <f>BM$1*'survival matrix'!BM64</f>
        <v>241915.47535600793</v>
      </c>
      <c r="BN64" s="6">
        <f>BN$1*'survival matrix'!BN64</f>
        <v>250347.50290473789</v>
      </c>
      <c r="BO64" s="6">
        <f>BO$1*'survival matrix'!BO64</f>
        <v>261486.00985866145</v>
      </c>
      <c r="BP64" s="6">
        <f>BP$1*'survival matrix'!BP64</f>
        <v>0</v>
      </c>
      <c r="BQ64" s="6">
        <f>BQ$1*'survival matrix'!BQ64</f>
        <v>0</v>
      </c>
      <c r="BR64" s="6">
        <f>BR$1*'survival matrix'!BR64</f>
        <v>0</v>
      </c>
      <c r="BS64" s="6">
        <f>BS$1*'survival matrix'!BS64</f>
        <v>0</v>
      </c>
      <c r="BT64" s="6">
        <f>BT$1*'survival matrix'!BT64</f>
        <v>0</v>
      </c>
      <c r="BU64" s="6">
        <f>BU$1*'survival matrix'!BU64</f>
        <v>0</v>
      </c>
      <c r="BV64" s="6">
        <f>BV$1*'survival matrix'!BV64</f>
        <v>0</v>
      </c>
      <c r="BW64" s="6">
        <f>BW$1*'survival matrix'!BW64</f>
        <v>0</v>
      </c>
      <c r="BX64" s="6">
        <f>BX$1*'survival matrix'!BX64</f>
        <v>0</v>
      </c>
      <c r="BY64" s="6">
        <f>BY$1*'survival matrix'!BY64</f>
        <v>0</v>
      </c>
      <c r="BZ64" s="6">
        <f>BZ$1*'survival matrix'!BZ64</f>
        <v>0</v>
      </c>
      <c r="CA64" s="6">
        <f>CA$1*'survival matrix'!CA64</f>
        <v>0</v>
      </c>
      <c r="CB64" s="6">
        <f>CB$1*'survival matrix'!CB64</f>
        <v>0</v>
      </c>
      <c r="CC64" s="6">
        <f>CC$1*'survival matrix'!CC64</f>
        <v>0</v>
      </c>
      <c r="CD64" s="6">
        <f>CD$1*'survival matrix'!CD64</f>
        <v>0</v>
      </c>
      <c r="CE64" s="6">
        <f>CE$1*'survival matrix'!CE64</f>
        <v>0</v>
      </c>
      <c r="CF64" s="6">
        <f>CF$1*'survival matrix'!CF64</f>
        <v>0</v>
      </c>
      <c r="CG64" s="6">
        <f>CG$1*'survival matrix'!CG64</f>
        <v>0</v>
      </c>
      <c r="CH64" s="6">
        <f>CH$1*'survival matrix'!CH64</f>
        <v>0</v>
      </c>
      <c r="CI64" s="6">
        <f>CI$1*'survival matrix'!CI64</f>
        <v>0</v>
      </c>
      <c r="CJ64" s="6">
        <f>CJ$1*'survival matrix'!CJ64</f>
        <v>0</v>
      </c>
      <c r="CK64" s="6">
        <f>CK$1*'survival matrix'!CK64</f>
        <v>0</v>
      </c>
      <c r="CL64" s="6">
        <f>CL$1*'survival matrix'!CL64</f>
        <v>0</v>
      </c>
      <c r="CM64" s="6">
        <f>CM$1*'survival matrix'!CM64</f>
        <v>0</v>
      </c>
      <c r="CN64" s="6">
        <f>CN$1*'survival matrix'!CN64</f>
        <v>0</v>
      </c>
      <c r="CO64" s="6">
        <f>CO$1*'survival matrix'!CO64</f>
        <v>0</v>
      </c>
      <c r="CP64" s="6">
        <f>CP$1*'survival matrix'!CP64</f>
        <v>0</v>
      </c>
      <c r="CQ64" s="6">
        <f>CQ$1*'survival matrix'!CQ64</f>
        <v>0</v>
      </c>
      <c r="CR64" s="6">
        <f>CR$1*'survival matrix'!CR64</f>
        <v>0</v>
      </c>
      <c r="CS64" s="6">
        <f>CS$1*'survival matrix'!CS64</f>
        <v>0</v>
      </c>
      <c r="CT64" s="6">
        <f>CT$1*'survival matrix'!CT64</f>
        <v>0</v>
      </c>
      <c r="CU64" s="6">
        <f>CU$1*'survival matrix'!CU64</f>
        <v>0</v>
      </c>
      <c r="CV64" s="6">
        <f>CV$1*'survival matrix'!CV64</f>
        <v>0</v>
      </c>
      <c r="CW64" s="6">
        <f>CW$1*'survival matrix'!CW64</f>
        <v>0</v>
      </c>
      <c r="CX64" s="6">
        <f>CX$1*'survival matrix'!CX64</f>
        <v>0</v>
      </c>
      <c r="CY64" s="6">
        <f>CY$1*'survival matrix'!CY64</f>
        <v>0</v>
      </c>
      <c r="CZ64" s="6">
        <f>CZ$1*'survival matrix'!CZ64</f>
        <v>0</v>
      </c>
      <c r="DA64" s="6">
        <f>DA$1*'survival matrix'!DA64</f>
        <v>0</v>
      </c>
      <c r="DB64" s="6">
        <f>DB$1*'survival matrix'!DB64</f>
        <v>0</v>
      </c>
      <c r="DC64" s="6">
        <f>DC$1*'survival matrix'!DC64</f>
        <v>0</v>
      </c>
      <c r="DD64" s="6">
        <f>DD$1*'survival matrix'!DD64</f>
        <v>0</v>
      </c>
      <c r="DE64" s="6">
        <f>DE$1*'survival matrix'!DE64</f>
        <v>0</v>
      </c>
      <c r="DF64" s="6">
        <f>DF$1*'survival matrix'!DF64</f>
        <v>0</v>
      </c>
      <c r="DG64" s="6">
        <f>DG$1*'survival matrix'!DG64</f>
        <v>0</v>
      </c>
      <c r="DH64" s="6">
        <f>DH$1*'survival matrix'!DH64</f>
        <v>0</v>
      </c>
      <c r="DI64" s="6">
        <f>DI$1*'survival matrix'!DI64</f>
        <v>0</v>
      </c>
      <c r="DJ64" s="6">
        <f>DJ$1*'survival matrix'!DJ64</f>
        <v>0</v>
      </c>
      <c r="DK64" s="6">
        <f>DK$1*'survival matrix'!DK64</f>
        <v>0</v>
      </c>
      <c r="DL64" s="6">
        <f>DL$1*'survival matrix'!DL64</f>
        <v>0</v>
      </c>
      <c r="DM64" s="6">
        <f>DM$1*'survival matrix'!DM64</f>
        <v>0</v>
      </c>
      <c r="DN64" s="6">
        <f>DN$1*'survival matrix'!DN64</f>
        <v>0</v>
      </c>
      <c r="DO64" s="6">
        <f>DO$1*'survival matrix'!DO64</f>
        <v>0</v>
      </c>
      <c r="DP64" s="6">
        <f>DP$1*'survival matrix'!DP64</f>
        <v>0</v>
      </c>
      <c r="DQ64" s="6">
        <f>DQ$1*'survival matrix'!DQ64</f>
        <v>0</v>
      </c>
      <c r="DR64" s="6">
        <f>DR$1*'survival matrix'!DR64</f>
        <v>0</v>
      </c>
      <c r="DS64" s="6">
        <f>DS$1*'survival matrix'!DS64</f>
        <v>0</v>
      </c>
      <c r="DT64" s="6">
        <f>DT$1*'survival matrix'!DT64</f>
        <v>0</v>
      </c>
      <c r="DU64" s="6">
        <f>DU$1*'survival matrix'!DU64</f>
        <v>0</v>
      </c>
      <c r="DV64" s="6">
        <f>DV$1*'survival matrix'!DV64</f>
        <v>0</v>
      </c>
      <c r="DW64" s="6">
        <f>DW$1*'survival matrix'!DW64</f>
        <v>0</v>
      </c>
      <c r="DX64" s="6">
        <f>DX$1*'survival matrix'!DX64</f>
        <v>0</v>
      </c>
      <c r="DY64" s="6">
        <f>DY$1*'survival matrix'!DY64</f>
        <v>0</v>
      </c>
      <c r="DZ64" s="6">
        <f>DZ$1*'survival matrix'!DZ64</f>
        <v>0</v>
      </c>
      <c r="EA64" s="6">
        <f>EA$1*'survival matrix'!EA64</f>
        <v>0</v>
      </c>
      <c r="EB64" s="6">
        <f>EB$1*'survival matrix'!EB64</f>
        <v>0</v>
      </c>
      <c r="EC64" s="6">
        <f>EC$1*'survival matrix'!EC64</f>
        <v>0</v>
      </c>
    </row>
    <row r="65" spans="1:133">
      <c r="A65" s="12">
        <f>'data input'!C65-B65</f>
        <v>81537.153751673177</v>
      </c>
      <c r="B65" s="14">
        <f t="shared" si="2"/>
        <v>191226.81919109263</v>
      </c>
      <c r="C65" s="11">
        <f>SUM(F65:EC65)</f>
        <v>6315390.3651112849</v>
      </c>
      <c r="E65" s="7">
        <f>'data input'!B65</f>
        <v>1940</v>
      </c>
      <c r="F65" s="6">
        <f>F$1*'survival matrix'!F65</f>
        <v>160.80929058985066</v>
      </c>
      <c r="G65" s="6">
        <f>G$1*'survival matrix'!G65</f>
        <v>376.12004584257858</v>
      </c>
      <c r="H65" s="6">
        <f>H$1*'survival matrix'!H65</f>
        <v>655.90576637178776</v>
      </c>
      <c r="I65" s="6">
        <f>I$1*'survival matrix'!I65</f>
        <v>1012.4760231899469</v>
      </c>
      <c r="J65" s="6">
        <f>J$1*'survival matrix'!J65</f>
        <v>1458.3869484069007</v>
      </c>
      <c r="K65" s="6">
        <f>K$1*'survival matrix'!K65</f>
        <v>2007.3410749206994</v>
      </c>
      <c r="L65" s="6">
        <f>L$1*'survival matrix'!L65</f>
        <v>2674.5559260113123</v>
      </c>
      <c r="M65" s="6">
        <f>M$1*'survival matrix'!M65</f>
        <v>3474.8062721407082</v>
      </c>
      <c r="N65" s="6">
        <f>N$1*'survival matrix'!N65</f>
        <v>4421.9479309848439</v>
      </c>
      <c r="O65" s="6">
        <f>O$1*'survival matrix'!O65</f>
        <v>5529.9938940369839</v>
      </c>
      <c r="P65" s="6">
        <f>P$1*'survival matrix'!P65</f>
        <v>6816.0182420638466</v>
      </c>
      <c r="Q65" s="6">
        <f>Q$1*'survival matrix'!Q65</f>
        <v>8296.7983375729145</v>
      </c>
      <c r="R65" s="6">
        <f>R$1*'survival matrix'!R65</f>
        <v>9986.4325622697725</v>
      </c>
      <c r="S65" s="6">
        <f>S$1*'survival matrix'!S65</f>
        <v>11896.247666935147</v>
      </c>
      <c r="T65" s="6">
        <f>T$1*'survival matrix'!T65</f>
        <v>14034.998636969909</v>
      </c>
      <c r="U65" s="6">
        <f>U$1*'survival matrix'!U65</f>
        <v>16413.641525404611</v>
      </c>
      <c r="V65" s="6">
        <f>V$1*'survival matrix'!V65</f>
        <v>19036.808657591941</v>
      </c>
      <c r="W65" s="6">
        <f>W$1*'survival matrix'!W65</f>
        <v>21912.249883487162</v>
      </c>
      <c r="X65" s="6">
        <f>X$1*'survival matrix'!X65</f>
        <v>25042.239711647569</v>
      </c>
      <c r="Y65" s="6">
        <f>Y$1*'survival matrix'!Y65</f>
        <v>28424.42350049688</v>
      </c>
      <c r="Z65" s="6">
        <f>Z$1*'survival matrix'!Z65</f>
        <v>32057.071079722344</v>
      </c>
      <c r="AA65" s="6">
        <f>AA$1*'survival matrix'!AA65</f>
        <v>35934.010972767595</v>
      </c>
      <c r="AB65" s="6">
        <f>AB$1*'survival matrix'!AB65</f>
        <v>40041.289941752322</v>
      </c>
      <c r="AC65" s="6">
        <f>AC$1*'survival matrix'!AC65</f>
        <v>44546.869413248642</v>
      </c>
      <c r="AD65" s="6">
        <f>AD$1*'survival matrix'!AD65</f>
        <v>49695.129698111516</v>
      </c>
      <c r="AE65" s="6">
        <f>AE$1*'survival matrix'!AE65</f>
        <v>55053.074022319925</v>
      </c>
      <c r="AF65" s="6">
        <f>AF$1*'survival matrix'!AF65</f>
        <v>60060.42892956877</v>
      </c>
      <c r="AG65" s="6">
        <f>AG$1*'survival matrix'!AG65</f>
        <v>65403.620614534149</v>
      </c>
      <c r="AH65" s="6">
        <f>AH$1*'survival matrix'!AH65</f>
        <v>70651.626277276737</v>
      </c>
      <c r="AI65" s="6">
        <f>AI$1*'survival matrix'!AI65</f>
        <v>77591.828599667977</v>
      </c>
      <c r="AJ65" s="6">
        <f>AJ$1*'survival matrix'!AJ65</f>
        <v>83406.210536056868</v>
      </c>
      <c r="AK65" s="6">
        <f>AK$1*'survival matrix'!AK65</f>
        <v>88882.897552690658</v>
      </c>
      <c r="AL65" s="6">
        <f>AL$1*'survival matrix'!AL65</f>
        <v>94504.393262634767</v>
      </c>
      <c r="AM65" s="6">
        <f>AM$1*'survival matrix'!AM65</f>
        <v>100274.26335763633</v>
      </c>
      <c r="AN65" s="6">
        <f>AN$1*'survival matrix'!AN65</f>
        <v>104973.18558089591</v>
      </c>
      <c r="AO65" s="6">
        <f>AO$1*'survival matrix'!AO65</f>
        <v>109470.93282834836</v>
      </c>
      <c r="AP65" s="6">
        <f>AP$1*'survival matrix'!AP65</f>
        <v>113378.73297200882</v>
      </c>
      <c r="AQ65" s="6">
        <f>AQ$1*'survival matrix'!AQ65</f>
        <v>117824.50792279279</v>
      </c>
      <c r="AR65" s="6">
        <f>AR$1*'survival matrix'!AR65</f>
        <v>122870.50934100038</v>
      </c>
      <c r="AS65" s="6">
        <f>AS$1*'survival matrix'!AS65</f>
        <v>127806.09168003155</v>
      </c>
      <c r="AT65" s="6">
        <f>AT$1*'survival matrix'!AT65</f>
        <v>133999.96874088896</v>
      </c>
      <c r="AU65" s="6">
        <f>AU$1*'survival matrix'!AU65</f>
        <v>140268.23621527414</v>
      </c>
      <c r="AV65" s="6">
        <f>AV$1*'survival matrix'!AV65</f>
        <v>145554.43043780664</v>
      </c>
      <c r="AW65" s="6">
        <f>AW$1*'survival matrix'!AW65</f>
        <v>151130.25232701807</v>
      </c>
      <c r="AX65" s="6">
        <f>AX$1*'survival matrix'!AX65</f>
        <v>156565.15762163693</v>
      </c>
      <c r="AY65" s="6">
        <f>AY$1*'survival matrix'!AY65</f>
        <v>162959.83598496439</v>
      </c>
      <c r="AZ65" s="6">
        <f>AZ$1*'survival matrix'!AZ65</f>
        <v>168799.60837992802</v>
      </c>
      <c r="BA65" s="6">
        <f>BA$1*'survival matrix'!BA65</f>
        <v>173868.01135691334</v>
      </c>
      <c r="BB65" s="6">
        <f>BB$1*'survival matrix'!BB65</f>
        <v>179579.89915815747</v>
      </c>
      <c r="BC65" s="6">
        <f>BC$1*'survival matrix'!BC65</f>
        <v>185385.50982528395</v>
      </c>
      <c r="BD65" s="6">
        <f>BD$1*'survival matrix'!BD65</f>
        <v>191594.589430872</v>
      </c>
      <c r="BE65" s="6">
        <f>BE$1*'survival matrix'!BE65</f>
        <v>197528.02617724045</v>
      </c>
      <c r="BF65" s="6">
        <f>BF$1*'survival matrix'!BF65</f>
        <v>202435.29576813191</v>
      </c>
      <c r="BG65" s="6">
        <f>BG$1*'survival matrix'!BG65</f>
        <v>207270.12978769946</v>
      </c>
      <c r="BH65" s="6">
        <f>BH$1*'survival matrix'!BH65</f>
        <v>211981.75089529209</v>
      </c>
      <c r="BI65" s="6">
        <f>BI$1*'survival matrix'!BI65</f>
        <v>217139.73752206465</v>
      </c>
      <c r="BJ65" s="6">
        <f>BJ$1*'survival matrix'!BJ65</f>
        <v>222668.90598249622</v>
      </c>
      <c r="BK65" s="6">
        <f>BK$1*'survival matrix'!BK65</f>
        <v>228239.34079771291</v>
      </c>
      <c r="BL65" s="6">
        <f>BL$1*'survival matrix'!BL65</f>
        <v>234571.02451954025</v>
      </c>
      <c r="BM65" s="6">
        <f>BM$1*'survival matrix'!BM65</f>
        <v>241776.28161888861</v>
      </c>
      <c r="BN65" s="6">
        <f>BN$1*'survival matrix'!BN65</f>
        <v>250231.22142030703</v>
      </c>
      <c r="BO65" s="6">
        <f>BO$1*'survival matrix'!BO65</f>
        <v>261388.50527057381</v>
      </c>
      <c r="BP65" s="6">
        <f>BP$1*'survival matrix'!BP65</f>
        <v>272395.76939259074</v>
      </c>
      <c r="BQ65" s="6">
        <f>BQ$1*'survival matrix'!BQ65</f>
        <v>0</v>
      </c>
      <c r="BR65" s="6">
        <f>BR$1*'survival matrix'!BR65</f>
        <v>0</v>
      </c>
      <c r="BS65" s="6">
        <f>BS$1*'survival matrix'!BS65</f>
        <v>0</v>
      </c>
      <c r="BT65" s="6">
        <f>BT$1*'survival matrix'!BT65</f>
        <v>0</v>
      </c>
      <c r="BU65" s="6">
        <f>BU$1*'survival matrix'!BU65</f>
        <v>0</v>
      </c>
      <c r="BV65" s="6">
        <f>BV$1*'survival matrix'!BV65</f>
        <v>0</v>
      </c>
      <c r="BW65" s="6">
        <f>BW$1*'survival matrix'!BW65</f>
        <v>0</v>
      </c>
      <c r="BX65" s="6">
        <f>BX$1*'survival matrix'!BX65</f>
        <v>0</v>
      </c>
      <c r="BY65" s="6">
        <f>BY$1*'survival matrix'!BY65</f>
        <v>0</v>
      </c>
      <c r="BZ65" s="6">
        <f>BZ$1*'survival matrix'!BZ65</f>
        <v>0</v>
      </c>
      <c r="CA65" s="6">
        <f>CA$1*'survival matrix'!CA65</f>
        <v>0</v>
      </c>
      <c r="CB65" s="6">
        <f>CB$1*'survival matrix'!CB65</f>
        <v>0</v>
      </c>
      <c r="CC65" s="6">
        <f>CC$1*'survival matrix'!CC65</f>
        <v>0</v>
      </c>
      <c r="CD65" s="6">
        <f>CD$1*'survival matrix'!CD65</f>
        <v>0</v>
      </c>
      <c r="CE65" s="6">
        <f>CE$1*'survival matrix'!CE65</f>
        <v>0</v>
      </c>
      <c r="CF65" s="6">
        <f>CF$1*'survival matrix'!CF65</f>
        <v>0</v>
      </c>
      <c r="CG65" s="6">
        <f>CG$1*'survival matrix'!CG65</f>
        <v>0</v>
      </c>
      <c r="CH65" s="6">
        <f>CH$1*'survival matrix'!CH65</f>
        <v>0</v>
      </c>
      <c r="CI65" s="6">
        <f>CI$1*'survival matrix'!CI65</f>
        <v>0</v>
      </c>
      <c r="CJ65" s="6">
        <f>CJ$1*'survival matrix'!CJ65</f>
        <v>0</v>
      </c>
      <c r="CK65" s="6">
        <f>CK$1*'survival matrix'!CK65</f>
        <v>0</v>
      </c>
      <c r="CL65" s="6">
        <f>CL$1*'survival matrix'!CL65</f>
        <v>0</v>
      </c>
      <c r="CM65" s="6">
        <f>CM$1*'survival matrix'!CM65</f>
        <v>0</v>
      </c>
      <c r="CN65" s="6">
        <f>CN$1*'survival matrix'!CN65</f>
        <v>0</v>
      </c>
      <c r="CO65" s="6">
        <f>CO$1*'survival matrix'!CO65</f>
        <v>0</v>
      </c>
      <c r="CP65" s="6">
        <f>CP$1*'survival matrix'!CP65</f>
        <v>0</v>
      </c>
      <c r="CQ65" s="6">
        <f>CQ$1*'survival matrix'!CQ65</f>
        <v>0</v>
      </c>
      <c r="CR65" s="6">
        <f>CR$1*'survival matrix'!CR65</f>
        <v>0</v>
      </c>
      <c r="CS65" s="6">
        <f>CS$1*'survival matrix'!CS65</f>
        <v>0</v>
      </c>
      <c r="CT65" s="6">
        <f>CT$1*'survival matrix'!CT65</f>
        <v>0</v>
      </c>
      <c r="CU65" s="6">
        <f>CU$1*'survival matrix'!CU65</f>
        <v>0</v>
      </c>
      <c r="CV65" s="6">
        <f>CV$1*'survival matrix'!CV65</f>
        <v>0</v>
      </c>
      <c r="CW65" s="6">
        <f>CW$1*'survival matrix'!CW65</f>
        <v>0</v>
      </c>
      <c r="CX65" s="6">
        <f>CX$1*'survival matrix'!CX65</f>
        <v>0</v>
      </c>
      <c r="CY65" s="6">
        <f>CY$1*'survival matrix'!CY65</f>
        <v>0</v>
      </c>
      <c r="CZ65" s="6">
        <f>CZ$1*'survival matrix'!CZ65</f>
        <v>0</v>
      </c>
      <c r="DA65" s="6">
        <f>DA$1*'survival matrix'!DA65</f>
        <v>0</v>
      </c>
      <c r="DB65" s="6">
        <f>DB$1*'survival matrix'!DB65</f>
        <v>0</v>
      </c>
      <c r="DC65" s="6">
        <f>DC$1*'survival matrix'!DC65</f>
        <v>0</v>
      </c>
      <c r="DD65" s="6">
        <f>DD$1*'survival matrix'!DD65</f>
        <v>0</v>
      </c>
      <c r="DE65" s="6">
        <f>DE$1*'survival matrix'!DE65</f>
        <v>0</v>
      </c>
      <c r="DF65" s="6">
        <f>DF$1*'survival matrix'!DF65</f>
        <v>0</v>
      </c>
      <c r="DG65" s="6">
        <f>DG$1*'survival matrix'!DG65</f>
        <v>0</v>
      </c>
      <c r="DH65" s="6">
        <f>DH$1*'survival matrix'!DH65</f>
        <v>0</v>
      </c>
      <c r="DI65" s="6">
        <f>DI$1*'survival matrix'!DI65</f>
        <v>0</v>
      </c>
      <c r="DJ65" s="6">
        <f>DJ$1*'survival matrix'!DJ65</f>
        <v>0</v>
      </c>
      <c r="DK65" s="6">
        <f>DK$1*'survival matrix'!DK65</f>
        <v>0</v>
      </c>
      <c r="DL65" s="6">
        <f>DL$1*'survival matrix'!DL65</f>
        <v>0</v>
      </c>
      <c r="DM65" s="6">
        <f>DM$1*'survival matrix'!DM65</f>
        <v>0</v>
      </c>
      <c r="DN65" s="6">
        <f>DN$1*'survival matrix'!DN65</f>
        <v>0</v>
      </c>
      <c r="DO65" s="6">
        <f>DO$1*'survival matrix'!DO65</f>
        <v>0</v>
      </c>
      <c r="DP65" s="6">
        <f>DP$1*'survival matrix'!DP65</f>
        <v>0</v>
      </c>
      <c r="DQ65" s="6">
        <f>DQ$1*'survival matrix'!DQ65</f>
        <v>0</v>
      </c>
      <c r="DR65" s="6">
        <f>DR$1*'survival matrix'!DR65</f>
        <v>0</v>
      </c>
      <c r="DS65" s="6">
        <f>DS$1*'survival matrix'!DS65</f>
        <v>0</v>
      </c>
      <c r="DT65" s="6">
        <f>DT$1*'survival matrix'!DT65</f>
        <v>0</v>
      </c>
      <c r="DU65" s="6">
        <f>DU$1*'survival matrix'!DU65</f>
        <v>0</v>
      </c>
      <c r="DV65" s="6">
        <f>DV$1*'survival matrix'!DV65</f>
        <v>0</v>
      </c>
      <c r="DW65" s="6">
        <f>DW$1*'survival matrix'!DW65</f>
        <v>0</v>
      </c>
      <c r="DX65" s="6">
        <f>DX$1*'survival matrix'!DX65</f>
        <v>0</v>
      </c>
      <c r="DY65" s="6">
        <f>DY$1*'survival matrix'!DY65</f>
        <v>0</v>
      </c>
      <c r="DZ65" s="6">
        <f>DZ$1*'survival matrix'!DZ65</f>
        <v>0</v>
      </c>
      <c r="EA65" s="6">
        <f>EA$1*'survival matrix'!EA65</f>
        <v>0</v>
      </c>
      <c r="EB65" s="6">
        <f>EB$1*'survival matrix'!EB65</f>
        <v>0</v>
      </c>
      <c r="EC65" s="6">
        <f>EC$1*'survival matrix'!EC65</f>
        <v>0</v>
      </c>
    </row>
    <row r="66" spans="1:133">
      <c r="A66" s="12">
        <f>'data input'!C66-B66</f>
        <v>85166.013431576197</v>
      </c>
      <c r="B66" s="14">
        <f t="shared" si="2"/>
        <v>199997.90513801388</v>
      </c>
      <c r="C66" s="11">
        <f>SUM(F66:EC66)</f>
        <v>6515388.2702492988</v>
      </c>
      <c r="E66" s="7">
        <f>'data input'!B66</f>
        <v>1941</v>
      </c>
      <c r="F66" s="6">
        <f>F$1*'survival matrix'!F66</f>
        <v>137.38022572314404</v>
      </c>
      <c r="G66" s="6">
        <f>G$1*'survival matrix'!G66</f>
        <v>322.88365126985946</v>
      </c>
      <c r="H66" s="6">
        <f>H$1*'survival matrix'!H66</f>
        <v>565.78755850836217</v>
      </c>
      <c r="I66" s="6">
        <f>I$1*'survival matrix'!I66</f>
        <v>877.55471657075464</v>
      </c>
      <c r="J66" s="6">
        <f>J$1*'survival matrix'!J66</f>
        <v>1270.059609545129</v>
      </c>
      <c r="K66" s="6">
        <f>K$1*'survival matrix'!K66</f>
        <v>1756.3777603277217</v>
      </c>
      <c r="L66" s="6">
        <f>L$1*'survival matrix'!L66</f>
        <v>2351.1294549285481</v>
      </c>
      <c r="M66" s="6">
        <f>M$1*'survival matrix'!M66</f>
        <v>3068.7769570512223</v>
      </c>
      <c r="N66" s="6">
        <f>N$1*'survival matrix'!N66</f>
        <v>3923.1872020004748</v>
      </c>
      <c r="O66" s="6">
        <f>O$1*'survival matrix'!O66</f>
        <v>4928.5656294832361</v>
      </c>
      <c r="P66" s="6">
        <f>P$1*'survival matrix'!P66</f>
        <v>6102.0515429917396</v>
      </c>
      <c r="Q66" s="6">
        <f>Q$1*'survival matrix'!Q66</f>
        <v>7460.7509495209051</v>
      </c>
      <c r="R66" s="6">
        <f>R$1*'survival matrix'!R66</f>
        <v>9019.5683365293935</v>
      </c>
      <c r="S66" s="6">
        <f>S$1*'survival matrix'!S66</f>
        <v>10791.058126589609</v>
      </c>
      <c r="T66" s="6">
        <f>T$1*'survival matrix'!T66</f>
        <v>12785.540484357529</v>
      </c>
      <c r="U66" s="6">
        <f>U$1*'survival matrix'!U66</f>
        <v>15015.405468377558</v>
      </c>
      <c r="V66" s="6">
        <f>V$1*'survival matrix'!V66</f>
        <v>17487.31101974352</v>
      </c>
      <c r="W66" s="6">
        <f>W$1*'survival matrix'!W66</f>
        <v>20210.757770704418</v>
      </c>
      <c r="X66" s="6">
        <f>X$1*'survival matrix'!X66</f>
        <v>23190.176400906927</v>
      </c>
      <c r="Y66" s="6">
        <f>Y$1*'survival matrix'!Y66</f>
        <v>26425.599502244546</v>
      </c>
      <c r="Z66" s="6">
        <f>Z$1*'survival matrix'!Z66</f>
        <v>29917.468940698556</v>
      </c>
      <c r="AA66" s="6">
        <f>AA$1*'survival matrix'!AA66</f>
        <v>33661.891213548595</v>
      </c>
      <c r="AB66" s="6">
        <f>AB$1*'survival matrix'!AB66</f>
        <v>37647.409886457201</v>
      </c>
      <c r="AC66" s="6">
        <f>AC$1*'survival matrix'!AC66</f>
        <v>42033.86281467411</v>
      </c>
      <c r="AD66" s="6">
        <f>AD$1*'survival matrix'!AD66</f>
        <v>47055.488115021755</v>
      </c>
      <c r="AE66" s="6">
        <f>AE$1*'survival matrix'!AE66</f>
        <v>52305.827171202116</v>
      </c>
      <c r="AF66" s="6">
        <f>AF$1*'survival matrix'!AF66</f>
        <v>57251.272217199876</v>
      </c>
      <c r="AG66" s="6">
        <f>AG$1*'survival matrix'!AG66</f>
        <v>62543.384594318937</v>
      </c>
      <c r="AH66" s="6">
        <f>AH$1*'survival matrix'!AH66</f>
        <v>67770.056625613201</v>
      </c>
      <c r="AI66" s="6">
        <f>AI$1*'survival matrix'!AI66</f>
        <v>74648.247502067781</v>
      </c>
      <c r="AJ66" s="6">
        <f>AJ$1*'survival matrix'!AJ66</f>
        <v>80471.209778263365</v>
      </c>
      <c r="AK66" s="6">
        <f>AK$1*'survival matrix'!AK66</f>
        <v>85990.060384218174</v>
      </c>
      <c r="AL66" s="6">
        <f>AL$1*'survival matrix'!AL66</f>
        <v>91668.118834433917</v>
      </c>
      <c r="AM66" s="6">
        <f>AM$1*'survival matrix'!AM66</f>
        <v>97507.842922551907</v>
      </c>
      <c r="AN66" s="6">
        <f>AN$1*'survival matrix'!AN66</f>
        <v>102319.629415851</v>
      </c>
      <c r="AO66" s="6">
        <f>AO$1*'survival matrix'!AO66</f>
        <v>106943.9346648089</v>
      </c>
      <c r="AP66" s="6">
        <f>AP$1*'survival matrix'!AP66</f>
        <v>110997.09997929915</v>
      </c>
      <c r="AQ66" s="6">
        <f>AQ$1*'survival matrix'!AQ66</f>
        <v>115580.40492094908</v>
      </c>
      <c r="AR66" s="6">
        <f>AR$1*'survival matrix'!AR66</f>
        <v>120756.57490780512</v>
      </c>
      <c r="AS66" s="6">
        <f>AS$1*'survival matrix'!AS66</f>
        <v>125827.52217445565</v>
      </c>
      <c r="AT66" s="6">
        <f>AT$1*'survival matrix'!AT66</f>
        <v>132140.7665212813</v>
      </c>
      <c r="AU66" s="6">
        <f>AU$1*'survival matrix'!AU66</f>
        <v>138531.16467108935</v>
      </c>
      <c r="AV66" s="6">
        <f>AV$1*'survival matrix'!AV66</f>
        <v>143952.35241652283</v>
      </c>
      <c r="AW66" s="6">
        <f>AW$1*'survival matrix'!AW66</f>
        <v>149658.19910549387</v>
      </c>
      <c r="AX66" s="6">
        <f>AX$1*'survival matrix'!AX66</f>
        <v>155221.62771094934</v>
      </c>
      <c r="AY66" s="6">
        <f>AY$1*'survival matrix'!AY66</f>
        <v>161733.43281693384</v>
      </c>
      <c r="AZ66" s="6">
        <f>AZ$1*'survival matrix'!AZ66</f>
        <v>167690.68611530133</v>
      </c>
      <c r="BA66" s="6">
        <f>BA$1*'survival matrix'!BA66</f>
        <v>172875.66961949566</v>
      </c>
      <c r="BB66" s="6">
        <f>BB$1*'survival matrix'!BB66</f>
        <v>178693.7498857996</v>
      </c>
      <c r="BC66" s="6">
        <f>BC$1*'survival matrix'!BC66</f>
        <v>184598.47949364813</v>
      </c>
      <c r="BD66" s="6">
        <f>BD$1*'survival matrix'!BD66</f>
        <v>190898.29941163497</v>
      </c>
      <c r="BE66" s="6">
        <f>BE$1*'survival matrix'!BE66</f>
        <v>196916.63383401092</v>
      </c>
      <c r="BF66" s="6">
        <f>BF$1*'survival matrix'!BF66</f>
        <v>201904.37964904233</v>
      </c>
      <c r="BG66" s="6">
        <f>BG$1*'survival matrix'!BG66</f>
        <v>206811.9220884816</v>
      </c>
      <c r="BH66" s="6">
        <f>BH$1*'survival matrix'!BH66</f>
        <v>211588.81315879759</v>
      </c>
      <c r="BI66" s="6">
        <f>BI$1*'survival matrix'!BI66</f>
        <v>216804.03374118448</v>
      </c>
      <c r="BJ66" s="6">
        <f>BJ$1*'survival matrix'!BJ66</f>
        <v>222383.31731171123</v>
      </c>
      <c r="BK66" s="6">
        <f>BK$1*'survival matrix'!BK66</f>
        <v>227997.79908714202</v>
      </c>
      <c r="BL66" s="6">
        <f>BL$1*'survival matrix'!BL66</f>
        <v>234367.30296802984</v>
      </c>
      <c r="BM66" s="6">
        <f>BM$1*'survival matrix'!BM66</f>
        <v>241604.89973854515</v>
      </c>
      <c r="BN66" s="6">
        <f>BN$1*'survival matrix'!BN66</f>
        <v>250087.24295509243</v>
      </c>
      <c r="BO66" s="6">
        <f>BO$1*'survival matrix'!BO66</f>
        <v>261267.09545799982</v>
      </c>
      <c r="BP66" s="6">
        <f>BP$1*'survival matrix'!BP66</f>
        <v>272294.19670307747</v>
      </c>
      <c r="BQ66" s="6">
        <f>BQ$1*'survival matrix'!BQ66</f>
        <v>284778.97635722108</v>
      </c>
      <c r="BR66" s="6">
        <f>BR$1*'survival matrix'!BR66</f>
        <v>0</v>
      </c>
      <c r="BS66" s="6">
        <f>BS$1*'survival matrix'!BS66</f>
        <v>0</v>
      </c>
      <c r="BT66" s="6">
        <f>BT$1*'survival matrix'!BT66</f>
        <v>0</v>
      </c>
      <c r="BU66" s="6">
        <f>BU$1*'survival matrix'!BU66</f>
        <v>0</v>
      </c>
      <c r="BV66" s="6">
        <f>BV$1*'survival matrix'!BV66</f>
        <v>0</v>
      </c>
      <c r="BW66" s="6">
        <f>BW$1*'survival matrix'!BW66</f>
        <v>0</v>
      </c>
      <c r="BX66" s="6">
        <f>BX$1*'survival matrix'!BX66</f>
        <v>0</v>
      </c>
      <c r="BY66" s="6">
        <f>BY$1*'survival matrix'!BY66</f>
        <v>0</v>
      </c>
      <c r="BZ66" s="6">
        <f>BZ$1*'survival matrix'!BZ66</f>
        <v>0</v>
      </c>
      <c r="CA66" s="6">
        <f>CA$1*'survival matrix'!CA66</f>
        <v>0</v>
      </c>
      <c r="CB66" s="6">
        <f>CB$1*'survival matrix'!CB66</f>
        <v>0</v>
      </c>
      <c r="CC66" s="6">
        <f>CC$1*'survival matrix'!CC66</f>
        <v>0</v>
      </c>
      <c r="CD66" s="6">
        <f>CD$1*'survival matrix'!CD66</f>
        <v>0</v>
      </c>
      <c r="CE66" s="6">
        <f>CE$1*'survival matrix'!CE66</f>
        <v>0</v>
      </c>
      <c r="CF66" s="6">
        <f>CF$1*'survival matrix'!CF66</f>
        <v>0</v>
      </c>
      <c r="CG66" s="6">
        <f>CG$1*'survival matrix'!CG66</f>
        <v>0</v>
      </c>
      <c r="CH66" s="6">
        <f>CH$1*'survival matrix'!CH66</f>
        <v>0</v>
      </c>
      <c r="CI66" s="6">
        <f>CI$1*'survival matrix'!CI66</f>
        <v>0</v>
      </c>
      <c r="CJ66" s="6">
        <f>CJ$1*'survival matrix'!CJ66</f>
        <v>0</v>
      </c>
      <c r="CK66" s="6">
        <f>CK$1*'survival matrix'!CK66</f>
        <v>0</v>
      </c>
      <c r="CL66" s="6">
        <f>CL$1*'survival matrix'!CL66</f>
        <v>0</v>
      </c>
      <c r="CM66" s="6">
        <f>CM$1*'survival matrix'!CM66</f>
        <v>0</v>
      </c>
      <c r="CN66" s="6">
        <f>CN$1*'survival matrix'!CN66</f>
        <v>0</v>
      </c>
      <c r="CO66" s="6">
        <f>CO$1*'survival matrix'!CO66</f>
        <v>0</v>
      </c>
      <c r="CP66" s="6">
        <f>CP$1*'survival matrix'!CP66</f>
        <v>0</v>
      </c>
      <c r="CQ66" s="6">
        <f>CQ$1*'survival matrix'!CQ66</f>
        <v>0</v>
      </c>
      <c r="CR66" s="6">
        <f>CR$1*'survival matrix'!CR66</f>
        <v>0</v>
      </c>
      <c r="CS66" s="6">
        <f>CS$1*'survival matrix'!CS66</f>
        <v>0</v>
      </c>
      <c r="CT66" s="6">
        <f>CT$1*'survival matrix'!CT66</f>
        <v>0</v>
      </c>
      <c r="CU66" s="6">
        <f>CU$1*'survival matrix'!CU66</f>
        <v>0</v>
      </c>
      <c r="CV66" s="6">
        <f>CV$1*'survival matrix'!CV66</f>
        <v>0</v>
      </c>
      <c r="CW66" s="6">
        <f>CW$1*'survival matrix'!CW66</f>
        <v>0</v>
      </c>
      <c r="CX66" s="6">
        <f>CX$1*'survival matrix'!CX66</f>
        <v>0</v>
      </c>
      <c r="CY66" s="6">
        <f>CY$1*'survival matrix'!CY66</f>
        <v>0</v>
      </c>
      <c r="CZ66" s="6">
        <f>CZ$1*'survival matrix'!CZ66</f>
        <v>0</v>
      </c>
      <c r="DA66" s="6">
        <f>DA$1*'survival matrix'!DA66</f>
        <v>0</v>
      </c>
      <c r="DB66" s="6">
        <f>DB$1*'survival matrix'!DB66</f>
        <v>0</v>
      </c>
      <c r="DC66" s="6">
        <f>DC$1*'survival matrix'!DC66</f>
        <v>0</v>
      </c>
      <c r="DD66" s="6">
        <f>DD$1*'survival matrix'!DD66</f>
        <v>0</v>
      </c>
      <c r="DE66" s="6">
        <f>DE$1*'survival matrix'!DE66</f>
        <v>0</v>
      </c>
      <c r="DF66" s="6">
        <f>DF$1*'survival matrix'!DF66</f>
        <v>0</v>
      </c>
      <c r="DG66" s="6">
        <f>DG$1*'survival matrix'!DG66</f>
        <v>0</v>
      </c>
      <c r="DH66" s="6">
        <f>DH$1*'survival matrix'!DH66</f>
        <v>0</v>
      </c>
      <c r="DI66" s="6">
        <f>DI$1*'survival matrix'!DI66</f>
        <v>0</v>
      </c>
      <c r="DJ66" s="6">
        <f>DJ$1*'survival matrix'!DJ66</f>
        <v>0</v>
      </c>
      <c r="DK66" s="6">
        <f>DK$1*'survival matrix'!DK66</f>
        <v>0</v>
      </c>
      <c r="DL66" s="6">
        <f>DL$1*'survival matrix'!DL66</f>
        <v>0</v>
      </c>
      <c r="DM66" s="6">
        <f>DM$1*'survival matrix'!DM66</f>
        <v>0</v>
      </c>
      <c r="DN66" s="6">
        <f>DN$1*'survival matrix'!DN66</f>
        <v>0</v>
      </c>
      <c r="DO66" s="6">
        <f>DO$1*'survival matrix'!DO66</f>
        <v>0</v>
      </c>
      <c r="DP66" s="6">
        <f>DP$1*'survival matrix'!DP66</f>
        <v>0</v>
      </c>
      <c r="DQ66" s="6">
        <f>DQ$1*'survival matrix'!DQ66</f>
        <v>0</v>
      </c>
      <c r="DR66" s="6">
        <f>DR$1*'survival matrix'!DR66</f>
        <v>0</v>
      </c>
      <c r="DS66" s="6">
        <f>DS$1*'survival matrix'!DS66</f>
        <v>0</v>
      </c>
      <c r="DT66" s="6">
        <f>DT$1*'survival matrix'!DT66</f>
        <v>0</v>
      </c>
      <c r="DU66" s="6">
        <f>DU$1*'survival matrix'!DU66</f>
        <v>0</v>
      </c>
      <c r="DV66" s="6">
        <f>DV$1*'survival matrix'!DV66</f>
        <v>0</v>
      </c>
      <c r="DW66" s="6">
        <f>DW$1*'survival matrix'!DW66</f>
        <v>0</v>
      </c>
      <c r="DX66" s="6">
        <f>DX$1*'survival matrix'!DX66</f>
        <v>0</v>
      </c>
      <c r="DY66" s="6">
        <f>DY$1*'survival matrix'!DY66</f>
        <v>0</v>
      </c>
      <c r="DZ66" s="6">
        <f>DZ$1*'survival matrix'!DZ66</f>
        <v>0</v>
      </c>
      <c r="EA66" s="6">
        <f>EA$1*'survival matrix'!EA66</f>
        <v>0</v>
      </c>
      <c r="EB66" s="6">
        <f>EB$1*'survival matrix'!EB66</f>
        <v>0</v>
      </c>
      <c r="EC66" s="6">
        <f>EC$1*'survival matrix'!EC66</f>
        <v>0</v>
      </c>
    </row>
    <row r="67" spans="1:133">
      <c r="A67" s="12">
        <f>'data input'!C67-B67</f>
        <v>88834.635337299842</v>
      </c>
      <c r="B67" s="14">
        <f t="shared" si="2"/>
        <v>205476.24614214711</v>
      </c>
      <c r="C67" s="11">
        <f>SUM(F67:EC67)</f>
        <v>6720864.5163914459</v>
      </c>
      <c r="E67" s="7">
        <f>'data input'!B67</f>
        <v>1942</v>
      </c>
      <c r="F67" s="6">
        <f>F$1*'survival matrix'!F67</f>
        <v>116.79316092432666</v>
      </c>
      <c r="G67" s="6">
        <f>G$1*'survival matrix'!G67</f>
        <v>275.84120750151368</v>
      </c>
      <c r="H67" s="6">
        <f>H$1*'survival matrix'!H67</f>
        <v>485.705440998217</v>
      </c>
      <c r="I67" s="6">
        <f>I$1*'survival matrix'!I67</f>
        <v>756.98303933590967</v>
      </c>
      <c r="J67" s="6">
        <f>J$1*'survival matrix'!J67</f>
        <v>1100.8130317701784</v>
      </c>
      <c r="K67" s="6">
        <f>K$1*'survival matrix'!K67</f>
        <v>1529.5696762319017</v>
      </c>
      <c r="L67" s="6">
        <f>L$1*'survival matrix'!L67</f>
        <v>2057.1847693850814</v>
      </c>
      <c r="M67" s="6">
        <f>M$1*'survival matrix'!M67</f>
        <v>2697.678453517824</v>
      </c>
      <c r="N67" s="6">
        <f>N$1*'survival matrix'!N67</f>
        <v>3464.7648072421221</v>
      </c>
      <c r="O67" s="6">
        <f>O$1*'survival matrix'!O67</f>
        <v>4372.6624337482099</v>
      </c>
      <c r="P67" s="6">
        <f>P$1*'survival matrix'!P67</f>
        <v>5438.4077234793231</v>
      </c>
      <c r="Q67" s="6">
        <f>Q$1*'survival matrix'!Q67</f>
        <v>6679.2495598744426</v>
      </c>
      <c r="R67" s="6">
        <f>R$1*'survival matrix'!R67</f>
        <v>8110.6892433781504</v>
      </c>
      <c r="S67" s="6">
        <f>S$1*'survival matrix'!S67</f>
        <v>9746.2918403880922</v>
      </c>
      <c r="T67" s="6">
        <f>T$1*'survival matrix'!T67</f>
        <v>11597.7335382857</v>
      </c>
      <c r="U67" s="6">
        <f>U$1*'survival matrix'!U67</f>
        <v>13678.667128565701</v>
      </c>
      <c r="V67" s="6">
        <f>V$1*'survival matrix'!V67</f>
        <v>15997.611810070475</v>
      </c>
      <c r="W67" s="6">
        <f>W$1*'survival matrix'!W67</f>
        <v>18565.706754638028</v>
      </c>
      <c r="X67" s="6">
        <f>X$1*'survival matrix'!X67</f>
        <v>21389.452949413306</v>
      </c>
      <c r="Y67" s="6">
        <f>Y$1*'survival matrix'!Y67</f>
        <v>24471.226256641057</v>
      </c>
      <c r="Z67" s="6">
        <f>Z$1*'survival matrix'!Z67</f>
        <v>27813.653013364386</v>
      </c>
      <c r="AA67" s="6">
        <f>AA$1*'survival matrix'!AA67</f>
        <v>31415.177711089767</v>
      </c>
      <c r="AB67" s="6">
        <f>AB$1*'survival matrix'!AB67</f>
        <v>35266.951330042175</v>
      </c>
      <c r="AC67" s="6">
        <f>AC$1*'survival matrix'!AC67</f>
        <v>39520.856216099579</v>
      </c>
      <c r="AD67" s="6">
        <f>AD$1*'survival matrix'!AD67</f>
        <v>44400.963707588846</v>
      </c>
      <c r="AE67" s="6">
        <f>AE$1*'survival matrix'!AE67</f>
        <v>49527.513938542259</v>
      </c>
      <c r="AF67" s="6">
        <f>AF$1*'survival matrix'!AF67</f>
        <v>54394.331344880491</v>
      </c>
      <c r="AG67" s="6">
        <f>AG$1*'survival matrix'!AG67</f>
        <v>59618.094652526612</v>
      </c>
      <c r="AH67" s="6">
        <f>AH$1*'survival matrix'!AH67</f>
        <v>64806.331449066507</v>
      </c>
      <c r="AI67" s="6">
        <f>AI$1*'survival matrix'!AI67</f>
        <v>71603.673217144227</v>
      </c>
      <c r="AJ67" s="6">
        <f>AJ$1*'survival matrix'!AJ67</f>
        <v>77418.394342936328</v>
      </c>
      <c r="AK67" s="6">
        <f>AK$1*'survival matrix'!AK67</f>
        <v>82964.135926455114</v>
      </c>
      <c r="AL67" s="6">
        <f>AL$1*'survival matrix'!AL67</f>
        <v>88684.632149934216</v>
      </c>
      <c r="AM67" s="6">
        <f>AM$1*'survival matrix'!AM67</f>
        <v>94581.428690552333</v>
      </c>
      <c r="AN67" s="6">
        <f>AN$1*'survival matrix'!AN67</f>
        <v>99496.780319301441</v>
      </c>
      <c r="AO67" s="6">
        <f>AO$1*'survival matrix'!AO67</f>
        <v>104240.56107874893</v>
      </c>
      <c r="AP67" s="6">
        <f>AP$1*'survival matrix'!AP67</f>
        <v>108434.87217545183</v>
      </c>
      <c r="AQ67" s="6">
        <f>AQ$1*'survival matrix'!AQ67</f>
        <v>113152.52362033133</v>
      </c>
      <c r="AR67" s="6">
        <f>AR$1*'survival matrix'!AR67</f>
        <v>118456.62732456934</v>
      </c>
      <c r="AS67" s="6">
        <f>AS$1*'survival matrix'!AS67</f>
        <v>123662.71360326285</v>
      </c>
      <c r="AT67" s="6">
        <f>AT$1*'survival matrix'!AT67</f>
        <v>130095.09179916412</v>
      </c>
      <c r="AU67" s="6">
        <f>AU$1*'survival matrix'!AU67</f>
        <v>136609.09370897326</v>
      </c>
      <c r="AV67" s="6">
        <f>AV$1*'survival matrix'!AV67</f>
        <v>142169.65704764807</v>
      </c>
      <c r="AW67" s="6">
        <f>AW$1*'survival matrix'!AW67</f>
        <v>148010.95201881535</v>
      </c>
      <c r="AX67" s="6">
        <f>AX$1*'survival matrix'!AX67</f>
        <v>153709.72328675954</v>
      </c>
      <c r="AY67" s="6">
        <f>AY$1*'survival matrix'!AY67</f>
        <v>160345.5524746622</v>
      </c>
      <c r="AZ67" s="6">
        <f>AZ$1*'survival matrix'!AZ67</f>
        <v>166428.67951436198</v>
      </c>
      <c r="BA67" s="6">
        <f>BA$1*'survival matrix'!BA67</f>
        <v>171739.96983385502</v>
      </c>
      <c r="BB67" s="6">
        <f>BB$1*'survival matrix'!BB67</f>
        <v>177673.8655215427</v>
      </c>
      <c r="BC67" s="6">
        <f>BC$1*'survival matrix'!BC67</f>
        <v>183687.56569400511</v>
      </c>
      <c r="BD67" s="6">
        <f>BD$1*'survival matrix'!BD67</f>
        <v>190087.86524104499</v>
      </c>
      <c r="BE67" s="6">
        <f>BE$1*'survival matrix'!BE67</f>
        <v>196201.00252538334</v>
      </c>
      <c r="BF67" s="6">
        <f>BF$1*'survival matrix'!BF67</f>
        <v>201279.44153686188</v>
      </c>
      <c r="BG67" s="6">
        <f>BG$1*'survival matrix'!BG67</f>
        <v>206269.52762787114</v>
      </c>
      <c r="BH67" s="6">
        <f>BH$1*'survival matrix'!BH67</f>
        <v>211121.05823744432</v>
      </c>
      <c r="BI67" s="6">
        <f>BI$1*'survival matrix'!BI67</f>
        <v>216402.15723095971</v>
      </c>
      <c r="BJ67" s="6">
        <f>BJ$1*'survival matrix'!BJ67</f>
        <v>222039.50681770331</v>
      </c>
      <c r="BK67" s="6">
        <f>BK$1*'survival matrix'!BK67</f>
        <v>227705.37573285331</v>
      </c>
      <c r="BL67" s="6">
        <f>BL$1*'survival matrix'!BL67</f>
        <v>234119.27614205438</v>
      </c>
      <c r="BM67" s="6">
        <f>BM$1*'survival matrix'!BM67</f>
        <v>241395.06936785861</v>
      </c>
      <c r="BN67" s="6">
        <f>BN$1*'survival matrix'!BN67</f>
        <v>249909.9698923231</v>
      </c>
      <c r="BO67" s="6">
        <f>BO$1*'survival matrix'!BO67</f>
        <v>261116.76715283626</v>
      </c>
      <c r="BP67" s="6">
        <f>BP$1*'survival matrix'!BP67</f>
        <v>272167.72141162393</v>
      </c>
      <c r="BQ67" s="6">
        <f>BQ$1*'survival matrix'!BQ67</f>
        <v>284672.78613771085</v>
      </c>
      <c r="BR67" s="6">
        <f>BR$1*'survival matrix'!BR67</f>
        <v>293913.59179985052</v>
      </c>
      <c r="BS67" s="6">
        <f>BS$1*'survival matrix'!BS67</f>
        <v>0</v>
      </c>
      <c r="BT67" s="6">
        <f>BT$1*'survival matrix'!BT67</f>
        <v>0</v>
      </c>
      <c r="BU67" s="6">
        <f>BU$1*'survival matrix'!BU67</f>
        <v>0</v>
      </c>
      <c r="BV67" s="6">
        <f>BV$1*'survival matrix'!BV67</f>
        <v>0</v>
      </c>
      <c r="BW67" s="6">
        <f>BW$1*'survival matrix'!BW67</f>
        <v>0</v>
      </c>
      <c r="BX67" s="6">
        <f>BX$1*'survival matrix'!BX67</f>
        <v>0</v>
      </c>
      <c r="BY67" s="6">
        <f>BY$1*'survival matrix'!BY67</f>
        <v>0</v>
      </c>
      <c r="BZ67" s="6">
        <f>BZ$1*'survival matrix'!BZ67</f>
        <v>0</v>
      </c>
      <c r="CA67" s="6">
        <f>CA$1*'survival matrix'!CA67</f>
        <v>0</v>
      </c>
      <c r="CB67" s="6">
        <f>CB$1*'survival matrix'!CB67</f>
        <v>0</v>
      </c>
      <c r="CC67" s="6">
        <f>CC$1*'survival matrix'!CC67</f>
        <v>0</v>
      </c>
      <c r="CD67" s="6">
        <f>CD$1*'survival matrix'!CD67</f>
        <v>0</v>
      </c>
      <c r="CE67" s="6">
        <f>CE$1*'survival matrix'!CE67</f>
        <v>0</v>
      </c>
      <c r="CF67" s="6">
        <f>CF$1*'survival matrix'!CF67</f>
        <v>0</v>
      </c>
      <c r="CG67" s="6">
        <f>CG$1*'survival matrix'!CG67</f>
        <v>0</v>
      </c>
      <c r="CH67" s="6">
        <f>CH$1*'survival matrix'!CH67</f>
        <v>0</v>
      </c>
      <c r="CI67" s="6">
        <f>CI$1*'survival matrix'!CI67</f>
        <v>0</v>
      </c>
      <c r="CJ67" s="6">
        <f>CJ$1*'survival matrix'!CJ67</f>
        <v>0</v>
      </c>
      <c r="CK67" s="6">
        <f>CK$1*'survival matrix'!CK67</f>
        <v>0</v>
      </c>
      <c r="CL67" s="6">
        <f>CL$1*'survival matrix'!CL67</f>
        <v>0</v>
      </c>
      <c r="CM67" s="6">
        <f>CM$1*'survival matrix'!CM67</f>
        <v>0</v>
      </c>
      <c r="CN67" s="6">
        <f>CN$1*'survival matrix'!CN67</f>
        <v>0</v>
      </c>
      <c r="CO67" s="6">
        <f>CO$1*'survival matrix'!CO67</f>
        <v>0</v>
      </c>
      <c r="CP67" s="6">
        <f>CP$1*'survival matrix'!CP67</f>
        <v>0</v>
      </c>
      <c r="CQ67" s="6">
        <f>CQ$1*'survival matrix'!CQ67</f>
        <v>0</v>
      </c>
      <c r="CR67" s="6">
        <f>CR$1*'survival matrix'!CR67</f>
        <v>0</v>
      </c>
      <c r="CS67" s="6">
        <f>CS$1*'survival matrix'!CS67</f>
        <v>0</v>
      </c>
      <c r="CT67" s="6">
        <f>CT$1*'survival matrix'!CT67</f>
        <v>0</v>
      </c>
      <c r="CU67" s="6">
        <f>CU$1*'survival matrix'!CU67</f>
        <v>0</v>
      </c>
      <c r="CV67" s="6">
        <f>CV$1*'survival matrix'!CV67</f>
        <v>0</v>
      </c>
      <c r="CW67" s="6">
        <f>CW$1*'survival matrix'!CW67</f>
        <v>0</v>
      </c>
      <c r="CX67" s="6">
        <f>CX$1*'survival matrix'!CX67</f>
        <v>0</v>
      </c>
      <c r="CY67" s="6">
        <f>CY$1*'survival matrix'!CY67</f>
        <v>0</v>
      </c>
      <c r="CZ67" s="6">
        <f>CZ$1*'survival matrix'!CZ67</f>
        <v>0</v>
      </c>
      <c r="DA67" s="6">
        <f>DA$1*'survival matrix'!DA67</f>
        <v>0</v>
      </c>
      <c r="DB67" s="6">
        <f>DB$1*'survival matrix'!DB67</f>
        <v>0</v>
      </c>
      <c r="DC67" s="6">
        <f>DC$1*'survival matrix'!DC67</f>
        <v>0</v>
      </c>
      <c r="DD67" s="6">
        <f>DD$1*'survival matrix'!DD67</f>
        <v>0</v>
      </c>
      <c r="DE67" s="6">
        <f>DE$1*'survival matrix'!DE67</f>
        <v>0</v>
      </c>
      <c r="DF67" s="6">
        <f>DF$1*'survival matrix'!DF67</f>
        <v>0</v>
      </c>
      <c r="DG67" s="6">
        <f>DG$1*'survival matrix'!DG67</f>
        <v>0</v>
      </c>
      <c r="DH67" s="6">
        <f>DH$1*'survival matrix'!DH67</f>
        <v>0</v>
      </c>
      <c r="DI67" s="6">
        <f>DI$1*'survival matrix'!DI67</f>
        <v>0</v>
      </c>
      <c r="DJ67" s="6">
        <f>DJ$1*'survival matrix'!DJ67</f>
        <v>0</v>
      </c>
      <c r="DK67" s="6">
        <f>DK$1*'survival matrix'!DK67</f>
        <v>0</v>
      </c>
      <c r="DL67" s="6">
        <f>DL$1*'survival matrix'!DL67</f>
        <v>0</v>
      </c>
      <c r="DM67" s="6">
        <f>DM$1*'survival matrix'!DM67</f>
        <v>0</v>
      </c>
      <c r="DN67" s="6">
        <f>DN$1*'survival matrix'!DN67</f>
        <v>0</v>
      </c>
      <c r="DO67" s="6">
        <f>DO$1*'survival matrix'!DO67</f>
        <v>0</v>
      </c>
      <c r="DP67" s="6">
        <f>DP$1*'survival matrix'!DP67</f>
        <v>0</v>
      </c>
      <c r="DQ67" s="6">
        <f>DQ$1*'survival matrix'!DQ67</f>
        <v>0</v>
      </c>
      <c r="DR67" s="6">
        <f>DR$1*'survival matrix'!DR67</f>
        <v>0</v>
      </c>
      <c r="DS67" s="6">
        <f>DS$1*'survival matrix'!DS67</f>
        <v>0</v>
      </c>
      <c r="DT67" s="6">
        <f>DT$1*'survival matrix'!DT67</f>
        <v>0</v>
      </c>
      <c r="DU67" s="6">
        <f>DU$1*'survival matrix'!DU67</f>
        <v>0</v>
      </c>
      <c r="DV67" s="6">
        <f>DV$1*'survival matrix'!DV67</f>
        <v>0</v>
      </c>
      <c r="DW67" s="6">
        <f>DW$1*'survival matrix'!DW67</f>
        <v>0</v>
      </c>
      <c r="DX67" s="6">
        <f>DX$1*'survival matrix'!DX67</f>
        <v>0</v>
      </c>
      <c r="DY67" s="6">
        <f>DY$1*'survival matrix'!DY67</f>
        <v>0</v>
      </c>
      <c r="DZ67" s="6">
        <f>DZ$1*'survival matrix'!DZ67</f>
        <v>0</v>
      </c>
      <c r="EA67" s="6">
        <f>EA$1*'survival matrix'!EA67</f>
        <v>0</v>
      </c>
      <c r="EB67" s="6">
        <f>EB$1*'survival matrix'!EB67</f>
        <v>0</v>
      </c>
      <c r="EC67" s="6">
        <f>EC$1*'survival matrix'!EC67</f>
        <v>0</v>
      </c>
    </row>
    <row r="68" spans="1:133">
      <c r="A68" s="12">
        <f>'data input'!C68-B68</f>
        <v>92552.400169559289</v>
      </c>
      <c r="B68" s="14">
        <f t="shared" si="2"/>
        <v>216306.22020611353</v>
      </c>
      <c r="C68" s="11">
        <f>SUM(F68:EC68)</f>
        <v>6937170.7365975594</v>
      </c>
      <c r="E68" s="7">
        <f>'data input'!B68</f>
        <v>1943</v>
      </c>
      <c r="F68" s="6">
        <f>F$1*'survival matrix'!F68</f>
        <v>98.804777102218836</v>
      </c>
      <c r="G68" s="6">
        <f>G$1*'survival matrix'!G68</f>
        <v>234.50512159012618</v>
      </c>
      <c r="H68" s="6">
        <f>H$1*'survival matrix'!H68</f>
        <v>414.94072186091495</v>
      </c>
      <c r="I68" s="6">
        <f>I$1*'survival matrix'!I68</f>
        <v>649.83892879889936</v>
      </c>
      <c r="J68" s="6">
        <f>J$1*'survival matrix'!J68</f>
        <v>949.566766373571</v>
      </c>
      <c r="K68" s="6">
        <f>K$1*'survival matrix'!K68</f>
        <v>1325.7411069072666</v>
      </c>
      <c r="L68" s="6">
        <f>L$1*'survival matrix'!L68</f>
        <v>1791.532273256759</v>
      </c>
      <c r="M68" s="6">
        <f>M$1*'survival matrix'!M68</f>
        <v>2360.4072568789384</v>
      </c>
      <c r="N68" s="6">
        <f>N$1*'survival matrix'!N68</f>
        <v>3045.7806148235809</v>
      </c>
      <c r="O68" s="6">
        <f>O$1*'survival matrix'!O68</f>
        <v>3861.7190907115551</v>
      </c>
      <c r="P68" s="6">
        <f>P$1*'survival matrix'!P68</f>
        <v>4824.9983747010674</v>
      </c>
      <c r="Q68" s="6">
        <f>Q$1*'survival matrix'!Q68</f>
        <v>5952.8311318815449</v>
      </c>
      <c r="R68" s="6">
        <f>R$1*'survival matrix'!R68</f>
        <v>7261.1078865446725</v>
      </c>
      <c r="S68" s="6">
        <f>S$1*'survival matrix'!S68</f>
        <v>8764.1826574459974</v>
      </c>
      <c r="T68" s="6">
        <f>T$1*'survival matrix'!T68</f>
        <v>10474.866729951777</v>
      </c>
      <c r="U68" s="6">
        <f>U$1*'survival matrix'!U68</f>
        <v>12407.886605192998</v>
      </c>
      <c r="V68" s="6">
        <f>V$1*'survival matrix'!V68</f>
        <v>14573.433082630569</v>
      </c>
      <c r="W68" s="6">
        <f>W$1*'survival matrix'!W68</f>
        <v>16984.141775998367</v>
      </c>
      <c r="X68" s="6">
        <f>X$1*'survival matrix'!X68</f>
        <v>19648.462249968088</v>
      </c>
      <c r="Y68" s="6">
        <f>Y$1*'survival matrix'!Y68</f>
        <v>22571.028938374144</v>
      </c>
      <c r="Z68" s="6">
        <f>Z$1*'survival matrix'!Z68</f>
        <v>25756.622696712489</v>
      </c>
      <c r="AA68" s="6">
        <f>AA$1*'survival matrix'!AA68</f>
        <v>29206.041926253522</v>
      </c>
      <c r="AB68" s="6">
        <f>AB$1*'survival matrix'!AB68</f>
        <v>32913.110446857543</v>
      </c>
      <c r="AC68" s="6">
        <f>AC$1*'survival matrix'!AC68</f>
        <v>37021.939009837675</v>
      </c>
      <c r="AD68" s="6">
        <f>AD$1*'survival matrix'!AD68</f>
        <v>41746.439300155937</v>
      </c>
      <c r="AE68" s="6">
        <f>AE$1*'survival matrix'!AE68</f>
        <v>46733.536023193345</v>
      </c>
      <c r="AF68" s="6">
        <f>AF$1*'survival matrix'!AF68</f>
        <v>51505.083650497967</v>
      </c>
      <c r="AG68" s="6">
        <f>AG$1*'survival matrix'!AG68</f>
        <v>56643.045107838261</v>
      </c>
      <c r="AH68" s="6">
        <f>AH$1*'survival matrix'!AH68</f>
        <v>61775.198567754007</v>
      </c>
      <c r="AI68" s="6">
        <f>AI$1*'survival matrix'!AI68</f>
        <v>68472.296033571562</v>
      </c>
      <c r="AJ68" s="6">
        <f>AJ$1*'survival matrix'!AJ68</f>
        <v>74260.837930241629</v>
      </c>
      <c r="AK68" s="6">
        <f>AK$1*'survival matrix'!AK68</f>
        <v>79816.746997759445</v>
      </c>
      <c r="AL68" s="6">
        <f>AL$1*'survival matrix'!AL68</f>
        <v>85563.887772605493</v>
      </c>
      <c r="AM68" s="6">
        <f>AM$1*'survival matrix'!AM68</f>
        <v>91503.123640910329</v>
      </c>
      <c r="AN68" s="6">
        <f>AN$1*'survival matrix'!AN68</f>
        <v>96510.673917626584</v>
      </c>
      <c r="AO68" s="6">
        <f>AO$1*'survival matrix'!AO68</f>
        <v>101364.71628391449</v>
      </c>
      <c r="AP68" s="6">
        <f>AP$1*'survival matrix'!AP68</f>
        <v>105693.81004634949</v>
      </c>
      <c r="AQ68" s="6">
        <f>AQ$1*'survival matrix'!AQ68</f>
        <v>110540.54058519281</v>
      </c>
      <c r="AR68" s="6">
        <f>AR$1*'survival matrix'!AR68</f>
        <v>115968.32811319116</v>
      </c>
      <c r="AS68" s="6">
        <f>AS$1*'survival matrix'!AS68</f>
        <v>121307.41527267217</v>
      </c>
      <c r="AT68" s="6">
        <f>AT$1*'survival matrix'!AT68</f>
        <v>127856.86152227387</v>
      </c>
      <c r="AU68" s="6">
        <f>AU$1*'survival matrix'!AU68</f>
        <v>134494.24469478373</v>
      </c>
      <c r="AV68" s="6">
        <f>AV$1*'survival matrix'!AV68</f>
        <v>140197.10328940832</v>
      </c>
      <c r="AW68" s="6">
        <f>AW$1*'survival matrix'!AW68</f>
        <v>146177.99525029224</v>
      </c>
      <c r="AX68" s="6">
        <f>AX$1*'survival matrix'!AX68</f>
        <v>152017.88217553654</v>
      </c>
      <c r="AY68" s="6">
        <f>AY$1*'survival matrix'!AY68</f>
        <v>158783.7395123794</v>
      </c>
      <c r="AZ68" s="6">
        <f>AZ$1*'survival matrix'!AZ68</f>
        <v>165000.50793186881</v>
      </c>
      <c r="BA68" s="6">
        <f>BA$1*'survival matrix'!BA68</f>
        <v>170447.48913265241</v>
      </c>
      <c r="BB68" s="6">
        <f>BB$1*'survival matrix'!BB68</f>
        <v>176506.64418015387</v>
      </c>
      <c r="BC68" s="6">
        <f>BC$1*'survival matrix'!BC68</f>
        <v>182639.17941144371</v>
      </c>
      <c r="BD68" s="6">
        <f>BD$1*'survival matrix'!BD68</f>
        <v>189149.86369266978</v>
      </c>
      <c r="BE68" s="6">
        <f>BE$1*'survival matrix'!BE68</f>
        <v>195368.05641093047</v>
      </c>
      <c r="BF68" s="6">
        <f>BF$1*'survival matrix'!BF68</f>
        <v>200547.95498165156</v>
      </c>
      <c r="BG68" s="6">
        <f>BG$1*'survival matrix'!BG68</f>
        <v>205631.07843018565</v>
      </c>
      <c r="BH68" s="6">
        <f>BH$1*'survival matrix'!BH68</f>
        <v>210567.36243814114</v>
      </c>
      <c r="BI68" s="6">
        <f>BI$1*'survival matrix'!BI68</f>
        <v>215923.76155150437</v>
      </c>
      <c r="BJ68" s="6">
        <f>BJ$1*'survival matrix'!BJ68</f>
        <v>221627.92562803574</v>
      </c>
      <c r="BK68" s="6">
        <f>BK$1*'survival matrix'!BK68</f>
        <v>227353.33719567637</v>
      </c>
      <c r="BL68" s="6">
        <f>BL$1*'survival matrix'!BL68</f>
        <v>233819.00155911013</v>
      </c>
      <c r="BM68" s="6">
        <f>BM$1*'survival matrix'!BM68</f>
        <v>241139.60517936814</v>
      </c>
      <c r="BN68" s="6">
        <f>BN$1*'survival matrix'!BN68</f>
        <v>249692.92668799439</v>
      </c>
      <c r="BO68" s="6">
        <f>BO$1*'survival matrix'!BO68</f>
        <v>260931.67586826437</v>
      </c>
      <c r="BP68" s="6">
        <f>BP$1*'survival matrix'!BP68</f>
        <v>272011.12108578376</v>
      </c>
      <c r="BQ68" s="6">
        <f>BQ$1*'survival matrix'!BQ68</f>
        <v>284540.56123526493</v>
      </c>
      <c r="BR68" s="6">
        <f>BR$1*'survival matrix'!BR68</f>
        <v>293803.99540608056</v>
      </c>
      <c r="BS68" s="6">
        <f>BS$1*'survival matrix'!BS68</f>
        <v>308441.69273197569</v>
      </c>
      <c r="BT68" s="6">
        <f>BT$1*'survival matrix'!BT68</f>
        <v>0</v>
      </c>
      <c r="BU68" s="6">
        <f>BU$1*'survival matrix'!BU68</f>
        <v>0</v>
      </c>
      <c r="BV68" s="6">
        <f>BV$1*'survival matrix'!BV68</f>
        <v>0</v>
      </c>
      <c r="BW68" s="6">
        <f>BW$1*'survival matrix'!BW68</f>
        <v>0</v>
      </c>
      <c r="BX68" s="6">
        <f>BX$1*'survival matrix'!BX68</f>
        <v>0</v>
      </c>
      <c r="BY68" s="6">
        <f>BY$1*'survival matrix'!BY68</f>
        <v>0</v>
      </c>
      <c r="BZ68" s="6">
        <f>BZ$1*'survival matrix'!BZ68</f>
        <v>0</v>
      </c>
      <c r="CA68" s="6">
        <f>CA$1*'survival matrix'!CA68</f>
        <v>0</v>
      </c>
      <c r="CB68" s="6">
        <f>CB$1*'survival matrix'!CB68</f>
        <v>0</v>
      </c>
      <c r="CC68" s="6">
        <f>CC$1*'survival matrix'!CC68</f>
        <v>0</v>
      </c>
      <c r="CD68" s="6">
        <f>CD$1*'survival matrix'!CD68</f>
        <v>0</v>
      </c>
      <c r="CE68" s="6">
        <f>CE$1*'survival matrix'!CE68</f>
        <v>0</v>
      </c>
      <c r="CF68" s="6">
        <f>CF$1*'survival matrix'!CF68</f>
        <v>0</v>
      </c>
      <c r="CG68" s="6">
        <f>CG$1*'survival matrix'!CG68</f>
        <v>0</v>
      </c>
      <c r="CH68" s="6">
        <f>CH$1*'survival matrix'!CH68</f>
        <v>0</v>
      </c>
      <c r="CI68" s="6">
        <f>CI$1*'survival matrix'!CI68</f>
        <v>0</v>
      </c>
      <c r="CJ68" s="6">
        <f>CJ$1*'survival matrix'!CJ68</f>
        <v>0</v>
      </c>
      <c r="CK68" s="6">
        <f>CK$1*'survival matrix'!CK68</f>
        <v>0</v>
      </c>
      <c r="CL68" s="6">
        <f>CL$1*'survival matrix'!CL68</f>
        <v>0</v>
      </c>
      <c r="CM68" s="6">
        <f>CM$1*'survival matrix'!CM68</f>
        <v>0</v>
      </c>
      <c r="CN68" s="6">
        <f>CN$1*'survival matrix'!CN68</f>
        <v>0</v>
      </c>
      <c r="CO68" s="6">
        <f>CO$1*'survival matrix'!CO68</f>
        <v>0</v>
      </c>
      <c r="CP68" s="6">
        <f>CP$1*'survival matrix'!CP68</f>
        <v>0</v>
      </c>
      <c r="CQ68" s="6">
        <f>CQ$1*'survival matrix'!CQ68</f>
        <v>0</v>
      </c>
      <c r="CR68" s="6">
        <f>CR$1*'survival matrix'!CR68</f>
        <v>0</v>
      </c>
      <c r="CS68" s="6">
        <f>CS$1*'survival matrix'!CS68</f>
        <v>0</v>
      </c>
      <c r="CT68" s="6">
        <f>CT$1*'survival matrix'!CT68</f>
        <v>0</v>
      </c>
      <c r="CU68" s="6">
        <f>CU$1*'survival matrix'!CU68</f>
        <v>0</v>
      </c>
      <c r="CV68" s="6">
        <f>CV$1*'survival matrix'!CV68</f>
        <v>0</v>
      </c>
      <c r="CW68" s="6">
        <f>CW$1*'survival matrix'!CW68</f>
        <v>0</v>
      </c>
      <c r="CX68" s="6">
        <f>CX$1*'survival matrix'!CX68</f>
        <v>0</v>
      </c>
      <c r="CY68" s="6">
        <f>CY$1*'survival matrix'!CY68</f>
        <v>0</v>
      </c>
      <c r="CZ68" s="6">
        <f>CZ$1*'survival matrix'!CZ68</f>
        <v>0</v>
      </c>
      <c r="DA68" s="6">
        <f>DA$1*'survival matrix'!DA68</f>
        <v>0</v>
      </c>
      <c r="DB68" s="6">
        <f>DB$1*'survival matrix'!DB68</f>
        <v>0</v>
      </c>
      <c r="DC68" s="6">
        <f>DC$1*'survival matrix'!DC68</f>
        <v>0</v>
      </c>
      <c r="DD68" s="6">
        <f>DD$1*'survival matrix'!DD68</f>
        <v>0</v>
      </c>
      <c r="DE68" s="6">
        <f>DE$1*'survival matrix'!DE68</f>
        <v>0</v>
      </c>
      <c r="DF68" s="6">
        <f>DF$1*'survival matrix'!DF68</f>
        <v>0</v>
      </c>
      <c r="DG68" s="6">
        <f>DG$1*'survival matrix'!DG68</f>
        <v>0</v>
      </c>
      <c r="DH68" s="6">
        <f>DH$1*'survival matrix'!DH68</f>
        <v>0</v>
      </c>
      <c r="DI68" s="6">
        <f>DI$1*'survival matrix'!DI68</f>
        <v>0</v>
      </c>
      <c r="DJ68" s="6">
        <f>DJ$1*'survival matrix'!DJ68</f>
        <v>0</v>
      </c>
      <c r="DK68" s="6">
        <f>DK$1*'survival matrix'!DK68</f>
        <v>0</v>
      </c>
      <c r="DL68" s="6">
        <f>DL$1*'survival matrix'!DL68</f>
        <v>0</v>
      </c>
      <c r="DM68" s="6">
        <f>DM$1*'survival matrix'!DM68</f>
        <v>0</v>
      </c>
      <c r="DN68" s="6">
        <f>DN$1*'survival matrix'!DN68</f>
        <v>0</v>
      </c>
      <c r="DO68" s="6">
        <f>DO$1*'survival matrix'!DO68</f>
        <v>0</v>
      </c>
      <c r="DP68" s="6">
        <f>DP$1*'survival matrix'!DP68</f>
        <v>0</v>
      </c>
      <c r="DQ68" s="6">
        <f>DQ$1*'survival matrix'!DQ68</f>
        <v>0</v>
      </c>
      <c r="DR68" s="6">
        <f>DR$1*'survival matrix'!DR68</f>
        <v>0</v>
      </c>
      <c r="DS68" s="6">
        <f>DS$1*'survival matrix'!DS68</f>
        <v>0</v>
      </c>
      <c r="DT68" s="6">
        <f>DT$1*'survival matrix'!DT68</f>
        <v>0</v>
      </c>
      <c r="DU68" s="6">
        <f>DU$1*'survival matrix'!DU68</f>
        <v>0</v>
      </c>
      <c r="DV68" s="6">
        <f>DV$1*'survival matrix'!DV68</f>
        <v>0</v>
      </c>
      <c r="DW68" s="6">
        <f>DW$1*'survival matrix'!DW68</f>
        <v>0</v>
      </c>
      <c r="DX68" s="6">
        <f>DX$1*'survival matrix'!DX68</f>
        <v>0</v>
      </c>
      <c r="DY68" s="6">
        <f>DY$1*'survival matrix'!DY68</f>
        <v>0</v>
      </c>
      <c r="DZ68" s="6">
        <f>DZ$1*'survival matrix'!DZ68</f>
        <v>0</v>
      </c>
      <c r="EA68" s="6">
        <f>EA$1*'survival matrix'!EA68</f>
        <v>0</v>
      </c>
      <c r="EB68" s="6">
        <f>EB$1*'survival matrix'!EB68</f>
        <v>0</v>
      </c>
      <c r="EC68" s="6">
        <f>EC$1*'survival matrix'!EC68</f>
        <v>0</v>
      </c>
    </row>
    <row r="69" spans="1:133">
      <c r="A69" s="12">
        <f>'data input'!C69-B69</f>
        <v>96311.439357540279</v>
      </c>
      <c r="B69" s="14">
        <f t="shared" ref="B69:B130" si="3">C69-C68</f>
        <v>225793.50176930334</v>
      </c>
      <c r="C69" s="11">
        <f>SUM(F69:EC69)</f>
        <v>7162964.2383668628</v>
      </c>
      <c r="E69" s="7">
        <f>'data input'!B69</f>
        <v>1944</v>
      </c>
      <c r="F69" s="6">
        <f>F$1*'survival matrix'!F69</f>
        <v>83.175168694142727</v>
      </c>
      <c r="G69" s="6">
        <f>G$1*'survival matrix'!G69</f>
        <v>198.38684118716284</v>
      </c>
      <c r="H69" s="6">
        <f>H$1*'survival matrix'!H69</f>
        <v>352.7599277644353</v>
      </c>
      <c r="I69" s="6">
        <f>I$1*'survival matrix'!I69</f>
        <v>555.16082680681529</v>
      </c>
      <c r="J69" s="6">
        <f>J$1*'survival matrix'!J69</f>
        <v>815.16416910024657</v>
      </c>
      <c r="K69" s="6">
        <f>K$1*'survival matrix'!K69</f>
        <v>1143.5908365929242</v>
      </c>
      <c r="L69" s="6">
        <f>L$1*'survival matrix'!L69</f>
        <v>1552.7948912131881</v>
      </c>
      <c r="M69" s="6">
        <f>M$1*'survival matrix'!M69</f>
        <v>2055.598428327904</v>
      </c>
      <c r="N69" s="6">
        <f>N$1*'survival matrix'!N69</f>
        <v>2664.9887264050367</v>
      </c>
      <c r="O69" s="6">
        <f>O$1*'survival matrix'!O69</f>
        <v>3394.7323413694153</v>
      </c>
      <c r="P69" s="6">
        <f>P$1*'survival matrix'!P69</f>
        <v>4261.1998109955784</v>
      </c>
      <c r="Q69" s="6">
        <f>Q$1*'survival matrix'!Q69</f>
        <v>5281.3988940539894</v>
      </c>
      <c r="R69" s="6">
        <f>R$1*'survival matrix'!R69</f>
        <v>6471.4080064686577</v>
      </c>
      <c r="S69" s="6">
        <f>S$1*'survival matrix'!S69</f>
        <v>7846.1489404313179</v>
      </c>
      <c r="T69" s="6">
        <f>T$1*'survival matrix'!T69</f>
        <v>9419.3408977630043</v>
      </c>
      <c r="U69" s="6">
        <f>U$1*'survival matrix'!U69</f>
        <v>11206.582575871273</v>
      </c>
      <c r="V69" s="6">
        <f>V$1*'survival matrix'!V69</f>
        <v>13219.526686194686</v>
      </c>
      <c r="W69" s="6">
        <f>W$1*'survival matrix'!W69</f>
        <v>15472.137752624469</v>
      </c>
      <c r="X69" s="6">
        <f>X$1*'survival matrix'!X69</f>
        <v>17974.6601055434</v>
      </c>
      <c r="Y69" s="6">
        <f>Y$1*'survival matrix'!Y69</f>
        <v>20733.864072514581</v>
      </c>
      <c r="Z69" s="6">
        <f>Z$1*'survival matrix'!Z69</f>
        <v>23756.613998226301</v>
      </c>
      <c r="AA69" s="6">
        <f>AA$1*'survival matrix'!AA69</f>
        <v>27046.033902753599</v>
      </c>
      <c r="AB69" s="6">
        <f>AB$1*'survival matrix'!AB69</f>
        <v>30598.639055127878</v>
      </c>
      <c r="AC69" s="6">
        <f>AC$1*'survival matrix'!AC69</f>
        <v>34550.964050857023</v>
      </c>
      <c r="AD69" s="6">
        <f>AD$1*'survival matrix'!AD69</f>
        <v>39106.797717066176</v>
      </c>
      <c r="AE69" s="6">
        <f>AE$1*'survival matrix'!AE69</f>
        <v>43939.55810784443</v>
      </c>
      <c r="AF69" s="6">
        <f>AF$1*'survival matrix'!AF69</f>
        <v>48599.545802863264</v>
      </c>
      <c r="AG69" s="6">
        <f>AG$1*'survival matrix'!AG69</f>
        <v>53634.353146115485</v>
      </c>
      <c r="AH69" s="6">
        <f>AH$1*'survival matrix'!AH69</f>
        <v>58692.505679912108</v>
      </c>
      <c r="AI69" s="6">
        <f>AI$1*'survival matrix'!AI69</f>
        <v>65269.698026161714</v>
      </c>
      <c r="AJ69" s="6">
        <f>AJ$1*'survival matrix'!AJ69</f>
        <v>71013.257421032933</v>
      </c>
      <c r="AK69" s="6">
        <f>AK$1*'survival matrix'!AK69</f>
        <v>76561.372309842016</v>
      </c>
      <c r="AL69" s="6">
        <f>AL$1*'survival matrix'!AL69</f>
        <v>82317.872731716212</v>
      </c>
      <c r="AM69" s="6">
        <f>AM$1*'survival matrix'!AM69</f>
        <v>88283.198703660673</v>
      </c>
      <c r="AN69" s="6">
        <f>AN$1*'survival matrix'!AN69</f>
        <v>93369.578472378169</v>
      </c>
      <c r="AO69" s="6">
        <f>AO$1*'survival matrix'!AO69</f>
        <v>98322.549218528206</v>
      </c>
      <c r="AP69" s="6">
        <f>AP$1*'survival matrix'!AP69</f>
        <v>102777.87223555443</v>
      </c>
      <c r="AQ69" s="6">
        <f>AQ$1*'survival matrix'!AQ69</f>
        <v>107746.25048783087</v>
      </c>
      <c r="AR69" s="6">
        <f>AR$1*'survival matrix'!AR69</f>
        <v>113291.34578921403</v>
      </c>
      <c r="AS69" s="6">
        <f>AS$1*'survival matrix'!AS69</f>
        <v>118759.23242655539</v>
      </c>
      <c r="AT69" s="6">
        <f>AT$1*'survival matrix'!AT69</f>
        <v>125421.68083018505</v>
      </c>
      <c r="AU69" s="6">
        <f>AU$1*'survival matrix'!AU69</f>
        <v>132180.32887843557</v>
      </c>
      <c r="AV69" s="6">
        <f>AV$1*'survival matrix'!AV69</f>
        <v>138026.70820344516</v>
      </c>
      <c r="AW69" s="6">
        <f>AW$1*'survival matrix'!AW69</f>
        <v>144149.82721577081</v>
      </c>
      <c r="AX69" s="6">
        <f>AX$1*'survival matrix'!AX69</f>
        <v>150135.30387798746</v>
      </c>
      <c r="AY69" s="6">
        <f>AY$1*'survival matrix'!AY69</f>
        <v>157036.05008482377</v>
      </c>
      <c r="AZ69" s="6">
        <f>AZ$1*'survival matrix'!AZ69</f>
        <v>163393.35433082358</v>
      </c>
      <c r="BA69" s="6">
        <f>BA$1*'survival matrix'!BA69</f>
        <v>168984.83100788156</v>
      </c>
      <c r="BB69" s="6">
        <f>BB$1*'survival matrix'!BB69</f>
        <v>175178.29044015039</v>
      </c>
      <c r="BC69" s="6">
        <f>BC$1*'survival matrix'!BC69</f>
        <v>181439.33863938076</v>
      </c>
      <c r="BD69" s="6">
        <f>BD$1*'survival matrix'!BD69</f>
        <v>188070.30165647788</v>
      </c>
      <c r="BE69" s="6">
        <f>BE$1*'survival matrix'!BE69</f>
        <v>194403.99939874758</v>
      </c>
      <c r="BF69" s="6">
        <f>BF$1*'survival matrix'!BF69</f>
        <v>199696.55443979232</v>
      </c>
      <c r="BG69" s="6">
        <f>BG$1*'survival matrix'!BG69</f>
        <v>204883.77722517148</v>
      </c>
      <c r="BH69" s="6">
        <f>BH$1*'survival matrix'!BH69</f>
        <v>209915.61050389559</v>
      </c>
      <c r="BI69" s="6">
        <f>BI$1*'survival matrix'!BI69</f>
        <v>215357.46996155629</v>
      </c>
      <c r="BJ69" s="6">
        <f>BJ$1*'survival matrix'!BJ69</f>
        <v>221137.97745273201</v>
      </c>
      <c r="BK69" s="6">
        <f>BK$1*'survival matrix'!BK69</f>
        <v>226931.90608038066</v>
      </c>
      <c r="BL69" s="6">
        <f>BL$1*'survival matrix'!BL69</f>
        <v>233457.51119460678</v>
      </c>
      <c r="BM69" s="6">
        <f>BM$1*'survival matrix'!BM69</f>
        <v>240830.32652632528</v>
      </c>
      <c r="BN69" s="6">
        <f>BN$1*'survival matrix'!BN69</f>
        <v>249428.68102193667</v>
      </c>
      <c r="BO69" s="6">
        <f>BO$1*'survival matrix'!BO69</f>
        <v>260705.06047126476</v>
      </c>
      <c r="BP69" s="6">
        <f>BP$1*'survival matrix'!BP69</f>
        <v>271818.30739415996</v>
      </c>
      <c r="BQ69" s="6">
        <f>BQ$1*'survival matrix'!BQ69</f>
        <v>284376.84180383099</v>
      </c>
      <c r="BR69" s="6">
        <f>BR$1*'survival matrix'!BR69</f>
        <v>293667.52923677134</v>
      </c>
      <c r="BS69" s="6">
        <f>BS$1*'survival matrix'!BS69</f>
        <v>308326.67900632689</v>
      </c>
      <c r="BT69" s="6">
        <f>BT$1*'survival matrix'!BT69</f>
        <v>321670.13230083819</v>
      </c>
      <c r="BU69" s="6">
        <f>BU$1*'survival matrix'!BU69</f>
        <v>0</v>
      </c>
      <c r="BV69" s="6">
        <f>BV$1*'survival matrix'!BV69</f>
        <v>0</v>
      </c>
      <c r="BW69" s="6">
        <f>BW$1*'survival matrix'!BW69</f>
        <v>0</v>
      </c>
      <c r="BX69" s="6">
        <f>BX$1*'survival matrix'!BX69</f>
        <v>0</v>
      </c>
      <c r="BY69" s="6">
        <f>BY$1*'survival matrix'!BY69</f>
        <v>0</v>
      </c>
      <c r="BZ69" s="6">
        <f>BZ$1*'survival matrix'!BZ69</f>
        <v>0</v>
      </c>
      <c r="CA69" s="6">
        <f>CA$1*'survival matrix'!CA69</f>
        <v>0</v>
      </c>
      <c r="CB69" s="6">
        <f>CB$1*'survival matrix'!CB69</f>
        <v>0</v>
      </c>
      <c r="CC69" s="6">
        <f>CC$1*'survival matrix'!CC69</f>
        <v>0</v>
      </c>
      <c r="CD69" s="6">
        <f>CD$1*'survival matrix'!CD69</f>
        <v>0</v>
      </c>
      <c r="CE69" s="6">
        <f>CE$1*'survival matrix'!CE69</f>
        <v>0</v>
      </c>
      <c r="CF69" s="6">
        <f>CF$1*'survival matrix'!CF69</f>
        <v>0</v>
      </c>
      <c r="CG69" s="6">
        <f>CG$1*'survival matrix'!CG69</f>
        <v>0</v>
      </c>
      <c r="CH69" s="6">
        <f>CH$1*'survival matrix'!CH69</f>
        <v>0</v>
      </c>
      <c r="CI69" s="6">
        <f>CI$1*'survival matrix'!CI69</f>
        <v>0</v>
      </c>
      <c r="CJ69" s="6">
        <f>CJ$1*'survival matrix'!CJ69</f>
        <v>0</v>
      </c>
      <c r="CK69" s="6">
        <f>CK$1*'survival matrix'!CK69</f>
        <v>0</v>
      </c>
      <c r="CL69" s="6">
        <f>CL$1*'survival matrix'!CL69</f>
        <v>0</v>
      </c>
      <c r="CM69" s="6">
        <f>CM$1*'survival matrix'!CM69</f>
        <v>0</v>
      </c>
      <c r="CN69" s="6">
        <f>CN$1*'survival matrix'!CN69</f>
        <v>0</v>
      </c>
      <c r="CO69" s="6">
        <f>CO$1*'survival matrix'!CO69</f>
        <v>0</v>
      </c>
      <c r="CP69" s="6">
        <f>CP$1*'survival matrix'!CP69</f>
        <v>0</v>
      </c>
      <c r="CQ69" s="6">
        <f>CQ$1*'survival matrix'!CQ69</f>
        <v>0</v>
      </c>
      <c r="CR69" s="6">
        <f>CR$1*'survival matrix'!CR69</f>
        <v>0</v>
      </c>
      <c r="CS69" s="6">
        <f>CS$1*'survival matrix'!CS69</f>
        <v>0</v>
      </c>
      <c r="CT69" s="6">
        <f>CT$1*'survival matrix'!CT69</f>
        <v>0</v>
      </c>
      <c r="CU69" s="6">
        <f>CU$1*'survival matrix'!CU69</f>
        <v>0</v>
      </c>
      <c r="CV69" s="6">
        <f>CV$1*'survival matrix'!CV69</f>
        <v>0</v>
      </c>
      <c r="CW69" s="6">
        <f>CW$1*'survival matrix'!CW69</f>
        <v>0</v>
      </c>
      <c r="CX69" s="6">
        <f>CX$1*'survival matrix'!CX69</f>
        <v>0</v>
      </c>
      <c r="CY69" s="6">
        <f>CY$1*'survival matrix'!CY69</f>
        <v>0</v>
      </c>
      <c r="CZ69" s="6">
        <f>CZ$1*'survival matrix'!CZ69</f>
        <v>0</v>
      </c>
      <c r="DA69" s="6">
        <f>DA$1*'survival matrix'!DA69</f>
        <v>0</v>
      </c>
      <c r="DB69" s="6">
        <f>DB$1*'survival matrix'!DB69</f>
        <v>0</v>
      </c>
      <c r="DC69" s="6">
        <f>DC$1*'survival matrix'!DC69</f>
        <v>0</v>
      </c>
      <c r="DD69" s="6">
        <f>DD$1*'survival matrix'!DD69</f>
        <v>0</v>
      </c>
      <c r="DE69" s="6">
        <f>DE$1*'survival matrix'!DE69</f>
        <v>0</v>
      </c>
      <c r="DF69" s="6">
        <f>DF$1*'survival matrix'!DF69</f>
        <v>0</v>
      </c>
      <c r="DG69" s="6">
        <f>DG$1*'survival matrix'!DG69</f>
        <v>0</v>
      </c>
      <c r="DH69" s="6">
        <f>DH$1*'survival matrix'!DH69</f>
        <v>0</v>
      </c>
      <c r="DI69" s="6">
        <f>DI$1*'survival matrix'!DI69</f>
        <v>0</v>
      </c>
      <c r="DJ69" s="6">
        <f>DJ$1*'survival matrix'!DJ69</f>
        <v>0</v>
      </c>
      <c r="DK69" s="6">
        <f>DK$1*'survival matrix'!DK69</f>
        <v>0</v>
      </c>
      <c r="DL69" s="6">
        <f>DL$1*'survival matrix'!DL69</f>
        <v>0</v>
      </c>
      <c r="DM69" s="6">
        <f>DM$1*'survival matrix'!DM69</f>
        <v>0</v>
      </c>
      <c r="DN69" s="6">
        <f>DN$1*'survival matrix'!DN69</f>
        <v>0</v>
      </c>
      <c r="DO69" s="6">
        <f>DO$1*'survival matrix'!DO69</f>
        <v>0</v>
      </c>
      <c r="DP69" s="6">
        <f>DP$1*'survival matrix'!DP69</f>
        <v>0</v>
      </c>
      <c r="DQ69" s="6">
        <f>DQ$1*'survival matrix'!DQ69</f>
        <v>0</v>
      </c>
      <c r="DR69" s="6">
        <f>DR$1*'survival matrix'!DR69</f>
        <v>0</v>
      </c>
      <c r="DS69" s="6">
        <f>DS$1*'survival matrix'!DS69</f>
        <v>0</v>
      </c>
      <c r="DT69" s="6">
        <f>DT$1*'survival matrix'!DT69</f>
        <v>0</v>
      </c>
      <c r="DU69" s="6">
        <f>DU$1*'survival matrix'!DU69</f>
        <v>0</v>
      </c>
      <c r="DV69" s="6">
        <f>DV$1*'survival matrix'!DV69</f>
        <v>0</v>
      </c>
      <c r="DW69" s="6">
        <f>DW$1*'survival matrix'!DW69</f>
        <v>0</v>
      </c>
      <c r="DX69" s="6">
        <f>DX$1*'survival matrix'!DX69</f>
        <v>0</v>
      </c>
      <c r="DY69" s="6">
        <f>DY$1*'survival matrix'!DY69</f>
        <v>0</v>
      </c>
      <c r="DZ69" s="6">
        <f>DZ$1*'survival matrix'!DZ69</f>
        <v>0</v>
      </c>
      <c r="EA69" s="6">
        <f>EA$1*'survival matrix'!EA69</f>
        <v>0</v>
      </c>
      <c r="EB69" s="6">
        <f>EB$1*'survival matrix'!EB69</f>
        <v>0</v>
      </c>
      <c r="EC69" s="6">
        <f>EC$1*'survival matrix'!EC69</f>
        <v>0</v>
      </c>
    </row>
    <row r="70" spans="1:133">
      <c r="A70" s="12">
        <f>'data input'!C70-B70</f>
        <v>100099.81185444497</v>
      </c>
      <c r="B70" s="14">
        <f t="shared" si="3"/>
        <v>225328.35309303086</v>
      </c>
      <c r="C70" s="11">
        <f>SUM(F70:EC70)</f>
        <v>7388292.5914598936</v>
      </c>
      <c r="E70" s="7">
        <f>'data input'!B70</f>
        <v>1945</v>
      </c>
      <c r="F70" s="6">
        <f>F$1*'survival matrix'!F70</f>
        <v>69.671173152998165</v>
      </c>
      <c r="G70" s="6">
        <f>G$1*'survival matrix'!G70</f>
        <v>167.00466785496968</v>
      </c>
      <c r="H70" s="6">
        <f>H$1*'survival matrix'!H70</f>
        <v>298.42814217471948</v>
      </c>
      <c r="I70" s="6">
        <f>I$1*'survival matrix'!I70</f>
        <v>471.96739882199358</v>
      </c>
      <c r="J70" s="6">
        <f>J$1*'survival matrix'!J70</f>
        <v>696.39905220425749</v>
      </c>
      <c r="K70" s="6">
        <f>K$1*'survival matrix'!K70</f>
        <v>981.72588501816062</v>
      </c>
      <c r="L70" s="6">
        <f>L$1*'survival matrix'!L70</f>
        <v>1339.4485540561279</v>
      </c>
      <c r="M70" s="6">
        <f>M$1*'survival matrix'!M70</f>
        <v>1781.671916013521</v>
      </c>
      <c r="N70" s="6">
        <f>N$1*'survival matrix'!N70</f>
        <v>2320.8480746467822</v>
      </c>
      <c r="O70" s="6">
        <f>O$1*'survival matrix'!O70</f>
        <v>2970.3135461829993</v>
      </c>
      <c r="P70" s="6">
        <f>P$1*'survival matrix'!P70</f>
        <v>3745.9049898832782</v>
      </c>
      <c r="Q70" s="6">
        <f>Q$1*'survival matrix'!Q70</f>
        <v>4664.2701657965672</v>
      </c>
      <c r="R70" s="6">
        <f>R$1*'survival matrix'!R70</f>
        <v>5741.4844014788705</v>
      </c>
      <c r="S70" s="6">
        <f>S$1*'survival matrix'!S70</f>
        <v>6992.8214628436408</v>
      </c>
      <c r="T70" s="6">
        <f>T$1*'survival matrix'!T70</f>
        <v>8432.6804327560276</v>
      </c>
      <c r="U70" s="6">
        <f>U$1*'survival matrix'!U70</f>
        <v>10077.323588206504</v>
      </c>
      <c r="V70" s="6">
        <f>V$1*'survival matrix'!V70</f>
        <v>11939.641466482468</v>
      </c>
      <c r="W70" s="6">
        <f>W$1*'survival matrix'!W70</f>
        <v>14034.739567101378</v>
      </c>
      <c r="X70" s="6">
        <f>X$1*'survival matrix'!X70</f>
        <v>16374.475724324509</v>
      </c>
      <c r="Y70" s="6">
        <f>Y$1*'survival matrix'!Y70</f>
        <v>18967.599328471257</v>
      </c>
      <c r="Z70" s="6">
        <f>Z$1*'survival matrix'!Z70</f>
        <v>21822.948648343823</v>
      </c>
      <c r="AA70" s="6">
        <f>AA$1*'survival matrix'!AA70</f>
        <v>24945.90207638788</v>
      </c>
      <c r="AB70" s="6">
        <f>AB$1*'survival matrix'!AB70</f>
        <v>28335.637925630679</v>
      </c>
      <c r="AC70" s="6">
        <f>AC$1*'survival matrix'!AC70</f>
        <v>32121.317725526995</v>
      </c>
      <c r="AD70" s="6">
        <f>AD$1*'survival matrix'!AD70</f>
        <v>36496.671924921291</v>
      </c>
      <c r="AE70" s="6">
        <f>AE$1*'survival matrix'!AE70</f>
        <v>41161.244875184573</v>
      </c>
      <c r="AF70" s="6">
        <f>AF$1*'survival matrix'!AF70</f>
        <v>45694.007955228561</v>
      </c>
      <c r="AG70" s="6">
        <f>AG$1*'survival matrix'!AG70</f>
        <v>50608.697580600507</v>
      </c>
      <c r="AH70" s="6">
        <f>AH$1*'survival matrix'!AH70</f>
        <v>55574.953123965861</v>
      </c>
      <c r="AI70" s="6">
        <f>AI$1*'survival matrix'!AI70</f>
        <v>62012.623365751562</v>
      </c>
      <c r="AJ70" s="6">
        <f>AJ$1*'survival matrix'!AJ70</f>
        <v>67691.813130559953</v>
      </c>
      <c r="AK70" s="6">
        <f>AK$1*'survival matrix'!AK70</f>
        <v>73213.184659370338</v>
      </c>
      <c r="AL70" s="6">
        <f>AL$1*'survival matrix'!AL70</f>
        <v>78960.488105886237</v>
      </c>
      <c r="AM70" s="6">
        <f>AM$1*'survival matrix'!AM70</f>
        <v>84934.021868551397</v>
      </c>
      <c r="AN70" s="6">
        <f>AN$1*'survival matrix'!AN70</f>
        <v>90083.974417116347</v>
      </c>
      <c r="AO70" s="6">
        <f>AO$1*'survival matrix'!AO70</f>
        <v>95122.483371105642</v>
      </c>
      <c r="AP70" s="6">
        <f>AP$1*'survival matrix'!AP70</f>
        <v>99693.293405483768</v>
      </c>
      <c r="AQ70" s="6">
        <f>AQ$1*'survival matrix'!AQ70</f>
        <v>104773.68884367133</v>
      </c>
      <c r="AR70" s="6">
        <f>AR$1*'survival matrix'!AR70</f>
        <v>110427.51968541792</v>
      </c>
      <c r="AS70" s="6">
        <f>AS$1*'survival matrix'!AS70</f>
        <v>116017.82560292094</v>
      </c>
      <c r="AT70" s="6">
        <f>AT$1*'survival matrix'!AT70</f>
        <v>122787.07374615621</v>
      </c>
      <c r="AU70" s="6">
        <f>AU$1*'survival matrix'!AU70</f>
        <v>129662.80278772482</v>
      </c>
      <c r="AV70" s="6">
        <f>AV$1*'survival matrix'!AV70</f>
        <v>135652.01786695368</v>
      </c>
      <c r="AW70" s="6">
        <f>AW$1*'survival matrix'!AW70</f>
        <v>141918.23990554153</v>
      </c>
      <c r="AX70" s="6">
        <f>AX$1*'survival matrix'!AX70</f>
        <v>148052.22958450631</v>
      </c>
      <c r="AY70" s="6">
        <f>AY$1*'survival matrix'!AY70</f>
        <v>155091.3271641272</v>
      </c>
      <c r="AZ70" s="6">
        <f>AZ$1*'survival matrix'!AZ70</f>
        <v>161594.92812689504</v>
      </c>
      <c r="BA70" s="6">
        <f>BA$1*'survival matrix'!BA70</f>
        <v>167338.86892521646</v>
      </c>
      <c r="BB70" s="6">
        <f>BB$1*'survival matrix'!BB70</f>
        <v>173675.03597099043</v>
      </c>
      <c r="BC70" s="6">
        <f>BC$1*'survival matrix'!BC70</f>
        <v>180073.8624263755</v>
      </c>
      <c r="BD70" s="6">
        <f>BD$1*'survival matrix'!BD70</f>
        <v>186834.78134441344</v>
      </c>
      <c r="BE70" s="6">
        <f>BE$1*'survival matrix'!BE70</f>
        <v>193294.44968331262</v>
      </c>
      <c r="BF70" s="6">
        <f>BF$1*'survival matrix'!BF70</f>
        <v>198711.13815857843</v>
      </c>
      <c r="BG70" s="6">
        <f>BG$1*'survival matrix'!BG70</f>
        <v>204013.96950779218</v>
      </c>
      <c r="BH70" s="6">
        <f>BH$1*'survival matrix'!BH70</f>
        <v>209152.73852034906</v>
      </c>
      <c r="BI70" s="6">
        <f>BI$1*'survival matrix'!BI70</f>
        <v>214690.89159928562</v>
      </c>
      <c r="BJ70" s="6">
        <f>BJ$1*'survival matrix'!BJ70</f>
        <v>220558.0108202975</v>
      </c>
      <c r="BK70" s="6">
        <f>BK$1*'survival matrix'!BK70</f>
        <v>226430.23250748948</v>
      </c>
      <c r="BL70" s="6">
        <f>BL$1*'survival matrix'!BL70</f>
        <v>233024.76514156675</v>
      </c>
      <c r="BM70" s="6">
        <f>BM$1*'survival matrix'!BM70</f>
        <v>240457.99646786571</v>
      </c>
      <c r="BN70" s="6">
        <f>BN$1*'survival matrix'!BN70</f>
        <v>249108.77104099706</v>
      </c>
      <c r="BO70" s="6">
        <f>BO$1*'survival matrix'!BO70</f>
        <v>260429.16085623507</v>
      </c>
      <c r="BP70" s="6">
        <f>BP$1*'survival matrix'!BP70</f>
        <v>271582.23711470113</v>
      </c>
      <c r="BQ70" s="6">
        <f>BQ$1*'survival matrix'!BQ70</f>
        <v>284175.26273433689</v>
      </c>
      <c r="BR70" s="6">
        <f>BR$1*'survival matrix'!BR70</f>
        <v>293498.55831498594</v>
      </c>
      <c r="BS70" s="6">
        <f>BS$1*'survival matrix'!BS70</f>
        <v>308183.46733651392</v>
      </c>
      <c r="BT70" s="6">
        <f>BT$1*'survival matrix'!BT70</f>
        <v>321550.1858694132</v>
      </c>
      <c r="BU70" s="6">
        <f>BU$1*'survival matrix'!BU70</f>
        <v>324988.87010817626</v>
      </c>
      <c r="BV70" s="6">
        <f>BV$1*'survival matrix'!BV70</f>
        <v>0</v>
      </c>
      <c r="BW70" s="6">
        <f>BW$1*'survival matrix'!BW70</f>
        <v>0</v>
      </c>
      <c r="BX70" s="6">
        <f>BX$1*'survival matrix'!BX70</f>
        <v>0</v>
      </c>
      <c r="BY70" s="6">
        <f>BY$1*'survival matrix'!BY70</f>
        <v>0</v>
      </c>
      <c r="BZ70" s="6">
        <f>BZ$1*'survival matrix'!BZ70</f>
        <v>0</v>
      </c>
      <c r="CA70" s="6">
        <f>CA$1*'survival matrix'!CA70</f>
        <v>0</v>
      </c>
      <c r="CB70" s="6">
        <f>CB$1*'survival matrix'!CB70</f>
        <v>0</v>
      </c>
      <c r="CC70" s="6">
        <f>CC$1*'survival matrix'!CC70</f>
        <v>0</v>
      </c>
      <c r="CD70" s="6">
        <f>CD$1*'survival matrix'!CD70</f>
        <v>0</v>
      </c>
      <c r="CE70" s="6">
        <f>CE$1*'survival matrix'!CE70</f>
        <v>0</v>
      </c>
      <c r="CF70" s="6">
        <f>CF$1*'survival matrix'!CF70</f>
        <v>0</v>
      </c>
      <c r="CG70" s="6">
        <f>CG$1*'survival matrix'!CG70</f>
        <v>0</v>
      </c>
      <c r="CH70" s="6">
        <f>CH$1*'survival matrix'!CH70</f>
        <v>0</v>
      </c>
      <c r="CI70" s="6">
        <f>CI$1*'survival matrix'!CI70</f>
        <v>0</v>
      </c>
      <c r="CJ70" s="6">
        <f>CJ$1*'survival matrix'!CJ70</f>
        <v>0</v>
      </c>
      <c r="CK70" s="6">
        <f>CK$1*'survival matrix'!CK70</f>
        <v>0</v>
      </c>
      <c r="CL70" s="6">
        <f>CL$1*'survival matrix'!CL70</f>
        <v>0</v>
      </c>
      <c r="CM70" s="6">
        <f>CM$1*'survival matrix'!CM70</f>
        <v>0</v>
      </c>
      <c r="CN70" s="6">
        <f>CN$1*'survival matrix'!CN70</f>
        <v>0</v>
      </c>
      <c r="CO70" s="6">
        <f>CO$1*'survival matrix'!CO70</f>
        <v>0</v>
      </c>
      <c r="CP70" s="6">
        <f>CP$1*'survival matrix'!CP70</f>
        <v>0</v>
      </c>
      <c r="CQ70" s="6">
        <f>CQ$1*'survival matrix'!CQ70</f>
        <v>0</v>
      </c>
      <c r="CR70" s="6">
        <f>CR$1*'survival matrix'!CR70</f>
        <v>0</v>
      </c>
      <c r="CS70" s="6">
        <f>CS$1*'survival matrix'!CS70</f>
        <v>0</v>
      </c>
      <c r="CT70" s="6">
        <f>CT$1*'survival matrix'!CT70</f>
        <v>0</v>
      </c>
      <c r="CU70" s="6">
        <f>CU$1*'survival matrix'!CU70</f>
        <v>0</v>
      </c>
      <c r="CV70" s="6">
        <f>CV$1*'survival matrix'!CV70</f>
        <v>0</v>
      </c>
      <c r="CW70" s="6">
        <f>CW$1*'survival matrix'!CW70</f>
        <v>0</v>
      </c>
      <c r="CX70" s="6">
        <f>CX$1*'survival matrix'!CX70</f>
        <v>0</v>
      </c>
      <c r="CY70" s="6">
        <f>CY$1*'survival matrix'!CY70</f>
        <v>0</v>
      </c>
      <c r="CZ70" s="6">
        <f>CZ$1*'survival matrix'!CZ70</f>
        <v>0</v>
      </c>
      <c r="DA70" s="6">
        <f>DA$1*'survival matrix'!DA70</f>
        <v>0</v>
      </c>
      <c r="DB70" s="6">
        <f>DB$1*'survival matrix'!DB70</f>
        <v>0</v>
      </c>
      <c r="DC70" s="6">
        <f>DC$1*'survival matrix'!DC70</f>
        <v>0</v>
      </c>
      <c r="DD70" s="6">
        <f>DD$1*'survival matrix'!DD70</f>
        <v>0</v>
      </c>
      <c r="DE70" s="6">
        <f>DE$1*'survival matrix'!DE70</f>
        <v>0</v>
      </c>
      <c r="DF70" s="6">
        <f>DF$1*'survival matrix'!DF70</f>
        <v>0</v>
      </c>
      <c r="DG70" s="6">
        <f>DG$1*'survival matrix'!DG70</f>
        <v>0</v>
      </c>
      <c r="DH70" s="6">
        <f>DH$1*'survival matrix'!DH70</f>
        <v>0</v>
      </c>
      <c r="DI70" s="6">
        <f>DI$1*'survival matrix'!DI70</f>
        <v>0</v>
      </c>
      <c r="DJ70" s="6">
        <f>DJ$1*'survival matrix'!DJ70</f>
        <v>0</v>
      </c>
      <c r="DK70" s="6">
        <f>DK$1*'survival matrix'!DK70</f>
        <v>0</v>
      </c>
      <c r="DL70" s="6">
        <f>DL$1*'survival matrix'!DL70</f>
        <v>0</v>
      </c>
      <c r="DM70" s="6">
        <f>DM$1*'survival matrix'!DM70</f>
        <v>0</v>
      </c>
      <c r="DN70" s="6">
        <f>DN$1*'survival matrix'!DN70</f>
        <v>0</v>
      </c>
      <c r="DO70" s="6">
        <f>DO$1*'survival matrix'!DO70</f>
        <v>0</v>
      </c>
      <c r="DP70" s="6">
        <f>DP$1*'survival matrix'!DP70</f>
        <v>0</v>
      </c>
      <c r="DQ70" s="6">
        <f>DQ$1*'survival matrix'!DQ70</f>
        <v>0</v>
      </c>
      <c r="DR70" s="6">
        <f>DR$1*'survival matrix'!DR70</f>
        <v>0</v>
      </c>
      <c r="DS70" s="6">
        <f>DS$1*'survival matrix'!DS70</f>
        <v>0</v>
      </c>
      <c r="DT70" s="6">
        <f>DT$1*'survival matrix'!DT70</f>
        <v>0</v>
      </c>
      <c r="DU70" s="6">
        <f>DU$1*'survival matrix'!DU70</f>
        <v>0</v>
      </c>
      <c r="DV70" s="6">
        <f>DV$1*'survival matrix'!DV70</f>
        <v>0</v>
      </c>
      <c r="DW70" s="6">
        <f>DW$1*'survival matrix'!DW70</f>
        <v>0</v>
      </c>
      <c r="DX70" s="6">
        <f>DX$1*'survival matrix'!DX70</f>
        <v>0</v>
      </c>
      <c r="DY70" s="6">
        <f>DY$1*'survival matrix'!DY70</f>
        <v>0</v>
      </c>
      <c r="DZ70" s="6">
        <f>DZ$1*'survival matrix'!DZ70</f>
        <v>0</v>
      </c>
      <c r="EA70" s="6">
        <f>EA$1*'survival matrix'!EA70</f>
        <v>0</v>
      </c>
      <c r="EB70" s="6">
        <f>EB$1*'survival matrix'!EB70</f>
        <v>0</v>
      </c>
      <c r="EC70" s="6">
        <f>EC$1*'survival matrix'!EC70</f>
        <v>0</v>
      </c>
    </row>
    <row r="71" spans="1:133">
      <c r="A71" s="12">
        <f>'data input'!C71-B71</f>
        <v>103930.32838913437</v>
      </c>
      <c r="B71" s="14">
        <f t="shared" si="3"/>
        <v>226604.93125148024</v>
      </c>
      <c r="C71" s="11">
        <f>SUM(F71:EC71)</f>
        <v>7614897.5227113739</v>
      </c>
      <c r="E71" s="7">
        <f>'data input'!B71</f>
        <v>1946</v>
      </c>
      <c r="F71" s="6">
        <f>F$1*'survival matrix'!F71</f>
        <v>58.069123712911782</v>
      </c>
      <c r="G71" s="6">
        <f>G$1*'survival matrix'!G71</f>
        <v>139.89044223365568</v>
      </c>
      <c r="H71" s="6">
        <f>H$1*'survival matrix'!H71</f>
        <v>251.2207587167816</v>
      </c>
      <c r="I71" s="6">
        <f>I$1*'survival matrix'!I71</f>
        <v>399.27537940629588</v>
      </c>
      <c r="J71" s="6">
        <f>J$1*'survival matrix'!J71</f>
        <v>592.0404202534238</v>
      </c>
      <c r="K71" s="6">
        <f>K$1*'survival matrix'!K71</f>
        <v>838.69360524721094</v>
      </c>
      <c r="L71" s="6">
        <f>L$1*'survival matrix'!L71</f>
        <v>1149.8617119779603</v>
      </c>
      <c r="M71" s="6">
        <f>M$1*'survival matrix'!M71</f>
        <v>1536.8790077884646</v>
      </c>
      <c r="N71" s="6">
        <f>N$1*'survival matrix'!N71</f>
        <v>2011.5747214769808</v>
      </c>
      <c r="O71" s="6">
        <f>O$1*'survival matrix'!O71</f>
        <v>2586.7450794267797</v>
      </c>
      <c r="P71" s="6">
        <f>P$1*'survival matrix'!P71</f>
        <v>3277.581622142387</v>
      </c>
      <c r="Q71" s="6">
        <f>Q$1*'survival matrix'!Q71</f>
        <v>4100.2331885814483</v>
      </c>
      <c r="R71" s="6">
        <f>R$1*'survival matrix'!R71</f>
        <v>5070.5949197198624</v>
      </c>
      <c r="S71" s="6">
        <f>S$1*'survival matrix'!S71</f>
        <v>6204.0865467161566</v>
      </c>
      <c r="T71" s="6">
        <f>T$1*'survival matrix'!T71</f>
        <v>7515.5632613107582</v>
      </c>
      <c r="U71" s="6">
        <f>U$1*'survival matrix'!U71</f>
        <v>9021.7405187024651</v>
      </c>
      <c r="V71" s="6">
        <f>V$1*'survival matrix'!V71</f>
        <v>10736.513988124325</v>
      </c>
      <c r="W71" s="6">
        <f>W$1*'survival matrix'!W71</f>
        <v>12675.927246445288</v>
      </c>
      <c r="X71" s="6">
        <f>X$1*'survival matrix'!X71</f>
        <v>14853.248207393726</v>
      </c>
      <c r="Y71" s="6">
        <f>Y$1*'survival matrix'!Y71</f>
        <v>17279.019070685063</v>
      </c>
      <c r="Z71" s="6">
        <f>Z$1*'survival matrix'!Z71</f>
        <v>19963.907580367777</v>
      </c>
      <c r="AA71" s="6">
        <f>AA$1*'survival matrix'!AA71</f>
        <v>22915.434835969103</v>
      </c>
      <c r="AB71" s="6">
        <f>AB$1*'survival matrix'!AB71</f>
        <v>26135.367999106114</v>
      </c>
      <c r="AC71" s="6">
        <f>AC$1*'survival matrix'!AC71</f>
        <v>29745.702974725715</v>
      </c>
      <c r="AD71" s="6">
        <f>AD$1*'survival matrix'!AD71</f>
        <v>33930.202152945101</v>
      </c>
      <c r="AE71" s="6">
        <f>AE$1*'survival matrix'!AE71</f>
        <v>38413.998024066765</v>
      </c>
      <c r="AF71" s="6">
        <f>AF$1*'survival matrix'!AF71</f>
        <v>42804.760260846037</v>
      </c>
      <c r="AG71" s="6">
        <f>AG$1*'survival matrix'!AG71</f>
        <v>47583.042015085528</v>
      </c>
      <c r="AH71" s="6">
        <f>AH$1*'survival matrix'!AH71</f>
        <v>52439.823186541791</v>
      </c>
      <c r="AI71" s="6">
        <f>AI$1*'survival matrix'!AI71</f>
        <v>58718.71709551716</v>
      </c>
      <c r="AJ71" s="6">
        <f>AJ$1*'survival matrix'!AJ71</f>
        <v>64313.870594708271</v>
      </c>
      <c r="AK71" s="6">
        <f>AK$1*'survival matrix'!AK71</f>
        <v>69788.844993715364</v>
      </c>
      <c r="AL71" s="6">
        <f>AL$1*'survival matrix'!AL71</f>
        <v>75507.382144286879</v>
      </c>
      <c r="AM71" s="6">
        <f>AM$1*'survival matrix'!AM71</f>
        <v>81469.936005196563</v>
      </c>
      <c r="AN71" s="6">
        <f>AN$1*'survival matrix'!AN71</f>
        <v>86666.482020345356</v>
      </c>
      <c r="AO71" s="6">
        <f>AO$1*'survival matrix'!AO71</f>
        <v>91775.195933119205</v>
      </c>
      <c r="AP71" s="6">
        <f>AP$1*'survival matrix'!AP71</f>
        <v>96448.614479036158</v>
      </c>
      <c r="AQ71" s="6">
        <f>AQ$1*'survival matrix'!AQ71</f>
        <v>101629.21138440944</v>
      </c>
      <c r="AR71" s="6">
        <f>AR$1*'survival matrix'!AR71</f>
        <v>107380.98574117066</v>
      </c>
      <c r="AS71" s="6">
        <f>AS$1*'survival matrix'!AS71</f>
        <v>113085.07840009849</v>
      </c>
      <c r="AT71" s="6">
        <f>AT$1*'survival matrix'!AT71</f>
        <v>119952.68929499375</v>
      </c>
      <c r="AU71" s="6">
        <f>AU$1*'survival matrix'!AU71</f>
        <v>126939.10672099693</v>
      </c>
      <c r="AV71" s="6">
        <f>AV$1*'survival matrix'!AV71</f>
        <v>133068.36947437254</v>
      </c>
      <c r="AW71" s="6">
        <f>AW$1*'survival matrix'!AW71</f>
        <v>139476.59743458708</v>
      </c>
      <c r="AX71" s="6">
        <f>AX$1*'survival matrix'!AX71</f>
        <v>145760.22907938334</v>
      </c>
      <c r="AY71" s="6">
        <f>AY$1*'survival matrix'!AY71</f>
        <v>152939.48979867969</v>
      </c>
      <c r="AZ71" s="6">
        <f>AZ$1*'survival matrix'!AZ71</f>
        <v>159593.74839506313</v>
      </c>
      <c r="BA71" s="6">
        <f>BA$1*'survival matrix'!BA71</f>
        <v>165497.01551542879</v>
      </c>
      <c r="BB71" s="6">
        <f>BB$1*'survival matrix'!BB71</f>
        <v>171983.38990898139</v>
      </c>
      <c r="BC71" s="6">
        <f>BC$1*'survival matrix'!BC71</f>
        <v>178528.59766901776</v>
      </c>
      <c r="BD71" s="6">
        <f>BD$1*'survival matrix'!BD71</f>
        <v>185428.70010756055</v>
      </c>
      <c r="BE71" s="6">
        <f>BE$1*'survival matrix'!BE71</f>
        <v>192024.60954008112</v>
      </c>
      <c r="BF71" s="6">
        <f>BF$1*'survival matrix'!BF71</f>
        <v>197577.00569484566</v>
      </c>
      <c r="BG71" s="6">
        <f>BG$1*'survival matrix'!BG71</f>
        <v>203007.2486471743</v>
      </c>
      <c r="BH71" s="6">
        <f>BH$1*'survival matrix'!BH71</f>
        <v>208264.80747700404</v>
      </c>
      <c r="BI71" s="6">
        <f>BI$1*'survival matrix'!BI71</f>
        <v>213910.6653648928</v>
      </c>
      <c r="BJ71" s="6">
        <f>BJ$1*'survival matrix'!BJ71</f>
        <v>219875.33564926902</v>
      </c>
      <c r="BK71" s="6">
        <f>BK$1*'survival matrix'!BK71</f>
        <v>225836.38616349458</v>
      </c>
      <c r="BL71" s="6">
        <f>BL$1*'survival matrix'!BL71</f>
        <v>232509.62221380547</v>
      </c>
      <c r="BM71" s="6">
        <f>BM$1*'survival matrix'!BM71</f>
        <v>240012.27403914233</v>
      </c>
      <c r="BN71" s="6">
        <f>BN$1*'survival matrix'!BN71</f>
        <v>248723.64228822617</v>
      </c>
      <c r="BO71" s="6">
        <f>BO$1*'survival matrix'!BO71</f>
        <v>260095.14197939908</v>
      </c>
      <c r="BP71" s="6">
        <f>BP$1*'survival matrix'!BP71</f>
        <v>271294.82637348498</v>
      </c>
      <c r="BQ71" s="6">
        <f>BQ$1*'survival matrix'!BQ71</f>
        <v>283928.46061739302</v>
      </c>
      <c r="BR71" s="6">
        <f>BR$1*'survival matrix'!BR71</f>
        <v>293290.51336340792</v>
      </c>
      <c r="BS71" s="6">
        <f>BS$1*'survival matrix'!BS71</f>
        <v>308006.14420960844</v>
      </c>
      <c r="BT71" s="6">
        <f>BT$1*'survival matrix'!BT71</f>
        <v>321400.83214110322</v>
      </c>
      <c r="BU71" s="6">
        <f>BU$1*'survival matrix'!BU71</f>
        <v>324867.68616441533</v>
      </c>
      <c r="BV71" s="6">
        <f>BV$1*'survival matrix'!BV71</f>
        <v>330089.07074424141</v>
      </c>
      <c r="BW71" s="6">
        <f>BW$1*'survival matrix'!BW71</f>
        <v>0</v>
      </c>
      <c r="BX71" s="6">
        <f>BX$1*'survival matrix'!BX71</f>
        <v>0</v>
      </c>
      <c r="BY71" s="6">
        <f>BY$1*'survival matrix'!BY71</f>
        <v>0</v>
      </c>
      <c r="BZ71" s="6">
        <f>BZ$1*'survival matrix'!BZ71</f>
        <v>0</v>
      </c>
      <c r="CA71" s="6">
        <f>CA$1*'survival matrix'!CA71</f>
        <v>0</v>
      </c>
      <c r="CB71" s="6">
        <f>CB$1*'survival matrix'!CB71</f>
        <v>0</v>
      </c>
      <c r="CC71" s="6">
        <f>CC$1*'survival matrix'!CC71</f>
        <v>0</v>
      </c>
      <c r="CD71" s="6">
        <f>CD$1*'survival matrix'!CD71</f>
        <v>0</v>
      </c>
      <c r="CE71" s="6">
        <f>CE$1*'survival matrix'!CE71</f>
        <v>0</v>
      </c>
      <c r="CF71" s="6">
        <f>CF$1*'survival matrix'!CF71</f>
        <v>0</v>
      </c>
      <c r="CG71" s="6">
        <f>CG$1*'survival matrix'!CG71</f>
        <v>0</v>
      </c>
      <c r="CH71" s="6">
        <f>CH$1*'survival matrix'!CH71</f>
        <v>0</v>
      </c>
      <c r="CI71" s="6">
        <f>CI$1*'survival matrix'!CI71</f>
        <v>0</v>
      </c>
      <c r="CJ71" s="6">
        <f>CJ$1*'survival matrix'!CJ71</f>
        <v>0</v>
      </c>
      <c r="CK71" s="6">
        <f>CK$1*'survival matrix'!CK71</f>
        <v>0</v>
      </c>
      <c r="CL71" s="6">
        <f>CL$1*'survival matrix'!CL71</f>
        <v>0</v>
      </c>
      <c r="CM71" s="6">
        <f>CM$1*'survival matrix'!CM71</f>
        <v>0</v>
      </c>
      <c r="CN71" s="6">
        <f>CN$1*'survival matrix'!CN71</f>
        <v>0</v>
      </c>
      <c r="CO71" s="6">
        <f>CO$1*'survival matrix'!CO71</f>
        <v>0</v>
      </c>
      <c r="CP71" s="6">
        <f>CP$1*'survival matrix'!CP71</f>
        <v>0</v>
      </c>
      <c r="CQ71" s="6">
        <f>CQ$1*'survival matrix'!CQ71</f>
        <v>0</v>
      </c>
      <c r="CR71" s="6">
        <f>CR$1*'survival matrix'!CR71</f>
        <v>0</v>
      </c>
      <c r="CS71" s="6">
        <f>CS$1*'survival matrix'!CS71</f>
        <v>0</v>
      </c>
      <c r="CT71" s="6">
        <f>CT$1*'survival matrix'!CT71</f>
        <v>0</v>
      </c>
      <c r="CU71" s="6">
        <f>CU$1*'survival matrix'!CU71</f>
        <v>0</v>
      </c>
      <c r="CV71" s="6">
        <f>CV$1*'survival matrix'!CV71</f>
        <v>0</v>
      </c>
      <c r="CW71" s="6">
        <f>CW$1*'survival matrix'!CW71</f>
        <v>0</v>
      </c>
      <c r="CX71" s="6">
        <f>CX$1*'survival matrix'!CX71</f>
        <v>0</v>
      </c>
      <c r="CY71" s="6">
        <f>CY$1*'survival matrix'!CY71</f>
        <v>0</v>
      </c>
      <c r="CZ71" s="6">
        <f>CZ$1*'survival matrix'!CZ71</f>
        <v>0</v>
      </c>
      <c r="DA71" s="6">
        <f>DA$1*'survival matrix'!DA71</f>
        <v>0</v>
      </c>
      <c r="DB71" s="6">
        <f>DB$1*'survival matrix'!DB71</f>
        <v>0</v>
      </c>
      <c r="DC71" s="6">
        <f>DC$1*'survival matrix'!DC71</f>
        <v>0</v>
      </c>
      <c r="DD71" s="6">
        <f>DD$1*'survival matrix'!DD71</f>
        <v>0</v>
      </c>
      <c r="DE71" s="6">
        <f>DE$1*'survival matrix'!DE71</f>
        <v>0</v>
      </c>
      <c r="DF71" s="6">
        <f>DF$1*'survival matrix'!DF71</f>
        <v>0</v>
      </c>
      <c r="DG71" s="6">
        <f>DG$1*'survival matrix'!DG71</f>
        <v>0</v>
      </c>
      <c r="DH71" s="6">
        <f>DH$1*'survival matrix'!DH71</f>
        <v>0</v>
      </c>
      <c r="DI71" s="6">
        <f>DI$1*'survival matrix'!DI71</f>
        <v>0</v>
      </c>
      <c r="DJ71" s="6">
        <f>DJ$1*'survival matrix'!DJ71</f>
        <v>0</v>
      </c>
      <c r="DK71" s="6">
        <f>DK$1*'survival matrix'!DK71</f>
        <v>0</v>
      </c>
      <c r="DL71" s="6">
        <f>DL$1*'survival matrix'!DL71</f>
        <v>0</v>
      </c>
      <c r="DM71" s="6">
        <f>DM$1*'survival matrix'!DM71</f>
        <v>0</v>
      </c>
      <c r="DN71" s="6">
        <f>DN$1*'survival matrix'!DN71</f>
        <v>0</v>
      </c>
      <c r="DO71" s="6">
        <f>DO$1*'survival matrix'!DO71</f>
        <v>0</v>
      </c>
      <c r="DP71" s="6">
        <f>DP$1*'survival matrix'!DP71</f>
        <v>0</v>
      </c>
      <c r="DQ71" s="6">
        <f>DQ$1*'survival matrix'!DQ71</f>
        <v>0</v>
      </c>
      <c r="DR71" s="6">
        <f>DR$1*'survival matrix'!DR71</f>
        <v>0</v>
      </c>
      <c r="DS71" s="6">
        <f>DS$1*'survival matrix'!DS71</f>
        <v>0</v>
      </c>
      <c r="DT71" s="6">
        <f>DT$1*'survival matrix'!DT71</f>
        <v>0</v>
      </c>
      <c r="DU71" s="6">
        <f>DU$1*'survival matrix'!DU71</f>
        <v>0</v>
      </c>
      <c r="DV71" s="6">
        <f>DV$1*'survival matrix'!DV71</f>
        <v>0</v>
      </c>
      <c r="DW71" s="6">
        <f>DW$1*'survival matrix'!DW71</f>
        <v>0</v>
      </c>
      <c r="DX71" s="6">
        <f>DX$1*'survival matrix'!DX71</f>
        <v>0</v>
      </c>
      <c r="DY71" s="6">
        <f>DY$1*'survival matrix'!DY71</f>
        <v>0</v>
      </c>
      <c r="DZ71" s="6">
        <f>DZ$1*'survival matrix'!DZ71</f>
        <v>0</v>
      </c>
      <c r="EA71" s="6">
        <f>EA$1*'survival matrix'!EA71</f>
        <v>0</v>
      </c>
      <c r="EB71" s="6">
        <f>EB$1*'survival matrix'!EB71</f>
        <v>0</v>
      </c>
      <c r="EC71" s="6">
        <f>EC$1*'survival matrix'!EC71</f>
        <v>0</v>
      </c>
    </row>
    <row r="72" spans="1:133">
      <c r="A72" s="12">
        <f>'data input'!C72-B72</f>
        <v>107803.01616619556</v>
      </c>
      <c r="B72" s="14">
        <f t="shared" si="3"/>
        <v>228826.92869581468</v>
      </c>
      <c r="C72" s="11">
        <f>SUM(F72:EC72)</f>
        <v>7843724.4514071885</v>
      </c>
      <c r="E72" s="7">
        <f>'data input'!B72</f>
        <v>1947</v>
      </c>
      <c r="F72" s="6">
        <f>F$1*'survival matrix'!F72</f>
        <v>48.157030561141923</v>
      </c>
      <c r="G72" s="6">
        <f>G$1*'survival matrix'!G72</f>
        <v>116.59507122811408</v>
      </c>
      <c r="H72" s="6">
        <f>H$1*'survival matrix'!H72</f>
        <v>210.43353749659457</v>
      </c>
      <c r="I72" s="6">
        <f>I$1*'survival matrix'!I72</f>
        <v>336.11529737250646</v>
      </c>
      <c r="J72" s="6">
        <f>J$1*'survival matrix'!J72</f>
        <v>500.85485567553792</v>
      </c>
      <c r="K72" s="6">
        <f>K$1*'survival matrix'!K72</f>
        <v>713.01147372725018</v>
      </c>
      <c r="L72" s="6">
        <f>L$1*'survival matrix'!L72</f>
        <v>982.332929661609</v>
      </c>
      <c r="M72" s="6">
        <f>M$1*'survival matrix'!M72</f>
        <v>1319.3476685962967</v>
      </c>
      <c r="N72" s="6">
        <f>N$1*'survival matrix'!N72</f>
        <v>1735.1943049948361</v>
      </c>
      <c r="O72" s="6">
        <f>O$1*'survival matrix'!O72</f>
        <v>2242.0386192111273</v>
      </c>
      <c r="P72" s="6">
        <f>P$1*'survival matrix'!P72</f>
        <v>2854.3343999462481</v>
      </c>
      <c r="Q72" s="6">
        <f>Q$1*'survival matrix'!Q72</f>
        <v>3587.6107327034979</v>
      </c>
      <c r="R72" s="6">
        <f>R$1*'survival matrix'!R72</f>
        <v>4457.4222411358178</v>
      </c>
      <c r="S72" s="6">
        <f>S$1*'survival matrix'!S72</f>
        <v>5479.1422436292514</v>
      </c>
      <c r="T72" s="6">
        <f>T$1*'survival matrix'!T72</f>
        <v>6667.8672075707846</v>
      </c>
      <c r="U72" s="6">
        <f>U$1*'survival matrix'!U72</f>
        <v>8040.5586498999946</v>
      </c>
      <c r="V72" s="6">
        <f>V$1*'survival matrix'!V72</f>
        <v>9611.88180854237</v>
      </c>
      <c r="W72" s="6">
        <f>W$1*'survival matrix'!W72</f>
        <v>11398.606111913767</v>
      </c>
      <c r="X72" s="6">
        <f>X$1*'survival matrix'!X72</f>
        <v>13415.1896976883</v>
      </c>
      <c r="Y72" s="6">
        <f>Y$1*'survival matrix'!Y72</f>
        <v>15673.757337825387</v>
      </c>
      <c r="Z72" s="6">
        <f>Z$1*'survival matrix'!Z72</f>
        <v>18186.631520034942</v>
      </c>
      <c r="AA72" s="6">
        <f>AA$1*'survival matrix'!AA72</f>
        <v>20963.32766946901</v>
      </c>
      <c r="AB72" s="6">
        <f>AB$1*'survival matrix'!AB72</f>
        <v>24008.084392525143</v>
      </c>
      <c r="AC72" s="6">
        <f>AC$1*'survival matrix'!AC72</f>
        <v>27435.941116870363</v>
      </c>
      <c r="AD72" s="6">
        <f>AD$1*'survival matrix'!AD72</f>
        <v>31420.806697224161</v>
      </c>
      <c r="AE72" s="6">
        <f>AE$1*'survival matrix'!AE72</f>
        <v>35712.700630366584</v>
      </c>
      <c r="AF72" s="6">
        <f>AF$1*'survival matrix'!AF72</f>
        <v>39947.819388526652</v>
      </c>
      <c r="AG72" s="6">
        <f>AG$1*'survival matrix'!AG72</f>
        <v>44574.350053362752</v>
      </c>
      <c r="AH72" s="6">
        <f>AH$1*'survival matrix'!AH72</f>
        <v>49304.693249117721</v>
      </c>
      <c r="AI72" s="6">
        <f>AI$1*'survival matrix'!AI72</f>
        <v>55406.239126482149</v>
      </c>
      <c r="AJ72" s="6">
        <f>AJ$1*'survival matrix'!AJ72</f>
        <v>60897.729652476322</v>
      </c>
      <c r="AK72" s="6">
        <f>AK$1*'survival matrix'!AK72</f>
        <v>66306.256817541915</v>
      </c>
      <c r="AL72" s="6">
        <f>AL$1*'survival matrix'!AL72</f>
        <v>71975.73787926232</v>
      </c>
      <c r="AM72" s="6">
        <f>AM$1*'survival matrix'!AM72</f>
        <v>77907.086680691296</v>
      </c>
      <c r="AN72" s="6">
        <f>AN$1*'survival matrix'!AN72</f>
        <v>83131.736713476304</v>
      </c>
      <c r="AO72" s="6">
        <f>AO$1*'survival matrix'!AO72</f>
        <v>88293.544103889857</v>
      </c>
      <c r="AP72" s="6">
        <f>AP$1*'survival matrix'!AP72</f>
        <v>93054.661501616938</v>
      </c>
      <c r="AQ72" s="6">
        <f>AQ$1*'survival matrix'!AQ72</f>
        <v>98321.524886890795</v>
      </c>
      <c r="AR72" s="6">
        <f>AR$1*'survival matrix'!AR72</f>
        <v>104158.25785077216</v>
      </c>
      <c r="AS72" s="6">
        <f>AS$1*'survival matrix'!AS72</f>
        <v>109965.22629334817</v>
      </c>
      <c r="AT72" s="6">
        <f>AT$1*'survival matrix'!AT72</f>
        <v>116920.47495919888</v>
      </c>
      <c r="AU72" s="6">
        <f>AU$1*'survival matrix'!AU72</f>
        <v>124008.87783486625</v>
      </c>
      <c r="AV72" s="6">
        <f>AV$1*'survival matrix'!AV72</f>
        <v>130273.13609401288</v>
      </c>
      <c r="AW72" s="6">
        <f>AW$1*'survival matrix'!AW72</f>
        <v>136820.1055339801</v>
      </c>
      <c r="AX72" s="6">
        <f>AX$1*'survival matrix'!AX72</f>
        <v>143252.48683192348</v>
      </c>
      <c r="AY72" s="6">
        <f>AY$1*'survival matrix'!AY72</f>
        <v>150571.82948815566</v>
      </c>
      <c r="AZ72" s="6">
        <f>AZ$1*'survival matrix'!AZ72</f>
        <v>157379.44152589244</v>
      </c>
      <c r="BA72" s="6">
        <f>BA$1*'survival matrix'!BA72</f>
        <v>163447.51261971862</v>
      </c>
      <c r="BB72" s="6">
        <f>BB$1*'survival matrix'!BB72</f>
        <v>170090.41552015446</v>
      </c>
      <c r="BC72" s="6">
        <f>BC$1*'survival matrix'!BC72</f>
        <v>176789.67648489759</v>
      </c>
      <c r="BD72" s="6">
        <f>BD$1*'survival matrix'!BD72</f>
        <v>183837.48397314778</v>
      </c>
      <c r="BE72" s="6">
        <f>BE$1*'survival matrix'!BE72</f>
        <v>190579.47069309853</v>
      </c>
      <c r="BF72" s="6">
        <f>BF$1*'survival matrix'!BF72</f>
        <v>196279.0314714686</v>
      </c>
      <c r="BG72" s="6">
        <f>BG$1*'survival matrix'!BG72</f>
        <v>201848.59637837147</v>
      </c>
      <c r="BH72" s="6">
        <f>BH$1*'survival matrix'!BH72</f>
        <v>207237.11056622138</v>
      </c>
      <c r="BI72" s="6">
        <f>BI$1*'survival matrix'!BI72</f>
        <v>213002.53515524892</v>
      </c>
      <c r="BJ72" s="6">
        <f>BJ$1*'survival matrix'!BJ72</f>
        <v>219076.26819050752</v>
      </c>
      <c r="BK72" s="6">
        <f>BK$1*'survival matrix'!BK72</f>
        <v>225137.37326899476</v>
      </c>
      <c r="BL72" s="6">
        <f>BL$1*'survival matrix'!BL72</f>
        <v>231899.83178270332</v>
      </c>
      <c r="BM72" s="6">
        <f>BM$1*'survival matrix'!BM72</f>
        <v>239481.68397300897</v>
      </c>
      <c r="BN72" s="6">
        <f>BN$1*'survival matrix'!BN72</f>
        <v>248262.59833231659</v>
      </c>
      <c r="BO72" s="6">
        <f>BO$1*'survival matrix'!BO72</f>
        <v>259693.02800639966</v>
      </c>
      <c r="BP72" s="6">
        <f>BP$1*'survival matrix'!BP72</f>
        <v>270946.87150967953</v>
      </c>
      <c r="BQ72" s="6">
        <f>BQ$1*'survival matrix'!BQ72</f>
        <v>283627.98408334068</v>
      </c>
      <c r="BR72" s="6">
        <f>BR$1*'survival matrix'!BR72</f>
        <v>293035.79478276451</v>
      </c>
      <c r="BS72" s="6">
        <f>BS$1*'survival matrix'!BS72</f>
        <v>307787.8156299871</v>
      </c>
      <c r="BT72" s="6">
        <f>BT$1*'survival matrix'!BT72</f>
        <v>321215.90398438595</v>
      </c>
      <c r="BU72" s="6">
        <f>BU$1*'survival matrix'!BU72</f>
        <v>324716.7915225575</v>
      </c>
      <c r="BV72" s="6">
        <f>BV$1*'survival matrix'!BV72</f>
        <v>329965.98500480718</v>
      </c>
      <c r="BW72" s="6">
        <f>BW$1*'survival matrix'!BW72</f>
        <v>336175.52876205329</v>
      </c>
      <c r="BX72" s="6">
        <f>BX$1*'survival matrix'!BX72</f>
        <v>0</v>
      </c>
      <c r="BY72" s="6">
        <f>BY$1*'survival matrix'!BY72</f>
        <v>0</v>
      </c>
      <c r="BZ72" s="6">
        <f>BZ$1*'survival matrix'!BZ72</f>
        <v>0</v>
      </c>
      <c r="CA72" s="6">
        <f>CA$1*'survival matrix'!CA72</f>
        <v>0</v>
      </c>
      <c r="CB72" s="6">
        <f>CB$1*'survival matrix'!CB72</f>
        <v>0</v>
      </c>
      <c r="CC72" s="6">
        <f>CC$1*'survival matrix'!CC72</f>
        <v>0</v>
      </c>
      <c r="CD72" s="6">
        <f>CD$1*'survival matrix'!CD72</f>
        <v>0</v>
      </c>
      <c r="CE72" s="6">
        <f>CE$1*'survival matrix'!CE72</f>
        <v>0</v>
      </c>
      <c r="CF72" s="6">
        <f>CF$1*'survival matrix'!CF72</f>
        <v>0</v>
      </c>
      <c r="CG72" s="6">
        <f>CG$1*'survival matrix'!CG72</f>
        <v>0</v>
      </c>
      <c r="CH72" s="6">
        <f>CH$1*'survival matrix'!CH72</f>
        <v>0</v>
      </c>
      <c r="CI72" s="6">
        <f>CI$1*'survival matrix'!CI72</f>
        <v>0</v>
      </c>
      <c r="CJ72" s="6">
        <f>CJ$1*'survival matrix'!CJ72</f>
        <v>0</v>
      </c>
      <c r="CK72" s="6">
        <f>CK$1*'survival matrix'!CK72</f>
        <v>0</v>
      </c>
      <c r="CL72" s="6">
        <f>CL$1*'survival matrix'!CL72</f>
        <v>0</v>
      </c>
      <c r="CM72" s="6">
        <f>CM$1*'survival matrix'!CM72</f>
        <v>0</v>
      </c>
      <c r="CN72" s="6">
        <f>CN$1*'survival matrix'!CN72</f>
        <v>0</v>
      </c>
      <c r="CO72" s="6">
        <f>CO$1*'survival matrix'!CO72</f>
        <v>0</v>
      </c>
      <c r="CP72" s="6">
        <f>CP$1*'survival matrix'!CP72</f>
        <v>0</v>
      </c>
      <c r="CQ72" s="6">
        <f>CQ$1*'survival matrix'!CQ72</f>
        <v>0</v>
      </c>
      <c r="CR72" s="6">
        <f>CR$1*'survival matrix'!CR72</f>
        <v>0</v>
      </c>
      <c r="CS72" s="6">
        <f>CS$1*'survival matrix'!CS72</f>
        <v>0</v>
      </c>
      <c r="CT72" s="6">
        <f>CT$1*'survival matrix'!CT72</f>
        <v>0</v>
      </c>
      <c r="CU72" s="6">
        <f>CU$1*'survival matrix'!CU72</f>
        <v>0</v>
      </c>
      <c r="CV72" s="6">
        <f>CV$1*'survival matrix'!CV72</f>
        <v>0</v>
      </c>
      <c r="CW72" s="6">
        <f>CW$1*'survival matrix'!CW72</f>
        <v>0</v>
      </c>
      <c r="CX72" s="6">
        <f>CX$1*'survival matrix'!CX72</f>
        <v>0</v>
      </c>
      <c r="CY72" s="6">
        <f>CY$1*'survival matrix'!CY72</f>
        <v>0</v>
      </c>
      <c r="CZ72" s="6">
        <f>CZ$1*'survival matrix'!CZ72</f>
        <v>0</v>
      </c>
      <c r="DA72" s="6">
        <f>DA$1*'survival matrix'!DA72</f>
        <v>0</v>
      </c>
      <c r="DB72" s="6">
        <f>DB$1*'survival matrix'!DB72</f>
        <v>0</v>
      </c>
      <c r="DC72" s="6">
        <f>DC$1*'survival matrix'!DC72</f>
        <v>0</v>
      </c>
      <c r="DD72" s="6">
        <f>DD$1*'survival matrix'!DD72</f>
        <v>0</v>
      </c>
      <c r="DE72" s="6">
        <f>DE$1*'survival matrix'!DE72</f>
        <v>0</v>
      </c>
      <c r="DF72" s="6">
        <f>DF$1*'survival matrix'!DF72</f>
        <v>0</v>
      </c>
      <c r="DG72" s="6">
        <f>DG$1*'survival matrix'!DG72</f>
        <v>0</v>
      </c>
      <c r="DH72" s="6">
        <f>DH$1*'survival matrix'!DH72</f>
        <v>0</v>
      </c>
      <c r="DI72" s="6">
        <f>DI$1*'survival matrix'!DI72</f>
        <v>0</v>
      </c>
      <c r="DJ72" s="6">
        <f>DJ$1*'survival matrix'!DJ72</f>
        <v>0</v>
      </c>
      <c r="DK72" s="6">
        <f>DK$1*'survival matrix'!DK72</f>
        <v>0</v>
      </c>
      <c r="DL72" s="6">
        <f>DL$1*'survival matrix'!DL72</f>
        <v>0</v>
      </c>
      <c r="DM72" s="6">
        <f>DM$1*'survival matrix'!DM72</f>
        <v>0</v>
      </c>
      <c r="DN72" s="6">
        <f>DN$1*'survival matrix'!DN72</f>
        <v>0</v>
      </c>
      <c r="DO72" s="6">
        <f>DO$1*'survival matrix'!DO72</f>
        <v>0</v>
      </c>
      <c r="DP72" s="6">
        <f>DP$1*'survival matrix'!DP72</f>
        <v>0</v>
      </c>
      <c r="DQ72" s="6">
        <f>DQ$1*'survival matrix'!DQ72</f>
        <v>0</v>
      </c>
      <c r="DR72" s="6">
        <f>DR$1*'survival matrix'!DR72</f>
        <v>0</v>
      </c>
      <c r="DS72" s="6">
        <f>DS$1*'survival matrix'!DS72</f>
        <v>0</v>
      </c>
      <c r="DT72" s="6">
        <f>DT$1*'survival matrix'!DT72</f>
        <v>0</v>
      </c>
      <c r="DU72" s="6">
        <f>DU$1*'survival matrix'!DU72</f>
        <v>0</v>
      </c>
      <c r="DV72" s="6">
        <f>DV$1*'survival matrix'!DV72</f>
        <v>0</v>
      </c>
      <c r="DW72" s="6">
        <f>DW$1*'survival matrix'!DW72</f>
        <v>0</v>
      </c>
      <c r="DX72" s="6">
        <f>DX$1*'survival matrix'!DX72</f>
        <v>0</v>
      </c>
      <c r="DY72" s="6">
        <f>DY$1*'survival matrix'!DY72</f>
        <v>0</v>
      </c>
      <c r="DZ72" s="6">
        <f>DZ$1*'survival matrix'!DZ72</f>
        <v>0</v>
      </c>
      <c r="EA72" s="6">
        <f>EA$1*'survival matrix'!EA72</f>
        <v>0</v>
      </c>
      <c r="EB72" s="6">
        <f>EB$1*'survival matrix'!EB72</f>
        <v>0</v>
      </c>
      <c r="EC72" s="6">
        <f>EC$1*'survival matrix'!EC72</f>
        <v>0</v>
      </c>
    </row>
    <row r="73" spans="1:133">
      <c r="A73" s="12">
        <f>'data input'!C73-B73</f>
        <v>111718.82365101069</v>
      </c>
      <c r="B73" s="14">
        <f t="shared" si="3"/>
        <v>231630.84623497725</v>
      </c>
      <c r="C73" s="11">
        <f>SUM(F73:EC73)</f>
        <v>8075355.2976421658</v>
      </c>
      <c r="E73" s="7">
        <f>'data input'!B73</f>
        <v>1948</v>
      </c>
      <c r="F73" s="6">
        <f>F$1*'survival matrix'!F73</f>
        <v>39.736212682342753</v>
      </c>
      <c r="G73" s="6">
        <f>G$1*'survival matrix'!G73</f>
        <v>96.69290751088657</v>
      </c>
      <c r="H73" s="6">
        <f>H$1*'survival matrix'!H73</f>
        <v>175.39091950412435</v>
      </c>
      <c r="I73" s="6">
        <f>I$1*'survival matrix'!I73</f>
        <v>281.54493041936507</v>
      </c>
      <c r="J73" s="6">
        <f>J$1*'survival matrix'!J73</f>
        <v>421.6262445387153</v>
      </c>
      <c r="K73" s="6">
        <f>K$1*'survival matrix'!K73</f>
        <v>603.19404985186782</v>
      </c>
      <c r="L73" s="6">
        <f>L$1*'survival matrix'!L73</f>
        <v>835.12577833758348</v>
      </c>
      <c r="M73" s="6">
        <f>M$1*'survival matrix'!M73</f>
        <v>1127.1256769694539</v>
      </c>
      <c r="N73" s="6">
        <f>N$1*'survival matrix'!N73</f>
        <v>1489.5932270887065</v>
      </c>
      <c r="O73" s="6">
        <f>O$1*'survival matrix'!O73</f>
        <v>1933.9936031693433</v>
      </c>
      <c r="P73" s="6">
        <f>P$1*'survival matrix'!P73</f>
        <v>2473.9693167756745</v>
      </c>
      <c r="Q73" s="6">
        <f>Q$1*'survival matrix'!Q73</f>
        <v>3124.3282116277051</v>
      </c>
      <c r="R73" s="6">
        <f>R$1*'survival matrix'!R73</f>
        <v>3900.1430252855184</v>
      </c>
      <c r="S73" s="6">
        <f>S$1*'survival matrix'!S73</f>
        <v>4816.56509458443</v>
      </c>
      <c r="T73" s="6">
        <f>T$1*'survival matrix'!T73</f>
        <v>5888.730374215841</v>
      </c>
      <c r="U73" s="6">
        <f>U$1*'survival matrix'!U73</f>
        <v>7133.647271417859</v>
      </c>
      <c r="V73" s="6">
        <f>V$1*'survival matrix'!V73</f>
        <v>8566.517653359324</v>
      </c>
      <c r="W73" s="6">
        <f>W$1*'survival matrix'!W73</f>
        <v>10204.620871451438</v>
      </c>
      <c r="X73" s="6">
        <f>X$1*'survival matrix'!X73</f>
        <v>12063.374955345715</v>
      </c>
      <c r="Y73" s="6">
        <f>Y$1*'survival matrix'!Y73</f>
        <v>14156.258956057438</v>
      </c>
      <c r="Z73" s="6">
        <f>Z$1*'survival matrix'!Z73</f>
        <v>16497.050444320888</v>
      </c>
      <c r="AA73" s="6">
        <f>AA$1*'survival matrix'!AA73</f>
        <v>19097.078776967683</v>
      </c>
      <c r="AB73" s="6">
        <f>AB$1*'survival matrix'!AB73</f>
        <v>21962.89721052047</v>
      </c>
      <c r="AC73" s="6">
        <f>AC$1*'survival matrix'!AC73</f>
        <v>25202.797593846873</v>
      </c>
      <c r="AD73" s="6">
        <f>AD$1*'survival matrix'!AD73</f>
        <v>28980.972583572206</v>
      </c>
      <c r="AE73" s="6">
        <f>AE$1*'survival matrix'!AE73</f>
        <v>33071.475910590329</v>
      </c>
      <c r="AF73" s="6">
        <f>AF$1*'survival matrix'!AF73</f>
        <v>37138.662676157757</v>
      </c>
      <c r="AG73" s="6">
        <f>AG$1*'survival matrix'!AG73</f>
        <v>41599.300508674401</v>
      </c>
      <c r="AH73" s="6">
        <f>AH$1*'survival matrix'!AH73</f>
        <v>46187.140693171474</v>
      </c>
      <c r="AI73" s="6">
        <f>AI$1*'survival matrix'!AI73</f>
        <v>52093.761157447138</v>
      </c>
      <c r="AJ73" s="6">
        <f>AJ$1*'survival matrix'!AJ73</f>
        <v>57462.327828047186</v>
      </c>
      <c r="AK73" s="6">
        <f>AK$1*'survival matrix'!AK73</f>
        <v>62784.286882502922</v>
      </c>
      <c r="AL73" s="6">
        <f>AL$1*'survival matrix'!AL73</f>
        <v>68384.019837041516</v>
      </c>
      <c r="AM73" s="6">
        <f>AM$1*'survival matrix'!AM73</f>
        <v>74263.203022337606</v>
      </c>
      <c r="AN73" s="6">
        <f>AN$1*'survival matrix'!AN73</f>
        <v>79496.213396314677</v>
      </c>
      <c r="AO73" s="6">
        <f>AO$1*'survival matrix'!AO73</f>
        <v>84692.438077977858</v>
      </c>
      <c r="AP73" s="6">
        <f>AP$1*'survival matrix'!AP73</f>
        <v>89524.47091862408</v>
      </c>
      <c r="AQ73" s="6">
        <f>AQ$1*'survival matrix'!AQ73</f>
        <v>94861.665624663729</v>
      </c>
      <c r="AR73" s="6">
        <f>AR$1*'survival matrix'!AR73</f>
        <v>100768.25945951321</v>
      </c>
      <c r="AS73" s="6">
        <f>AS$1*'survival matrix'!AS73</f>
        <v>106664.93994094155</v>
      </c>
      <c r="AT73" s="6">
        <f>AT$1*'survival matrix'!AT73</f>
        <v>113694.80986452459</v>
      </c>
      <c r="AU73" s="6">
        <f>AU$1*'survival matrix'!AU73</f>
        <v>120874.12946576561</v>
      </c>
      <c r="AV73" s="6">
        <f>AV$1*'survival matrix'!AV73</f>
        <v>127265.94535248255</v>
      </c>
      <c r="AW73" s="6">
        <f>AW$1*'survival matrix'!AW73</f>
        <v>133946.0632081923</v>
      </c>
      <c r="AX73" s="6">
        <f>AX$1*'survival matrix'!AX73</f>
        <v>140524.07878347443</v>
      </c>
      <c r="AY73" s="6">
        <f>AY$1*'survival matrix'!AY73</f>
        <v>147981.30571860858</v>
      </c>
      <c r="AZ73" s="6">
        <f>AZ$1*'survival matrix'!AZ73</f>
        <v>154943.04620455467</v>
      </c>
      <c r="BA73" s="6">
        <f>BA$1*'survival matrix'!BA73</f>
        <v>161179.73613359468</v>
      </c>
      <c r="BB73" s="6">
        <f>BB$1*'survival matrix'!BB73</f>
        <v>167984.02829585675</v>
      </c>
      <c r="BC73" s="6">
        <f>BC$1*'survival matrix'!BC73</f>
        <v>174843.80060716299</v>
      </c>
      <c r="BD73" s="6">
        <f>BD$1*'survival matrix'!BD73</f>
        <v>182046.85267099121</v>
      </c>
      <c r="BE73" s="6">
        <f>BE$1*'survival matrix'!BE73</f>
        <v>188944.05433911021</v>
      </c>
      <c r="BF73" s="6">
        <f>BF$1*'survival matrix'!BF73</f>
        <v>194801.87469501735</v>
      </c>
      <c r="BG73" s="6">
        <f>BG$1*'survival matrix'!BG73</f>
        <v>200522.5601111319</v>
      </c>
      <c r="BH73" s="6">
        <f>BH$1*'survival matrix'!BH73</f>
        <v>206054.31660227274</v>
      </c>
      <c r="BI73" s="6">
        <f>BI$1*'survival matrix'!BI73</f>
        <v>211951.45960379217</v>
      </c>
      <c r="BJ73" s="6">
        <f>BJ$1*'survival matrix'!BJ73</f>
        <v>218146.20807863568</v>
      </c>
      <c r="BK73" s="6">
        <f>BK$1*'survival matrix'!BK73</f>
        <v>224319.18259654363</v>
      </c>
      <c r="BL73" s="6">
        <f>BL$1*'survival matrix'!BL73</f>
        <v>231182.05120091923</v>
      </c>
      <c r="BM73" s="6">
        <f>BM$1*'survival matrix'!BM73</f>
        <v>238853.60829200907</v>
      </c>
      <c r="BN73" s="6">
        <f>BN$1*'survival matrix'!BN73</f>
        <v>247713.7694484817</v>
      </c>
      <c r="BO73" s="6">
        <f>BO$1*'survival matrix'!BO73</f>
        <v>259211.65076436225</v>
      </c>
      <c r="BP73" s="6">
        <f>BP$1*'survival matrix'!BP73</f>
        <v>270527.98047563189</v>
      </c>
      <c r="BQ73" s="6">
        <f>BQ$1*'survival matrix'!BQ73</f>
        <v>283264.21106970694</v>
      </c>
      <c r="BR73" s="6">
        <f>BR$1*'survival matrix'!BR73</f>
        <v>292725.68011592864</v>
      </c>
      <c r="BS73" s="6">
        <f>BS$1*'survival matrix'!BS73</f>
        <v>307520.50635142392</v>
      </c>
      <c r="BT73" s="6">
        <f>BT$1*'survival matrix'!BT73</f>
        <v>320988.2117341269</v>
      </c>
      <c r="BU73" s="6">
        <f>BU$1*'survival matrix'!BU73</f>
        <v>324529.95542349893</v>
      </c>
      <c r="BV73" s="6">
        <f>BV$1*'survival matrix'!BV73</f>
        <v>329812.72230355052</v>
      </c>
      <c r="BW73" s="6">
        <f>BW$1*'survival matrix'!BW73</f>
        <v>336050.17346493888</v>
      </c>
      <c r="BX73" s="6">
        <f>BX$1*'survival matrix'!BX73</f>
        <v>342886.182842448</v>
      </c>
      <c r="BY73" s="6">
        <f>BY$1*'survival matrix'!BY73</f>
        <v>0</v>
      </c>
      <c r="BZ73" s="6">
        <f>BZ$1*'survival matrix'!BZ73</f>
        <v>0</v>
      </c>
      <c r="CA73" s="6">
        <f>CA$1*'survival matrix'!CA73</f>
        <v>0</v>
      </c>
      <c r="CB73" s="6">
        <f>CB$1*'survival matrix'!CB73</f>
        <v>0</v>
      </c>
      <c r="CC73" s="6">
        <f>CC$1*'survival matrix'!CC73</f>
        <v>0</v>
      </c>
      <c r="CD73" s="6">
        <f>CD$1*'survival matrix'!CD73</f>
        <v>0</v>
      </c>
      <c r="CE73" s="6">
        <f>CE$1*'survival matrix'!CE73</f>
        <v>0</v>
      </c>
      <c r="CF73" s="6">
        <f>CF$1*'survival matrix'!CF73</f>
        <v>0</v>
      </c>
      <c r="CG73" s="6">
        <f>CG$1*'survival matrix'!CG73</f>
        <v>0</v>
      </c>
      <c r="CH73" s="6">
        <f>CH$1*'survival matrix'!CH73</f>
        <v>0</v>
      </c>
      <c r="CI73" s="6">
        <f>CI$1*'survival matrix'!CI73</f>
        <v>0</v>
      </c>
      <c r="CJ73" s="6">
        <f>CJ$1*'survival matrix'!CJ73</f>
        <v>0</v>
      </c>
      <c r="CK73" s="6">
        <f>CK$1*'survival matrix'!CK73</f>
        <v>0</v>
      </c>
      <c r="CL73" s="6">
        <f>CL$1*'survival matrix'!CL73</f>
        <v>0</v>
      </c>
      <c r="CM73" s="6">
        <f>CM$1*'survival matrix'!CM73</f>
        <v>0</v>
      </c>
      <c r="CN73" s="6">
        <f>CN$1*'survival matrix'!CN73</f>
        <v>0</v>
      </c>
      <c r="CO73" s="6">
        <f>CO$1*'survival matrix'!CO73</f>
        <v>0</v>
      </c>
      <c r="CP73" s="6">
        <f>CP$1*'survival matrix'!CP73</f>
        <v>0</v>
      </c>
      <c r="CQ73" s="6">
        <f>CQ$1*'survival matrix'!CQ73</f>
        <v>0</v>
      </c>
      <c r="CR73" s="6">
        <f>CR$1*'survival matrix'!CR73</f>
        <v>0</v>
      </c>
      <c r="CS73" s="6">
        <f>CS$1*'survival matrix'!CS73</f>
        <v>0</v>
      </c>
      <c r="CT73" s="6">
        <f>CT$1*'survival matrix'!CT73</f>
        <v>0</v>
      </c>
      <c r="CU73" s="6">
        <f>CU$1*'survival matrix'!CU73</f>
        <v>0</v>
      </c>
      <c r="CV73" s="6">
        <f>CV$1*'survival matrix'!CV73</f>
        <v>0</v>
      </c>
      <c r="CW73" s="6">
        <f>CW$1*'survival matrix'!CW73</f>
        <v>0</v>
      </c>
      <c r="CX73" s="6">
        <f>CX$1*'survival matrix'!CX73</f>
        <v>0</v>
      </c>
      <c r="CY73" s="6">
        <f>CY$1*'survival matrix'!CY73</f>
        <v>0</v>
      </c>
      <c r="CZ73" s="6">
        <f>CZ$1*'survival matrix'!CZ73</f>
        <v>0</v>
      </c>
      <c r="DA73" s="6">
        <f>DA$1*'survival matrix'!DA73</f>
        <v>0</v>
      </c>
      <c r="DB73" s="6">
        <f>DB$1*'survival matrix'!DB73</f>
        <v>0</v>
      </c>
      <c r="DC73" s="6">
        <f>DC$1*'survival matrix'!DC73</f>
        <v>0</v>
      </c>
      <c r="DD73" s="6">
        <f>DD$1*'survival matrix'!DD73</f>
        <v>0</v>
      </c>
      <c r="DE73" s="6">
        <f>DE$1*'survival matrix'!DE73</f>
        <v>0</v>
      </c>
      <c r="DF73" s="6">
        <f>DF$1*'survival matrix'!DF73</f>
        <v>0</v>
      </c>
      <c r="DG73" s="6">
        <f>DG$1*'survival matrix'!DG73</f>
        <v>0</v>
      </c>
      <c r="DH73" s="6">
        <f>DH$1*'survival matrix'!DH73</f>
        <v>0</v>
      </c>
      <c r="DI73" s="6">
        <f>DI$1*'survival matrix'!DI73</f>
        <v>0</v>
      </c>
      <c r="DJ73" s="6">
        <f>DJ$1*'survival matrix'!DJ73</f>
        <v>0</v>
      </c>
      <c r="DK73" s="6">
        <f>DK$1*'survival matrix'!DK73</f>
        <v>0</v>
      </c>
      <c r="DL73" s="6">
        <f>DL$1*'survival matrix'!DL73</f>
        <v>0</v>
      </c>
      <c r="DM73" s="6">
        <f>DM$1*'survival matrix'!DM73</f>
        <v>0</v>
      </c>
      <c r="DN73" s="6">
        <f>DN$1*'survival matrix'!DN73</f>
        <v>0</v>
      </c>
      <c r="DO73" s="6">
        <f>DO$1*'survival matrix'!DO73</f>
        <v>0</v>
      </c>
      <c r="DP73" s="6">
        <f>DP$1*'survival matrix'!DP73</f>
        <v>0</v>
      </c>
      <c r="DQ73" s="6">
        <f>DQ$1*'survival matrix'!DQ73</f>
        <v>0</v>
      </c>
      <c r="DR73" s="6">
        <f>DR$1*'survival matrix'!DR73</f>
        <v>0</v>
      </c>
      <c r="DS73" s="6">
        <f>DS$1*'survival matrix'!DS73</f>
        <v>0</v>
      </c>
      <c r="DT73" s="6">
        <f>DT$1*'survival matrix'!DT73</f>
        <v>0</v>
      </c>
      <c r="DU73" s="6">
        <f>DU$1*'survival matrix'!DU73</f>
        <v>0</v>
      </c>
      <c r="DV73" s="6">
        <f>DV$1*'survival matrix'!DV73</f>
        <v>0</v>
      </c>
      <c r="DW73" s="6">
        <f>DW$1*'survival matrix'!DW73</f>
        <v>0</v>
      </c>
      <c r="DX73" s="6">
        <f>DX$1*'survival matrix'!DX73</f>
        <v>0</v>
      </c>
      <c r="DY73" s="6">
        <f>DY$1*'survival matrix'!DY73</f>
        <v>0</v>
      </c>
      <c r="DZ73" s="6">
        <f>DZ$1*'survival matrix'!DZ73</f>
        <v>0</v>
      </c>
      <c r="EA73" s="6">
        <f>EA$1*'survival matrix'!EA73</f>
        <v>0</v>
      </c>
      <c r="EB73" s="6">
        <f>EB$1*'survival matrix'!EB73</f>
        <v>0</v>
      </c>
      <c r="EC73" s="6">
        <f>EC$1*'survival matrix'!EC73</f>
        <v>0</v>
      </c>
    </row>
    <row r="74" spans="1:133">
      <c r="A74" s="12">
        <f>'data input'!C74-B74</f>
        <v>115680.16480326658</v>
      </c>
      <c r="B74" s="14">
        <f t="shared" si="3"/>
        <v>235410.62546700425</v>
      </c>
      <c r="C74" s="11">
        <f>SUM(F74:EC74)</f>
        <v>8310765.92310917</v>
      </c>
      <c r="E74" s="7">
        <f>'data input'!B74</f>
        <v>1949</v>
      </c>
      <c r="F74" s="6">
        <f>F$1*'survival matrix'!F74</f>
        <v>32.622416605895921</v>
      </c>
      <c r="G74" s="6">
        <f>G$1*'survival matrix'!G74</f>
        <v>79.785026048241818</v>
      </c>
      <c r="H74" s="6">
        <f>H$1*'survival matrix'!H74</f>
        <v>145.45261458506988</v>
      </c>
      <c r="I74" s="6">
        <f>I$1*'survival matrix'!I74</f>
        <v>234.66042920452387</v>
      </c>
      <c r="J74" s="6">
        <f>J$1*'survival matrix'!J74</f>
        <v>353.1726541742957</v>
      </c>
      <c r="K74" s="6">
        <f>K$1*'survival matrix'!K74</f>
        <v>507.77673229127276</v>
      </c>
      <c r="L74" s="6">
        <f>L$1*'survival matrix'!L74</f>
        <v>706.50041259201123</v>
      </c>
      <c r="M74" s="6">
        <f>M$1*'survival matrix'!M74</f>
        <v>958.22066006444891</v>
      </c>
      <c r="N74" s="6">
        <f>N$1*'survival matrix'!N74</f>
        <v>1272.5673561675965</v>
      </c>
      <c r="O74" s="6">
        <f>O$1*'survival matrix'!O74</f>
        <v>1660.2542805847386</v>
      </c>
      <c r="P74" s="6">
        <f>P$1*'survival matrix'!P74</f>
        <v>2134.0581701330752</v>
      </c>
      <c r="Q74" s="6">
        <f>Q$1*'survival matrix'!Q74</f>
        <v>2707.9840859743404</v>
      </c>
      <c r="R74" s="6">
        <f>R$1*'survival matrix'!R74</f>
        <v>3396.5019594252735</v>
      </c>
      <c r="S74" s="6">
        <f>S$1*'survival matrix'!S74</f>
        <v>4214.3848491881654</v>
      </c>
      <c r="T74" s="6">
        <f>T$1*'survival matrix'!T74</f>
        <v>5176.6228929073877</v>
      </c>
      <c r="U74" s="6">
        <f>U$1*'survival matrix'!U74</f>
        <v>6300.0842785896693</v>
      </c>
      <c r="V74" s="6">
        <f>V$1*'survival matrix'!V74</f>
        <v>7600.2822620042361</v>
      </c>
      <c r="W74" s="6">
        <f>W$1*'survival matrix'!W74</f>
        <v>9094.7919026050313</v>
      </c>
      <c r="X74" s="6">
        <f>X$1*'survival matrix'!X74</f>
        <v>10799.756272023442</v>
      </c>
      <c r="Y74" s="6">
        <f>Y$1*'survival matrix'!Y74</f>
        <v>12729.768538518629</v>
      </c>
      <c r="Z74" s="6">
        <f>Z$1*'survival matrix'!Z74</f>
        <v>14899.842652109752</v>
      </c>
      <c r="AA74" s="6">
        <f>AA$1*'survival matrix'!AA74</f>
        <v>17322.91499807109</v>
      </c>
      <c r="AB74" s="6">
        <f>AB$1*'survival matrix'!AB74</f>
        <v>20007.662180971722</v>
      </c>
      <c r="AC74" s="6">
        <f>AC$1*'survival matrix'!AC74</f>
        <v>23055.835856006513</v>
      </c>
      <c r="AD74" s="6">
        <f>AD$1*'survival matrix'!AD74</f>
        <v>26622.071500491442</v>
      </c>
      <c r="AE74" s="6">
        <f>AE$1*'survival matrix'!AE74</f>
        <v>30503.466887365426</v>
      </c>
      <c r="AF74" s="6">
        <f>AF$1*'survival matrix'!AF74</f>
        <v>34391.977262053508</v>
      </c>
      <c r="AG74" s="6">
        <f>AG$1*'survival matrix'!AG74</f>
        <v>38674.010566882076</v>
      </c>
      <c r="AH74" s="6">
        <f>AH$1*'survival matrix'!AH74</f>
        <v>43104.447805329575</v>
      </c>
      <c r="AI74" s="6">
        <f>AI$1*'survival matrix'!AI74</f>
        <v>48799.854887212736</v>
      </c>
      <c r="AJ74" s="6">
        <f>AJ$1*'survival matrix'!AJ74</f>
        <v>54026.926003618049</v>
      </c>
      <c r="AK74" s="6">
        <f>AK$1*'survival matrix'!AK74</f>
        <v>59242.459380352979</v>
      </c>
      <c r="AL74" s="6">
        <f>AL$1*'survival matrix'!AL74</f>
        <v>64751.685975006156</v>
      </c>
      <c r="AM74" s="6">
        <f>AM$1*'survival matrix'!AM74</f>
        <v>70557.336378554464</v>
      </c>
      <c r="AN74" s="6">
        <f>AN$1*'survival matrix'!AN74</f>
        <v>75778.002829885896</v>
      </c>
      <c r="AO74" s="6">
        <f>AO$1*'survival matrix'!AO74</f>
        <v>80988.662052210755</v>
      </c>
      <c r="AP74" s="6">
        <f>AP$1*'survival matrix'!AP74</f>
        <v>85873.160792118026</v>
      </c>
      <c r="AQ74" s="6">
        <f>AQ$1*'survival matrix'!AQ74</f>
        <v>91262.923194448274</v>
      </c>
      <c r="AR74" s="6">
        <f>AR$1*'survival matrix'!AR74</f>
        <v>97222.301478993904</v>
      </c>
      <c r="AS74" s="6">
        <f>AS$1*'survival matrix'!AS74</f>
        <v>103193.35754061394</v>
      </c>
      <c r="AT74" s="6">
        <f>AT$1*'survival matrix'!AT74</f>
        <v>110282.59091146766</v>
      </c>
      <c r="AU74" s="6">
        <f>AU$1*'survival matrix'!AU74</f>
        <v>117539.38881916011</v>
      </c>
      <c r="AV74" s="6">
        <f>AV$1*'survival matrix'!AV74</f>
        <v>124048.86346607927</v>
      </c>
      <c r="AW74" s="6">
        <f>AW$1*'survival matrix'!AW74</f>
        <v>130854.08758511813</v>
      </c>
      <c r="AX74" s="6">
        <f>AX$1*'survival matrix'!AX74</f>
        <v>137572.23081756462</v>
      </c>
      <c r="AY74" s="6">
        <f>AY$1*'survival matrix'!AY74</f>
        <v>145162.83188634366</v>
      </c>
      <c r="AZ74" s="6">
        <f>AZ$1*'survival matrix'!AZ74</f>
        <v>152277.31752553568</v>
      </c>
      <c r="BA74" s="6">
        <f>BA$1*'survival matrix'!BA74</f>
        <v>158684.50835032834</v>
      </c>
      <c r="BB74" s="6">
        <f>BB$1*'survival matrix'!BB74</f>
        <v>165653.30925762912</v>
      </c>
      <c r="BC74" s="6">
        <f>BC$1*'survival matrix'!BC74</f>
        <v>172678.54781075867</v>
      </c>
      <c r="BD74" s="6">
        <f>BD$1*'survival matrix'!BD74</f>
        <v>180043.11248506329</v>
      </c>
      <c r="BE74" s="6">
        <f>BE$1*'survival matrix'!BE74</f>
        <v>187103.68353581199</v>
      </c>
      <c r="BF74" s="6">
        <f>BF$1*'survival matrix'!BF74</f>
        <v>193130.22469774744</v>
      </c>
      <c r="BG74" s="6">
        <f>BG$1*'survival matrix'!BG74</f>
        <v>199013.46738594913</v>
      </c>
      <c r="BH74" s="6">
        <f>BH$1*'survival matrix'!BH74</f>
        <v>204700.65102451618</v>
      </c>
      <c r="BI74" s="6">
        <f>BI$1*'survival matrix'!BI74</f>
        <v>210741.75876215959</v>
      </c>
      <c r="BJ74" s="6">
        <f>BJ$1*'survival matrix'!BJ74</f>
        <v>217069.75072197872</v>
      </c>
      <c r="BK74" s="6">
        <f>BK$1*'survival matrix'!BK74</f>
        <v>223366.86436607555</v>
      </c>
      <c r="BL74" s="6">
        <f>BL$1*'survival matrix'!BL74</f>
        <v>230341.89305576438</v>
      </c>
      <c r="BM74" s="6">
        <f>BM$1*'survival matrix'!BM74</f>
        <v>238114.30425455846</v>
      </c>
      <c r="BN74" s="6">
        <f>BN$1*'survival matrix'!BN74</f>
        <v>247064.10392142224</v>
      </c>
      <c r="BO74" s="6">
        <f>BO$1*'survival matrix'!BO74</f>
        <v>258638.61704151536</v>
      </c>
      <c r="BP74" s="6">
        <f>BP$1*'survival matrix'!BP74</f>
        <v>270026.51913824049</v>
      </c>
      <c r="BQ74" s="6">
        <f>BQ$1*'survival matrix'!BQ74</f>
        <v>282826.27710271726</v>
      </c>
      <c r="BR74" s="6">
        <f>BR$1*'survival matrix'!BR74</f>
        <v>292350.23866163095</v>
      </c>
      <c r="BS74" s="6">
        <f>BS$1*'survival matrix'!BS74</f>
        <v>307195.06276715774</v>
      </c>
      <c r="BT74" s="6">
        <f>BT$1*'survival matrix'!BT74</f>
        <v>320709.43810194038</v>
      </c>
      <c r="BU74" s="6">
        <f>BU$1*'survival matrix'!BU74</f>
        <v>324299.91402483138</v>
      </c>
      <c r="BV74" s="6">
        <f>BV$1*'survival matrix'!BV74</f>
        <v>329622.95409918338</v>
      </c>
      <c r="BW74" s="6">
        <f>BW$1*'survival matrix'!BW74</f>
        <v>335894.08477797231</v>
      </c>
      <c r="BX74" s="6">
        <f>BX$1*'survival matrix'!BX74</f>
        <v>342758.32523340394</v>
      </c>
      <c r="BY74" s="6">
        <f>BY$1*'survival matrix'!BY74</f>
        <v>350616.85350356152</v>
      </c>
      <c r="BZ74" s="6">
        <f>BZ$1*'survival matrix'!BZ74</f>
        <v>0</v>
      </c>
      <c r="CA74" s="6">
        <f>CA$1*'survival matrix'!CA74</f>
        <v>0</v>
      </c>
      <c r="CB74" s="6">
        <f>CB$1*'survival matrix'!CB74</f>
        <v>0</v>
      </c>
      <c r="CC74" s="6">
        <f>CC$1*'survival matrix'!CC74</f>
        <v>0</v>
      </c>
      <c r="CD74" s="6">
        <f>CD$1*'survival matrix'!CD74</f>
        <v>0</v>
      </c>
      <c r="CE74" s="6">
        <f>CE$1*'survival matrix'!CE74</f>
        <v>0</v>
      </c>
      <c r="CF74" s="6">
        <f>CF$1*'survival matrix'!CF74</f>
        <v>0</v>
      </c>
      <c r="CG74" s="6">
        <f>CG$1*'survival matrix'!CG74</f>
        <v>0</v>
      </c>
      <c r="CH74" s="6">
        <f>CH$1*'survival matrix'!CH74</f>
        <v>0</v>
      </c>
      <c r="CI74" s="6">
        <f>CI$1*'survival matrix'!CI74</f>
        <v>0</v>
      </c>
      <c r="CJ74" s="6">
        <f>CJ$1*'survival matrix'!CJ74</f>
        <v>0</v>
      </c>
      <c r="CK74" s="6">
        <f>CK$1*'survival matrix'!CK74</f>
        <v>0</v>
      </c>
      <c r="CL74" s="6">
        <f>CL$1*'survival matrix'!CL74</f>
        <v>0</v>
      </c>
      <c r="CM74" s="6">
        <f>CM$1*'survival matrix'!CM74</f>
        <v>0</v>
      </c>
      <c r="CN74" s="6">
        <f>CN$1*'survival matrix'!CN74</f>
        <v>0</v>
      </c>
      <c r="CO74" s="6">
        <f>CO$1*'survival matrix'!CO74</f>
        <v>0</v>
      </c>
      <c r="CP74" s="6">
        <f>CP$1*'survival matrix'!CP74</f>
        <v>0</v>
      </c>
      <c r="CQ74" s="6">
        <f>CQ$1*'survival matrix'!CQ74</f>
        <v>0</v>
      </c>
      <c r="CR74" s="6">
        <f>CR$1*'survival matrix'!CR74</f>
        <v>0</v>
      </c>
      <c r="CS74" s="6">
        <f>CS$1*'survival matrix'!CS74</f>
        <v>0</v>
      </c>
      <c r="CT74" s="6">
        <f>CT$1*'survival matrix'!CT74</f>
        <v>0</v>
      </c>
      <c r="CU74" s="6">
        <f>CU$1*'survival matrix'!CU74</f>
        <v>0</v>
      </c>
      <c r="CV74" s="6">
        <f>CV$1*'survival matrix'!CV74</f>
        <v>0</v>
      </c>
      <c r="CW74" s="6">
        <f>CW$1*'survival matrix'!CW74</f>
        <v>0</v>
      </c>
      <c r="CX74" s="6">
        <f>CX$1*'survival matrix'!CX74</f>
        <v>0</v>
      </c>
      <c r="CY74" s="6">
        <f>CY$1*'survival matrix'!CY74</f>
        <v>0</v>
      </c>
      <c r="CZ74" s="6">
        <f>CZ$1*'survival matrix'!CZ74</f>
        <v>0</v>
      </c>
      <c r="DA74" s="6">
        <f>DA$1*'survival matrix'!DA74</f>
        <v>0</v>
      </c>
      <c r="DB74" s="6">
        <f>DB$1*'survival matrix'!DB74</f>
        <v>0</v>
      </c>
      <c r="DC74" s="6">
        <f>DC$1*'survival matrix'!DC74</f>
        <v>0</v>
      </c>
      <c r="DD74" s="6">
        <f>DD$1*'survival matrix'!DD74</f>
        <v>0</v>
      </c>
      <c r="DE74" s="6">
        <f>DE$1*'survival matrix'!DE74</f>
        <v>0</v>
      </c>
      <c r="DF74" s="6">
        <f>DF$1*'survival matrix'!DF74</f>
        <v>0</v>
      </c>
      <c r="DG74" s="6">
        <f>DG$1*'survival matrix'!DG74</f>
        <v>0</v>
      </c>
      <c r="DH74" s="6">
        <f>DH$1*'survival matrix'!DH74</f>
        <v>0</v>
      </c>
      <c r="DI74" s="6">
        <f>DI$1*'survival matrix'!DI74</f>
        <v>0</v>
      </c>
      <c r="DJ74" s="6">
        <f>DJ$1*'survival matrix'!DJ74</f>
        <v>0</v>
      </c>
      <c r="DK74" s="6">
        <f>DK$1*'survival matrix'!DK74</f>
        <v>0</v>
      </c>
      <c r="DL74" s="6">
        <f>DL$1*'survival matrix'!DL74</f>
        <v>0</v>
      </c>
      <c r="DM74" s="6">
        <f>DM$1*'survival matrix'!DM74</f>
        <v>0</v>
      </c>
      <c r="DN74" s="6">
        <f>DN$1*'survival matrix'!DN74</f>
        <v>0</v>
      </c>
      <c r="DO74" s="6">
        <f>DO$1*'survival matrix'!DO74</f>
        <v>0</v>
      </c>
      <c r="DP74" s="6">
        <f>DP$1*'survival matrix'!DP74</f>
        <v>0</v>
      </c>
      <c r="DQ74" s="6">
        <f>DQ$1*'survival matrix'!DQ74</f>
        <v>0</v>
      </c>
      <c r="DR74" s="6">
        <f>DR$1*'survival matrix'!DR74</f>
        <v>0</v>
      </c>
      <c r="DS74" s="6">
        <f>DS$1*'survival matrix'!DS74</f>
        <v>0</v>
      </c>
      <c r="DT74" s="6">
        <f>DT$1*'survival matrix'!DT74</f>
        <v>0</v>
      </c>
      <c r="DU74" s="6">
        <f>DU$1*'survival matrix'!DU74</f>
        <v>0</v>
      </c>
      <c r="DV74" s="6">
        <f>DV$1*'survival matrix'!DV74</f>
        <v>0</v>
      </c>
      <c r="DW74" s="6">
        <f>DW$1*'survival matrix'!DW74</f>
        <v>0</v>
      </c>
      <c r="DX74" s="6">
        <f>DX$1*'survival matrix'!DX74</f>
        <v>0</v>
      </c>
      <c r="DY74" s="6">
        <f>DY$1*'survival matrix'!DY74</f>
        <v>0</v>
      </c>
      <c r="DZ74" s="6">
        <f>DZ$1*'survival matrix'!DZ74</f>
        <v>0</v>
      </c>
      <c r="EA74" s="6">
        <f>EA$1*'survival matrix'!EA74</f>
        <v>0</v>
      </c>
      <c r="EB74" s="6">
        <f>EB$1*'survival matrix'!EB74</f>
        <v>0</v>
      </c>
      <c r="EC74" s="6">
        <f>EC$1*'survival matrix'!EC74</f>
        <v>0</v>
      </c>
    </row>
    <row r="75" spans="1:133">
      <c r="A75" s="12">
        <f>'data input'!C75-B75</f>
        <v>119693.72287547146</v>
      </c>
      <c r="B75" s="14">
        <f t="shared" si="3"/>
        <v>243207.89828796498</v>
      </c>
      <c r="C75" s="11">
        <f>SUM(F75:EC75)</f>
        <v>8553973.821397135</v>
      </c>
      <c r="E75" s="7">
        <f>'data input'!B75</f>
        <v>1950</v>
      </c>
      <c r="F75" s="6">
        <f>F$1*'survival matrix'!F75</f>
        <v>26.646468944938526</v>
      </c>
      <c r="G75" s="6">
        <f>G$1*'survival matrix'!G75</f>
        <v>65.501470395908626</v>
      </c>
      <c r="H75" s="6">
        <f>H$1*'survival matrix'!H75</f>
        <v>120.01853023344125</v>
      </c>
      <c r="I75" s="6">
        <f>I$1*'survival matrix'!I75</f>
        <v>194.60513157666676</v>
      </c>
      <c r="J75" s="6">
        <f>J$1*'survival matrix'!J75</f>
        <v>294.36028732038147</v>
      </c>
      <c r="K75" s="6">
        <f>K$1*'survival matrix'!K75</f>
        <v>425.33608520375822</v>
      </c>
      <c r="L75" s="6">
        <f>L$1*'survival matrix'!L75</f>
        <v>594.74139533788127</v>
      </c>
      <c r="M75" s="6">
        <f>M$1*'survival matrix'!M75</f>
        <v>810.63632479090484</v>
      </c>
      <c r="N75" s="6">
        <f>N$1*'survival matrix'!N75</f>
        <v>1081.8672282243037</v>
      </c>
      <c r="O75" s="6">
        <f>O$1*'survival matrix'!O75</f>
        <v>1418.3639949403703</v>
      </c>
      <c r="P75" s="6">
        <f>P$1*'survival matrix'!P75</f>
        <v>1832.0015155034798</v>
      </c>
      <c r="Q75" s="6">
        <f>Q$1*'survival matrix'!Q75</f>
        <v>2335.9204675972528</v>
      </c>
      <c r="R75" s="6">
        <f>R$1*'survival matrix'!R75</f>
        <v>2943.8882956898192</v>
      </c>
      <c r="S75" s="6">
        <f>S$1*'survival matrix'!S75</f>
        <v>3670.1644799274741</v>
      </c>
      <c r="T75" s="6">
        <f>T$1*'survival matrix'!T75</f>
        <v>4529.4272290348435</v>
      </c>
      <c r="U75" s="6">
        <f>U$1*'survival matrix'!U75</f>
        <v>5538.2329349959518</v>
      </c>
      <c r="V75" s="6">
        <f>V$1*'survival matrix'!V75</f>
        <v>6712.1932119556395</v>
      </c>
      <c r="W75" s="6">
        <f>W$1*'survival matrix'!W75</f>
        <v>8068.9713569763662</v>
      </c>
      <c r="X75" s="6">
        <f>X$1*'survival matrix'!X75</f>
        <v>9625.2018698403936</v>
      </c>
      <c r="Y75" s="6">
        <f>Y$1*'survival matrix'!Y75</f>
        <v>11396.346223521108</v>
      </c>
      <c r="Z75" s="6">
        <f>Z$1*'survival matrix'!Z75</f>
        <v>13398.42318584774</v>
      </c>
      <c r="AA75" s="6">
        <f>AA$1*'survival matrix'!AA75</f>
        <v>15645.748833603484</v>
      </c>
      <c r="AB75" s="6">
        <f>AB$1*'survival matrix'!AB75</f>
        <v>18148.90305050771</v>
      </c>
      <c r="AC75" s="6">
        <f>AC$1*'survival matrix'!AC75</f>
        <v>21003.302555454691</v>
      </c>
      <c r="AD75" s="6">
        <f>AD$1*'survival matrix'!AD75</f>
        <v>24354.205455828211</v>
      </c>
      <c r="AE75" s="6">
        <f>AE$1*'survival matrix'!AE75</f>
        <v>28020.642652573806</v>
      </c>
      <c r="AF75" s="6">
        <f>AF$1*'survival matrix'!AF75</f>
        <v>31721.430952772604</v>
      </c>
      <c r="AG75" s="6">
        <f>AG$1*'survival matrix'!AG75</f>
        <v>35813.774546666864</v>
      </c>
      <c r="AH75" s="6">
        <f>AH$1*'survival matrix'!AH75</f>
        <v>40073.314924017075</v>
      </c>
      <c r="AI75" s="6">
        <f>AI$1*'survival matrix'!AI75</f>
        <v>45542.780226802584</v>
      </c>
      <c r="AJ75" s="6">
        <f>AJ$1*'survival matrix'!AJ75</f>
        <v>50610.785061386101</v>
      </c>
      <c r="AK75" s="6">
        <f>AK$1*'survival matrix'!AK75</f>
        <v>55700.631878203036</v>
      </c>
      <c r="AL75" s="6">
        <f>AL$1*'survival matrix'!AL75</f>
        <v>61098.872292085005</v>
      </c>
      <c r="AM75" s="6">
        <f>AM$1*'survival matrix'!AM75</f>
        <v>66809.563101207299</v>
      </c>
      <c r="AN75" s="6">
        <f>AN$1*'survival matrix'!AN75</f>
        <v>71996.544966624744</v>
      </c>
      <c r="AO75" s="6">
        <f>AO$1*'survival matrix'!AO75</f>
        <v>77200.646420545221</v>
      </c>
      <c r="AP75" s="6">
        <f>AP$1*'survival matrix'!AP75</f>
        <v>82117.74931245498</v>
      </c>
      <c r="AQ75" s="6">
        <f>AQ$1*'survival matrix'!AQ75</f>
        <v>87540.709231996268</v>
      </c>
      <c r="AR75" s="6">
        <f>AR$1*'survival matrix'!AR75</f>
        <v>93534.004218011731</v>
      </c>
      <c r="AS75" s="6">
        <f>AS$1*'survival matrix'!AS75</f>
        <v>99562.062213390978</v>
      </c>
      <c r="AT75" s="6">
        <f>AT$1*'survival matrix'!AT75</f>
        <v>106693.26622912349</v>
      </c>
      <c r="AU75" s="6">
        <f>AU$1*'survival matrix'!AU75</f>
        <v>114011.78601356706</v>
      </c>
      <c r="AV75" s="6">
        <f>AV$1*'survival matrix'!AV75</f>
        <v>120626.53654638294</v>
      </c>
      <c r="AW75" s="6">
        <f>AW$1*'survival matrix'!AW75</f>
        <v>127546.30313605774</v>
      </c>
      <c r="AX75" s="6">
        <f>AX$1*'survival matrix'!AX75</f>
        <v>134396.54969703261</v>
      </c>
      <c r="AY75" s="6">
        <f>AY$1*'survival matrix'!AY75</f>
        <v>142113.54230025318</v>
      </c>
      <c r="AZ75" s="6">
        <f>AZ$1*'survival matrix'!AZ75</f>
        <v>149377.02121709968</v>
      </c>
      <c r="BA75" s="6">
        <f>BA$1*'survival matrix'!BA75</f>
        <v>155954.40941922148</v>
      </c>
      <c r="BB75" s="6">
        <f>BB$1*'survival matrix'!BB75</f>
        <v>163088.82596981034</v>
      </c>
      <c r="BC75" s="6">
        <f>BC$1*'survival matrix'!BC75</f>
        <v>170282.69397299259</v>
      </c>
      <c r="BD75" s="6">
        <f>BD$1*'survival matrix'!BD75</f>
        <v>177813.47179189679</v>
      </c>
      <c r="BE75" s="6">
        <f>BE$1*'survival matrix'!BE75</f>
        <v>185044.28418814292</v>
      </c>
      <c r="BF75" s="6">
        <f>BF$1*'survival matrix'!BF75</f>
        <v>191249.0793607778</v>
      </c>
      <c r="BG75" s="6">
        <f>BG$1*'survival matrix'!BG75</f>
        <v>197305.67652031581</v>
      </c>
      <c r="BH75" s="6">
        <f>BH$1*'survival matrix'!BH75</f>
        <v>203160.11482185614</v>
      </c>
      <c r="BI75" s="6">
        <f>BI$1*'survival matrix'!BI75</f>
        <v>209357.29922092683</v>
      </c>
      <c r="BJ75" s="6">
        <f>BJ$1*'survival matrix'!BJ75</f>
        <v>215830.83752632429</v>
      </c>
      <c r="BK75" s="6">
        <f>BK$1*'survival matrix'!BK75</f>
        <v>222264.64532455278</v>
      </c>
      <c r="BL75" s="6">
        <f>BL$1*'survival matrix'!BL75</f>
        <v>229364.00618287901</v>
      </c>
      <c r="BM75" s="6">
        <f>BM$1*'survival matrix'!BM75</f>
        <v>237248.95302526478</v>
      </c>
      <c r="BN75" s="6">
        <f>BN$1*'survival matrix'!BN75</f>
        <v>246299.38660840213</v>
      </c>
      <c r="BO75" s="6">
        <f>BO$1*'survival matrix'!BO75</f>
        <v>257960.29950659469</v>
      </c>
      <c r="BP75" s="6">
        <f>BP$1*'survival matrix'!BP75</f>
        <v>269429.57721424563</v>
      </c>
      <c r="BQ75" s="6">
        <f>BQ$1*'survival matrix'!BQ75</f>
        <v>282302.01915750949</v>
      </c>
      <c r="BR75" s="6">
        <f>BR$1*'survival matrix'!BR75</f>
        <v>291898.25745551963</v>
      </c>
      <c r="BS75" s="6">
        <f>BS$1*'survival matrix'!BS75</f>
        <v>306801.06330297451</v>
      </c>
      <c r="BT75" s="6">
        <f>BT$1*'survival matrix'!BT75</f>
        <v>320370.0369014084</v>
      </c>
      <c r="BU75" s="6">
        <f>BU$1*'survival matrix'!BU75</f>
        <v>324018.26422697096</v>
      </c>
      <c r="BV75" s="6">
        <f>BV$1*'survival matrix'!BV75</f>
        <v>329389.30255445937</v>
      </c>
      <c r="BW75" s="6">
        <f>BW$1*'survival matrix'!BW75</f>
        <v>335700.8174689351</v>
      </c>
      <c r="BX75" s="6">
        <f>BX$1*'survival matrix'!BX75</f>
        <v>342599.12074206001</v>
      </c>
      <c r="BY75" s="6">
        <f>BY$1*'survival matrix'!BY75</f>
        <v>350486.11323223333</v>
      </c>
      <c r="BZ75" s="6">
        <f>BZ$1*'survival matrix'!BZ75</f>
        <v>362411.74097935256</v>
      </c>
      <c r="CA75" s="6">
        <f>CA$1*'survival matrix'!CA75</f>
        <v>0</v>
      </c>
      <c r="CB75" s="6">
        <f>CB$1*'survival matrix'!CB75</f>
        <v>0</v>
      </c>
      <c r="CC75" s="6">
        <f>CC$1*'survival matrix'!CC75</f>
        <v>0</v>
      </c>
      <c r="CD75" s="6">
        <f>CD$1*'survival matrix'!CD75</f>
        <v>0</v>
      </c>
      <c r="CE75" s="6">
        <f>CE$1*'survival matrix'!CE75</f>
        <v>0</v>
      </c>
      <c r="CF75" s="6">
        <f>CF$1*'survival matrix'!CF75</f>
        <v>0</v>
      </c>
      <c r="CG75" s="6">
        <f>CG$1*'survival matrix'!CG75</f>
        <v>0</v>
      </c>
      <c r="CH75" s="6">
        <f>CH$1*'survival matrix'!CH75</f>
        <v>0</v>
      </c>
      <c r="CI75" s="6">
        <f>CI$1*'survival matrix'!CI75</f>
        <v>0</v>
      </c>
      <c r="CJ75" s="6">
        <f>CJ$1*'survival matrix'!CJ75</f>
        <v>0</v>
      </c>
      <c r="CK75" s="6">
        <f>CK$1*'survival matrix'!CK75</f>
        <v>0</v>
      </c>
      <c r="CL75" s="6">
        <f>CL$1*'survival matrix'!CL75</f>
        <v>0</v>
      </c>
      <c r="CM75" s="6">
        <f>CM$1*'survival matrix'!CM75</f>
        <v>0</v>
      </c>
      <c r="CN75" s="6">
        <f>CN$1*'survival matrix'!CN75</f>
        <v>0</v>
      </c>
      <c r="CO75" s="6">
        <f>CO$1*'survival matrix'!CO75</f>
        <v>0</v>
      </c>
      <c r="CP75" s="6">
        <f>CP$1*'survival matrix'!CP75</f>
        <v>0</v>
      </c>
      <c r="CQ75" s="6">
        <f>CQ$1*'survival matrix'!CQ75</f>
        <v>0</v>
      </c>
      <c r="CR75" s="6">
        <f>CR$1*'survival matrix'!CR75</f>
        <v>0</v>
      </c>
      <c r="CS75" s="6">
        <f>CS$1*'survival matrix'!CS75</f>
        <v>0</v>
      </c>
      <c r="CT75" s="6">
        <f>CT$1*'survival matrix'!CT75</f>
        <v>0</v>
      </c>
      <c r="CU75" s="6">
        <f>CU$1*'survival matrix'!CU75</f>
        <v>0</v>
      </c>
      <c r="CV75" s="6">
        <f>CV$1*'survival matrix'!CV75</f>
        <v>0</v>
      </c>
      <c r="CW75" s="6">
        <f>CW$1*'survival matrix'!CW75</f>
        <v>0</v>
      </c>
      <c r="CX75" s="6">
        <f>CX$1*'survival matrix'!CX75</f>
        <v>0</v>
      </c>
      <c r="CY75" s="6">
        <f>CY$1*'survival matrix'!CY75</f>
        <v>0</v>
      </c>
      <c r="CZ75" s="6">
        <f>CZ$1*'survival matrix'!CZ75</f>
        <v>0</v>
      </c>
      <c r="DA75" s="6">
        <f>DA$1*'survival matrix'!DA75</f>
        <v>0</v>
      </c>
      <c r="DB75" s="6">
        <f>DB$1*'survival matrix'!DB75</f>
        <v>0</v>
      </c>
      <c r="DC75" s="6">
        <f>DC$1*'survival matrix'!DC75</f>
        <v>0</v>
      </c>
      <c r="DD75" s="6">
        <f>DD$1*'survival matrix'!DD75</f>
        <v>0</v>
      </c>
      <c r="DE75" s="6">
        <f>DE$1*'survival matrix'!DE75</f>
        <v>0</v>
      </c>
      <c r="DF75" s="6">
        <f>DF$1*'survival matrix'!DF75</f>
        <v>0</v>
      </c>
      <c r="DG75" s="6">
        <f>DG$1*'survival matrix'!DG75</f>
        <v>0</v>
      </c>
      <c r="DH75" s="6">
        <f>DH$1*'survival matrix'!DH75</f>
        <v>0</v>
      </c>
      <c r="DI75" s="6">
        <f>DI$1*'survival matrix'!DI75</f>
        <v>0</v>
      </c>
      <c r="DJ75" s="6">
        <f>DJ$1*'survival matrix'!DJ75</f>
        <v>0</v>
      </c>
      <c r="DK75" s="6">
        <f>DK$1*'survival matrix'!DK75</f>
        <v>0</v>
      </c>
      <c r="DL75" s="6">
        <f>DL$1*'survival matrix'!DL75</f>
        <v>0</v>
      </c>
      <c r="DM75" s="6">
        <f>DM$1*'survival matrix'!DM75</f>
        <v>0</v>
      </c>
      <c r="DN75" s="6">
        <f>DN$1*'survival matrix'!DN75</f>
        <v>0</v>
      </c>
      <c r="DO75" s="6">
        <f>DO$1*'survival matrix'!DO75</f>
        <v>0</v>
      </c>
      <c r="DP75" s="6">
        <f>DP$1*'survival matrix'!DP75</f>
        <v>0</v>
      </c>
      <c r="DQ75" s="6">
        <f>DQ$1*'survival matrix'!DQ75</f>
        <v>0</v>
      </c>
      <c r="DR75" s="6">
        <f>DR$1*'survival matrix'!DR75</f>
        <v>0</v>
      </c>
      <c r="DS75" s="6">
        <f>DS$1*'survival matrix'!DS75</f>
        <v>0</v>
      </c>
      <c r="DT75" s="6">
        <f>DT$1*'survival matrix'!DT75</f>
        <v>0</v>
      </c>
      <c r="DU75" s="6">
        <f>DU$1*'survival matrix'!DU75</f>
        <v>0</v>
      </c>
      <c r="DV75" s="6">
        <f>DV$1*'survival matrix'!DV75</f>
        <v>0</v>
      </c>
      <c r="DW75" s="6">
        <f>DW$1*'survival matrix'!DW75</f>
        <v>0</v>
      </c>
      <c r="DX75" s="6">
        <f>DX$1*'survival matrix'!DX75</f>
        <v>0</v>
      </c>
      <c r="DY75" s="6">
        <f>DY$1*'survival matrix'!DY75</f>
        <v>0</v>
      </c>
      <c r="DZ75" s="6">
        <f>DZ$1*'survival matrix'!DZ75</f>
        <v>0</v>
      </c>
      <c r="EA75" s="6">
        <f>EA$1*'survival matrix'!EA75</f>
        <v>0</v>
      </c>
      <c r="EB75" s="6">
        <f>EB$1*'survival matrix'!EB75</f>
        <v>0</v>
      </c>
      <c r="EC75" s="6">
        <f>EC$1*'survival matrix'!EC75</f>
        <v>0</v>
      </c>
    </row>
    <row r="76" spans="1:133">
      <c r="A76" s="12">
        <f>'data input'!C76-B76</f>
        <v>123766.2720374217</v>
      </c>
      <c r="B76" s="14">
        <f t="shared" si="3"/>
        <v>256871.73337644152</v>
      </c>
      <c r="C76" s="11">
        <f>SUM(F76:EC76)</f>
        <v>8810845.5547735766</v>
      </c>
      <c r="E76" s="7">
        <f>'data input'!B76</f>
        <v>1951</v>
      </c>
      <c r="F76" s="6">
        <f>F$1*'survival matrix'!F76</f>
        <v>21.654517006759175</v>
      </c>
      <c r="G76" s="6">
        <f>G$1*'survival matrix'!G76</f>
        <v>53.502562910588992</v>
      </c>
      <c r="H76" s="6">
        <f>H$1*'survival matrix'!H76</f>
        <v>98.532150635544639</v>
      </c>
      <c r="I76" s="6">
        <f>I$1*'survival matrix'!I76</f>
        <v>160.57615694530398</v>
      </c>
      <c r="J76" s="6">
        <f>J$1*'survival matrix'!J76</f>
        <v>244.11453877893072</v>
      </c>
      <c r="K76" s="6">
        <f>K$1*'survival matrix'!K76</f>
        <v>354.50664361605851</v>
      </c>
      <c r="L76" s="6">
        <f>L$1*'survival matrix'!L76</f>
        <v>498.18150520636385</v>
      </c>
      <c r="M76" s="6">
        <f>M$1*'survival matrix'!M76</f>
        <v>682.40438409499984</v>
      </c>
      <c r="N76" s="6">
        <f>N$1*'survival matrix'!N76</f>
        <v>915.23895314518325</v>
      </c>
      <c r="O76" s="6">
        <f>O$1*'survival matrix'!O76</f>
        <v>1205.8155636181496</v>
      </c>
      <c r="P76" s="6">
        <f>P$1*'survival matrix'!P76</f>
        <v>1565.0885642355704</v>
      </c>
      <c r="Q76" s="6">
        <f>Q$1*'survival matrix'!Q76</f>
        <v>2005.2920284112545</v>
      </c>
      <c r="R76" s="6">
        <f>R$1*'survival matrix'!R76</f>
        <v>2539.4126057973449</v>
      </c>
      <c r="S76" s="6">
        <f>S$1*'survival matrix'!S76</f>
        <v>3181.0828860947445</v>
      </c>
      <c r="T76" s="6">
        <f>T$1*'survival matrix'!T76</f>
        <v>3944.5241773831617</v>
      </c>
      <c r="U76" s="6">
        <f>U$1*'survival matrix'!U76</f>
        <v>4845.8277868526611</v>
      </c>
      <c r="V76" s="6">
        <f>V$1*'survival matrix'!V76</f>
        <v>5900.5067025596436</v>
      </c>
      <c r="W76" s="6">
        <f>W$1*'survival matrix'!W76</f>
        <v>7126.1162286726476</v>
      </c>
      <c r="X76" s="6">
        <f>X$1*'survival matrix'!X76</f>
        <v>8539.5552778521178</v>
      </c>
      <c r="Y76" s="6">
        <f>Y$1*'survival matrix'!Y76</f>
        <v>10156.908194691321</v>
      </c>
      <c r="Z76" s="6">
        <f>Z$1*'survival matrix'!Z76</f>
        <v>11994.960396423872</v>
      </c>
      <c r="AA76" s="6">
        <f>AA$1*'survival matrix'!AA76</f>
        <v>14069.166287633292</v>
      </c>
      <c r="AB76" s="6">
        <f>AB$1*'survival matrix'!AB76</f>
        <v>16391.766556915041</v>
      </c>
      <c r="AC76" s="6">
        <f>AC$1*'survival matrix'!AC76</f>
        <v>19052.046079724179</v>
      </c>
      <c r="AD76" s="6">
        <f>AD$1*'survival matrix'!AD76</f>
        <v>22186.085504820432</v>
      </c>
      <c r="AE76" s="6">
        <f>AE$1*'survival matrix'!AE76</f>
        <v>25633.635915692295</v>
      </c>
      <c r="AF76" s="6">
        <f>AF$1*'survival matrix'!AF76</f>
        <v>29139.470750588676</v>
      </c>
      <c r="AG76" s="6">
        <f>AG$1*'survival matrix'!AG76</f>
        <v>33032.82529480321</v>
      </c>
      <c r="AH76" s="6">
        <f>AH$1*'survival matrix'!AH76</f>
        <v>37109.589747470374</v>
      </c>
      <c r="AI76" s="6">
        <f>AI$1*'survival matrix'!AI76</f>
        <v>42340.182219392736</v>
      </c>
      <c r="AJ76" s="6">
        <f>AJ$1*'survival matrix'!AJ76</f>
        <v>47232.842525534419</v>
      </c>
      <c r="AK76" s="6">
        <f>AK$1*'survival matrix'!AK76</f>
        <v>52178.661943164036</v>
      </c>
      <c r="AL76" s="6">
        <f>AL$1*'survival matrix'!AL76</f>
        <v>57446.058609163854</v>
      </c>
      <c r="AM76" s="6">
        <f>AM$1*'survival matrix'!AM76</f>
        <v>63040.659132586719</v>
      </c>
      <c r="AN76" s="6">
        <f>AN$1*'survival matrix'!AN76</f>
        <v>68172.325670142731</v>
      </c>
      <c r="AO76" s="6">
        <f>AO$1*'survival matrix'!AO76</f>
        <v>73348.196097841792</v>
      </c>
      <c r="AP76" s="6">
        <f>AP$1*'survival matrix'!AP76</f>
        <v>78276.923817248753</v>
      </c>
      <c r="AQ76" s="6">
        <f>AQ$1*'survival matrix'!AQ76</f>
        <v>83712.372399449407</v>
      </c>
      <c r="AR76" s="6">
        <f>AR$1*'survival matrix'!AR76</f>
        <v>89719.162831411173</v>
      </c>
      <c r="AS76" s="6">
        <f>AS$1*'survival matrix'!AS76</f>
        <v>95785.002055658275</v>
      </c>
      <c r="AT76" s="6">
        <f>AT$1*'survival matrix'!AT76</f>
        <v>102938.81179196179</v>
      </c>
      <c r="AU76" s="6">
        <f>AU$1*'survival matrix'!AU76</f>
        <v>110301.0886656497</v>
      </c>
      <c r="AV76" s="6">
        <f>AV$1*'survival matrix'!AV76</f>
        <v>117006.28198299839</v>
      </c>
      <c r="AW76" s="6">
        <f>AW$1*'survival matrix'!AW76</f>
        <v>124027.48696528614</v>
      </c>
      <c r="AX76" s="6">
        <f>AX$1*'survival matrix'!AX76</f>
        <v>130999.21740654501</v>
      </c>
      <c r="AY76" s="6">
        <f>AY$1*'survival matrix'!AY76</f>
        <v>138833.03074226787</v>
      </c>
      <c r="AZ76" s="6">
        <f>AZ$1*'survival matrix'!AZ76</f>
        <v>146239.20839490872</v>
      </c>
      <c r="BA76" s="6">
        <f>BA$1*'survival matrix'!BA76</f>
        <v>152984.07867480817</v>
      </c>
      <c r="BB76" s="6">
        <f>BB$1*'survival matrix'!BB76</f>
        <v>160282.95264238588</v>
      </c>
      <c r="BC76" s="6">
        <f>BC$1*'survival matrix'!BC76</f>
        <v>167646.54305723062</v>
      </c>
      <c r="BD76" s="6">
        <f>BD$1*'survival matrix'!BD76</f>
        <v>175346.37269823288</v>
      </c>
      <c r="BE76" s="6">
        <f>BE$1*'survival matrix'!BE76</f>
        <v>182752.70935159939</v>
      </c>
      <c r="BF76" s="6">
        <f>BF$1*'survival matrix'!BF76</f>
        <v>189144.05276891752</v>
      </c>
      <c r="BG76" s="6">
        <f>BG$1*'survival matrix'!BG76</f>
        <v>195383.86105137662</v>
      </c>
      <c r="BH76" s="6">
        <f>BH$1*'survival matrix'!BH76</f>
        <v>201416.74040146614</v>
      </c>
      <c r="BI76" s="6">
        <f>BI$1*'survival matrix'!BI76</f>
        <v>207781.71801428794</v>
      </c>
      <c r="BJ76" s="6">
        <f>BJ$1*'survival matrix'!BJ76</f>
        <v>214412.94548603432</v>
      </c>
      <c r="BK76" s="6">
        <f>BK$1*'survival matrix'!BK76</f>
        <v>220996.08256486763</v>
      </c>
      <c r="BL76" s="6">
        <f>BL$1*'survival matrix'!BL76</f>
        <v>228232.19383563494</v>
      </c>
      <c r="BM76" s="6">
        <f>BM$1*'survival matrix'!BM76</f>
        <v>236241.74311789012</v>
      </c>
      <c r="BN76" s="6">
        <f>BN$1*'survival matrix'!BN76</f>
        <v>245404.28928259006</v>
      </c>
      <c r="BO76" s="6">
        <f>BO$1*'survival matrix'!BO76</f>
        <v>257161.85609060057</v>
      </c>
      <c r="BP76" s="6">
        <f>BP$1*'survival matrix'!BP76</f>
        <v>268722.95881077129</v>
      </c>
      <c r="BQ76" s="6">
        <f>BQ$1*'survival matrix'!BQ76</f>
        <v>281677.94004483073</v>
      </c>
      <c r="BR76" s="6">
        <f>BR$1*'survival matrix'!BR76</f>
        <v>291357.18332962511</v>
      </c>
      <c r="BS76" s="6">
        <f>BS$1*'survival matrix'!BS76</f>
        <v>306326.74073952204</v>
      </c>
      <c r="BT76" s="6">
        <f>BT$1*'survival matrix'!BT76</f>
        <v>319959.13959810371</v>
      </c>
      <c r="BU76" s="6">
        <f>BU$1*'survival matrix'!BU76</f>
        <v>323675.36135350465</v>
      </c>
      <c r="BV76" s="6">
        <f>BV$1*'survival matrix'!BV76</f>
        <v>329103.23269606667</v>
      </c>
      <c r="BW76" s="6">
        <f>BW$1*'survival matrix'!BW76</f>
        <v>335462.85766185465</v>
      </c>
      <c r="BX76" s="6">
        <f>BX$1*'survival matrix'!BX76</f>
        <v>342401.99547804083</v>
      </c>
      <c r="BY76" s="6">
        <f>BY$1*'survival matrix'!BY76</f>
        <v>350323.31933556503</v>
      </c>
      <c r="BZ76" s="6">
        <f>BZ$1*'survival matrix'!BZ76</f>
        <v>362276.60255438893</v>
      </c>
      <c r="CA76" s="6">
        <f>CA$1*'survival matrix'!CA76</f>
        <v>380124.18291959143</v>
      </c>
      <c r="CB76" s="6">
        <f>CB$1*'survival matrix'!CB76</f>
        <v>0</v>
      </c>
      <c r="CC76" s="6">
        <f>CC$1*'survival matrix'!CC76</f>
        <v>0</v>
      </c>
      <c r="CD76" s="6">
        <f>CD$1*'survival matrix'!CD76</f>
        <v>0</v>
      </c>
      <c r="CE76" s="6">
        <f>CE$1*'survival matrix'!CE76</f>
        <v>0</v>
      </c>
      <c r="CF76" s="6">
        <f>CF$1*'survival matrix'!CF76</f>
        <v>0</v>
      </c>
      <c r="CG76" s="6">
        <f>CG$1*'survival matrix'!CG76</f>
        <v>0</v>
      </c>
      <c r="CH76" s="6">
        <f>CH$1*'survival matrix'!CH76</f>
        <v>0</v>
      </c>
      <c r="CI76" s="6">
        <f>CI$1*'survival matrix'!CI76</f>
        <v>0</v>
      </c>
      <c r="CJ76" s="6">
        <f>CJ$1*'survival matrix'!CJ76</f>
        <v>0</v>
      </c>
      <c r="CK76" s="6">
        <f>CK$1*'survival matrix'!CK76</f>
        <v>0</v>
      </c>
      <c r="CL76" s="6">
        <f>CL$1*'survival matrix'!CL76</f>
        <v>0</v>
      </c>
      <c r="CM76" s="6">
        <f>CM$1*'survival matrix'!CM76</f>
        <v>0</v>
      </c>
      <c r="CN76" s="6">
        <f>CN$1*'survival matrix'!CN76</f>
        <v>0</v>
      </c>
      <c r="CO76" s="6">
        <f>CO$1*'survival matrix'!CO76</f>
        <v>0</v>
      </c>
      <c r="CP76" s="6">
        <f>CP$1*'survival matrix'!CP76</f>
        <v>0</v>
      </c>
      <c r="CQ76" s="6">
        <f>CQ$1*'survival matrix'!CQ76</f>
        <v>0</v>
      </c>
      <c r="CR76" s="6">
        <f>CR$1*'survival matrix'!CR76</f>
        <v>0</v>
      </c>
      <c r="CS76" s="6">
        <f>CS$1*'survival matrix'!CS76</f>
        <v>0</v>
      </c>
      <c r="CT76" s="6">
        <f>CT$1*'survival matrix'!CT76</f>
        <v>0</v>
      </c>
      <c r="CU76" s="6">
        <f>CU$1*'survival matrix'!CU76</f>
        <v>0</v>
      </c>
      <c r="CV76" s="6">
        <f>CV$1*'survival matrix'!CV76</f>
        <v>0</v>
      </c>
      <c r="CW76" s="6">
        <f>CW$1*'survival matrix'!CW76</f>
        <v>0</v>
      </c>
      <c r="CX76" s="6">
        <f>CX$1*'survival matrix'!CX76</f>
        <v>0</v>
      </c>
      <c r="CY76" s="6">
        <f>CY$1*'survival matrix'!CY76</f>
        <v>0</v>
      </c>
      <c r="CZ76" s="6">
        <f>CZ$1*'survival matrix'!CZ76</f>
        <v>0</v>
      </c>
      <c r="DA76" s="6">
        <f>DA$1*'survival matrix'!DA76</f>
        <v>0</v>
      </c>
      <c r="DB76" s="6">
        <f>DB$1*'survival matrix'!DB76</f>
        <v>0</v>
      </c>
      <c r="DC76" s="6">
        <f>DC$1*'survival matrix'!DC76</f>
        <v>0</v>
      </c>
      <c r="DD76" s="6">
        <f>DD$1*'survival matrix'!DD76</f>
        <v>0</v>
      </c>
      <c r="DE76" s="6">
        <f>DE$1*'survival matrix'!DE76</f>
        <v>0</v>
      </c>
      <c r="DF76" s="6">
        <f>DF$1*'survival matrix'!DF76</f>
        <v>0</v>
      </c>
      <c r="DG76" s="6">
        <f>DG$1*'survival matrix'!DG76</f>
        <v>0</v>
      </c>
      <c r="DH76" s="6">
        <f>DH$1*'survival matrix'!DH76</f>
        <v>0</v>
      </c>
      <c r="DI76" s="6">
        <f>DI$1*'survival matrix'!DI76</f>
        <v>0</v>
      </c>
      <c r="DJ76" s="6">
        <f>DJ$1*'survival matrix'!DJ76</f>
        <v>0</v>
      </c>
      <c r="DK76" s="6">
        <f>DK$1*'survival matrix'!DK76</f>
        <v>0</v>
      </c>
      <c r="DL76" s="6">
        <f>DL$1*'survival matrix'!DL76</f>
        <v>0</v>
      </c>
      <c r="DM76" s="6">
        <f>DM$1*'survival matrix'!DM76</f>
        <v>0</v>
      </c>
      <c r="DN76" s="6">
        <f>DN$1*'survival matrix'!DN76</f>
        <v>0</v>
      </c>
      <c r="DO76" s="6">
        <f>DO$1*'survival matrix'!DO76</f>
        <v>0</v>
      </c>
      <c r="DP76" s="6">
        <f>DP$1*'survival matrix'!DP76</f>
        <v>0</v>
      </c>
      <c r="DQ76" s="6">
        <f>DQ$1*'survival matrix'!DQ76</f>
        <v>0</v>
      </c>
      <c r="DR76" s="6">
        <f>DR$1*'survival matrix'!DR76</f>
        <v>0</v>
      </c>
      <c r="DS76" s="6">
        <f>DS$1*'survival matrix'!DS76</f>
        <v>0</v>
      </c>
      <c r="DT76" s="6">
        <f>DT$1*'survival matrix'!DT76</f>
        <v>0</v>
      </c>
      <c r="DU76" s="6">
        <f>DU$1*'survival matrix'!DU76</f>
        <v>0</v>
      </c>
      <c r="DV76" s="6">
        <f>DV$1*'survival matrix'!DV76</f>
        <v>0</v>
      </c>
      <c r="DW76" s="6">
        <f>DW$1*'survival matrix'!DW76</f>
        <v>0</v>
      </c>
      <c r="DX76" s="6">
        <f>DX$1*'survival matrix'!DX76</f>
        <v>0</v>
      </c>
      <c r="DY76" s="6">
        <f>DY$1*'survival matrix'!DY76</f>
        <v>0</v>
      </c>
      <c r="DZ76" s="6">
        <f>DZ$1*'survival matrix'!DZ76</f>
        <v>0</v>
      </c>
      <c r="EA76" s="6">
        <f>EA$1*'survival matrix'!EA76</f>
        <v>0</v>
      </c>
      <c r="EB76" s="6">
        <f>EB$1*'survival matrix'!EB76</f>
        <v>0</v>
      </c>
      <c r="EC76" s="6">
        <f>EC$1*'survival matrix'!EC76</f>
        <v>0</v>
      </c>
    </row>
    <row r="77" spans="1:133">
      <c r="A77" s="12">
        <f>'data input'!C77-B77</f>
        <v>127894.45677362051</v>
      </c>
      <c r="B77" s="14">
        <f t="shared" si="3"/>
        <v>269627.8656511344</v>
      </c>
      <c r="C77" s="11">
        <f>SUM(F77:EC77)</f>
        <v>9080473.420424711</v>
      </c>
      <c r="E77" s="7">
        <f>'data input'!B77</f>
        <v>1952</v>
      </c>
      <c r="F77" s="6">
        <f>F$1*'survival matrix'!F77</f>
        <v>17.507916063815934</v>
      </c>
      <c r="G77" s="6">
        <f>G$1*'survival matrix'!G77</f>
        <v>43.479387863607414</v>
      </c>
      <c r="H77" s="6">
        <f>H$1*'survival matrix'!H77</f>
        <v>80.482507586931092</v>
      </c>
      <c r="I77" s="6">
        <f>I$1*'survival matrix'!I77</f>
        <v>131.82892719846876</v>
      </c>
      <c r="J77" s="6">
        <f>J$1*'survival matrix'!J77</f>
        <v>201.42826745631433</v>
      </c>
      <c r="K77" s="6">
        <f>K$1*'survival matrix'!K77</f>
        <v>293.99422927662312</v>
      </c>
      <c r="L77" s="6">
        <f>L$1*'survival matrix'!L77</f>
        <v>415.22142010993321</v>
      </c>
      <c r="M77" s="6">
        <f>M$1*'survival matrix'!M77</f>
        <v>571.61187348449448</v>
      </c>
      <c r="N77" s="6">
        <f>N$1*'survival matrix'!N77</f>
        <v>770.46026068704816</v>
      </c>
      <c r="O77" s="6">
        <f>O$1*'survival matrix'!O77</f>
        <v>1020.0968707994108</v>
      </c>
      <c r="P77" s="6">
        <f>P$1*'survival matrix'!P77</f>
        <v>1330.5527748364589</v>
      </c>
      <c r="Q77" s="6">
        <f>Q$1*'survival matrix'!Q77</f>
        <v>1713.1315640624225</v>
      </c>
      <c r="R77" s="6">
        <f>R$1*'survival matrix'!R77</f>
        <v>2179.9816928229634</v>
      </c>
      <c r="S77" s="6">
        <f>S$1*'survival matrix'!S77</f>
        <v>2744.0178327630183</v>
      </c>
      <c r="T77" s="6">
        <f>T$1*'survival matrix'!T77</f>
        <v>3418.8817485118493</v>
      </c>
      <c r="U77" s="6">
        <f>U$1*'survival matrix'!U77</f>
        <v>4220.0666658571045</v>
      </c>
      <c r="V77" s="6">
        <f>V$1*'survival matrix'!V77</f>
        <v>5162.8090893570898</v>
      </c>
      <c r="W77" s="6">
        <f>W$1*'survival matrix'!W77</f>
        <v>6264.375181514054</v>
      </c>
      <c r="X77" s="6">
        <f>X$1*'survival matrix'!X77</f>
        <v>7541.7126618667935</v>
      </c>
      <c r="Y77" s="6">
        <f>Y$1*'survival matrix'!Y77</f>
        <v>9011.2893374644573</v>
      </c>
      <c r="Z77" s="6">
        <f>Z$1*'survival matrix'!Z77</f>
        <v>10690.418591704854</v>
      </c>
      <c r="AA77" s="6">
        <f>AA$1*'survival matrix'!AA77</f>
        <v>12595.444261614099</v>
      </c>
      <c r="AB77" s="6">
        <f>AB$1*'survival matrix'!AB77</f>
        <v>14740.009691449748</v>
      </c>
      <c r="AC77" s="6">
        <f>AC$1*'survival matrix'!AC77</f>
        <v>17207.469283477752</v>
      </c>
      <c r="AD77" s="6">
        <f>AD$1*'survival matrix'!AD77</f>
        <v>20124.945696064555</v>
      </c>
      <c r="AE77" s="6">
        <f>AE$1*'survival matrix'!AE77</f>
        <v>23351.615360906268</v>
      </c>
      <c r="AF77" s="6">
        <f>AF$1*'survival matrix'!AF77</f>
        <v>26657.153915345501</v>
      </c>
      <c r="AG77" s="6">
        <f>AG$1*'survival matrix'!AG77</f>
        <v>30344.124384561903</v>
      </c>
      <c r="AH77" s="6">
        <f>AH$1*'survival matrix'!AH77</f>
        <v>34228.020095806853</v>
      </c>
      <c r="AI77" s="6">
        <f>AI$1*'survival matrix'!AI77</f>
        <v>39208.805035820071</v>
      </c>
      <c r="AJ77" s="6">
        <f>AJ$1*'survival matrix'!AJ77</f>
        <v>43911.398235061431</v>
      </c>
      <c r="AK77" s="6">
        <f>AK$1*'survival matrix'!AK77</f>
        <v>48696.073766990587</v>
      </c>
      <c r="AL77" s="6">
        <f>AL$1*'survival matrix'!AL77</f>
        <v>53813.724747128494</v>
      </c>
      <c r="AM77" s="6">
        <f>AM$1*'survival matrix'!AM77</f>
        <v>59271.75516396614</v>
      </c>
      <c r="AN77" s="6">
        <f>AN$1*'survival matrix'!AN77</f>
        <v>64326.544664524205</v>
      </c>
      <c r="AO77" s="6">
        <f>AO$1*'survival matrix'!AO77</f>
        <v>69452.181545899846</v>
      </c>
      <c r="AP77" s="6">
        <f>AP$1*'survival matrix'!AP77</f>
        <v>74370.765327625821</v>
      </c>
      <c r="AQ77" s="6">
        <f>AQ$1*'survival matrix'!AQ77</f>
        <v>79796.962918940946</v>
      </c>
      <c r="AR77" s="6">
        <f>AR$1*'survival matrix'!AR77</f>
        <v>85795.55770339584</v>
      </c>
      <c r="AS77" s="6">
        <f>AS$1*'survival matrix'!AS77</f>
        <v>91878.352349890847</v>
      </c>
      <c r="AT77" s="6">
        <f>AT$1*'survival matrix'!AT77</f>
        <v>99033.648760380151</v>
      </c>
      <c r="AU77" s="6">
        <f>AU$1*'survival matrix'!AU77</f>
        <v>106419.67771629147</v>
      </c>
      <c r="AV77" s="6">
        <f>AV$1*'survival matrix'!AV77</f>
        <v>113198.12393701957</v>
      </c>
      <c r="AW77" s="6">
        <f>AW$1*'survival matrix'!AW77</f>
        <v>120305.16276924539</v>
      </c>
      <c r="AX77" s="6">
        <f>AX$1*'survival matrix'!AX77</f>
        <v>127385.14037542279</v>
      </c>
      <c r="AY77" s="6">
        <f>AY$1*'survival matrix'!AY77</f>
        <v>135323.55122519529</v>
      </c>
      <c r="AZ77" s="6">
        <f>AZ$1*'survival matrix'!AZ77</f>
        <v>142863.46104806871</v>
      </c>
      <c r="BA77" s="6">
        <f>BA$1*'survival matrix'!BA77</f>
        <v>149770.49602504293</v>
      </c>
      <c r="BB77" s="6">
        <f>BB$1*'survival matrix'!BB77</f>
        <v>157230.1798236371</v>
      </c>
      <c r="BC77" s="6">
        <f>BC$1*'survival matrix'!BC77</f>
        <v>164762.25616141179</v>
      </c>
      <c r="BD77" s="6">
        <f>BD$1*'survival matrix'!BD77</f>
        <v>172631.83083740642</v>
      </c>
      <c r="BE77" s="6">
        <f>BE$1*'survival matrix'!BE77</f>
        <v>180217.08008199246</v>
      </c>
      <c r="BF77" s="6">
        <f>BF$1*'survival matrix'!BF77</f>
        <v>186801.70669911717</v>
      </c>
      <c r="BG77" s="6">
        <f>BG$1*'survival matrix'!BG77</f>
        <v>193233.32404221475</v>
      </c>
      <c r="BH77" s="6">
        <f>BH$1*'survival matrix'!BH77</f>
        <v>199454.88195809294</v>
      </c>
      <c r="BI77" s="6">
        <f>BI$1*'survival matrix'!BI77</f>
        <v>205998.68430942696</v>
      </c>
      <c r="BJ77" s="6">
        <f>BJ$1*'survival matrix'!BJ77</f>
        <v>212799.31649566707</v>
      </c>
      <c r="BK77" s="6">
        <f>BK$1*'survival matrix'!BK77</f>
        <v>219544.25765423232</v>
      </c>
      <c r="BL77" s="6">
        <f>BL$1*'survival matrix'!BL77</f>
        <v>226929.5716338972</v>
      </c>
      <c r="BM77" s="6">
        <f>BM$1*'survival matrix'!BM77</f>
        <v>235075.99210819553</v>
      </c>
      <c r="BN77" s="6">
        <f>BN$1*'survival matrix'!BN77</f>
        <v>244362.45694434011</v>
      </c>
      <c r="BO77" s="6">
        <f>BO$1*'survival matrix'!BO77</f>
        <v>256227.28255041738</v>
      </c>
      <c r="BP77" s="6">
        <f>BP$1*'survival matrix'!BP77</f>
        <v>267891.20261573151</v>
      </c>
      <c r="BQ77" s="6">
        <f>BQ$1*'survival matrix'!BQ77</f>
        <v>280939.19852154894</v>
      </c>
      <c r="BR77" s="6">
        <f>BR$1*'survival matrix'!BR77</f>
        <v>290713.08615671936</v>
      </c>
      <c r="BS77" s="6">
        <f>BS$1*'survival matrix'!BS77</f>
        <v>305758.92140778445</v>
      </c>
      <c r="BT77" s="6">
        <f>BT$1*'survival matrix'!BT77</f>
        <v>319464.47430046642</v>
      </c>
      <c r="BU77" s="6">
        <f>BU$1*'survival matrix'!BU77</f>
        <v>323260.22473706992</v>
      </c>
      <c r="BV77" s="6">
        <f>BV$1*'survival matrix'!BV77</f>
        <v>328754.94848922495</v>
      </c>
      <c r="BW77" s="6">
        <f>BW$1*'survival matrix'!BW77</f>
        <v>335171.51300845179</v>
      </c>
      <c r="BX77" s="6">
        <f>BX$1*'survival matrix'!BX77</f>
        <v>342159.28557521058</v>
      </c>
      <c r="BY77" s="6">
        <f>BY$1*'survival matrix'!BY77</f>
        <v>350121.74970903905</v>
      </c>
      <c r="BZ77" s="6">
        <f>BZ$1*'survival matrix'!BZ77</f>
        <v>362108.33220764768</v>
      </c>
      <c r="CA77" s="6">
        <f>CA$1*'survival matrix'!CA77</f>
        <v>379982.43976515741</v>
      </c>
      <c r="CB77" s="6">
        <f>CB$1*'survival matrix'!CB77</f>
        <v>396985.70782418468</v>
      </c>
      <c r="CC77" s="6">
        <f>CC$1*'survival matrix'!CC77</f>
        <v>0</v>
      </c>
      <c r="CD77" s="6">
        <f>CD$1*'survival matrix'!CD77</f>
        <v>0</v>
      </c>
      <c r="CE77" s="6">
        <f>CE$1*'survival matrix'!CE77</f>
        <v>0</v>
      </c>
      <c r="CF77" s="6">
        <f>CF$1*'survival matrix'!CF77</f>
        <v>0</v>
      </c>
      <c r="CG77" s="6">
        <f>CG$1*'survival matrix'!CG77</f>
        <v>0</v>
      </c>
      <c r="CH77" s="6">
        <f>CH$1*'survival matrix'!CH77</f>
        <v>0</v>
      </c>
      <c r="CI77" s="6">
        <f>CI$1*'survival matrix'!CI77</f>
        <v>0</v>
      </c>
      <c r="CJ77" s="6">
        <f>CJ$1*'survival matrix'!CJ77</f>
        <v>0</v>
      </c>
      <c r="CK77" s="6">
        <f>CK$1*'survival matrix'!CK77</f>
        <v>0</v>
      </c>
      <c r="CL77" s="6">
        <f>CL$1*'survival matrix'!CL77</f>
        <v>0</v>
      </c>
      <c r="CM77" s="6">
        <f>CM$1*'survival matrix'!CM77</f>
        <v>0</v>
      </c>
      <c r="CN77" s="6">
        <f>CN$1*'survival matrix'!CN77</f>
        <v>0</v>
      </c>
      <c r="CO77" s="6">
        <f>CO$1*'survival matrix'!CO77</f>
        <v>0</v>
      </c>
      <c r="CP77" s="6">
        <f>CP$1*'survival matrix'!CP77</f>
        <v>0</v>
      </c>
      <c r="CQ77" s="6">
        <f>CQ$1*'survival matrix'!CQ77</f>
        <v>0</v>
      </c>
      <c r="CR77" s="6">
        <f>CR$1*'survival matrix'!CR77</f>
        <v>0</v>
      </c>
      <c r="CS77" s="6">
        <f>CS$1*'survival matrix'!CS77</f>
        <v>0</v>
      </c>
      <c r="CT77" s="6">
        <f>CT$1*'survival matrix'!CT77</f>
        <v>0</v>
      </c>
      <c r="CU77" s="6">
        <f>CU$1*'survival matrix'!CU77</f>
        <v>0</v>
      </c>
      <c r="CV77" s="6">
        <f>CV$1*'survival matrix'!CV77</f>
        <v>0</v>
      </c>
      <c r="CW77" s="6">
        <f>CW$1*'survival matrix'!CW77</f>
        <v>0</v>
      </c>
      <c r="CX77" s="6">
        <f>CX$1*'survival matrix'!CX77</f>
        <v>0</v>
      </c>
      <c r="CY77" s="6">
        <f>CY$1*'survival matrix'!CY77</f>
        <v>0</v>
      </c>
      <c r="CZ77" s="6">
        <f>CZ$1*'survival matrix'!CZ77</f>
        <v>0</v>
      </c>
      <c r="DA77" s="6">
        <f>DA$1*'survival matrix'!DA77</f>
        <v>0</v>
      </c>
      <c r="DB77" s="6">
        <f>DB$1*'survival matrix'!DB77</f>
        <v>0</v>
      </c>
      <c r="DC77" s="6">
        <f>DC$1*'survival matrix'!DC77</f>
        <v>0</v>
      </c>
      <c r="DD77" s="6">
        <f>DD$1*'survival matrix'!DD77</f>
        <v>0</v>
      </c>
      <c r="DE77" s="6">
        <f>DE$1*'survival matrix'!DE77</f>
        <v>0</v>
      </c>
      <c r="DF77" s="6">
        <f>DF$1*'survival matrix'!DF77</f>
        <v>0</v>
      </c>
      <c r="DG77" s="6">
        <f>DG$1*'survival matrix'!DG77</f>
        <v>0</v>
      </c>
      <c r="DH77" s="6">
        <f>DH$1*'survival matrix'!DH77</f>
        <v>0</v>
      </c>
      <c r="DI77" s="6">
        <f>DI$1*'survival matrix'!DI77</f>
        <v>0</v>
      </c>
      <c r="DJ77" s="6">
        <f>DJ$1*'survival matrix'!DJ77</f>
        <v>0</v>
      </c>
      <c r="DK77" s="6">
        <f>DK$1*'survival matrix'!DK77</f>
        <v>0</v>
      </c>
      <c r="DL77" s="6">
        <f>DL$1*'survival matrix'!DL77</f>
        <v>0</v>
      </c>
      <c r="DM77" s="6">
        <f>DM$1*'survival matrix'!DM77</f>
        <v>0</v>
      </c>
      <c r="DN77" s="6">
        <f>DN$1*'survival matrix'!DN77</f>
        <v>0</v>
      </c>
      <c r="DO77" s="6">
        <f>DO$1*'survival matrix'!DO77</f>
        <v>0</v>
      </c>
      <c r="DP77" s="6">
        <f>DP$1*'survival matrix'!DP77</f>
        <v>0</v>
      </c>
      <c r="DQ77" s="6">
        <f>DQ$1*'survival matrix'!DQ77</f>
        <v>0</v>
      </c>
      <c r="DR77" s="6">
        <f>DR$1*'survival matrix'!DR77</f>
        <v>0</v>
      </c>
      <c r="DS77" s="6">
        <f>DS$1*'survival matrix'!DS77</f>
        <v>0</v>
      </c>
      <c r="DT77" s="6">
        <f>DT$1*'survival matrix'!DT77</f>
        <v>0</v>
      </c>
      <c r="DU77" s="6">
        <f>DU$1*'survival matrix'!DU77</f>
        <v>0</v>
      </c>
      <c r="DV77" s="6">
        <f>DV$1*'survival matrix'!DV77</f>
        <v>0</v>
      </c>
      <c r="DW77" s="6">
        <f>DW$1*'survival matrix'!DW77</f>
        <v>0</v>
      </c>
      <c r="DX77" s="6">
        <f>DX$1*'survival matrix'!DX77</f>
        <v>0</v>
      </c>
      <c r="DY77" s="6">
        <f>DY$1*'survival matrix'!DY77</f>
        <v>0</v>
      </c>
      <c r="DZ77" s="6">
        <f>DZ$1*'survival matrix'!DZ77</f>
        <v>0</v>
      </c>
      <c r="EA77" s="6">
        <f>EA$1*'survival matrix'!EA77</f>
        <v>0</v>
      </c>
      <c r="EB77" s="6">
        <f>EB$1*'survival matrix'!EB77</f>
        <v>0</v>
      </c>
      <c r="EC77" s="6">
        <f>EC$1*'survival matrix'!EC77</f>
        <v>0</v>
      </c>
    </row>
    <row r="78" spans="1:133">
      <c r="A78" s="12">
        <f>'data input'!C78-B78</f>
        <v>132087.26539055101</v>
      </c>
      <c r="B78" s="14">
        <f t="shared" si="3"/>
        <v>284927.88106740452</v>
      </c>
      <c r="C78" s="11">
        <f>SUM(F78:EC78)</f>
        <v>9365401.3014921155</v>
      </c>
      <c r="E78" s="7">
        <f>'data input'!B78</f>
        <v>1953</v>
      </c>
      <c r="F78" s="6">
        <f>F$1*'survival matrix'!F78</f>
        <v>14.082823402357034</v>
      </c>
      <c r="G78" s="6">
        <f>G$1*'survival matrix'!G78</f>
        <v>35.153565096119515</v>
      </c>
      <c r="H78" s="6">
        <f>H$1*'survival matrix'!H78</f>
        <v>65.404907227637338</v>
      </c>
      <c r="I78" s="6">
        <f>I$1*'survival matrix'!I78</f>
        <v>107.67980364776804</v>
      </c>
      <c r="J78" s="6">
        <f>J$1*'survival matrix'!J78</f>
        <v>165.36746744572483</v>
      </c>
      <c r="K78" s="6">
        <f>K$1*'survival matrix'!K78</f>
        <v>242.58591291431819</v>
      </c>
      <c r="L78" s="6">
        <f>L$1*'survival matrix'!L78</f>
        <v>344.34531364262159</v>
      </c>
      <c r="M78" s="6">
        <f>M$1*'survival matrix'!M78</f>
        <v>476.42373588641073</v>
      </c>
      <c r="N78" s="6">
        <f>N$1*'survival matrix'!N78</f>
        <v>645.37134186313403</v>
      </c>
      <c r="O78" s="6">
        <f>O$1*'survival matrix'!O78</f>
        <v>858.73104318963874</v>
      </c>
      <c r="P78" s="6">
        <f>P$1*'survival matrix'!P78</f>
        <v>1125.622162291118</v>
      </c>
      <c r="Q78" s="6">
        <f>Q$1*'survival matrix'!Q78</f>
        <v>1456.4108436486486</v>
      </c>
      <c r="R78" s="6">
        <f>R$1*'survival matrix'!R78</f>
        <v>1862.3698664039887</v>
      </c>
      <c r="S78" s="6">
        <f>S$1*'survival matrix'!S78</f>
        <v>2355.626898341271</v>
      </c>
      <c r="T78" s="6">
        <f>T$1*'survival matrix'!T78</f>
        <v>2949.1443077554281</v>
      </c>
      <c r="U78" s="6">
        <f>U$1*'survival matrix'!U78</f>
        <v>3657.7057846743214</v>
      </c>
      <c r="V78" s="6">
        <f>V$1*'survival matrix'!V78</f>
        <v>4496.1149051338298</v>
      </c>
      <c r="W78" s="6">
        <f>W$1*'survival matrix'!W78</f>
        <v>5481.185728038211</v>
      </c>
      <c r="X78" s="6">
        <f>X$1*'survival matrix'!X78</f>
        <v>6629.7147154318309</v>
      </c>
      <c r="Y78" s="6">
        <f>Y$1*'survival matrix'!Y78</f>
        <v>7958.324840681219</v>
      </c>
      <c r="Z78" s="6">
        <f>Z$1*'survival matrix'!Z78</f>
        <v>9484.6239841778406</v>
      </c>
      <c r="AA78" s="6">
        <f>AA$1*'survival matrix'!AA78</f>
        <v>11225.595337962581</v>
      </c>
      <c r="AB78" s="6">
        <f>AB$1*'survival matrix'!AB78</f>
        <v>13196.01792236248</v>
      </c>
      <c r="AC78" s="6">
        <f>AC$1*'survival matrix'!AC78</f>
        <v>15473.516116954823</v>
      </c>
      <c r="AD78" s="6">
        <f>AD$1*'survival matrix'!AD78</f>
        <v>18176.493141344643</v>
      </c>
      <c r="AE78" s="6">
        <f>AE$1*'survival matrix'!AE78</f>
        <v>21182.195072290611</v>
      </c>
      <c r="AF78" s="6">
        <f>AF$1*'survival matrix'!AF78</f>
        <v>24284.015224954986</v>
      </c>
      <c r="AG78" s="6">
        <f>AG$1*'survival matrix'!AG78</f>
        <v>27759.186193500587</v>
      </c>
      <c r="AH78" s="6">
        <f>AH$1*'survival matrix'!AH78</f>
        <v>31442.036518379344</v>
      </c>
      <c r="AI78" s="6">
        <f>AI$1*'survival matrix'!AI78</f>
        <v>36164.230750896517</v>
      </c>
      <c r="AJ78" s="6">
        <f>AJ$1*'survival matrix'!AJ78</f>
        <v>40663.817725852736</v>
      </c>
      <c r="AK78" s="6">
        <f>AK$1*'survival matrix'!AK78</f>
        <v>45271.73410133562</v>
      </c>
      <c r="AL78" s="6">
        <f>AL$1*'survival matrix'!AL78</f>
        <v>50222.00670490769</v>
      </c>
      <c r="AM78" s="6">
        <f>AM$1*'survival matrix'!AM78</f>
        <v>55523.981886618974</v>
      </c>
      <c r="AN78" s="6">
        <f>AN$1*'survival matrix'!AN78</f>
        <v>60480.763658905678</v>
      </c>
      <c r="AO78" s="6">
        <f>AO$1*'survival matrix'!AO78</f>
        <v>65534.20048888903</v>
      </c>
      <c r="AP78" s="6">
        <f>AP$1*'survival matrix'!AP78</f>
        <v>70420.435266761298</v>
      </c>
      <c r="AQ78" s="6">
        <f>AQ$1*'survival matrix'!AQ78</f>
        <v>75814.951759692209</v>
      </c>
      <c r="AR78" s="6">
        <f>AR$1*'survival matrix'!AR78</f>
        <v>81782.71312154051</v>
      </c>
      <c r="AS78" s="6">
        <f>AS$1*'survival matrix'!AS78</f>
        <v>87860.321384632873</v>
      </c>
      <c r="AT78" s="6">
        <f>AT$1*'survival matrix'!AT78</f>
        <v>94994.501018168885</v>
      </c>
      <c r="AU78" s="6">
        <f>AU$1*'survival matrix'!AU78</f>
        <v>102382.46197602831</v>
      </c>
      <c r="AV78" s="6">
        <f>AV$1*'survival matrix'!AV78</f>
        <v>109214.7685321804</v>
      </c>
      <c r="AW78" s="6">
        <f>AW$1*'survival matrix'!AW78</f>
        <v>116389.63733071326</v>
      </c>
      <c r="AX78" s="6">
        <f>AX$1*'survival matrix'!AX78</f>
        <v>123562.04598048277</v>
      </c>
      <c r="AY78" s="6">
        <f>AY$1*'survival matrix'!AY78</f>
        <v>131590.17214144793</v>
      </c>
      <c r="AZ78" s="6">
        <f>AZ$1*'survival matrix'!AZ78</f>
        <v>139252.09862512298</v>
      </c>
      <c r="BA78" s="6">
        <f>BA$1*'survival matrix'!BA78</f>
        <v>146313.23336518122</v>
      </c>
      <c r="BB78" s="6">
        <f>BB$1*'survival matrix'!BB78</f>
        <v>153927.40359831011</v>
      </c>
      <c r="BC78" s="6">
        <f>BC$1*'survival matrix'!BC78</f>
        <v>161624.16986543805</v>
      </c>
      <c r="BD78" s="6">
        <f>BD$1*'survival matrix'!BD78</f>
        <v>169661.77420274282</v>
      </c>
      <c r="BE78" s="6">
        <f>BE$1*'survival matrix'!BE78</f>
        <v>177427.13467057302</v>
      </c>
      <c r="BF78" s="6">
        <f>BF$1*'survival matrix'!BF78</f>
        <v>184209.89902195969</v>
      </c>
      <c r="BG78" s="6">
        <f>BG$1*'survival matrix'!BG78</f>
        <v>190840.33673704311</v>
      </c>
      <c r="BH78" s="6">
        <f>BH$1*'survival matrix'!BH78</f>
        <v>197259.53632923315</v>
      </c>
      <c r="BI78" s="6">
        <f>BI$1*'survival matrix'!BI78</f>
        <v>203992.19638130994</v>
      </c>
      <c r="BJ78" s="6">
        <f>BJ$1*'survival matrix'!BJ78</f>
        <v>210973.2253587314</v>
      </c>
      <c r="BK78" s="6">
        <f>BK$1*'survival matrix'!BK78</f>
        <v>217892.01143366724</v>
      </c>
      <c r="BL78" s="6">
        <f>BL$1*'survival matrix'!BL78</f>
        <v>225438.76690453652</v>
      </c>
      <c r="BM78" s="6">
        <f>BM$1*'survival matrix'!BM78</f>
        <v>233734.30931897348</v>
      </c>
      <c r="BN78" s="6">
        <f>BN$1*'survival matrix'!BN78</f>
        <v>243156.63371786586</v>
      </c>
      <c r="BO78" s="6">
        <f>BO$1*'survival matrix'!BO78</f>
        <v>255139.50258665506</v>
      </c>
      <c r="BP78" s="6">
        <f>BP$1*'survival matrix'!BP78</f>
        <v>266917.63665451715</v>
      </c>
      <c r="BQ78" s="6">
        <f>BQ$1*'survival matrix'!BQ78</f>
        <v>280069.63039892213</v>
      </c>
      <c r="BR78" s="6">
        <f>BR$1*'survival matrix'!BR78</f>
        <v>289950.64864361065</v>
      </c>
      <c r="BS78" s="6">
        <f>BS$1*'survival matrix'!BS78</f>
        <v>305082.98661661561</v>
      </c>
      <c r="BT78" s="6">
        <f>BT$1*'survival matrix'!BT78</f>
        <v>318872.3023474947</v>
      </c>
      <c r="BU78" s="6">
        <f>BU$1*'survival matrix'!BU78</f>
        <v>322760.45587444352</v>
      </c>
      <c r="BV78" s="6">
        <f>BV$1*'survival matrix'!BV78</f>
        <v>328333.29694188049</v>
      </c>
      <c r="BW78" s="6">
        <f>BW$1*'survival matrix'!BW78</f>
        <v>334816.80684647401</v>
      </c>
      <c r="BX78" s="6">
        <f>BX$1*'survival matrix'!BX78</f>
        <v>341862.1251707495</v>
      </c>
      <c r="BY78" s="6">
        <f>BY$1*'survival matrix'!BY78</f>
        <v>349873.56769791496</v>
      </c>
      <c r="BZ78" s="6">
        <f>BZ$1*'survival matrix'!BZ78</f>
        <v>361899.9817003978</v>
      </c>
      <c r="CA78" s="6">
        <f>CA$1*'survival matrix'!CA78</f>
        <v>379805.94540575345</v>
      </c>
      <c r="CB78" s="6">
        <f>CB$1*'survival matrix'!CB78</f>
        <v>396837.67723570694</v>
      </c>
      <c r="CC78" s="6">
        <f>CC$1*'survival matrix'!CC78</f>
        <v>416452.218532592</v>
      </c>
      <c r="CD78" s="6">
        <f>CD$1*'survival matrix'!CD78</f>
        <v>0</v>
      </c>
      <c r="CE78" s="6">
        <f>CE$1*'survival matrix'!CE78</f>
        <v>0</v>
      </c>
      <c r="CF78" s="6">
        <f>CF$1*'survival matrix'!CF78</f>
        <v>0</v>
      </c>
      <c r="CG78" s="6">
        <f>CG$1*'survival matrix'!CG78</f>
        <v>0</v>
      </c>
      <c r="CH78" s="6">
        <f>CH$1*'survival matrix'!CH78</f>
        <v>0</v>
      </c>
      <c r="CI78" s="6">
        <f>CI$1*'survival matrix'!CI78</f>
        <v>0</v>
      </c>
      <c r="CJ78" s="6">
        <f>CJ$1*'survival matrix'!CJ78</f>
        <v>0</v>
      </c>
      <c r="CK78" s="6">
        <f>CK$1*'survival matrix'!CK78</f>
        <v>0</v>
      </c>
      <c r="CL78" s="6">
        <f>CL$1*'survival matrix'!CL78</f>
        <v>0</v>
      </c>
      <c r="CM78" s="6">
        <f>CM$1*'survival matrix'!CM78</f>
        <v>0</v>
      </c>
      <c r="CN78" s="6">
        <f>CN$1*'survival matrix'!CN78</f>
        <v>0</v>
      </c>
      <c r="CO78" s="6">
        <f>CO$1*'survival matrix'!CO78</f>
        <v>0</v>
      </c>
      <c r="CP78" s="6">
        <f>CP$1*'survival matrix'!CP78</f>
        <v>0</v>
      </c>
      <c r="CQ78" s="6">
        <f>CQ$1*'survival matrix'!CQ78</f>
        <v>0</v>
      </c>
      <c r="CR78" s="6">
        <f>CR$1*'survival matrix'!CR78</f>
        <v>0</v>
      </c>
      <c r="CS78" s="6">
        <f>CS$1*'survival matrix'!CS78</f>
        <v>0</v>
      </c>
      <c r="CT78" s="6">
        <f>CT$1*'survival matrix'!CT78</f>
        <v>0</v>
      </c>
      <c r="CU78" s="6">
        <f>CU$1*'survival matrix'!CU78</f>
        <v>0</v>
      </c>
      <c r="CV78" s="6">
        <f>CV$1*'survival matrix'!CV78</f>
        <v>0</v>
      </c>
      <c r="CW78" s="6">
        <f>CW$1*'survival matrix'!CW78</f>
        <v>0</v>
      </c>
      <c r="CX78" s="6">
        <f>CX$1*'survival matrix'!CX78</f>
        <v>0</v>
      </c>
      <c r="CY78" s="6">
        <f>CY$1*'survival matrix'!CY78</f>
        <v>0</v>
      </c>
      <c r="CZ78" s="6">
        <f>CZ$1*'survival matrix'!CZ78</f>
        <v>0</v>
      </c>
      <c r="DA78" s="6">
        <f>DA$1*'survival matrix'!DA78</f>
        <v>0</v>
      </c>
      <c r="DB78" s="6">
        <f>DB$1*'survival matrix'!DB78</f>
        <v>0</v>
      </c>
      <c r="DC78" s="6">
        <f>DC$1*'survival matrix'!DC78</f>
        <v>0</v>
      </c>
      <c r="DD78" s="6">
        <f>DD$1*'survival matrix'!DD78</f>
        <v>0</v>
      </c>
      <c r="DE78" s="6">
        <f>DE$1*'survival matrix'!DE78</f>
        <v>0</v>
      </c>
      <c r="DF78" s="6">
        <f>DF$1*'survival matrix'!DF78</f>
        <v>0</v>
      </c>
      <c r="DG78" s="6">
        <f>DG$1*'survival matrix'!DG78</f>
        <v>0</v>
      </c>
      <c r="DH78" s="6">
        <f>DH$1*'survival matrix'!DH78</f>
        <v>0</v>
      </c>
      <c r="DI78" s="6">
        <f>DI$1*'survival matrix'!DI78</f>
        <v>0</v>
      </c>
      <c r="DJ78" s="6">
        <f>DJ$1*'survival matrix'!DJ78</f>
        <v>0</v>
      </c>
      <c r="DK78" s="6">
        <f>DK$1*'survival matrix'!DK78</f>
        <v>0</v>
      </c>
      <c r="DL78" s="6">
        <f>DL$1*'survival matrix'!DL78</f>
        <v>0</v>
      </c>
      <c r="DM78" s="6">
        <f>DM$1*'survival matrix'!DM78</f>
        <v>0</v>
      </c>
      <c r="DN78" s="6">
        <f>DN$1*'survival matrix'!DN78</f>
        <v>0</v>
      </c>
      <c r="DO78" s="6">
        <f>DO$1*'survival matrix'!DO78</f>
        <v>0</v>
      </c>
      <c r="DP78" s="6">
        <f>DP$1*'survival matrix'!DP78</f>
        <v>0</v>
      </c>
      <c r="DQ78" s="6">
        <f>DQ$1*'survival matrix'!DQ78</f>
        <v>0</v>
      </c>
      <c r="DR78" s="6">
        <f>DR$1*'survival matrix'!DR78</f>
        <v>0</v>
      </c>
      <c r="DS78" s="6">
        <f>DS$1*'survival matrix'!DS78</f>
        <v>0</v>
      </c>
      <c r="DT78" s="6">
        <f>DT$1*'survival matrix'!DT78</f>
        <v>0</v>
      </c>
      <c r="DU78" s="6">
        <f>DU$1*'survival matrix'!DU78</f>
        <v>0</v>
      </c>
      <c r="DV78" s="6">
        <f>DV$1*'survival matrix'!DV78</f>
        <v>0</v>
      </c>
      <c r="DW78" s="6">
        <f>DW$1*'survival matrix'!DW78</f>
        <v>0</v>
      </c>
      <c r="DX78" s="6">
        <f>DX$1*'survival matrix'!DX78</f>
        <v>0</v>
      </c>
      <c r="DY78" s="6">
        <f>DY$1*'survival matrix'!DY78</f>
        <v>0</v>
      </c>
      <c r="DZ78" s="6">
        <f>DZ$1*'survival matrix'!DZ78</f>
        <v>0</v>
      </c>
      <c r="EA78" s="6">
        <f>EA$1*'survival matrix'!EA78</f>
        <v>0</v>
      </c>
      <c r="EB78" s="6">
        <f>EB$1*'survival matrix'!EB78</f>
        <v>0</v>
      </c>
      <c r="EC78" s="6">
        <f>EC$1*'survival matrix'!EC78</f>
        <v>0</v>
      </c>
    </row>
    <row r="79" spans="1:133">
      <c r="A79" s="12">
        <f>'data input'!C79-B79</f>
        <v>136344.664439541</v>
      </c>
      <c r="B79" s="14">
        <f t="shared" si="3"/>
        <v>298213.43016004004</v>
      </c>
      <c r="C79" s="11">
        <f>SUM(F79:EC79)</f>
        <v>9663614.7316521555</v>
      </c>
      <c r="E79" s="7">
        <f>'data input'!B79</f>
        <v>1954</v>
      </c>
      <c r="F79" s="6">
        <f>F$1*'survival matrix'!F79</f>
        <v>11.269558392351712</v>
      </c>
      <c r="G79" s="6">
        <f>G$1*'survival matrix'!G79</f>
        <v>28.276434922775856</v>
      </c>
      <c r="H79" s="6">
        <f>H$1*'survival matrix'!H79</f>
        <v>52.880589557629634</v>
      </c>
      <c r="I79" s="6">
        <f>I$1*'survival matrix'!I79</f>
        <v>87.50705934783889</v>
      </c>
      <c r="J79" s="6">
        <f>J$1*'survival matrix'!J79</f>
        <v>135.07457583627485</v>
      </c>
      <c r="K79" s="6">
        <f>K$1*'survival matrix'!K79</f>
        <v>199.15684408768621</v>
      </c>
      <c r="L79" s="6">
        <f>L$1*'survival matrix'!L79</f>
        <v>284.13252353047028</v>
      </c>
      <c r="M79" s="6">
        <f>M$1*'survival matrix'!M79</f>
        <v>395.10071690704427</v>
      </c>
      <c r="N79" s="6">
        <f>N$1*'survival matrix'!N79</f>
        <v>537.90034809835117</v>
      </c>
      <c r="O79" s="6">
        <f>O$1*'survival matrix'!O79</f>
        <v>719.31082486801449</v>
      </c>
      <c r="P79" s="6">
        <f>P$1*'survival matrix'!P79</f>
        <v>947.56362981893676</v>
      </c>
      <c r="Q79" s="6">
        <f>Q$1*'survival matrix'!Q79</f>
        <v>1232.0956778384996</v>
      </c>
      <c r="R79" s="6">
        <f>R$1*'survival matrix'!R79</f>
        <v>1583.2850933429074</v>
      </c>
      <c r="S79" s="6">
        <f>S$1*'survival matrix'!S79</f>
        <v>2012.424492556391</v>
      </c>
      <c r="T79" s="6">
        <f>T$1*'survival matrix'!T79</f>
        <v>2531.7195739371509</v>
      </c>
      <c r="U79" s="6">
        <f>U$1*'survival matrix'!U79</f>
        <v>3155.1551026916104</v>
      </c>
      <c r="V79" s="6">
        <f>V$1*'survival matrix'!V79</f>
        <v>3896.9681759111113</v>
      </c>
      <c r="W79" s="6">
        <f>W$1*'survival matrix'!W79</f>
        <v>4773.3782952466827</v>
      </c>
      <c r="X79" s="6">
        <f>X$1*'survival matrix'!X79</f>
        <v>5800.8495063360906</v>
      </c>
      <c r="Y79" s="6">
        <f>Y$1*'survival matrix'!Y79</f>
        <v>6995.9471637296474</v>
      </c>
      <c r="Z79" s="6">
        <f>Z$1*'survival matrix'!Z79</f>
        <v>8376.3505788220518</v>
      </c>
      <c r="AA79" s="6">
        <f>AA$1*'survival matrix'!AA79</f>
        <v>9959.4370291290379</v>
      </c>
      <c r="AB79" s="6">
        <f>AB$1*'survival matrix'!AB79</f>
        <v>11760.852113838797</v>
      </c>
      <c r="AC79" s="6">
        <f>AC$1*'survival matrix'!AC79</f>
        <v>13852.690756353066</v>
      </c>
      <c r="AD79" s="6">
        <f>AD$1*'survival matrix'!AD79</f>
        <v>16344.893891071448</v>
      </c>
      <c r="AE79" s="6">
        <f>AE$1*'survival matrix'!AE79</f>
        <v>19131.381980593622</v>
      </c>
      <c r="AF79" s="6">
        <f>AF$1*'survival matrix'!AF79</f>
        <v>22027.972784042482</v>
      </c>
      <c r="AG79" s="6">
        <f>AG$1*'survival matrix'!AG79</f>
        <v>25287.939676383547</v>
      </c>
      <c r="AH79" s="6">
        <f>AH$1*'survival matrix'!AH79</f>
        <v>28763.570006343365</v>
      </c>
      <c r="AI79" s="6">
        <f>AI$1*'survival matrix'!AI79</f>
        <v>33220.649653296328</v>
      </c>
      <c r="AJ79" s="6">
        <f>AJ$1*'survival matrix'!AJ79</f>
        <v>37506.261313158037</v>
      </c>
      <c r="AK79" s="6">
        <f>AK$1*'survival matrix'!AK79</f>
        <v>41923.546450863949</v>
      </c>
      <c r="AL79" s="6">
        <f>AL$1*'survival matrix'!AL79</f>
        <v>46690.362439883131</v>
      </c>
      <c r="AM79" s="6">
        <f>AM$1*'survival matrix'!AM79</f>
        <v>51818.11524283584</v>
      </c>
      <c r="AN79" s="6">
        <f>AN$1*'survival matrix'!AN79</f>
        <v>56656.544362423665</v>
      </c>
      <c r="AO79" s="6">
        <f>AO$1*'survival matrix'!AO79</f>
        <v>61616.21943187822</v>
      </c>
      <c r="AP79" s="6">
        <f>AP$1*'survival matrix'!AP79</f>
        <v>66447.832459183759</v>
      </c>
      <c r="AQ79" s="6">
        <f>AQ$1*'survival matrix'!AQ79</f>
        <v>71787.911273017875</v>
      </c>
      <c r="AR79" s="6">
        <f>AR$1*'survival matrix'!AR79</f>
        <v>77701.609475848847</v>
      </c>
      <c r="AS79" s="6">
        <f>AS$1*'survival matrix'!AS79</f>
        <v>83750.903320736572</v>
      </c>
      <c r="AT79" s="6">
        <f>AT$1*'survival matrix'!AT79</f>
        <v>90840.194406675917</v>
      </c>
      <c r="AU79" s="6">
        <f>AU$1*'survival matrix'!AU79</f>
        <v>98206.730845156882</v>
      </c>
      <c r="AV79" s="6">
        <f>AV$1*'survival matrix'!AV79</f>
        <v>105071.51615584084</v>
      </c>
      <c r="AW79" s="6">
        <f>AW$1*'survival matrix'!AW79</f>
        <v>112293.97501049218</v>
      </c>
      <c r="AX79" s="6">
        <f>AX$1*'survival matrix'!AX79</f>
        <v>119540.52002817062</v>
      </c>
      <c r="AY79" s="6">
        <f>AY$1*'survival matrix'!AY79</f>
        <v>127640.87595148018</v>
      </c>
      <c r="AZ79" s="6">
        <f>AZ$1*'survival matrix'!AZ79</f>
        <v>135410.33665783753</v>
      </c>
      <c r="BA79" s="6">
        <f>BA$1*'survival matrix'!BA79</f>
        <v>142614.66615227491</v>
      </c>
      <c r="BB79" s="6">
        <f>BB$1*'survival matrix'!BB79</f>
        <v>150374.18397953475</v>
      </c>
      <c r="BC79" s="6">
        <f>BC$1*'survival matrix'!BC79</f>
        <v>158229.09351134021</v>
      </c>
      <c r="BD79" s="6">
        <f>BD$1*'survival matrix'!BD79</f>
        <v>166430.37096161072</v>
      </c>
      <c r="BE79" s="6">
        <f>BE$1*'survival matrix'!BE79</f>
        <v>174374.57688941841</v>
      </c>
      <c r="BF79" s="6">
        <f>BF$1*'survival matrix'!BF79</f>
        <v>181358.14067430174</v>
      </c>
      <c r="BG79" s="6">
        <f>BG$1*'survival matrix'!BG79</f>
        <v>188192.49449509251</v>
      </c>
      <c r="BH79" s="6">
        <f>BH$1*'survival matrix'!BH79</f>
        <v>194816.68870654888</v>
      </c>
      <c r="BI79" s="6">
        <f>BI$1*'survival matrix'!BI79</f>
        <v>201746.9097668599</v>
      </c>
      <c r="BJ79" s="6">
        <f>BJ$1*'survival matrix'!BJ79</f>
        <v>208918.28393394855</v>
      </c>
      <c r="BK79" s="6">
        <f>BK$1*'survival matrix'!BK79</f>
        <v>216022.21844071746</v>
      </c>
      <c r="BL79" s="6">
        <f>BL$1*'survival matrix'!BL79</f>
        <v>223742.1597850121</v>
      </c>
      <c r="BM79" s="6">
        <f>BM$1*'survival matrix'!BM79</f>
        <v>232198.80113800915</v>
      </c>
      <c r="BN79" s="6">
        <f>BN$1*'survival matrix'!BN79</f>
        <v>241768.83112850453</v>
      </c>
      <c r="BO79" s="6">
        <f>BO$1*'survival matrix'!BO79</f>
        <v>253880.49929270736</v>
      </c>
      <c r="BP79" s="6">
        <f>BP$1*'survival matrix'!BP79</f>
        <v>265784.47216774768</v>
      </c>
      <c r="BQ79" s="6">
        <f>BQ$1*'survival matrix'!BQ79</f>
        <v>279051.80578854331</v>
      </c>
      <c r="BR79" s="6">
        <f>BR$1*'survival matrix'!BR79</f>
        <v>289053.18811648485</v>
      </c>
      <c r="BS79" s="6">
        <f>BS$1*'survival matrix'!BS79</f>
        <v>304282.86194151803</v>
      </c>
      <c r="BT79" s="6">
        <f>BT$1*'survival matrix'!BT79</f>
        <v>318167.37808198377</v>
      </c>
      <c r="BU79" s="6">
        <f>BU$1*'survival matrix'!BU79</f>
        <v>322162.17435999424</v>
      </c>
      <c r="BV79" s="6">
        <f>BV$1*'survival matrix'!BV79</f>
        <v>327825.68497536494</v>
      </c>
      <c r="BW79" s="6">
        <f>BW$1*'survival matrix'!BW79</f>
        <v>334387.38053568383</v>
      </c>
      <c r="BX79" s="6">
        <f>BX$1*'survival matrix'!BX79</f>
        <v>341500.33845070138</v>
      </c>
      <c r="BY79" s="6">
        <f>BY$1*'survival matrix'!BY79</f>
        <v>349569.70755069557</v>
      </c>
      <c r="BZ79" s="6">
        <f>BZ$1*'survival matrix'!BZ79</f>
        <v>361643.45074978186</v>
      </c>
      <c r="CA79" s="6">
        <f>CA$1*'survival matrix'!CA79</f>
        <v>379587.41201576113</v>
      </c>
      <c r="CB79" s="6">
        <f>CB$1*'survival matrix'!CB79</f>
        <v>396653.35395046679</v>
      </c>
      <c r="CC79" s="6">
        <f>CC$1*'survival matrix'!CC79</f>
        <v>416296.92914618022</v>
      </c>
      <c r="CD79" s="6">
        <f>CD$1*'survival matrix'!CD79</f>
        <v>433971.48548305215</v>
      </c>
      <c r="CE79" s="6">
        <f>CE$1*'survival matrix'!CE79</f>
        <v>0</v>
      </c>
      <c r="CF79" s="6">
        <f>CF$1*'survival matrix'!CF79</f>
        <v>0</v>
      </c>
      <c r="CG79" s="6">
        <f>CG$1*'survival matrix'!CG79</f>
        <v>0</v>
      </c>
      <c r="CH79" s="6">
        <f>CH$1*'survival matrix'!CH79</f>
        <v>0</v>
      </c>
      <c r="CI79" s="6">
        <f>CI$1*'survival matrix'!CI79</f>
        <v>0</v>
      </c>
      <c r="CJ79" s="6">
        <f>CJ$1*'survival matrix'!CJ79</f>
        <v>0</v>
      </c>
      <c r="CK79" s="6">
        <f>CK$1*'survival matrix'!CK79</f>
        <v>0</v>
      </c>
      <c r="CL79" s="6">
        <f>CL$1*'survival matrix'!CL79</f>
        <v>0</v>
      </c>
      <c r="CM79" s="6">
        <f>CM$1*'survival matrix'!CM79</f>
        <v>0</v>
      </c>
      <c r="CN79" s="6">
        <f>CN$1*'survival matrix'!CN79</f>
        <v>0</v>
      </c>
      <c r="CO79" s="6">
        <f>CO$1*'survival matrix'!CO79</f>
        <v>0</v>
      </c>
      <c r="CP79" s="6">
        <f>CP$1*'survival matrix'!CP79</f>
        <v>0</v>
      </c>
      <c r="CQ79" s="6">
        <f>CQ$1*'survival matrix'!CQ79</f>
        <v>0</v>
      </c>
      <c r="CR79" s="6">
        <f>CR$1*'survival matrix'!CR79</f>
        <v>0</v>
      </c>
      <c r="CS79" s="6">
        <f>CS$1*'survival matrix'!CS79</f>
        <v>0</v>
      </c>
      <c r="CT79" s="6">
        <f>CT$1*'survival matrix'!CT79</f>
        <v>0</v>
      </c>
      <c r="CU79" s="6">
        <f>CU$1*'survival matrix'!CU79</f>
        <v>0</v>
      </c>
      <c r="CV79" s="6">
        <f>CV$1*'survival matrix'!CV79</f>
        <v>0</v>
      </c>
      <c r="CW79" s="6">
        <f>CW$1*'survival matrix'!CW79</f>
        <v>0</v>
      </c>
      <c r="CX79" s="6">
        <f>CX$1*'survival matrix'!CX79</f>
        <v>0</v>
      </c>
      <c r="CY79" s="6">
        <f>CY$1*'survival matrix'!CY79</f>
        <v>0</v>
      </c>
      <c r="CZ79" s="6">
        <f>CZ$1*'survival matrix'!CZ79</f>
        <v>0</v>
      </c>
      <c r="DA79" s="6">
        <f>DA$1*'survival matrix'!DA79</f>
        <v>0</v>
      </c>
      <c r="DB79" s="6">
        <f>DB$1*'survival matrix'!DB79</f>
        <v>0</v>
      </c>
      <c r="DC79" s="6">
        <f>DC$1*'survival matrix'!DC79</f>
        <v>0</v>
      </c>
      <c r="DD79" s="6">
        <f>DD$1*'survival matrix'!DD79</f>
        <v>0</v>
      </c>
      <c r="DE79" s="6">
        <f>DE$1*'survival matrix'!DE79</f>
        <v>0</v>
      </c>
      <c r="DF79" s="6">
        <f>DF$1*'survival matrix'!DF79</f>
        <v>0</v>
      </c>
      <c r="DG79" s="6">
        <f>DG$1*'survival matrix'!DG79</f>
        <v>0</v>
      </c>
      <c r="DH79" s="6">
        <f>DH$1*'survival matrix'!DH79</f>
        <v>0</v>
      </c>
      <c r="DI79" s="6">
        <f>DI$1*'survival matrix'!DI79</f>
        <v>0</v>
      </c>
      <c r="DJ79" s="6">
        <f>DJ$1*'survival matrix'!DJ79</f>
        <v>0</v>
      </c>
      <c r="DK79" s="6">
        <f>DK$1*'survival matrix'!DK79</f>
        <v>0</v>
      </c>
      <c r="DL79" s="6">
        <f>DL$1*'survival matrix'!DL79</f>
        <v>0</v>
      </c>
      <c r="DM79" s="6">
        <f>DM$1*'survival matrix'!DM79</f>
        <v>0</v>
      </c>
      <c r="DN79" s="6">
        <f>DN$1*'survival matrix'!DN79</f>
        <v>0</v>
      </c>
      <c r="DO79" s="6">
        <f>DO$1*'survival matrix'!DO79</f>
        <v>0</v>
      </c>
      <c r="DP79" s="6">
        <f>DP$1*'survival matrix'!DP79</f>
        <v>0</v>
      </c>
      <c r="DQ79" s="6">
        <f>DQ$1*'survival matrix'!DQ79</f>
        <v>0</v>
      </c>
      <c r="DR79" s="6">
        <f>DR$1*'survival matrix'!DR79</f>
        <v>0</v>
      </c>
      <c r="DS79" s="6">
        <f>DS$1*'survival matrix'!DS79</f>
        <v>0</v>
      </c>
      <c r="DT79" s="6">
        <f>DT$1*'survival matrix'!DT79</f>
        <v>0</v>
      </c>
      <c r="DU79" s="6">
        <f>DU$1*'survival matrix'!DU79</f>
        <v>0</v>
      </c>
      <c r="DV79" s="6">
        <f>DV$1*'survival matrix'!DV79</f>
        <v>0</v>
      </c>
      <c r="DW79" s="6">
        <f>DW$1*'survival matrix'!DW79</f>
        <v>0</v>
      </c>
      <c r="DX79" s="6">
        <f>DX$1*'survival matrix'!DX79</f>
        <v>0</v>
      </c>
      <c r="DY79" s="6">
        <f>DY$1*'survival matrix'!DY79</f>
        <v>0</v>
      </c>
      <c r="DZ79" s="6">
        <f>DZ$1*'survival matrix'!DZ79</f>
        <v>0</v>
      </c>
      <c r="EA79" s="6">
        <f>EA$1*'survival matrix'!EA79</f>
        <v>0</v>
      </c>
      <c r="EB79" s="6">
        <f>EB$1*'survival matrix'!EB79</f>
        <v>0</v>
      </c>
      <c r="EC79" s="6">
        <f>EC$1*'survival matrix'!EC79</f>
        <v>0</v>
      </c>
    </row>
    <row r="80" spans="1:133">
      <c r="A80" s="12">
        <f>'data input'!C80-B80</f>
        <v>140676.58928691951</v>
      </c>
      <c r="B80" s="14">
        <f t="shared" si="3"/>
        <v>312965.82041515037</v>
      </c>
      <c r="C80" s="11">
        <f>SUM(F80:EC80)</f>
        <v>9976580.5520673059</v>
      </c>
      <c r="E80" s="7">
        <f>'data input'!B80</f>
        <v>1955</v>
      </c>
      <c r="F80" s="6">
        <f>F$1*'survival matrix'!F80</f>
        <v>8.9717849778471876</v>
      </c>
      <c r="G80" s="6">
        <f>G$1*'survival matrix'!G80</f>
        <v>22.627773237319818</v>
      </c>
      <c r="H80" s="6">
        <f>H$1*'survival matrix'!H80</f>
        <v>42.5355023086803</v>
      </c>
      <c r="I80" s="6">
        <f>I$1*'survival matrix'!I80</f>
        <v>70.750423552513695</v>
      </c>
      <c r="J80" s="6">
        <f>J$1*'survival matrix'!J80</f>
        <v>109.76969239982515</v>
      </c>
      <c r="K80" s="6">
        <f>K$1*'survival matrix'!K80</f>
        <v>162.6742348755175</v>
      </c>
      <c r="L80" s="6">
        <f>L$1*'survival matrix'!L80</f>
        <v>233.26555119870179</v>
      </c>
      <c r="M80" s="6">
        <f>M$1*'survival matrix'!M80</f>
        <v>326.01275317487358</v>
      </c>
      <c r="N80" s="6">
        <f>N$1*'survival matrix'!N80</f>
        <v>446.08359565208048</v>
      </c>
      <c r="O80" s="6">
        <f>O$1*'survival matrix'!O80</f>
        <v>599.52699785276798</v>
      </c>
      <c r="P80" s="6">
        <f>P$1*'survival matrix'!P80</f>
        <v>793.72089967576619</v>
      </c>
      <c r="Q80" s="6">
        <f>Q$1*'survival matrix'!Q80</f>
        <v>1037.1944440046711</v>
      </c>
      <c r="R80" s="6">
        <f>R$1*'survival matrix'!R80</f>
        <v>1339.428862948326</v>
      </c>
      <c r="S80" s="6">
        <f>S$1*'survival matrix'!S80</f>
        <v>1710.8533369340576</v>
      </c>
      <c r="T80" s="6">
        <f>T$1*'survival matrix'!T80</f>
        <v>2162.8613947578688</v>
      </c>
      <c r="U80" s="6">
        <f>U$1*'survival matrix'!U80</f>
        <v>2708.5714019778216</v>
      </c>
      <c r="V80" s="6">
        <f>V$1*'survival matrix'!V80</f>
        <v>3361.5440248832215</v>
      </c>
      <c r="W80" s="6">
        <f>W$1*'survival matrix'!W80</f>
        <v>4137.2837884817054</v>
      </c>
      <c r="X80" s="6">
        <f>X$1*'survival matrix'!X80</f>
        <v>5051.7626114902014</v>
      </c>
      <c r="Y80" s="6">
        <f>Y$1*'survival matrix'!Y80</f>
        <v>6121.2945643968233</v>
      </c>
      <c r="Z80" s="6">
        <f>Z$1*'survival matrix'!Z80</f>
        <v>7363.4222336291587</v>
      </c>
      <c r="AA80" s="6">
        <f>AA$1*'survival matrix'!AA80</f>
        <v>8795.6819651315091</v>
      </c>
      <c r="AB80" s="6">
        <f>AB$1*'survival matrix'!AB80</f>
        <v>10434.321076991158</v>
      </c>
      <c r="AC80" s="6">
        <f>AC$1*'survival matrix'!AC80</f>
        <v>12346.106857593801</v>
      </c>
      <c r="AD80" s="6">
        <f>AD$1*'survival matrix'!AD80</f>
        <v>14632.793141975064</v>
      </c>
      <c r="AE80" s="6">
        <f>AE$1*'survival matrix'!AE80</f>
        <v>17203.560996652537</v>
      </c>
      <c r="AF80" s="6">
        <f>AF$1*'survival matrix'!AF80</f>
        <v>19895.273372348602</v>
      </c>
      <c r="AG80" s="6">
        <f>AG$1*'survival matrix'!AG80</f>
        <v>22938.630279866222</v>
      </c>
      <c r="AH80" s="6">
        <f>AH$1*'survival matrix'!AH80</f>
        <v>26202.908764239986</v>
      </c>
      <c r="AI80" s="6">
        <f>AI$1*'survival matrix'!AI80</f>
        <v>30390.667646487684</v>
      </c>
      <c r="AJ80" s="6">
        <f>AJ$1*'survival matrix'!AJ80</f>
        <v>34453.445877831007</v>
      </c>
      <c r="AK80" s="6">
        <f>AK$1*'survival matrix'!AK80</f>
        <v>38668.171762946506</v>
      </c>
      <c r="AL80" s="6">
        <f>AL$1*'survival matrix'!AL80</f>
        <v>43237.256478283773</v>
      </c>
      <c r="AM80" s="6">
        <f>AM$1*'survival matrix'!AM80</f>
        <v>48174.231584482142</v>
      </c>
      <c r="AN80" s="6">
        <f>AN$1*'survival matrix'!AN80</f>
        <v>52875.086499162513</v>
      </c>
      <c r="AO80" s="6">
        <f>AO$1*'survival matrix'!AO80</f>
        <v>57720.204879936267</v>
      </c>
      <c r="AP80" s="6">
        <f>AP$1*'survival matrix'!AP80</f>
        <v>62475.22965160622</v>
      </c>
      <c r="AQ80" s="6">
        <f>AQ$1*'survival matrix'!AQ80</f>
        <v>67738.165530989965</v>
      </c>
      <c r="AR80" s="6">
        <f>AR$1*'survival matrix'!AR80</f>
        <v>73574.355946349635</v>
      </c>
      <c r="AS80" s="6">
        <f>AS$1*'survival matrix'!AS80</f>
        <v>79571.583464176278</v>
      </c>
      <c r="AT80" s="6">
        <f>AT$1*'survival matrix'!AT80</f>
        <v>86591.401209250427</v>
      </c>
      <c r="AU80" s="6">
        <f>AU$1*'survival matrix'!AU80</f>
        <v>93911.946759022103</v>
      </c>
      <c r="AV80" s="6">
        <f>AV$1*'survival matrix'!AV80</f>
        <v>100786.11031081894</v>
      </c>
      <c r="AW80" s="6">
        <f>AW$1*'survival matrix'!AW80</f>
        <v>108033.90757580502</v>
      </c>
      <c r="AX80" s="6">
        <f>AX$1*'survival matrix'!AX80</f>
        <v>115333.98055569289</v>
      </c>
      <c r="AY80" s="6">
        <f>AY$1*'survival matrix'!AY80</f>
        <v>123486.59790322083</v>
      </c>
      <c r="AZ80" s="6">
        <f>AZ$1*'survival matrix'!AZ80</f>
        <v>131346.38934367025</v>
      </c>
      <c r="BA80" s="6">
        <f>BA$1*'survival matrix'!BA80</f>
        <v>138680.13585929968</v>
      </c>
      <c r="BB80" s="6">
        <f>BB$1*'survival matrix'!BB80</f>
        <v>146572.96235560879</v>
      </c>
      <c r="BC80" s="6">
        <f>BC$1*'survival matrix'!BC80</f>
        <v>154576.57481627591</v>
      </c>
      <c r="BD80" s="6">
        <f>BD$1*'survival matrix'!BD80</f>
        <v>162934.33557577751</v>
      </c>
      <c r="BE80" s="6">
        <f>BE$1*'survival matrix'!BE80</f>
        <v>171053.41291138434</v>
      </c>
      <c r="BF80" s="6">
        <f>BF$1*'survival matrix'!BF80</f>
        <v>178237.95162024899</v>
      </c>
      <c r="BG80" s="6">
        <f>BG$1*'survival matrix'!BG80</f>
        <v>185279.08148095818</v>
      </c>
      <c r="BH80" s="6">
        <f>BH$1*'survival matrix'!BH80</f>
        <v>192113.67598599958</v>
      </c>
      <c r="BI80" s="6">
        <f>BI$1*'survival matrix'!BI80</f>
        <v>199248.49084081463</v>
      </c>
      <c r="BJ80" s="6">
        <f>BJ$1*'survival matrix'!BJ80</f>
        <v>206618.77721382902</v>
      </c>
      <c r="BK80" s="6">
        <f>BK$1*'survival matrix'!BK80</f>
        <v>213918.09833451675</v>
      </c>
      <c r="BL80" s="6">
        <f>BL$1*'survival matrix'!BL80</f>
        <v>221822.16501402057</v>
      </c>
      <c r="BM80" s="6">
        <f>BM$1*'survival matrix'!BM80</f>
        <v>230451.31935142449</v>
      </c>
      <c r="BN80" s="6">
        <f>BN$1*'survival matrix'!BN80</f>
        <v>240180.54047839987</v>
      </c>
      <c r="BO80" s="6">
        <f>BO$1*'survival matrix'!BO80</f>
        <v>252431.49085349869</v>
      </c>
      <c r="BP80" s="6">
        <f>BP$1*'survival matrix'!BP80</f>
        <v>264472.94054466754</v>
      </c>
      <c r="BQ80" s="6">
        <f>BQ$1*'survival matrix'!BQ80</f>
        <v>277867.12724780774</v>
      </c>
      <c r="BR80" s="6">
        <f>BR$1*'survival matrix'!BR80</f>
        <v>288002.71560308035</v>
      </c>
      <c r="BS80" s="6">
        <f>BS$1*'survival matrix'!BS80</f>
        <v>303341.0400868305</v>
      </c>
      <c r="BT80" s="6">
        <f>BT$1*'survival matrix'!BT80</f>
        <v>317332.93767992227</v>
      </c>
      <c r="BU80" s="6">
        <f>BU$1*'survival matrix'!BU80</f>
        <v>321449.97724389407</v>
      </c>
      <c r="BV80" s="6">
        <f>BV$1*'survival matrix'!BV80</f>
        <v>327218.0143524225</v>
      </c>
      <c r="BW80" s="6">
        <f>BW$1*'survival matrix'!BW80</f>
        <v>333870.40879570908</v>
      </c>
      <c r="BX80" s="6">
        <f>BX$1*'survival matrix'!BX80</f>
        <v>341062.34003641707</v>
      </c>
      <c r="BY80" s="6">
        <f>BY$1*'survival matrix'!BY80</f>
        <v>349199.76403074653</v>
      </c>
      <c r="BZ80" s="6">
        <f>BZ$1*'survival matrix'!BZ80</f>
        <v>361329.36862889229</v>
      </c>
      <c r="CA80" s="6">
        <f>CA$1*'survival matrix'!CA80</f>
        <v>379318.34342065174</v>
      </c>
      <c r="CB80" s="6">
        <f>CB$1*'survival matrix'!CB80</f>
        <v>396425.12686992961</v>
      </c>
      <c r="CC80" s="6">
        <f>CC$1*'survival matrix'!CC80</f>
        <v>416103.56742168346</v>
      </c>
      <c r="CD80" s="6">
        <f>CD$1*'survival matrix'!CD80</f>
        <v>433809.66339950479</v>
      </c>
      <c r="CE80" s="6">
        <f>CE$1*'survival matrix'!CE80</f>
        <v>453030.03870614915</v>
      </c>
      <c r="CF80" s="6">
        <f>CF$1*'survival matrix'!CF80</f>
        <v>0</v>
      </c>
      <c r="CG80" s="6">
        <f>CG$1*'survival matrix'!CG80</f>
        <v>0</v>
      </c>
      <c r="CH80" s="6">
        <f>CH$1*'survival matrix'!CH80</f>
        <v>0</v>
      </c>
      <c r="CI80" s="6">
        <f>CI$1*'survival matrix'!CI80</f>
        <v>0</v>
      </c>
      <c r="CJ80" s="6">
        <f>CJ$1*'survival matrix'!CJ80</f>
        <v>0</v>
      </c>
      <c r="CK80" s="6">
        <f>CK$1*'survival matrix'!CK80</f>
        <v>0</v>
      </c>
      <c r="CL80" s="6">
        <f>CL$1*'survival matrix'!CL80</f>
        <v>0</v>
      </c>
      <c r="CM80" s="6">
        <f>CM$1*'survival matrix'!CM80</f>
        <v>0</v>
      </c>
      <c r="CN80" s="6">
        <f>CN$1*'survival matrix'!CN80</f>
        <v>0</v>
      </c>
      <c r="CO80" s="6">
        <f>CO$1*'survival matrix'!CO80</f>
        <v>0</v>
      </c>
      <c r="CP80" s="6">
        <f>CP$1*'survival matrix'!CP80</f>
        <v>0</v>
      </c>
      <c r="CQ80" s="6">
        <f>CQ$1*'survival matrix'!CQ80</f>
        <v>0</v>
      </c>
      <c r="CR80" s="6">
        <f>CR$1*'survival matrix'!CR80</f>
        <v>0</v>
      </c>
      <c r="CS80" s="6">
        <f>CS$1*'survival matrix'!CS80</f>
        <v>0</v>
      </c>
      <c r="CT80" s="6">
        <f>CT$1*'survival matrix'!CT80</f>
        <v>0</v>
      </c>
      <c r="CU80" s="6">
        <f>CU$1*'survival matrix'!CU80</f>
        <v>0</v>
      </c>
      <c r="CV80" s="6">
        <f>CV$1*'survival matrix'!CV80</f>
        <v>0</v>
      </c>
      <c r="CW80" s="6">
        <f>CW$1*'survival matrix'!CW80</f>
        <v>0</v>
      </c>
      <c r="CX80" s="6">
        <f>CX$1*'survival matrix'!CX80</f>
        <v>0</v>
      </c>
      <c r="CY80" s="6">
        <f>CY$1*'survival matrix'!CY80</f>
        <v>0</v>
      </c>
      <c r="CZ80" s="6">
        <f>CZ$1*'survival matrix'!CZ80</f>
        <v>0</v>
      </c>
      <c r="DA80" s="6">
        <f>DA$1*'survival matrix'!DA80</f>
        <v>0</v>
      </c>
      <c r="DB80" s="6">
        <f>DB$1*'survival matrix'!DB80</f>
        <v>0</v>
      </c>
      <c r="DC80" s="6">
        <f>DC$1*'survival matrix'!DC80</f>
        <v>0</v>
      </c>
      <c r="DD80" s="6">
        <f>DD$1*'survival matrix'!DD80</f>
        <v>0</v>
      </c>
      <c r="DE80" s="6">
        <f>DE$1*'survival matrix'!DE80</f>
        <v>0</v>
      </c>
      <c r="DF80" s="6">
        <f>DF$1*'survival matrix'!DF80</f>
        <v>0</v>
      </c>
      <c r="DG80" s="6">
        <f>DG$1*'survival matrix'!DG80</f>
        <v>0</v>
      </c>
      <c r="DH80" s="6">
        <f>DH$1*'survival matrix'!DH80</f>
        <v>0</v>
      </c>
      <c r="DI80" s="6">
        <f>DI$1*'survival matrix'!DI80</f>
        <v>0</v>
      </c>
      <c r="DJ80" s="6">
        <f>DJ$1*'survival matrix'!DJ80</f>
        <v>0</v>
      </c>
      <c r="DK80" s="6">
        <f>DK$1*'survival matrix'!DK80</f>
        <v>0</v>
      </c>
      <c r="DL80" s="6">
        <f>DL$1*'survival matrix'!DL80</f>
        <v>0</v>
      </c>
      <c r="DM80" s="6">
        <f>DM$1*'survival matrix'!DM80</f>
        <v>0</v>
      </c>
      <c r="DN80" s="6">
        <f>DN$1*'survival matrix'!DN80</f>
        <v>0</v>
      </c>
      <c r="DO80" s="6">
        <f>DO$1*'survival matrix'!DO80</f>
        <v>0</v>
      </c>
      <c r="DP80" s="6">
        <f>DP$1*'survival matrix'!DP80</f>
        <v>0</v>
      </c>
      <c r="DQ80" s="6">
        <f>DQ$1*'survival matrix'!DQ80</f>
        <v>0</v>
      </c>
      <c r="DR80" s="6">
        <f>DR$1*'survival matrix'!DR80</f>
        <v>0</v>
      </c>
      <c r="DS80" s="6">
        <f>DS$1*'survival matrix'!DS80</f>
        <v>0</v>
      </c>
      <c r="DT80" s="6">
        <f>DT$1*'survival matrix'!DT80</f>
        <v>0</v>
      </c>
      <c r="DU80" s="6">
        <f>DU$1*'survival matrix'!DU80</f>
        <v>0</v>
      </c>
      <c r="DV80" s="6">
        <f>DV$1*'survival matrix'!DV80</f>
        <v>0</v>
      </c>
      <c r="DW80" s="6">
        <f>DW$1*'survival matrix'!DW80</f>
        <v>0</v>
      </c>
      <c r="DX80" s="6">
        <f>DX$1*'survival matrix'!DX80</f>
        <v>0</v>
      </c>
      <c r="DY80" s="6">
        <f>DY$1*'survival matrix'!DY80</f>
        <v>0</v>
      </c>
      <c r="DZ80" s="6">
        <f>DZ$1*'survival matrix'!DZ80</f>
        <v>0</v>
      </c>
      <c r="EA80" s="6">
        <f>EA$1*'survival matrix'!EA80</f>
        <v>0</v>
      </c>
      <c r="EB80" s="6">
        <f>EB$1*'survival matrix'!EB80</f>
        <v>0</v>
      </c>
      <c r="EC80" s="6">
        <f>EC$1*'survival matrix'!EC80</f>
        <v>0</v>
      </c>
    </row>
    <row r="81" spans="1:133">
      <c r="A81" s="12">
        <f>'data input'!C81-B81</f>
        <v>145089.59719248512</v>
      </c>
      <c r="B81" s="14">
        <f t="shared" si="3"/>
        <v>328897.2795609124</v>
      </c>
      <c r="C81" s="11">
        <f>SUM(F81:EC81)</f>
        <v>10305477.831628218</v>
      </c>
      <c r="E81" s="7">
        <f>'data input'!B81</f>
        <v>1956</v>
      </c>
      <c r="F81" s="6">
        <f>F$1*'survival matrix'!F81</f>
        <v>7.1055686195175323</v>
      </c>
      <c r="G81" s="6">
        <f>G$1*'survival matrix'!G81</f>
        <v>18.014150062037565</v>
      </c>
      <c r="H81" s="6">
        <f>H$1*'survival matrix'!H81</f>
        <v>34.038368111287554</v>
      </c>
      <c r="I81" s="6">
        <f>I$1*'survival matrix'!I81</f>
        <v>56.909441243622766</v>
      </c>
      <c r="J81" s="6">
        <f>J$1*'survival matrix'!J81</f>
        <v>88.75000815244023</v>
      </c>
      <c r="K81" s="6">
        <f>K$1*'survival matrix'!K81</f>
        <v>132.19882878112264</v>
      </c>
      <c r="L81" s="6">
        <f>L$1*'survival matrix'!L81</f>
        <v>190.53472773126188</v>
      </c>
      <c r="M81" s="6">
        <f>M$1*'survival matrix'!M81</f>
        <v>267.64815101847324</v>
      </c>
      <c r="N81" s="6">
        <f>N$1*'survival matrix'!N81</f>
        <v>368.08068156175239</v>
      </c>
      <c r="O81" s="6">
        <f>O$1*'survival matrix'!O81</f>
        <v>497.19090132241473</v>
      </c>
      <c r="P81" s="6">
        <f>P$1*'survival matrix'!P81</f>
        <v>661.54587372284379</v>
      </c>
      <c r="Q81" s="6">
        <f>Q$1*'survival matrix'!Q81</f>
        <v>868.79960493144017</v>
      </c>
      <c r="R81" s="6">
        <f>R$1*'survival matrix'!R81</f>
        <v>1127.5489394027381</v>
      </c>
      <c r="S81" s="6">
        <f>S$1*'survival matrix'!S81</f>
        <v>1447.3491536022609</v>
      </c>
      <c r="T81" s="6">
        <f>T$1*'survival matrix'!T81</f>
        <v>1838.7465707330934</v>
      </c>
      <c r="U81" s="6">
        <f>U$1*'survival matrix'!U81</f>
        <v>2313.9468448998359</v>
      </c>
      <c r="V81" s="6">
        <f>V$1*'survival matrix'!V81</f>
        <v>2885.7478367769645</v>
      </c>
      <c r="W81" s="6">
        <f>W$1*'survival matrix'!W81</f>
        <v>3568.8414610071286</v>
      </c>
      <c r="X81" s="6">
        <f>X$1*'survival matrix'!X81</f>
        <v>4378.5709539487261</v>
      </c>
      <c r="Y81" s="6">
        <f>Y$1*'survival matrix'!Y81</f>
        <v>5330.8273177163901</v>
      </c>
      <c r="Z81" s="6">
        <f>Z$1*'survival matrix'!Z81</f>
        <v>6442.8268880812147</v>
      </c>
      <c r="AA81" s="6">
        <f>AA$1*'survival matrix'!AA81</f>
        <v>7732.0450633631808</v>
      </c>
      <c r="AB81" s="6">
        <f>AB$1*'survival matrix'!AB81</f>
        <v>9215.0760576984849</v>
      </c>
      <c r="AC81" s="6">
        <f>AC$1*'survival matrix'!AC81</f>
        <v>10953.563717665655</v>
      </c>
      <c r="AD81" s="6">
        <f>AD$1*'survival matrix'!AD81</f>
        <v>13041.367264553797</v>
      </c>
      <c r="AE81" s="6">
        <f>AE$1*'survival matrix'!AE81</f>
        <v>15401.516280682628</v>
      </c>
      <c r="AF81" s="6">
        <f>AF$1*'survival matrix'!AF81</f>
        <v>17890.476984541187</v>
      </c>
      <c r="AG81" s="6">
        <f>AG$1*'survival matrix'!AG81</f>
        <v>20717.763031547587</v>
      </c>
      <c r="AH81" s="6">
        <f>AH$1*'survival matrix'!AH81</f>
        <v>23768.596575754145</v>
      </c>
      <c r="AI81" s="6">
        <f>AI$1*'survival matrix'!AI81</f>
        <v>27685.154918170436</v>
      </c>
      <c r="AJ81" s="6">
        <f>AJ$1*'survival matrix'!AJ81</f>
        <v>31518.445120037504</v>
      </c>
      <c r="AK81" s="6">
        <f>AK$1*'survival matrix'!AK81</f>
        <v>35520.782834250851</v>
      </c>
      <c r="AL81" s="6">
        <f>AL$1*'survival matrix'!AL81</f>
        <v>39879.871852453798</v>
      </c>
      <c r="AM81" s="6">
        <f>AM$1*'survival matrix'!AM81</f>
        <v>44611.382259976883</v>
      </c>
      <c r="AN81" s="6">
        <f>AN$1*'survival matrix'!AN81</f>
        <v>49156.875932733732</v>
      </c>
      <c r="AO81" s="6">
        <f>AO$1*'survival matrix'!AO81</f>
        <v>53867.754557232845</v>
      </c>
      <c r="AP81" s="6">
        <f>AP$1*'survival matrix'!AP81</f>
        <v>58524.899590741697</v>
      </c>
      <c r="AQ81" s="6">
        <f>AQ$1*'survival matrix'!AQ81</f>
        <v>63688.419788962063</v>
      </c>
      <c r="AR81" s="6">
        <f>AR$1*'survival matrix'!AR81</f>
        <v>69423.832140426268</v>
      </c>
      <c r="AS81" s="6">
        <f>AS$1*'survival matrix'!AS81</f>
        <v>75345.003076514695</v>
      </c>
      <c r="AT81" s="6">
        <f>AT$1*'survival matrix'!AT81</f>
        <v>82270.335428081773</v>
      </c>
      <c r="AU81" s="6">
        <f>AU$1*'survival matrix'!AU81</f>
        <v>89519.481032227122</v>
      </c>
      <c r="AV81" s="6">
        <f>AV$1*'survival matrix'!AV81</f>
        <v>96378.524609296976</v>
      </c>
      <c r="AW81" s="6">
        <f>AW$1*'survival matrix'!AW81</f>
        <v>103627.67879064844</v>
      </c>
      <c r="AX81" s="6">
        <f>AX$1*'survival matrix'!AX81</f>
        <v>110958.58521830065</v>
      </c>
      <c r="AY81" s="6">
        <f>AY$1*'survival matrix'!AY81</f>
        <v>119141.19896837036</v>
      </c>
      <c r="AZ81" s="6">
        <f>AZ$1*'survival matrix'!AZ81</f>
        <v>127071.50938925853</v>
      </c>
      <c r="BA81" s="6">
        <f>BA$1*'survival matrix'!BA81</f>
        <v>134518.05503471787</v>
      </c>
      <c r="BB81" s="6">
        <f>BB$1*'survival matrix'!BB81</f>
        <v>142529.22845306963</v>
      </c>
      <c r="BC81" s="6">
        <f>BC$1*'survival matrix'!BC81</f>
        <v>150669.12339613054</v>
      </c>
      <c r="BD81" s="6">
        <f>BD$1*'survival matrix'!BD81</f>
        <v>159173.20231291294</v>
      </c>
      <c r="BE81" s="6">
        <f>BE$1*'survival matrix'!BE81</f>
        <v>167460.26593375919</v>
      </c>
      <c r="BF81" s="6">
        <f>BF$1*'survival matrix'!BF81</f>
        <v>174843.20523577376</v>
      </c>
      <c r="BG81" s="6">
        <f>BG$1*'survival matrix'!BG81</f>
        <v>182091.43432140746</v>
      </c>
      <c r="BH81" s="6">
        <f>BH$1*'survival matrix'!BH81</f>
        <v>189139.55905688158</v>
      </c>
      <c r="BI81" s="6">
        <f>BI$1*'survival matrix'!BI81</f>
        <v>196483.98843155635</v>
      </c>
      <c r="BJ81" s="6">
        <f>BJ$1*'survival matrix'!BJ81</f>
        <v>204060.02543882583</v>
      </c>
      <c r="BK81" s="6">
        <f>BK$1*'survival matrix'!BK81</f>
        <v>211563.56001736817</v>
      </c>
      <c r="BL81" s="6">
        <f>BL$1*'survival matrix'!BL81</f>
        <v>219661.55171796252</v>
      </c>
      <c r="BM81" s="6">
        <f>BM$1*'survival matrix'!BM81</f>
        <v>228473.7513841358</v>
      </c>
      <c r="BN81" s="6">
        <f>BN$1*'survival matrix'!BN81</f>
        <v>238372.98971620362</v>
      </c>
      <c r="BO81" s="6">
        <f>BO$1*'survival matrix'!BO81</f>
        <v>250773.15228750921</v>
      </c>
      <c r="BP81" s="6">
        <f>BP$1*'survival matrix'!BP81</f>
        <v>262963.47635242279</v>
      </c>
      <c r="BQ81" s="6">
        <f>BQ$1*'survival matrix'!BQ81</f>
        <v>276495.9729383493</v>
      </c>
      <c r="BR81" s="6">
        <f>BR$1*'survival matrix'!BR81</f>
        <v>286780.03712628497</v>
      </c>
      <c r="BS81" s="6">
        <f>BS$1*'survival matrix'!BS81</f>
        <v>302238.6428883248</v>
      </c>
      <c r="BT81" s="6">
        <f>BT$1*'survival matrix'!BT81</f>
        <v>316350.72299319244</v>
      </c>
      <c r="BU81" s="6">
        <f>BU$1*'survival matrix'!BU81</f>
        <v>320606.92774626473</v>
      </c>
      <c r="BV81" s="6">
        <f>BV$1*'survival matrix'!BV81</f>
        <v>326494.64039760985</v>
      </c>
      <c r="BW81" s="6">
        <f>BW$1*'survival matrix'!BW81</f>
        <v>333251.53343421879</v>
      </c>
      <c r="BX81" s="6">
        <f>BX$1*'survival matrix'!BX81</f>
        <v>340535.0486323993</v>
      </c>
      <c r="BY81" s="6">
        <f>BY$1*'survival matrix'!BY81</f>
        <v>348751.89055686415</v>
      </c>
      <c r="BZ81" s="6">
        <f>BZ$1*'survival matrix'!BZ81</f>
        <v>360946.98006488272</v>
      </c>
      <c r="CA81" s="6">
        <f>CA$1*'survival matrix'!CA81</f>
        <v>378988.91091040755</v>
      </c>
      <c r="CB81" s="6">
        <f>CB$1*'survival matrix'!CB81</f>
        <v>396144.12294678442</v>
      </c>
      <c r="CC81" s="6">
        <f>CC$1*'survival matrix'!CC81</f>
        <v>415864.14904428174</v>
      </c>
      <c r="CD81" s="6">
        <f>CD$1*'survival matrix'!CD81</f>
        <v>433608.16735486581</v>
      </c>
      <c r="CE81" s="6">
        <f>CE$1*'survival matrix'!CE81</f>
        <v>452861.10994648334</v>
      </c>
      <c r="CF81" s="6">
        <f>CF$1*'survival matrix'!CF81</f>
        <v>473347.0428014496</v>
      </c>
      <c r="CG81" s="6">
        <f>CG$1*'survival matrix'!CG81</f>
        <v>0</v>
      </c>
      <c r="CH81" s="6">
        <f>CH$1*'survival matrix'!CH81</f>
        <v>0</v>
      </c>
      <c r="CI81" s="6">
        <f>CI$1*'survival matrix'!CI81</f>
        <v>0</v>
      </c>
      <c r="CJ81" s="6">
        <f>CJ$1*'survival matrix'!CJ81</f>
        <v>0</v>
      </c>
      <c r="CK81" s="6">
        <f>CK$1*'survival matrix'!CK81</f>
        <v>0</v>
      </c>
      <c r="CL81" s="6">
        <f>CL$1*'survival matrix'!CL81</f>
        <v>0</v>
      </c>
      <c r="CM81" s="6">
        <f>CM$1*'survival matrix'!CM81</f>
        <v>0</v>
      </c>
      <c r="CN81" s="6">
        <f>CN$1*'survival matrix'!CN81</f>
        <v>0</v>
      </c>
      <c r="CO81" s="6">
        <f>CO$1*'survival matrix'!CO81</f>
        <v>0</v>
      </c>
      <c r="CP81" s="6">
        <f>CP$1*'survival matrix'!CP81</f>
        <v>0</v>
      </c>
      <c r="CQ81" s="6">
        <f>CQ$1*'survival matrix'!CQ81</f>
        <v>0</v>
      </c>
      <c r="CR81" s="6">
        <f>CR$1*'survival matrix'!CR81</f>
        <v>0</v>
      </c>
      <c r="CS81" s="6">
        <f>CS$1*'survival matrix'!CS81</f>
        <v>0</v>
      </c>
      <c r="CT81" s="6">
        <f>CT$1*'survival matrix'!CT81</f>
        <v>0</v>
      </c>
      <c r="CU81" s="6">
        <f>CU$1*'survival matrix'!CU81</f>
        <v>0</v>
      </c>
      <c r="CV81" s="6">
        <f>CV$1*'survival matrix'!CV81</f>
        <v>0</v>
      </c>
      <c r="CW81" s="6">
        <f>CW$1*'survival matrix'!CW81</f>
        <v>0</v>
      </c>
      <c r="CX81" s="6">
        <f>CX$1*'survival matrix'!CX81</f>
        <v>0</v>
      </c>
      <c r="CY81" s="6">
        <f>CY$1*'survival matrix'!CY81</f>
        <v>0</v>
      </c>
      <c r="CZ81" s="6">
        <f>CZ$1*'survival matrix'!CZ81</f>
        <v>0</v>
      </c>
      <c r="DA81" s="6">
        <f>DA$1*'survival matrix'!DA81</f>
        <v>0</v>
      </c>
      <c r="DB81" s="6">
        <f>DB$1*'survival matrix'!DB81</f>
        <v>0</v>
      </c>
      <c r="DC81" s="6">
        <f>DC$1*'survival matrix'!DC81</f>
        <v>0</v>
      </c>
      <c r="DD81" s="6">
        <f>DD$1*'survival matrix'!DD81</f>
        <v>0</v>
      </c>
      <c r="DE81" s="6">
        <f>DE$1*'survival matrix'!DE81</f>
        <v>0</v>
      </c>
      <c r="DF81" s="6">
        <f>DF$1*'survival matrix'!DF81</f>
        <v>0</v>
      </c>
      <c r="DG81" s="6">
        <f>DG$1*'survival matrix'!DG81</f>
        <v>0</v>
      </c>
      <c r="DH81" s="6">
        <f>DH$1*'survival matrix'!DH81</f>
        <v>0</v>
      </c>
      <c r="DI81" s="6">
        <f>DI$1*'survival matrix'!DI81</f>
        <v>0</v>
      </c>
      <c r="DJ81" s="6">
        <f>DJ$1*'survival matrix'!DJ81</f>
        <v>0</v>
      </c>
      <c r="DK81" s="6">
        <f>DK$1*'survival matrix'!DK81</f>
        <v>0</v>
      </c>
      <c r="DL81" s="6">
        <f>DL$1*'survival matrix'!DL81</f>
        <v>0</v>
      </c>
      <c r="DM81" s="6">
        <f>DM$1*'survival matrix'!DM81</f>
        <v>0</v>
      </c>
      <c r="DN81" s="6">
        <f>DN$1*'survival matrix'!DN81</f>
        <v>0</v>
      </c>
      <c r="DO81" s="6">
        <f>DO$1*'survival matrix'!DO81</f>
        <v>0</v>
      </c>
      <c r="DP81" s="6">
        <f>DP$1*'survival matrix'!DP81</f>
        <v>0</v>
      </c>
      <c r="DQ81" s="6">
        <f>DQ$1*'survival matrix'!DQ81</f>
        <v>0</v>
      </c>
      <c r="DR81" s="6">
        <f>DR$1*'survival matrix'!DR81</f>
        <v>0</v>
      </c>
      <c r="DS81" s="6">
        <f>DS$1*'survival matrix'!DS81</f>
        <v>0</v>
      </c>
      <c r="DT81" s="6">
        <f>DT$1*'survival matrix'!DT81</f>
        <v>0</v>
      </c>
      <c r="DU81" s="6">
        <f>DU$1*'survival matrix'!DU81</f>
        <v>0</v>
      </c>
      <c r="DV81" s="6">
        <f>DV$1*'survival matrix'!DV81</f>
        <v>0</v>
      </c>
      <c r="DW81" s="6">
        <f>DW$1*'survival matrix'!DW81</f>
        <v>0</v>
      </c>
      <c r="DX81" s="6">
        <f>DX$1*'survival matrix'!DX81</f>
        <v>0</v>
      </c>
      <c r="DY81" s="6">
        <f>DY$1*'survival matrix'!DY81</f>
        <v>0</v>
      </c>
      <c r="DZ81" s="6">
        <f>DZ$1*'survival matrix'!DZ81</f>
        <v>0</v>
      </c>
      <c r="EA81" s="6">
        <f>EA$1*'survival matrix'!EA81</f>
        <v>0</v>
      </c>
      <c r="EB81" s="6">
        <f>EB$1*'survival matrix'!EB81</f>
        <v>0</v>
      </c>
      <c r="EC81" s="6">
        <f>EC$1*'survival matrix'!EC81</f>
        <v>0</v>
      </c>
    </row>
    <row r="82" spans="1:133">
      <c r="A82" s="12">
        <f>'data input'!C82-B82</f>
        <v>149591.21320398455</v>
      </c>
      <c r="B82" s="14">
        <f t="shared" si="3"/>
        <v>346008.95692045987</v>
      </c>
      <c r="C82" s="11">
        <f>SUM(F82:EC82)</f>
        <v>10651486.788548678</v>
      </c>
      <c r="E82" s="7">
        <f>'data input'!B82</f>
        <v>1957</v>
      </c>
      <c r="F82" s="6">
        <f>F$1*'survival matrix'!F82</f>
        <v>5.5983542726201048</v>
      </c>
      <c r="G82" s="6">
        <f>G$1*'survival matrix'!G82</f>
        <v>14.267036013920185</v>
      </c>
      <c r="H82" s="6">
        <f>H$1*'survival matrix'!H82</f>
        <v>27.098215303497373</v>
      </c>
      <c r="I82" s="6">
        <f>I$1*'survival matrix'!I82</f>
        <v>45.540887139419375</v>
      </c>
      <c r="J82" s="6">
        <f>J$1*'survival matrix'!J82</f>
        <v>71.387747531624385</v>
      </c>
      <c r="K82" s="6">
        <f>K$1*'survival matrix'!K82</f>
        <v>106.88421253229616</v>
      </c>
      <c r="L82" s="6">
        <f>L$1*'survival matrix'!L82</f>
        <v>154.83993434779498</v>
      </c>
      <c r="M82" s="6">
        <f>M$1*'survival matrix'!M82</f>
        <v>218.61894017364133</v>
      </c>
      <c r="N82" s="6">
        <f>N$1*'survival matrix'!N82</f>
        <v>302.18484671603721</v>
      </c>
      <c r="O82" s="6">
        <f>O$1*'survival matrix'!O82</f>
        <v>410.251279376323</v>
      </c>
      <c r="P82" s="6">
        <f>P$1*'survival matrix'!P82</f>
        <v>548.6234821791295</v>
      </c>
      <c r="Q82" s="6">
        <f>Q$1*'survival matrix'!Q82</f>
        <v>724.12203580530127</v>
      </c>
      <c r="R82" s="6">
        <f>R$1*'survival matrix'!R82</f>
        <v>944.48449734421399</v>
      </c>
      <c r="S82" s="6">
        <f>S$1*'survival matrix'!S82</f>
        <v>1218.3976680160877</v>
      </c>
      <c r="T82" s="6">
        <f>T$1*'survival matrix'!T82</f>
        <v>1555.5443797472508</v>
      </c>
      <c r="U82" s="6">
        <f>U$1*'survival matrix'!U82</f>
        <v>1967.191164551972</v>
      </c>
      <c r="V82" s="6">
        <f>V$1*'survival matrix'!V82</f>
        <v>2465.3096083088822</v>
      </c>
      <c r="W82" s="6">
        <f>W$1*'survival matrix'!W82</f>
        <v>3063.7041935689176</v>
      </c>
      <c r="X82" s="6">
        <f>X$1*'survival matrix'!X82</f>
        <v>3776.9769634652771</v>
      </c>
      <c r="Y82" s="6">
        <f>Y$1*'survival matrix'!Y82</f>
        <v>4620.4478414681462</v>
      </c>
      <c r="Z82" s="6">
        <f>Z$1*'survival matrix'!Z82</f>
        <v>5610.8388866081868</v>
      </c>
      <c r="AA82" s="6">
        <f>AA$1*'survival matrix'!AA82</f>
        <v>6765.3634755017092</v>
      </c>
      <c r="AB82" s="6">
        <f>AB$1*'survival matrix'!AB82</f>
        <v>8100.7230164646453</v>
      </c>
      <c r="AC82" s="6">
        <f>AC$1*'survival matrix'!AC82</f>
        <v>9673.6454644581481</v>
      </c>
      <c r="AD82" s="6">
        <f>AD$1*'survival matrix'!AD82</f>
        <v>11570.404253378525</v>
      </c>
      <c r="AE82" s="6">
        <f>AE$1*'survival matrix'!AE82</f>
        <v>13726.486002950227</v>
      </c>
      <c r="AF82" s="6">
        <f>AF$1*'survival matrix'!AF82</f>
        <v>16016.478948759708</v>
      </c>
      <c r="AG82" s="6">
        <f>AG$1*'survival matrix'!AG82</f>
        <v>18630.08644064315</v>
      </c>
      <c r="AH82" s="6">
        <f>AH$1*'survival matrix'!AH82</f>
        <v>21467.373833613212</v>
      </c>
      <c r="AI82" s="6">
        <f>AI$1*'survival matrix'!AI82</f>
        <v>25113.138556788592</v>
      </c>
      <c r="AJ82" s="6">
        <f>AJ$1*'survival matrix'!AJ82</f>
        <v>28712.532612916744</v>
      </c>
      <c r="AK82" s="6">
        <f>AK$1*'survival matrix'!AK82</f>
        <v>32494.858376487791</v>
      </c>
      <c r="AL82" s="6">
        <f>AL$1*'survival matrix'!AL82</f>
        <v>36633.85681156451</v>
      </c>
      <c r="AM82" s="6">
        <f>AM$1*'survival matrix'!AM82</f>
        <v>41147.296396622041</v>
      </c>
      <c r="AN82" s="6">
        <f>AN$1*'survival matrix'!AN82</f>
        <v>45521.352615572097</v>
      </c>
      <c r="AO82" s="6">
        <f>AO$1*'survival matrix'!AO82</f>
        <v>50079.738925567304</v>
      </c>
      <c r="AP82" s="6">
        <f>AP$1*'survival matrix'!AP82</f>
        <v>54618.741101118758</v>
      </c>
      <c r="AQ82" s="6">
        <f>AQ$1*'survival matrix'!AQ82</f>
        <v>59661.379302287714</v>
      </c>
      <c r="AR82" s="6">
        <f>AR$1*'survival matrix'!AR82</f>
        <v>65273.308334502901</v>
      </c>
      <c r="AS82" s="6">
        <f>AS$1*'survival matrix'!AS82</f>
        <v>71094.592387843775</v>
      </c>
      <c r="AT82" s="6">
        <f>AT$1*'survival matrix'!AT82</f>
        <v>77900.406226368475</v>
      </c>
      <c r="AU82" s="6">
        <f>AU$1*'survival matrix'!AU82</f>
        <v>85052.298831288092</v>
      </c>
      <c r="AV82" s="6">
        <f>AV$1*'survival matrix'!AV82</f>
        <v>91870.691679034193</v>
      </c>
      <c r="AW82" s="6">
        <f>AW$1*'survival matrix'!AW82</f>
        <v>99095.825404194809</v>
      </c>
      <c r="AX82" s="6">
        <f>AX$1*'survival matrix'!AX82</f>
        <v>106433.07167241628</v>
      </c>
      <c r="AY82" s="6">
        <f>AY$1*'survival matrix'!AY82</f>
        <v>114621.37017250384</v>
      </c>
      <c r="AZ82" s="6">
        <f>AZ$1*'survival matrix'!AZ82</f>
        <v>122599.96016103639</v>
      </c>
      <c r="BA82" s="6">
        <f>BA$1*'survival matrix'!BA82</f>
        <v>130139.94810808022</v>
      </c>
      <c r="BB82" s="6">
        <f>BB$1*'survival matrix'!BB82</f>
        <v>138251.6283122043</v>
      </c>
      <c r="BC82" s="6">
        <f>BC$1*'survival matrix'!BC82</f>
        <v>146512.38239457653</v>
      </c>
      <c r="BD82" s="6">
        <f>BD$1*'survival matrix'!BD82</f>
        <v>155149.55541708853</v>
      </c>
      <c r="BE82" s="6">
        <f>BE$1*'survival matrix'!BE82</f>
        <v>163594.65728727056</v>
      </c>
      <c r="BF82" s="6">
        <f>BF$1*'survival matrix'!BF82</f>
        <v>171170.44990304808</v>
      </c>
      <c r="BG82" s="6">
        <f>BG$1*'survival matrix'!BG82</f>
        <v>178623.29393555105</v>
      </c>
      <c r="BH82" s="6">
        <f>BH$1*'survival matrix'!BH82</f>
        <v>185885.49403579443</v>
      </c>
      <c r="BI82" s="6">
        <f>BI$1*'survival matrix'!BI82</f>
        <v>193442.21457919668</v>
      </c>
      <c r="BJ82" s="6">
        <f>BJ$1*'survival matrix'!BJ82</f>
        <v>201228.76468709629</v>
      </c>
      <c r="BK82" s="6">
        <f>BK$1*'survival matrix'!BK82</f>
        <v>208943.57241498193</v>
      </c>
      <c r="BL82" s="6">
        <f>BL$1*'survival matrix'!BL82</f>
        <v>217243.79677178926</v>
      </c>
      <c r="BM82" s="6">
        <f>BM$1*'survival matrix'!BM82</f>
        <v>226248.34967547594</v>
      </c>
      <c r="BN82" s="6">
        <f>BN$1*'survival matrix'!BN82</f>
        <v>236327.44365443103</v>
      </c>
      <c r="BO82" s="6">
        <f>BO$1*'survival matrix'!BO82</f>
        <v>248885.88364512555</v>
      </c>
      <c r="BP82" s="6">
        <f>BP$1*'survival matrix'!BP82</f>
        <v>261235.94832964148</v>
      </c>
      <c r="BQ82" s="6">
        <f>BQ$1*'survival matrix'!BQ82</f>
        <v>274917.88797589234</v>
      </c>
      <c r="BR82" s="6">
        <f>BR$1*'survival matrix'!BR82</f>
        <v>285364.90145454468</v>
      </c>
      <c r="BS82" s="6">
        <f>BS$1*'survival matrix'!BS82</f>
        <v>300955.52761372895</v>
      </c>
      <c r="BT82" s="6">
        <f>BT$1*'survival matrix'!BT82</f>
        <v>315201.0462113329</v>
      </c>
      <c r="BU82" s="6">
        <f>BU$1*'survival matrix'!BU82</f>
        <v>319614.57934586849</v>
      </c>
      <c r="BV82" s="6">
        <f>BV$1*'survival matrix'!BV82</f>
        <v>325638.36053432949</v>
      </c>
      <c r="BW82" s="6">
        <f>BW$1*'survival matrix'!BW82</f>
        <v>332514.82130617544</v>
      </c>
      <c r="BX82" s="6">
        <f>BX$1*'survival matrix'!BX82</f>
        <v>339903.81943157647</v>
      </c>
      <c r="BY82" s="6">
        <f>BY$1*'survival matrix'!BY82</f>
        <v>348212.71090423543</v>
      </c>
      <c r="BZ82" s="6">
        <f>BZ$1*'survival matrix'!BZ82</f>
        <v>360484.03995294508</v>
      </c>
      <c r="CA82" s="6">
        <f>CA$1*'survival matrix'!CA82</f>
        <v>378587.8335610393</v>
      </c>
      <c r="CB82" s="6">
        <f>CB$1*'survival matrix'!CB82</f>
        <v>395800.07748970482</v>
      </c>
      <c r="CC82" s="6">
        <f>CC$1*'survival matrix'!CC82</f>
        <v>415569.36586971465</v>
      </c>
      <c r="CD82" s="6">
        <f>CD$1*'survival matrix'!CD82</f>
        <v>433358.67715102184</v>
      </c>
      <c r="CE82" s="6">
        <f>CE$1*'survival matrix'!CE82</f>
        <v>452650.76488014718</v>
      </c>
      <c r="CF82" s="6">
        <f>CF$1*'survival matrix'!CF82</f>
        <v>473170.5381063961</v>
      </c>
      <c r="CG82" s="6">
        <f>CG$1*'survival matrix'!CG82</f>
        <v>494931.16043031786</v>
      </c>
      <c r="CH82" s="6">
        <f>CH$1*'survival matrix'!CH82</f>
        <v>0</v>
      </c>
      <c r="CI82" s="6">
        <f>CI$1*'survival matrix'!CI82</f>
        <v>0</v>
      </c>
      <c r="CJ82" s="6">
        <f>CJ$1*'survival matrix'!CJ82</f>
        <v>0</v>
      </c>
      <c r="CK82" s="6">
        <f>CK$1*'survival matrix'!CK82</f>
        <v>0</v>
      </c>
      <c r="CL82" s="6">
        <f>CL$1*'survival matrix'!CL82</f>
        <v>0</v>
      </c>
      <c r="CM82" s="6">
        <f>CM$1*'survival matrix'!CM82</f>
        <v>0</v>
      </c>
      <c r="CN82" s="6">
        <f>CN$1*'survival matrix'!CN82</f>
        <v>0</v>
      </c>
      <c r="CO82" s="6">
        <f>CO$1*'survival matrix'!CO82</f>
        <v>0</v>
      </c>
      <c r="CP82" s="6">
        <f>CP$1*'survival matrix'!CP82</f>
        <v>0</v>
      </c>
      <c r="CQ82" s="6">
        <f>CQ$1*'survival matrix'!CQ82</f>
        <v>0</v>
      </c>
      <c r="CR82" s="6">
        <f>CR$1*'survival matrix'!CR82</f>
        <v>0</v>
      </c>
      <c r="CS82" s="6">
        <f>CS$1*'survival matrix'!CS82</f>
        <v>0</v>
      </c>
      <c r="CT82" s="6">
        <f>CT$1*'survival matrix'!CT82</f>
        <v>0</v>
      </c>
      <c r="CU82" s="6">
        <f>CU$1*'survival matrix'!CU82</f>
        <v>0</v>
      </c>
      <c r="CV82" s="6">
        <f>CV$1*'survival matrix'!CV82</f>
        <v>0</v>
      </c>
      <c r="CW82" s="6">
        <f>CW$1*'survival matrix'!CW82</f>
        <v>0</v>
      </c>
      <c r="CX82" s="6">
        <f>CX$1*'survival matrix'!CX82</f>
        <v>0</v>
      </c>
      <c r="CY82" s="6">
        <f>CY$1*'survival matrix'!CY82</f>
        <v>0</v>
      </c>
      <c r="CZ82" s="6">
        <f>CZ$1*'survival matrix'!CZ82</f>
        <v>0</v>
      </c>
      <c r="DA82" s="6">
        <f>DA$1*'survival matrix'!DA82</f>
        <v>0</v>
      </c>
      <c r="DB82" s="6">
        <f>DB$1*'survival matrix'!DB82</f>
        <v>0</v>
      </c>
      <c r="DC82" s="6">
        <f>DC$1*'survival matrix'!DC82</f>
        <v>0</v>
      </c>
      <c r="DD82" s="6">
        <f>DD$1*'survival matrix'!DD82</f>
        <v>0</v>
      </c>
      <c r="DE82" s="6">
        <f>DE$1*'survival matrix'!DE82</f>
        <v>0</v>
      </c>
      <c r="DF82" s="6">
        <f>DF$1*'survival matrix'!DF82</f>
        <v>0</v>
      </c>
      <c r="DG82" s="6">
        <f>DG$1*'survival matrix'!DG82</f>
        <v>0</v>
      </c>
      <c r="DH82" s="6">
        <f>DH$1*'survival matrix'!DH82</f>
        <v>0</v>
      </c>
      <c r="DI82" s="6">
        <f>DI$1*'survival matrix'!DI82</f>
        <v>0</v>
      </c>
      <c r="DJ82" s="6">
        <f>DJ$1*'survival matrix'!DJ82</f>
        <v>0</v>
      </c>
      <c r="DK82" s="6">
        <f>DK$1*'survival matrix'!DK82</f>
        <v>0</v>
      </c>
      <c r="DL82" s="6">
        <f>DL$1*'survival matrix'!DL82</f>
        <v>0</v>
      </c>
      <c r="DM82" s="6">
        <f>DM$1*'survival matrix'!DM82</f>
        <v>0</v>
      </c>
      <c r="DN82" s="6">
        <f>DN$1*'survival matrix'!DN82</f>
        <v>0</v>
      </c>
      <c r="DO82" s="6">
        <f>DO$1*'survival matrix'!DO82</f>
        <v>0</v>
      </c>
      <c r="DP82" s="6">
        <f>DP$1*'survival matrix'!DP82</f>
        <v>0</v>
      </c>
      <c r="DQ82" s="6">
        <f>DQ$1*'survival matrix'!DQ82</f>
        <v>0</v>
      </c>
      <c r="DR82" s="6">
        <f>DR$1*'survival matrix'!DR82</f>
        <v>0</v>
      </c>
      <c r="DS82" s="6">
        <f>DS$1*'survival matrix'!DS82</f>
        <v>0</v>
      </c>
      <c r="DT82" s="6">
        <f>DT$1*'survival matrix'!DT82</f>
        <v>0</v>
      </c>
      <c r="DU82" s="6">
        <f>DU$1*'survival matrix'!DU82</f>
        <v>0</v>
      </c>
      <c r="DV82" s="6">
        <f>DV$1*'survival matrix'!DV82</f>
        <v>0</v>
      </c>
      <c r="DW82" s="6">
        <f>DW$1*'survival matrix'!DW82</f>
        <v>0</v>
      </c>
      <c r="DX82" s="6">
        <f>DX$1*'survival matrix'!DX82</f>
        <v>0</v>
      </c>
      <c r="DY82" s="6">
        <f>DY$1*'survival matrix'!DY82</f>
        <v>0</v>
      </c>
      <c r="DZ82" s="6">
        <f>DZ$1*'survival matrix'!DZ82</f>
        <v>0</v>
      </c>
      <c r="EA82" s="6">
        <f>EA$1*'survival matrix'!EA82</f>
        <v>0</v>
      </c>
      <c r="EB82" s="6">
        <f>EB$1*'survival matrix'!EB82</f>
        <v>0</v>
      </c>
      <c r="EC82" s="6">
        <f>EC$1*'survival matrix'!EC82</f>
        <v>0</v>
      </c>
    </row>
    <row r="83" spans="1:133">
      <c r="A83" s="12">
        <f>'data input'!C83-B83</f>
        <v>154184.56025231211</v>
      </c>
      <c r="B83" s="14">
        <f t="shared" si="3"/>
        <v>360552.30145784281</v>
      </c>
      <c r="C83" s="11">
        <f>SUM(F83:EC83)</f>
        <v>11012039.090006521</v>
      </c>
      <c r="E83" s="7">
        <f>'data input'!B83</f>
        <v>1958</v>
      </c>
      <c r="F83" s="6">
        <f>F$1*'survival matrix'!F83</f>
        <v>4.387905867022746</v>
      </c>
      <c r="G83" s="6">
        <f>G$1*'survival matrix'!G83</f>
        <v>11.240750220434615</v>
      </c>
      <c r="H83" s="6">
        <f>H$1*'survival matrix'!H83</f>
        <v>21.461529537421363</v>
      </c>
      <c r="I83" s="6">
        <f>I$1*'survival matrix'!I83</f>
        <v>36.255462094465848</v>
      </c>
      <c r="J83" s="6">
        <f>J$1*'survival matrix'!J83</f>
        <v>57.126924503750629</v>
      </c>
      <c r="K83" s="6">
        <f>K$1*'survival matrix'!K83</f>
        <v>85.974337785593136</v>
      </c>
      <c r="L83" s="6">
        <f>L$1*'survival matrix'!L83</f>
        <v>125.18979633864771</v>
      </c>
      <c r="M83" s="6">
        <f>M$1*'survival matrix'!M83</f>
        <v>177.66284785320568</v>
      </c>
      <c r="N83" s="6">
        <f>N$1*'survival matrix'!N83</f>
        <v>246.82902039190472</v>
      </c>
      <c r="O83" s="6">
        <f>O$1*'survival matrix'!O83</f>
        <v>336.80583139377222</v>
      </c>
      <c r="P83" s="6">
        <f>P$1*'survival matrix'!P83</f>
        <v>452.69027422110287</v>
      </c>
      <c r="Q83" s="6">
        <f>Q$1*'survival matrix'!Q83</f>
        <v>600.51822343099082</v>
      </c>
      <c r="R83" s="6">
        <f>R$1*'survival matrix'!R83</f>
        <v>787.20343922970528</v>
      </c>
      <c r="S83" s="6">
        <f>S$1*'survival matrix'!S83</f>
        <v>1020.5833811977088</v>
      </c>
      <c r="T83" s="6">
        <f>T$1*'survival matrix'!T83</f>
        <v>1309.4778409635994</v>
      </c>
      <c r="U83" s="6">
        <f>U$1*'survival matrix'!U83</f>
        <v>1664.2060459083552</v>
      </c>
      <c r="V83" s="6">
        <f>V$1*'survival matrix'!V83</f>
        <v>2095.8715149570548</v>
      </c>
      <c r="W83" s="6">
        <f>W$1*'survival matrix'!W83</f>
        <v>2617.3386631929156</v>
      </c>
      <c r="X83" s="6">
        <f>X$1*'survival matrix'!X83</f>
        <v>3242.3799959766975</v>
      </c>
      <c r="Y83" s="6">
        <f>Y$1*'survival matrix'!Y83</f>
        <v>3985.621163082883</v>
      </c>
      <c r="Z83" s="6">
        <f>Z$1*'survival matrix'!Z83</f>
        <v>4863.1454139016951</v>
      </c>
      <c r="AA83" s="6">
        <f>AA$1*'survival matrix'!AA83</f>
        <v>5891.7250346437067</v>
      </c>
      <c r="AB83" s="6">
        <f>AB$1*'survival matrix'!AB83</f>
        <v>7087.9482946142962</v>
      </c>
      <c r="AC83" s="6">
        <f>AC$1*'survival matrix'!AC83</f>
        <v>8503.8389239976241</v>
      </c>
      <c r="AD83" s="6">
        <f>AD$1*'survival matrix'!AD83</f>
        <v>10218.408502716567</v>
      </c>
      <c r="AE83" s="6">
        <f>AE$1*'survival matrix'!AE83</f>
        <v>12178.247020475277</v>
      </c>
      <c r="AF83" s="6">
        <f>AF$1*'survival matrix'!AF83</f>
        <v>14274.566873811264</v>
      </c>
      <c r="AG83" s="6">
        <f>AG$1*'survival matrix'!AG83</f>
        <v>16678.615530931136</v>
      </c>
      <c r="AH83" s="6">
        <f>AH$1*'survival matrix'!AH83</f>
        <v>19304.160857753577</v>
      </c>
      <c r="AI83" s="6">
        <f>AI$1*'survival matrix'!AI83</f>
        <v>22681.740245608133</v>
      </c>
      <c r="AJ83" s="6">
        <f>AJ$1*'survival matrix'!AJ83</f>
        <v>26045.070434163947</v>
      </c>
      <c r="AK83" s="6">
        <f>AK$1*'survival matrix'!AK83</f>
        <v>29602.021208015296</v>
      </c>
      <c r="AL83" s="6">
        <f>AL$1*'survival matrix'!AL83</f>
        <v>33513.112434235787</v>
      </c>
      <c r="AM83" s="6">
        <f>AM$1*'survival matrix'!AM83</f>
        <v>37798.119561512765</v>
      </c>
      <c r="AN83" s="6">
        <f>AN$1*'survival matrix'!AN83</f>
        <v>41986.607308703053</v>
      </c>
      <c r="AO83" s="6">
        <f>AO$1*'survival matrix'!AO83</f>
        <v>46375.962899800201</v>
      </c>
      <c r="AP83" s="6">
        <f>AP$1*'survival matrix'!AP83</f>
        <v>50777.915605912538</v>
      </c>
      <c r="AQ83" s="6">
        <f>AQ$1*'survival matrix'!AQ83</f>
        <v>55679.368143038984</v>
      </c>
      <c r="AR83" s="6">
        <f>AR$1*'survival matrix'!AR83</f>
        <v>61146.054805003696</v>
      </c>
      <c r="AS83" s="6">
        <f>AS$1*'survival matrix'!AS83</f>
        <v>66844.181699172856</v>
      </c>
      <c r="AT83" s="6">
        <f>AT$1*'survival matrix'!AT83</f>
        <v>73505.838494516182</v>
      </c>
      <c r="AU83" s="6">
        <f>AU$1*'survival matrix'!AU83</f>
        <v>80534.600897983852</v>
      </c>
      <c r="AV83" s="6">
        <f>AV$1*'survival matrix'!AV83</f>
        <v>87286.179861893601</v>
      </c>
      <c r="AW83" s="6">
        <f>AW$1*'survival matrix'!AW83</f>
        <v>94460.898413773655</v>
      </c>
      <c r="AX83" s="6">
        <f>AX$1*'survival matrix'!AX83</f>
        <v>101778.53263498656</v>
      </c>
      <c r="AY83" s="6">
        <f>AY$1*'survival matrix'!AY83</f>
        <v>109946.46770918423</v>
      </c>
      <c r="AZ83" s="6">
        <f>AZ$1*'survival matrix'!AZ83</f>
        <v>117948.91723796616</v>
      </c>
      <c r="BA83" s="6">
        <f>BA$1*'survival matrix'!BA83</f>
        <v>125560.42286815459</v>
      </c>
      <c r="BB83" s="6">
        <f>BB$1*'survival matrix'!BB83</f>
        <v>133752.00622521844</v>
      </c>
      <c r="BC83" s="6">
        <f>BC$1*'survival matrix'!BC83</f>
        <v>142115.23947609149</v>
      </c>
      <c r="BD83" s="6">
        <f>BD$1*'survival matrix'!BD83</f>
        <v>150869.205841552</v>
      </c>
      <c r="BE83" s="6">
        <f>BE$1*'survival matrix'!BE83</f>
        <v>159459.24300017618</v>
      </c>
      <c r="BF83" s="6">
        <f>BF$1*'survival matrix'!BF83</f>
        <v>167219.19634759089</v>
      </c>
      <c r="BG83" s="6">
        <f>BG$1*'survival matrix'!BG83</f>
        <v>174871.13408200591</v>
      </c>
      <c r="BH83" s="6">
        <f>BH$1*'survival matrix'!BH83</f>
        <v>182345.09142755039</v>
      </c>
      <c r="BI83" s="6">
        <f>BI$1*'survival matrix'!BI83</f>
        <v>190114.12421458666</v>
      </c>
      <c r="BJ83" s="6">
        <f>BJ$1*'survival matrix'!BJ83</f>
        <v>198113.53682728997</v>
      </c>
      <c r="BK83" s="6">
        <f>BK$1*'survival matrix'!BK83</f>
        <v>206044.55417447875</v>
      </c>
      <c r="BL83" s="6">
        <f>BL$1*'survival matrix'!BL83</f>
        <v>214553.46553426102</v>
      </c>
      <c r="BM83" s="6">
        <f>BM$1*'survival matrix'!BM83</f>
        <v>223758.09563596261</v>
      </c>
      <c r="BN83" s="6">
        <f>BN$1*'survival matrix'!BN83</f>
        <v>234025.54466723604</v>
      </c>
      <c r="BO83" s="6">
        <f>BO$1*'survival matrix'!BO83</f>
        <v>246750.12346639391</v>
      </c>
      <c r="BP83" s="6">
        <f>BP$1*'survival matrix'!BP83</f>
        <v>259269.9387745969</v>
      </c>
      <c r="BQ83" s="6">
        <f>BQ$1*'survival matrix'!BQ83</f>
        <v>273111.82592488069</v>
      </c>
      <c r="BR83" s="6">
        <f>BR$1*'survival matrix'!BR83</f>
        <v>283736.19758948393</v>
      </c>
      <c r="BS83" s="6">
        <f>BS$1*'survival matrix'!BS83</f>
        <v>299470.44201641431</v>
      </c>
      <c r="BT83" s="6">
        <f>BT$1*'survival matrix'!BT83</f>
        <v>313862.90072107606</v>
      </c>
      <c r="BU83" s="6">
        <f>BU$1*'survival matrix'!BU83</f>
        <v>318453.04110899952</v>
      </c>
      <c r="BV83" s="6">
        <f>BV$1*'survival matrix'!BV83</f>
        <v>324630.43875155493</v>
      </c>
      <c r="BW83" s="6">
        <f>BW$1*'survival matrix'!BW83</f>
        <v>331642.7526395045</v>
      </c>
      <c r="BX83" s="6">
        <f>BX$1*'survival matrix'!BX83</f>
        <v>339152.40123534808</v>
      </c>
      <c r="BY83" s="6">
        <f>BY$1*'survival matrix'!BY83</f>
        <v>347567.25008572888</v>
      </c>
      <c r="BZ83" s="6">
        <f>BZ$1*'survival matrix'!BZ83</f>
        <v>359926.72208685498</v>
      </c>
      <c r="CA83" s="6">
        <f>CA$1*'survival matrix'!CA83</f>
        <v>378102.26780283439</v>
      </c>
      <c r="CB83" s="6">
        <f>CB$1*'survival matrix'!CB83</f>
        <v>395381.20917617559</v>
      </c>
      <c r="CC83" s="6">
        <f>CC$1*'survival matrix'!CC83</f>
        <v>415208.44986933231</v>
      </c>
      <c r="CD83" s="6">
        <f>CD$1*'survival matrix'!CD83</f>
        <v>433051.49306970503</v>
      </c>
      <c r="CE83" s="6">
        <f>CE$1*'survival matrix'!CE83</f>
        <v>452390.31791419408</v>
      </c>
      <c r="CF83" s="6">
        <f>CF$1*'survival matrix'!CF83</f>
        <v>472950.75971067988</v>
      </c>
      <c r="CG83" s="6">
        <f>CG$1*'survival matrix'!CG83</f>
        <v>494746.60731041833</v>
      </c>
      <c r="CH83" s="6">
        <f>CH$1*'survival matrix'!CH83</f>
        <v>514042.01943372493</v>
      </c>
      <c r="CI83" s="6">
        <f>CI$1*'survival matrix'!CI83</f>
        <v>0</v>
      </c>
      <c r="CJ83" s="6">
        <f>CJ$1*'survival matrix'!CJ83</f>
        <v>0</v>
      </c>
      <c r="CK83" s="6">
        <f>CK$1*'survival matrix'!CK83</f>
        <v>0</v>
      </c>
      <c r="CL83" s="6">
        <f>CL$1*'survival matrix'!CL83</f>
        <v>0</v>
      </c>
      <c r="CM83" s="6">
        <f>CM$1*'survival matrix'!CM83</f>
        <v>0</v>
      </c>
      <c r="CN83" s="6">
        <f>CN$1*'survival matrix'!CN83</f>
        <v>0</v>
      </c>
      <c r="CO83" s="6">
        <f>CO$1*'survival matrix'!CO83</f>
        <v>0</v>
      </c>
      <c r="CP83" s="6">
        <f>CP$1*'survival matrix'!CP83</f>
        <v>0</v>
      </c>
      <c r="CQ83" s="6">
        <f>CQ$1*'survival matrix'!CQ83</f>
        <v>0</v>
      </c>
      <c r="CR83" s="6">
        <f>CR$1*'survival matrix'!CR83</f>
        <v>0</v>
      </c>
      <c r="CS83" s="6">
        <f>CS$1*'survival matrix'!CS83</f>
        <v>0</v>
      </c>
      <c r="CT83" s="6">
        <f>CT$1*'survival matrix'!CT83</f>
        <v>0</v>
      </c>
      <c r="CU83" s="6">
        <f>CU$1*'survival matrix'!CU83</f>
        <v>0</v>
      </c>
      <c r="CV83" s="6">
        <f>CV$1*'survival matrix'!CV83</f>
        <v>0</v>
      </c>
      <c r="CW83" s="6">
        <f>CW$1*'survival matrix'!CW83</f>
        <v>0</v>
      </c>
      <c r="CX83" s="6">
        <f>CX$1*'survival matrix'!CX83</f>
        <v>0</v>
      </c>
      <c r="CY83" s="6">
        <f>CY$1*'survival matrix'!CY83</f>
        <v>0</v>
      </c>
      <c r="CZ83" s="6">
        <f>CZ$1*'survival matrix'!CZ83</f>
        <v>0</v>
      </c>
      <c r="DA83" s="6">
        <f>DA$1*'survival matrix'!DA83</f>
        <v>0</v>
      </c>
      <c r="DB83" s="6">
        <f>DB$1*'survival matrix'!DB83</f>
        <v>0</v>
      </c>
      <c r="DC83" s="6">
        <f>DC$1*'survival matrix'!DC83</f>
        <v>0</v>
      </c>
      <c r="DD83" s="6">
        <f>DD$1*'survival matrix'!DD83</f>
        <v>0</v>
      </c>
      <c r="DE83" s="6">
        <f>DE$1*'survival matrix'!DE83</f>
        <v>0</v>
      </c>
      <c r="DF83" s="6">
        <f>DF$1*'survival matrix'!DF83</f>
        <v>0</v>
      </c>
      <c r="DG83" s="6">
        <f>DG$1*'survival matrix'!DG83</f>
        <v>0</v>
      </c>
      <c r="DH83" s="6">
        <f>DH$1*'survival matrix'!DH83</f>
        <v>0</v>
      </c>
      <c r="DI83" s="6">
        <f>DI$1*'survival matrix'!DI83</f>
        <v>0</v>
      </c>
      <c r="DJ83" s="6">
        <f>DJ$1*'survival matrix'!DJ83</f>
        <v>0</v>
      </c>
      <c r="DK83" s="6">
        <f>DK$1*'survival matrix'!DK83</f>
        <v>0</v>
      </c>
      <c r="DL83" s="6">
        <f>DL$1*'survival matrix'!DL83</f>
        <v>0</v>
      </c>
      <c r="DM83" s="6">
        <f>DM$1*'survival matrix'!DM83</f>
        <v>0</v>
      </c>
      <c r="DN83" s="6">
        <f>DN$1*'survival matrix'!DN83</f>
        <v>0</v>
      </c>
      <c r="DO83" s="6">
        <f>DO$1*'survival matrix'!DO83</f>
        <v>0</v>
      </c>
      <c r="DP83" s="6">
        <f>DP$1*'survival matrix'!DP83</f>
        <v>0</v>
      </c>
      <c r="DQ83" s="6">
        <f>DQ$1*'survival matrix'!DQ83</f>
        <v>0</v>
      </c>
      <c r="DR83" s="6">
        <f>DR$1*'survival matrix'!DR83</f>
        <v>0</v>
      </c>
      <c r="DS83" s="6">
        <f>DS$1*'survival matrix'!DS83</f>
        <v>0</v>
      </c>
      <c r="DT83" s="6">
        <f>DT$1*'survival matrix'!DT83</f>
        <v>0</v>
      </c>
      <c r="DU83" s="6">
        <f>DU$1*'survival matrix'!DU83</f>
        <v>0</v>
      </c>
      <c r="DV83" s="6">
        <f>DV$1*'survival matrix'!DV83</f>
        <v>0</v>
      </c>
      <c r="DW83" s="6">
        <f>DW$1*'survival matrix'!DW83</f>
        <v>0</v>
      </c>
      <c r="DX83" s="6">
        <f>DX$1*'survival matrix'!DX83</f>
        <v>0</v>
      </c>
      <c r="DY83" s="6">
        <f>DY$1*'survival matrix'!DY83</f>
        <v>0</v>
      </c>
      <c r="DZ83" s="6">
        <f>DZ$1*'survival matrix'!DZ83</f>
        <v>0</v>
      </c>
      <c r="EA83" s="6">
        <f>EA$1*'survival matrix'!EA83</f>
        <v>0</v>
      </c>
      <c r="EB83" s="6">
        <f>EB$1*'survival matrix'!EB83</f>
        <v>0</v>
      </c>
      <c r="EC83" s="6">
        <f>EC$1*'survival matrix'!EC83</f>
        <v>0</v>
      </c>
    </row>
    <row r="84" spans="1:133">
      <c r="A84" s="12">
        <f>'data input'!C84-B84</f>
        <v>158881.46412888647</v>
      </c>
      <c r="B84" s="14">
        <f t="shared" si="3"/>
        <v>375756.30526040867</v>
      </c>
      <c r="C84" s="11">
        <f>SUM(F84:EC84)</f>
        <v>11387795.39526693</v>
      </c>
      <c r="E84" s="7">
        <f>'data input'!B84</f>
        <v>1959</v>
      </c>
      <c r="F84" s="6">
        <f>F$1*'survival matrix'!F84</f>
        <v>3.4212413406489515</v>
      </c>
      <c r="G84" s="6">
        <f>G$1*'survival matrix'!G84</f>
        <v>8.8103309365768787</v>
      </c>
      <c r="H84" s="6">
        <f>H$1*'survival matrix'!H84</f>
        <v>16.909166882543399</v>
      </c>
      <c r="I84" s="6">
        <f>I$1*'survival matrix'!I84</f>
        <v>28.713982154124221</v>
      </c>
      <c r="J84" s="6">
        <f>J$1*'survival matrix'!J84</f>
        <v>45.479198496473323</v>
      </c>
      <c r="K84" s="6">
        <f>K$1*'survival matrix'!K84</f>
        <v>68.799614412288165</v>
      </c>
      <c r="L84" s="6">
        <f>L$1*'survival matrix'!L84</f>
        <v>100.69878032245711</v>
      </c>
      <c r="M84" s="6">
        <f>M$1*'survival matrix'!M84</f>
        <v>143.64237387061192</v>
      </c>
      <c r="N84" s="6">
        <f>N$1*'survival matrix'!N84</f>
        <v>200.58804905381203</v>
      </c>
      <c r="O84" s="6">
        <f>O$1*'survival matrix'!O84</f>
        <v>275.10794908695817</v>
      </c>
      <c r="P84" s="6">
        <f>P$1*'survival matrix'!P84</f>
        <v>371.64716318423444</v>
      </c>
      <c r="Q84" s="6">
        <f>Q$1*'survival matrix'!Q84</f>
        <v>495.51061533123396</v>
      </c>
      <c r="R84" s="6">
        <f>R$1*'survival matrix'!R84</f>
        <v>652.83196399245344</v>
      </c>
      <c r="S84" s="6">
        <f>S$1*'survival matrix'!S84</f>
        <v>850.62989382950025</v>
      </c>
      <c r="T84" s="6">
        <f>T$1*'survival matrix'!T84</f>
        <v>1096.8761329871979</v>
      </c>
      <c r="U84" s="6">
        <f>U$1*'survival matrix'!U84</f>
        <v>1400.9506692883497</v>
      </c>
      <c r="V84" s="6">
        <f>V$1*'survival matrix'!V84</f>
        <v>1773.06715762574</v>
      </c>
      <c r="W84" s="6">
        <f>W$1*'survival matrix'!W84</f>
        <v>2225.1183099654349</v>
      </c>
      <c r="X84" s="6">
        <f>X$1*'survival matrix'!X84</f>
        <v>2769.9823442638767</v>
      </c>
      <c r="Y84" s="6">
        <f>Y$1*'survival matrix'!Y84</f>
        <v>3421.4924940566489</v>
      </c>
      <c r="Z84" s="6">
        <f>Z$1*'survival matrix'!Z84</f>
        <v>4194.9732895669322</v>
      </c>
      <c r="AA84" s="6">
        <f>AA$1*'survival matrix'!AA84</f>
        <v>5106.6010201404988</v>
      </c>
      <c r="AB84" s="6">
        <f>AB$1*'survival matrix'!AB84</f>
        <v>6172.6531860200375</v>
      </c>
      <c r="AC84" s="6">
        <f>AC$1*'survival matrix'!AC84</f>
        <v>7440.6655401642183</v>
      </c>
      <c r="AD84" s="6">
        <f>AD$1*'survival matrix'!AD84</f>
        <v>8982.7253113598308</v>
      </c>
      <c r="AE84" s="6">
        <f>AE$1*'survival matrix'!AE84</f>
        <v>10755.225156966359</v>
      </c>
      <c r="AF84" s="6">
        <f>AF$1*'survival matrix'!AF84</f>
        <v>12664.508706904588</v>
      </c>
      <c r="AG84" s="6">
        <f>AG$1*'survival matrix'!AG84</f>
        <v>14864.691142200154</v>
      </c>
      <c r="AH84" s="6">
        <f>AH$1*'survival matrix'!AH84</f>
        <v>17282.081761645695</v>
      </c>
      <c r="AI84" s="6">
        <f>AI$1*'survival matrix'!AI84</f>
        <v>20396.158637225672</v>
      </c>
      <c r="AJ84" s="6">
        <f>AJ$1*'survival matrix'!AJ84</f>
        <v>23523.444547976811</v>
      </c>
      <c r="AK84" s="6">
        <f>AK$1*'survival matrix'!AK84</f>
        <v>26851.923435327117</v>
      </c>
      <c r="AL84" s="6">
        <f>AL$1*'survival matrix'!AL84</f>
        <v>30529.625749736086</v>
      </c>
      <c r="AM84" s="6">
        <f>AM$1*'survival matrix'!AM84</f>
        <v>34578.194624263109</v>
      </c>
      <c r="AN84" s="6">
        <f>AN$1*'survival matrix'!AN84</f>
        <v>38569.114911932069</v>
      </c>
      <c r="AO84" s="6">
        <f>AO$1*'survival matrix'!AO84</f>
        <v>42774.856873888195</v>
      </c>
      <c r="AP84" s="6">
        <f>AP$1*'survival matrix'!AP84</f>
        <v>47022.504126249485</v>
      </c>
      <c r="AQ84" s="6">
        <f>AQ$1*'survival matrix'!AQ84</f>
        <v>51763.958662530524</v>
      </c>
      <c r="AR84" s="6">
        <f>AR$1*'survival matrix'!AR84</f>
        <v>57064.951159312033</v>
      </c>
      <c r="AS84" s="6">
        <f>AS$1*'survival matrix'!AS84</f>
        <v>62617.601311511266</v>
      </c>
      <c r="AT84" s="6">
        <f>AT$1*'survival matrix'!AT84</f>
        <v>69111.270762663888</v>
      </c>
      <c r="AU84" s="6">
        <f>AU$1*'survival matrix'!AU84</f>
        <v>75991.431285036626</v>
      </c>
      <c r="AV84" s="6">
        <f>AV$1*'survival matrix'!AV84</f>
        <v>82649.825527129447</v>
      </c>
      <c r="AW84" s="6">
        <f>AW$1*'survival matrix'!AW84</f>
        <v>89747.130648220962</v>
      </c>
      <c r="AX84" s="6">
        <f>AX$1*'survival matrix'!AX84</f>
        <v>97018.129600537533</v>
      </c>
      <c r="AY84" s="6">
        <f>AY$1*'survival matrix'!AY84</f>
        <v>105138.2805739394</v>
      </c>
      <c r="AZ84" s="6">
        <f>AZ$1*'survival matrix'!AZ84</f>
        <v>113138.298738887</v>
      </c>
      <c r="BA84" s="6">
        <f>BA$1*'survival matrix'!BA84</f>
        <v>120797.06963841814</v>
      </c>
      <c r="BB84" s="6">
        <f>BB$1*'survival matrix'!BB84</f>
        <v>129045.37542273507</v>
      </c>
      <c r="BC84" s="6">
        <f>BC$1*'survival matrix'!BC84</f>
        <v>137489.8699361404</v>
      </c>
      <c r="BD84" s="6">
        <f>BD$1*'survival matrix'!BD84</f>
        <v>146341.30554233334</v>
      </c>
      <c r="BE84" s="6">
        <f>BE$1*'survival matrix'!BE84</f>
        <v>155059.99544025696</v>
      </c>
      <c r="BF84" s="6">
        <f>BF$1*'survival matrix'!BF84</f>
        <v>162992.15944358023</v>
      </c>
      <c r="BG84" s="6">
        <f>BG$1*'survival matrix'!BG84</f>
        <v>170834.4549082366</v>
      </c>
      <c r="BH84" s="6">
        <f>BH$1*'survival matrix'!BH84</f>
        <v>178514.75151795085</v>
      </c>
      <c r="BI84" s="6">
        <f>BI$1*'survival matrix'!BI84</f>
        <v>186493.18249062539</v>
      </c>
      <c r="BJ84" s="6">
        <f>BJ$1*'survival matrix'!BJ84</f>
        <v>194705.07836620376</v>
      </c>
      <c r="BK84" s="6">
        <f>BK$1*'survival matrix'!BK84</f>
        <v>202854.77294949433</v>
      </c>
      <c r="BL84" s="6">
        <f>BL$1*'survival matrix'!BL84</f>
        <v>211576.61200889078</v>
      </c>
      <c r="BM84" s="6">
        <f>BM$1*'survival matrix'!BM84</f>
        <v>220987.09179933002</v>
      </c>
      <c r="BN84" s="6">
        <f>BN$1*'survival matrix'!BN84</f>
        <v>231449.68915804528</v>
      </c>
      <c r="BO84" s="6">
        <f>BO$1*'survival matrix'!BO84</f>
        <v>244346.70450448917</v>
      </c>
      <c r="BP84" s="6">
        <f>BP$1*'survival matrix'!BP84</f>
        <v>257045.07008109346</v>
      </c>
      <c r="BQ84" s="6">
        <f>BQ$1*'survival matrix'!BQ84</f>
        <v>271056.44088772475</v>
      </c>
      <c r="BR84" s="6">
        <f>BR$1*'survival matrix'!BR84</f>
        <v>281872.20400675409</v>
      </c>
      <c r="BS84" s="6">
        <f>BS$1*'survival matrix'!BS84</f>
        <v>297761.23158479691</v>
      </c>
      <c r="BT84" s="6">
        <f>BT$1*'survival matrix'!BT84</f>
        <v>312314.12280997384</v>
      </c>
      <c r="BU84" s="6">
        <f>BU$1*'survival matrix'!BU84</f>
        <v>317101.0896927822</v>
      </c>
      <c r="BV84" s="6">
        <f>BV$1*'survival matrix'!BV84</f>
        <v>323450.67195795866</v>
      </c>
      <c r="BW84" s="6">
        <f>BW$1*'survival matrix'!BW84</f>
        <v>330616.24595295754</v>
      </c>
      <c r="BX84" s="6">
        <f>BX$1*'survival matrix'!BX84</f>
        <v>338262.92454621365</v>
      </c>
      <c r="BY84" s="6">
        <f>BY$1*'survival matrix'!BY84</f>
        <v>346798.89050517388</v>
      </c>
      <c r="BZ84" s="6">
        <f>BZ$1*'survival matrix'!BZ84</f>
        <v>359259.547715083</v>
      </c>
      <c r="CA84" s="6">
        <f>CA$1*'survival matrix'!CA84</f>
        <v>377517.71169021644</v>
      </c>
      <c r="CB84" s="6">
        <f>CB$1*'survival matrix'!CB84</f>
        <v>394874.10472221626</v>
      </c>
      <c r="CC84" s="6">
        <f>CC$1*'survival matrix'!CC84</f>
        <v>414769.04201407649</v>
      </c>
      <c r="CD84" s="6">
        <f>CD$1*'survival matrix'!CD84</f>
        <v>432675.39409399917</v>
      </c>
      <c r="CE84" s="6">
        <f>CE$1*'survival matrix'!CE84</f>
        <v>452069.64335168462</v>
      </c>
      <c r="CF84" s="6">
        <f>CF$1*'survival matrix'!CF84</f>
        <v>472678.63249922032</v>
      </c>
      <c r="CG84" s="6">
        <f>CG$1*'survival matrix'!CG84</f>
        <v>494516.80725550395</v>
      </c>
      <c r="CH84" s="6">
        <f>CH$1*'survival matrix'!CH84</f>
        <v>513850.34013359057</v>
      </c>
      <c r="CI84" s="6">
        <f>CI$1*'survival matrix'!CI84</f>
        <v>533916.06291676138</v>
      </c>
      <c r="CJ84" s="6">
        <f>CJ$1*'survival matrix'!CJ84</f>
        <v>0</v>
      </c>
      <c r="CK84" s="6">
        <f>CK$1*'survival matrix'!CK84</f>
        <v>0</v>
      </c>
      <c r="CL84" s="6">
        <f>CL$1*'survival matrix'!CL84</f>
        <v>0</v>
      </c>
      <c r="CM84" s="6">
        <f>CM$1*'survival matrix'!CM84</f>
        <v>0</v>
      </c>
      <c r="CN84" s="6">
        <f>CN$1*'survival matrix'!CN84</f>
        <v>0</v>
      </c>
      <c r="CO84" s="6">
        <f>CO$1*'survival matrix'!CO84</f>
        <v>0</v>
      </c>
      <c r="CP84" s="6">
        <f>CP$1*'survival matrix'!CP84</f>
        <v>0</v>
      </c>
      <c r="CQ84" s="6">
        <f>CQ$1*'survival matrix'!CQ84</f>
        <v>0</v>
      </c>
      <c r="CR84" s="6">
        <f>CR$1*'survival matrix'!CR84</f>
        <v>0</v>
      </c>
      <c r="CS84" s="6">
        <f>CS$1*'survival matrix'!CS84</f>
        <v>0</v>
      </c>
      <c r="CT84" s="6">
        <f>CT$1*'survival matrix'!CT84</f>
        <v>0</v>
      </c>
      <c r="CU84" s="6">
        <f>CU$1*'survival matrix'!CU84</f>
        <v>0</v>
      </c>
      <c r="CV84" s="6">
        <f>CV$1*'survival matrix'!CV84</f>
        <v>0</v>
      </c>
      <c r="CW84" s="6">
        <f>CW$1*'survival matrix'!CW84</f>
        <v>0</v>
      </c>
      <c r="CX84" s="6">
        <f>CX$1*'survival matrix'!CX84</f>
        <v>0</v>
      </c>
      <c r="CY84" s="6">
        <f>CY$1*'survival matrix'!CY84</f>
        <v>0</v>
      </c>
      <c r="CZ84" s="6">
        <f>CZ$1*'survival matrix'!CZ84</f>
        <v>0</v>
      </c>
      <c r="DA84" s="6">
        <f>DA$1*'survival matrix'!DA84</f>
        <v>0</v>
      </c>
      <c r="DB84" s="6">
        <f>DB$1*'survival matrix'!DB84</f>
        <v>0</v>
      </c>
      <c r="DC84" s="6">
        <f>DC$1*'survival matrix'!DC84</f>
        <v>0</v>
      </c>
      <c r="DD84" s="6">
        <f>DD$1*'survival matrix'!DD84</f>
        <v>0</v>
      </c>
      <c r="DE84" s="6">
        <f>DE$1*'survival matrix'!DE84</f>
        <v>0</v>
      </c>
      <c r="DF84" s="6">
        <f>DF$1*'survival matrix'!DF84</f>
        <v>0</v>
      </c>
      <c r="DG84" s="6">
        <f>DG$1*'survival matrix'!DG84</f>
        <v>0</v>
      </c>
      <c r="DH84" s="6">
        <f>DH$1*'survival matrix'!DH84</f>
        <v>0</v>
      </c>
      <c r="DI84" s="6">
        <f>DI$1*'survival matrix'!DI84</f>
        <v>0</v>
      </c>
      <c r="DJ84" s="6">
        <f>DJ$1*'survival matrix'!DJ84</f>
        <v>0</v>
      </c>
      <c r="DK84" s="6">
        <f>DK$1*'survival matrix'!DK84</f>
        <v>0</v>
      </c>
      <c r="DL84" s="6">
        <f>DL$1*'survival matrix'!DL84</f>
        <v>0</v>
      </c>
      <c r="DM84" s="6">
        <f>DM$1*'survival matrix'!DM84</f>
        <v>0</v>
      </c>
      <c r="DN84" s="6">
        <f>DN$1*'survival matrix'!DN84</f>
        <v>0</v>
      </c>
      <c r="DO84" s="6">
        <f>DO$1*'survival matrix'!DO84</f>
        <v>0</v>
      </c>
      <c r="DP84" s="6">
        <f>DP$1*'survival matrix'!DP84</f>
        <v>0</v>
      </c>
      <c r="DQ84" s="6">
        <f>DQ$1*'survival matrix'!DQ84</f>
        <v>0</v>
      </c>
      <c r="DR84" s="6">
        <f>DR$1*'survival matrix'!DR84</f>
        <v>0</v>
      </c>
      <c r="DS84" s="6">
        <f>DS$1*'survival matrix'!DS84</f>
        <v>0</v>
      </c>
      <c r="DT84" s="6">
        <f>DT$1*'survival matrix'!DT84</f>
        <v>0</v>
      </c>
      <c r="DU84" s="6">
        <f>DU$1*'survival matrix'!DU84</f>
        <v>0</v>
      </c>
      <c r="DV84" s="6">
        <f>DV$1*'survival matrix'!DV84</f>
        <v>0</v>
      </c>
      <c r="DW84" s="6">
        <f>DW$1*'survival matrix'!DW84</f>
        <v>0</v>
      </c>
      <c r="DX84" s="6">
        <f>DX$1*'survival matrix'!DX84</f>
        <v>0</v>
      </c>
      <c r="DY84" s="6">
        <f>DY$1*'survival matrix'!DY84</f>
        <v>0</v>
      </c>
      <c r="DZ84" s="6">
        <f>DZ$1*'survival matrix'!DZ84</f>
        <v>0</v>
      </c>
      <c r="EA84" s="6">
        <f>EA$1*'survival matrix'!EA84</f>
        <v>0</v>
      </c>
      <c r="EB84" s="6">
        <f>EB$1*'survival matrix'!EB84</f>
        <v>0</v>
      </c>
      <c r="EC84" s="6">
        <f>EC$1*'survival matrix'!EC84</f>
        <v>0</v>
      </c>
    </row>
    <row r="85" spans="1:133">
      <c r="A85" s="12">
        <f>'data input'!C85-B85</f>
        <v>163692.02947780502</v>
      </c>
      <c r="B85" s="14">
        <f t="shared" si="3"/>
        <v>392437.46549613215</v>
      </c>
      <c r="C85" s="11">
        <f>SUM(F85:EC85)</f>
        <v>11780232.860763062</v>
      </c>
      <c r="E85" s="7">
        <f>'data input'!B85</f>
        <v>1960</v>
      </c>
      <c r="F85" s="6">
        <f>F$1*'survival matrix'!F85</f>
        <v>2.6535908780403559</v>
      </c>
      <c r="G85" s="6">
        <f>G$1*'survival matrix'!G85</f>
        <v>6.8693972337804858</v>
      </c>
      <c r="H85" s="6">
        <f>H$1*'survival matrix'!H85</f>
        <v>13.25315065058472</v>
      </c>
      <c r="I85" s="6">
        <f>I$1*'survival matrix'!I85</f>
        <v>22.623248508912965</v>
      </c>
      <c r="J85" s="6">
        <f>J$1*'survival matrix'!J85</f>
        <v>36.019093912223042</v>
      </c>
      <c r="K85" s="6">
        <f>K$1*'survival matrix'!K85</f>
        <v>54.771919677416754</v>
      </c>
      <c r="L85" s="6">
        <f>L$1*'survival matrix'!L85</f>
        <v>80.58261844656748</v>
      </c>
      <c r="M85" s="6">
        <f>M$1*'survival matrix'!M85</f>
        <v>115.54146004251939</v>
      </c>
      <c r="N85" s="6">
        <f>N$1*'survival matrix'!N85</f>
        <v>162.17765213338848</v>
      </c>
      <c r="O85" s="6">
        <f>O$1*'survival matrix'!O85</f>
        <v>223.5692006512466</v>
      </c>
      <c r="P85" s="6">
        <f>P$1*'survival matrix'!P85</f>
        <v>303.5668605394917</v>
      </c>
      <c r="Q85" s="6">
        <f>Q$1*'survival matrix'!Q85</f>
        <v>406.80157052718687</v>
      </c>
      <c r="R85" s="6">
        <f>R$1*'survival matrix'!R85</f>
        <v>538.67668883985539</v>
      </c>
      <c r="S85" s="6">
        <f>S$1*'survival matrix'!S85</f>
        <v>705.43185731352401</v>
      </c>
      <c r="T85" s="6">
        <f>T$1*'survival matrix'!T85</f>
        <v>914.21793234771872</v>
      </c>
      <c r="U85" s="6">
        <f>U$1*'survival matrix'!U85</f>
        <v>1173.4977901604275</v>
      </c>
      <c r="V85" s="6">
        <f>V$1*'survival matrix'!V85</f>
        <v>1492.5913935213287</v>
      </c>
      <c r="W85" s="6">
        <f>W$1*'survival matrix'!W85</f>
        <v>1882.4074706279141</v>
      </c>
      <c r="X85" s="6">
        <f>X$1*'survival matrix'!X85</f>
        <v>2354.8876265723957</v>
      </c>
      <c r="Y85" s="6">
        <f>Y$1*'survival matrix'!Y85</f>
        <v>2922.9990967525105</v>
      </c>
      <c r="Z85" s="6">
        <f>Z$1*'survival matrix'!Z85</f>
        <v>3601.2127183506</v>
      </c>
      <c r="AA85" s="6">
        <f>AA$1*'survival matrix'!AA85</f>
        <v>4404.9792997610075</v>
      </c>
      <c r="AB85" s="6">
        <f>AB$1*'survival matrix'!AB85</f>
        <v>5350.0930324067003</v>
      </c>
      <c r="AC85" s="6">
        <f>AC$1*'survival matrix'!AC85</f>
        <v>6479.8226431057028</v>
      </c>
      <c r="AD85" s="6">
        <f>AD$1*'survival matrix'!AD85</f>
        <v>7859.6802312873469</v>
      </c>
      <c r="AE85" s="6">
        <f>AE$1*'survival matrix'!AE85</f>
        <v>9454.6262484193685</v>
      </c>
      <c r="AF85" s="6">
        <f>AF$1*'survival matrix'!AF85</f>
        <v>11184.66741692056</v>
      </c>
      <c r="AG85" s="6">
        <f>AG$1*'survival matrix'!AG85</f>
        <v>13188.071628374257</v>
      </c>
      <c r="AH85" s="6">
        <f>AH$1*'survival matrix'!AH85</f>
        <v>15402.525899388709</v>
      </c>
      <c r="AI85" s="6">
        <f>AI$1*'survival matrix'!AI85</f>
        <v>18259.694569963769</v>
      </c>
      <c r="AJ85" s="6">
        <f>AJ$1*'survival matrix'!AJ85</f>
        <v>21153.046525493908</v>
      </c>
      <c r="AK85" s="6">
        <f>AK$1*'survival matrix'!AK85</f>
        <v>24252.179833189712</v>
      </c>
      <c r="AL85" s="6">
        <f>AL$1*'survival matrix'!AL85</f>
        <v>27693.351321535243</v>
      </c>
      <c r="AM85" s="6">
        <f>AM$1*'survival matrix'!AM85</f>
        <v>31499.889574621109</v>
      </c>
      <c r="AN85" s="6">
        <f>AN$1*'survival matrix'!AN85</f>
        <v>35283.510856670247</v>
      </c>
      <c r="AO85" s="6">
        <f>AO$1*'survival matrix'!AO85</f>
        <v>39293.205044658855</v>
      </c>
      <c r="AP85" s="6">
        <f>AP$1*'survival matrix'!AP85</f>
        <v>43371.193999743446</v>
      </c>
      <c r="AQ85" s="6">
        <f>AQ$1*'survival matrix'!AQ85</f>
        <v>47935.621829983669</v>
      </c>
      <c r="AR85" s="6">
        <f>AR$1*'survival matrix'!AR85</f>
        <v>53052.106577456703</v>
      </c>
      <c r="AS85" s="6">
        <f>AS$1*'survival matrix'!AS85</f>
        <v>58438.281454950979</v>
      </c>
      <c r="AT85" s="6">
        <f>AT$1*'survival matrix'!AT85</f>
        <v>64741.34156095059</v>
      </c>
      <c r="AU85" s="6">
        <f>AU$1*'survival matrix'!AU85</f>
        <v>71448.2616720894</v>
      </c>
      <c r="AV85" s="6">
        <f>AV$1*'survival matrix'!AV85</f>
        <v>77987.330504326834</v>
      </c>
      <c r="AW85" s="6">
        <f>AW$1*'survival matrix'!AW85</f>
        <v>84980.058714589686</v>
      </c>
      <c r="AX85" s="6">
        <f>AX$1*'survival matrix'!AX85</f>
        <v>92176.751425390466</v>
      </c>
      <c r="AY85" s="6">
        <f>AY$1*'survival matrix'!AY85</f>
        <v>100220.73483100846</v>
      </c>
      <c r="AZ85" s="6">
        <f>AZ$1*'survival matrix'!AZ85</f>
        <v>108190.52621072634</v>
      </c>
      <c r="BA85" s="6">
        <f>BA$1*'survival matrix'!BA85</f>
        <v>115870.28750726281</v>
      </c>
      <c r="BB85" s="6">
        <f>BB$1*'survival matrix'!BB85</f>
        <v>124149.81445088412</v>
      </c>
      <c r="BC85" s="6">
        <f>BC$1*'survival matrix'!BC85</f>
        <v>132651.70656847305</v>
      </c>
      <c r="BD85" s="6">
        <f>BD$1*'survival matrix'!BD85</f>
        <v>141578.39187038995</v>
      </c>
      <c r="BE85" s="6">
        <f>BE$1*'survival matrix'!BE85</f>
        <v>150406.32078322885</v>
      </c>
      <c r="BF85" s="6">
        <f>BF$1*'survival matrix'!BF85</f>
        <v>158495.44388023502</v>
      </c>
      <c r="BG85" s="6">
        <f>BG$1*'survival matrix'!BG85</f>
        <v>166516.02998366865</v>
      </c>
      <c r="BH85" s="6">
        <f>BH$1*'survival matrix'!BH85</f>
        <v>174393.96403952583</v>
      </c>
      <c r="BI85" s="6">
        <f>BI$1*'survival matrix'!BI85</f>
        <v>182575.70780474448</v>
      </c>
      <c r="BJ85" s="6">
        <f>BJ$1*'survival matrix'!BJ85</f>
        <v>190996.69665055824</v>
      </c>
      <c r="BK85" s="6">
        <f>BK$1*'survival matrix'!BK85</f>
        <v>199364.74355370301</v>
      </c>
      <c r="BL85" s="6">
        <f>BL$1*'survival matrix'!BL85</f>
        <v>208301.18884939159</v>
      </c>
      <c r="BM85" s="6">
        <f>BM$1*'survival matrix'!BM85</f>
        <v>217920.97398274738</v>
      </c>
      <c r="BN85" s="6">
        <f>BN$1*'survival matrix'!BN85</f>
        <v>228583.43319165651</v>
      </c>
      <c r="BO85" s="6">
        <f>BO$1*'survival matrix'!BO85</f>
        <v>241657.24679659042</v>
      </c>
      <c r="BP85" s="6">
        <f>BP$1*'survival matrix'!BP85</f>
        <v>254541.37530348508</v>
      </c>
      <c r="BQ85" s="6">
        <f>BQ$1*'survival matrix'!BQ85</f>
        <v>268730.42888512288</v>
      </c>
      <c r="BR85" s="6">
        <f>BR$1*'survival matrix'!BR85</f>
        <v>279750.89011438168</v>
      </c>
      <c r="BS85" s="6">
        <f>BS$1*'survival matrix'!BS85</f>
        <v>295805.10110312031</v>
      </c>
      <c r="BT85" s="6">
        <f>BT$1*'survival matrix'!BT85</f>
        <v>310531.60780430597</v>
      </c>
      <c r="BU85" s="6">
        <f>BU$1*'survival matrix'!BU85</f>
        <v>315536.33271712722</v>
      </c>
      <c r="BV85" s="6">
        <f>BV$1*'survival matrix'!BV85</f>
        <v>322077.5037429303</v>
      </c>
      <c r="BW85" s="6">
        <f>BW$1*'survival matrix'!BW85</f>
        <v>329414.72563373309</v>
      </c>
      <c r="BX85" s="6">
        <f>BX$1*'survival matrix'!BX85</f>
        <v>337215.92698304041</v>
      </c>
      <c r="BY85" s="6">
        <f>BY$1*'survival matrix'!BY85</f>
        <v>345889.35978152737</v>
      </c>
      <c r="BZ85" s="6">
        <f>BZ$1*'survival matrix'!BZ85</f>
        <v>358465.34021905262</v>
      </c>
      <c r="CA85" s="6">
        <f>CA$1*'survival matrix'!CA85</f>
        <v>376817.92996612168</v>
      </c>
      <c r="CB85" s="6">
        <f>CB$1*'survival matrix'!CB85</f>
        <v>394263.61890584906</v>
      </c>
      <c r="CC85" s="6">
        <f>CC$1*'survival matrix'!CC85</f>
        <v>414237.07128889195</v>
      </c>
      <c r="CD85" s="6">
        <f>CD$1*'survival matrix'!CD85</f>
        <v>432217.50127654657</v>
      </c>
      <c r="CE85" s="6">
        <f>CE$1*'survival matrix'!CE85</f>
        <v>451677.02738676307</v>
      </c>
      <c r="CF85" s="6">
        <f>CF$1*'survival matrix'!CF85</f>
        <v>472343.57666870847</v>
      </c>
      <c r="CG85" s="6">
        <f>CG$1*'survival matrix'!CG85</f>
        <v>494232.27133497671</v>
      </c>
      <c r="CH85" s="6">
        <f>CH$1*'survival matrix'!CH85</f>
        <v>513611.66677103349</v>
      </c>
      <c r="CI85" s="6">
        <f>CI$1*'survival matrix'!CI85</f>
        <v>533716.97285524639</v>
      </c>
      <c r="CJ85" s="6">
        <f>CJ$1*'survival matrix'!CJ85</f>
        <v>555378.7768633404</v>
      </c>
      <c r="CK85" s="6">
        <f>CK$1*'survival matrix'!CK85</f>
        <v>0</v>
      </c>
      <c r="CL85" s="6">
        <f>CL$1*'survival matrix'!CL85</f>
        <v>0</v>
      </c>
      <c r="CM85" s="6">
        <f>CM$1*'survival matrix'!CM85</f>
        <v>0</v>
      </c>
      <c r="CN85" s="6">
        <f>CN$1*'survival matrix'!CN85</f>
        <v>0</v>
      </c>
      <c r="CO85" s="6">
        <f>CO$1*'survival matrix'!CO85</f>
        <v>0</v>
      </c>
      <c r="CP85" s="6">
        <f>CP$1*'survival matrix'!CP85</f>
        <v>0</v>
      </c>
      <c r="CQ85" s="6">
        <f>CQ$1*'survival matrix'!CQ85</f>
        <v>0</v>
      </c>
      <c r="CR85" s="6">
        <f>CR$1*'survival matrix'!CR85</f>
        <v>0</v>
      </c>
      <c r="CS85" s="6">
        <f>CS$1*'survival matrix'!CS85</f>
        <v>0</v>
      </c>
      <c r="CT85" s="6">
        <f>CT$1*'survival matrix'!CT85</f>
        <v>0</v>
      </c>
      <c r="CU85" s="6">
        <f>CU$1*'survival matrix'!CU85</f>
        <v>0</v>
      </c>
      <c r="CV85" s="6">
        <f>CV$1*'survival matrix'!CV85</f>
        <v>0</v>
      </c>
      <c r="CW85" s="6">
        <f>CW$1*'survival matrix'!CW85</f>
        <v>0</v>
      </c>
      <c r="CX85" s="6">
        <f>CX$1*'survival matrix'!CX85</f>
        <v>0</v>
      </c>
      <c r="CY85" s="6">
        <f>CY$1*'survival matrix'!CY85</f>
        <v>0</v>
      </c>
      <c r="CZ85" s="6">
        <f>CZ$1*'survival matrix'!CZ85</f>
        <v>0</v>
      </c>
      <c r="DA85" s="6">
        <f>DA$1*'survival matrix'!DA85</f>
        <v>0</v>
      </c>
      <c r="DB85" s="6">
        <f>DB$1*'survival matrix'!DB85</f>
        <v>0</v>
      </c>
      <c r="DC85" s="6">
        <f>DC$1*'survival matrix'!DC85</f>
        <v>0</v>
      </c>
      <c r="DD85" s="6">
        <f>DD$1*'survival matrix'!DD85</f>
        <v>0</v>
      </c>
      <c r="DE85" s="6">
        <f>DE$1*'survival matrix'!DE85</f>
        <v>0</v>
      </c>
      <c r="DF85" s="6">
        <f>DF$1*'survival matrix'!DF85</f>
        <v>0</v>
      </c>
      <c r="DG85" s="6">
        <f>DG$1*'survival matrix'!DG85</f>
        <v>0</v>
      </c>
      <c r="DH85" s="6">
        <f>DH$1*'survival matrix'!DH85</f>
        <v>0</v>
      </c>
      <c r="DI85" s="6">
        <f>DI$1*'survival matrix'!DI85</f>
        <v>0</v>
      </c>
      <c r="DJ85" s="6">
        <f>DJ$1*'survival matrix'!DJ85</f>
        <v>0</v>
      </c>
      <c r="DK85" s="6">
        <f>DK$1*'survival matrix'!DK85</f>
        <v>0</v>
      </c>
      <c r="DL85" s="6">
        <f>DL$1*'survival matrix'!DL85</f>
        <v>0</v>
      </c>
      <c r="DM85" s="6">
        <f>DM$1*'survival matrix'!DM85</f>
        <v>0</v>
      </c>
      <c r="DN85" s="6">
        <f>DN$1*'survival matrix'!DN85</f>
        <v>0</v>
      </c>
      <c r="DO85" s="6">
        <f>DO$1*'survival matrix'!DO85</f>
        <v>0</v>
      </c>
      <c r="DP85" s="6">
        <f>DP$1*'survival matrix'!DP85</f>
        <v>0</v>
      </c>
      <c r="DQ85" s="6">
        <f>DQ$1*'survival matrix'!DQ85</f>
        <v>0</v>
      </c>
      <c r="DR85" s="6">
        <f>DR$1*'survival matrix'!DR85</f>
        <v>0</v>
      </c>
      <c r="DS85" s="6">
        <f>DS$1*'survival matrix'!DS85</f>
        <v>0</v>
      </c>
      <c r="DT85" s="6">
        <f>DT$1*'survival matrix'!DT85</f>
        <v>0</v>
      </c>
      <c r="DU85" s="6">
        <f>DU$1*'survival matrix'!DU85</f>
        <v>0</v>
      </c>
      <c r="DV85" s="6">
        <f>DV$1*'survival matrix'!DV85</f>
        <v>0</v>
      </c>
      <c r="DW85" s="6">
        <f>DW$1*'survival matrix'!DW85</f>
        <v>0</v>
      </c>
      <c r="DX85" s="6">
        <f>DX$1*'survival matrix'!DX85</f>
        <v>0</v>
      </c>
      <c r="DY85" s="6">
        <f>DY$1*'survival matrix'!DY85</f>
        <v>0</v>
      </c>
      <c r="DZ85" s="6">
        <f>DZ$1*'survival matrix'!DZ85</f>
        <v>0</v>
      </c>
      <c r="EA85" s="6">
        <f>EA$1*'survival matrix'!EA85</f>
        <v>0</v>
      </c>
      <c r="EB85" s="6">
        <f>EB$1*'survival matrix'!EB85</f>
        <v>0</v>
      </c>
      <c r="EC85" s="6">
        <f>EC$1*'survival matrix'!EC85</f>
        <v>0</v>
      </c>
    </row>
    <row r="86" spans="1:133">
      <c r="A86" s="12">
        <f>'data input'!C86-B86</f>
        <v>168624.76154920331</v>
      </c>
      <c r="B86" s="14">
        <f t="shared" si="3"/>
        <v>409583.36693424918</v>
      </c>
      <c r="C86" s="11">
        <f>SUM(F86:EC86)</f>
        <v>12189816.227697311</v>
      </c>
      <c r="E86" s="7">
        <f>'data input'!B86</f>
        <v>1961</v>
      </c>
      <c r="F86" s="6">
        <f>F$1*'survival matrix'!F86</f>
        <v>2.0473998759837588</v>
      </c>
      <c r="G86" s="6">
        <f>G$1*'survival matrix'!G86</f>
        <v>5.32805728161168</v>
      </c>
      <c r="H86" s="6">
        <f>H$1*'survival matrix'!H86</f>
        <v>10.333454789994006</v>
      </c>
      <c r="I86" s="6">
        <f>I$1*'survival matrix'!I86</f>
        <v>17.731761876676249</v>
      </c>
      <c r="J86" s="6">
        <f>J$1*'survival matrix'!J86</f>
        <v>28.378819359440726</v>
      </c>
      <c r="K86" s="6">
        <f>K$1*'survival matrix'!K86</f>
        <v>43.378840961029567</v>
      </c>
      <c r="L86" s="6">
        <f>L$1*'survival matrix'!L86</f>
        <v>64.152462810358415</v>
      </c>
      <c r="M86" s="6">
        <f>M$1*'survival matrix'!M86</f>
        <v>92.460239930922697</v>
      </c>
      <c r="N86" s="6">
        <f>N$1*'survival matrix'!N86</f>
        <v>130.4506616594785</v>
      </c>
      <c r="O86" s="6">
        <f>O$1*'survival matrix'!O86</f>
        <v>180.75816690968782</v>
      </c>
      <c r="P86" s="6">
        <f>P$1*'survival matrix'!P86</f>
        <v>246.69661701985331</v>
      </c>
      <c r="Q86" s="6">
        <f>Q$1*'survival matrix'!Q86</f>
        <v>332.28149670082382</v>
      </c>
      <c r="R86" s="6">
        <f>R$1*'survival matrix'!R86</f>
        <v>442.23981534674704</v>
      </c>
      <c r="S86" s="6">
        <f>S$1*'survival matrix'!S86</f>
        <v>582.07887796405623</v>
      </c>
      <c r="T86" s="6">
        <f>T$1*'survival matrix'!T86</f>
        <v>758.16575303036302</v>
      </c>
      <c r="U86" s="6">
        <f>U$1*'survival matrix'!U86</f>
        <v>978.08010501000172</v>
      </c>
      <c r="V86" s="6">
        <f>V$1*'survival matrix'!V86</f>
        <v>1250.2600843179584</v>
      </c>
      <c r="W86" s="6">
        <f>W$1*'survival matrix'!W86</f>
        <v>1584.6355157363666</v>
      </c>
      <c r="X86" s="6">
        <f>X$1*'survival matrix'!X86</f>
        <v>1992.189826894182</v>
      </c>
      <c r="Y86" s="6">
        <f>Y$1*'survival matrix'!Y86</f>
        <v>2484.9741081125994</v>
      </c>
      <c r="Z86" s="6">
        <f>Z$1*'survival matrix'!Z86</f>
        <v>3076.5350329534213</v>
      </c>
      <c r="AA86" s="6">
        <f>AA$1*'survival matrix'!AA86</f>
        <v>3781.4942750226905</v>
      </c>
      <c r="AB86" s="6">
        <f>AB$1*'survival matrix'!AB86</f>
        <v>4615.0167139743971</v>
      </c>
      <c r="AC86" s="6">
        <f>AC$1*'survival matrix'!AC86</f>
        <v>5616.3294663350061</v>
      </c>
      <c r="AD86" s="6">
        <f>AD$1*'survival matrix'!AD86</f>
        <v>6844.7282914885582</v>
      </c>
      <c r="AE86" s="6">
        <f>AE$1*'survival matrix'!AE86</f>
        <v>8272.5828123606352</v>
      </c>
      <c r="AF86" s="6">
        <f>AF$1*'survival matrix'!AF86</f>
        <v>9832.1372724925041</v>
      </c>
      <c r="AG86" s="6">
        <f>AG$1*'survival matrix'!AG86</f>
        <v>11647.052281899725</v>
      </c>
      <c r="AH86" s="6">
        <f>AH$1*'survival matrix'!AH86</f>
        <v>13665.24288166019</v>
      </c>
      <c r="AI86" s="6">
        <f>AI$1*'survival matrix'!AI86</f>
        <v>16273.815990904825</v>
      </c>
      <c r="AJ86" s="6">
        <f>AJ$1*'survival matrix'!AJ86</f>
        <v>18937.299696953636</v>
      </c>
      <c r="AK86" s="6">
        <f>AK$1*'survival matrix'!AK86</f>
        <v>21808.348998796158</v>
      </c>
      <c r="AL86" s="6">
        <f>AL$1*'survival matrix'!AL86</f>
        <v>25012.142539851269</v>
      </c>
      <c r="AM86" s="6">
        <f>AM$1*'survival matrix'!AM86</f>
        <v>28573.475342621539</v>
      </c>
      <c r="AN86" s="6">
        <f>AN$1*'survival matrix'!AN86</f>
        <v>32142.415411421818</v>
      </c>
      <c r="AO86" s="6">
        <f>AO$1*'survival matrix'!AO86</f>
        <v>35945.917606672425</v>
      </c>
      <c r="AP86" s="6">
        <f>AP$1*'survival matrix'!AP86</f>
        <v>39841.003416750587</v>
      </c>
      <c r="AQ86" s="6">
        <f>AQ$1*'survival matrix'!AQ86</f>
        <v>44213.407867531649</v>
      </c>
      <c r="AR86" s="6">
        <f>AR$1*'survival matrix'!AR86</f>
        <v>49128.501449441355</v>
      </c>
      <c r="AS86" s="6">
        <f>AS$1*'survival matrix'!AS86</f>
        <v>54328.863391054678</v>
      </c>
      <c r="AT86" s="6">
        <f>AT$1*'survival matrix'!AT86</f>
        <v>60420.275779781936</v>
      </c>
      <c r="AU86" s="6">
        <f>AU$1*'survival matrix'!AU86</f>
        <v>66930.56373878516</v>
      </c>
      <c r="AV86" s="6">
        <f>AV$1*'survival matrix'!AV86</f>
        <v>73324.83548152422</v>
      </c>
      <c r="AW86" s="6">
        <f>AW$1*'survival matrix'!AW86</f>
        <v>80186.109081094197</v>
      </c>
      <c r="AX86" s="6">
        <f>AX$1*'survival matrix'!AX86</f>
        <v>87280.626039770737</v>
      </c>
      <c r="AY86" s="6">
        <f>AY$1*'survival matrix'!AY86</f>
        <v>95219.540927293405</v>
      </c>
      <c r="AZ86" s="6">
        <f>AZ$1*'survival matrix'!AZ86</f>
        <v>103130.22030988123</v>
      </c>
      <c r="BA86" s="6">
        <f>BA$1*'survival matrix'!BA86</f>
        <v>110803.0394422938</v>
      </c>
      <c r="BB86" s="6">
        <f>BB$1*'survival matrix'!BB86</f>
        <v>119086.28857849547</v>
      </c>
      <c r="BC86" s="6">
        <f>BC$1*'survival matrix'!BC86</f>
        <v>127619.33314634397</v>
      </c>
      <c r="BD86" s="6">
        <f>BD$1*'survival matrix'!BD86</f>
        <v>136596.35654285111</v>
      </c>
      <c r="BE86" s="6">
        <f>BE$1*'survival matrix'!BE86</f>
        <v>145511.10463799699</v>
      </c>
      <c r="BF86" s="6">
        <f>BF$1*'survival matrix'!BF86</f>
        <v>153738.66423281105</v>
      </c>
      <c r="BG86" s="6">
        <f>BG$1*'survival matrix'!BG86</f>
        <v>161922.09598015479</v>
      </c>
      <c r="BH86" s="6">
        <f>BH$1*'survival matrix'!BH86</f>
        <v>169985.5603518328</v>
      </c>
      <c r="BI86" s="6">
        <f>BI$1*'survival matrix'!BI86</f>
        <v>178361.17828161584</v>
      </c>
      <c r="BJ86" s="6">
        <f>BJ$1*'survival matrix'!BJ86</f>
        <v>186984.62117293026</v>
      </c>
      <c r="BK86" s="6">
        <f>BK$1*'survival matrix'!BK86</f>
        <v>195567.61316582281</v>
      </c>
      <c r="BL86" s="6">
        <f>BL$1*'survival matrix'!BL86</f>
        <v>204717.45620316171</v>
      </c>
      <c r="BM86" s="6">
        <f>BM$1*'survival matrix'!BM86</f>
        <v>214547.33358673932</v>
      </c>
      <c r="BN86" s="6">
        <f>BN$1*'survival matrix'!BN86</f>
        <v>225411.9188222969</v>
      </c>
      <c r="BO86" s="6">
        <f>BO$1*'survival matrix'!BO86</f>
        <v>238664.58118545267</v>
      </c>
      <c r="BP86" s="6">
        <f>BP$1*'survival matrix'!BP86</f>
        <v>251739.70762731423</v>
      </c>
      <c r="BQ86" s="6">
        <f>BQ$1*'survival matrix'!BQ86</f>
        <v>266112.9152670952</v>
      </c>
      <c r="BR86" s="6">
        <f>BR$1*'survival matrix'!BR86</f>
        <v>277350.26858325879</v>
      </c>
      <c r="BS86" s="6">
        <f>BS$1*'survival matrix'!BS86</f>
        <v>293578.93101084104</v>
      </c>
      <c r="BT86" s="6">
        <f>BT$1*'survival matrix'!BT86</f>
        <v>308491.58284767543</v>
      </c>
      <c r="BU86" s="6">
        <f>BU$1*'survival matrix'!BU86</f>
        <v>313735.42713257921</v>
      </c>
      <c r="BV86" s="6">
        <f>BV$1*'survival matrix'!BV86</f>
        <v>320488.19031240389</v>
      </c>
      <c r="BW86" s="6">
        <f>BW$1*'survival matrix'!BW86</f>
        <v>328016.23779611522</v>
      </c>
      <c r="BX86" s="6">
        <f>BX$1*'survival matrix'!BX86</f>
        <v>335990.4222076523</v>
      </c>
      <c r="BY86" s="6">
        <f>BY$1*'survival matrix'!BY86</f>
        <v>344818.75673715107</v>
      </c>
      <c r="BZ86" s="6">
        <f>BZ$1*'survival matrix'!BZ86</f>
        <v>357525.21252770768</v>
      </c>
      <c r="CA86" s="6">
        <f>CA$1*'survival matrix'!CA86</f>
        <v>375984.90652521071</v>
      </c>
      <c r="CB86" s="6">
        <f>CB$1*'survival matrix'!CB86</f>
        <v>393532.79630748532</v>
      </c>
      <c r="CC86" s="6">
        <f>CC$1*'survival matrix'!CC86</f>
        <v>413596.64981376572</v>
      </c>
      <c r="CD86" s="6">
        <f>CD$1*'survival matrix'!CD86</f>
        <v>431663.1516643503</v>
      </c>
      <c r="CE86" s="6">
        <f>CE$1*'survival matrix'!CE86</f>
        <v>451199.02547246002</v>
      </c>
      <c r="CF86" s="6">
        <f>CF$1*'survival matrix'!CF86</f>
        <v>471933.35308511782</v>
      </c>
      <c r="CG86" s="6">
        <f>CG$1*'survival matrix'!CG86</f>
        <v>493881.93731784046</v>
      </c>
      <c r="CH86" s="6">
        <f>CH$1*'survival matrix'!CH86</f>
        <v>513316.14401780441</v>
      </c>
      <c r="CI86" s="6">
        <f>CI$1*'survival matrix'!CI86</f>
        <v>533469.07183306932</v>
      </c>
      <c r="CJ86" s="6">
        <f>CJ$1*'survival matrix'!CJ86</f>
        <v>555171.68364676659</v>
      </c>
      <c r="CK86" s="6">
        <f>CK$1*'survival matrix'!CK86</f>
        <v>577427.60646894015</v>
      </c>
      <c r="CL86" s="6">
        <f>CL$1*'survival matrix'!CL86</f>
        <v>0</v>
      </c>
      <c r="CM86" s="6">
        <f>CM$1*'survival matrix'!CM86</f>
        <v>0</v>
      </c>
      <c r="CN86" s="6">
        <f>CN$1*'survival matrix'!CN86</f>
        <v>0</v>
      </c>
      <c r="CO86" s="6">
        <f>CO$1*'survival matrix'!CO86</f>
        <v>0</v>
      </c>
      <c r="CP86" s="6">
        <f>CP$1*'survival matrix'!CP86</f>
        <v>0</v>
      </c>
      <c r="CQ86" s="6">
        <f>CQ$1*'survival matrix'!CQ86</f>
        <v>0</v>
      </c>
      <c r="CR86" s="6">
        <f>CR$1*'survival matrix'!CR86</f>
        <v>0</v>
      </c>
      <c r="CS86" s="6">
        <f>CS$1*'survival matrix'!CS86</f>
        <v>0</v>
      </c>
      <c r="CT86" s="6">
        <f>CT$1*'survival matrix'!CT86</f>
        <v>0</v>
      </c>
      <c r="CU86" s="6">
        <f>CU$1*'survival matrix'!CU86</f>
        <v>0</v>
      </c>
      <c r="CV86" s="6">
        <f>CV$1*'survival matrix'!CV86</f>
        <v>0</v>
      </c>
      <c r="CW86" s="6">
        <f>CW$1*'survival matrix'!CW86</f>
        <v>0</v>
      </c>
      <c r="CX86" s="6">
        <f>CX$1*'survival matrix'!CX86</f>
        <v>0</v>
      </c>
      <c r="CY86" s="6">
        <f>CY$1*'survival matrix'!CY86</f>
        <v>0</v>
      </c>
      <c r="CZ86" s="6">
        <f>CZ$1*'survival matrix'!CZ86</f>
        <v>0</v>
      </c>
      <c r="DA86" s="6">
        <f>DA$1*'survival matrix'!DA86</f>
        <v>0</v>
      </c>
      <c r="DB86" s="6">
        <f>DB$1*'survival matrix'!DB86</f>
        <v>0</v>
      </c>
      <c r="DC86" s="6">
        <f>DC$1*'survival matrix'!DC86</f>
        <v>0</v>
      </c>
      <c r="DD86" s="6">
        <f>DD$1*'survival matrix'!DD86</f>
        <v>0</v>
      </c>
      <c r="DE86" s="6">
        <f>DE$1*'survival matrix'!DE86</f>
        <v>0</v>
      </c>
      <c r="DF86" s="6">
        <f>DF$1*'survival matrix'!DF86</f>
        <v>0</v>
      </c>
      <c r="DG86" s="6">
        <f>DG$1*'survival matrix'!DG86</f>
        <v>0</v>
      </c>
      <c r="DH86" s="6">
        <f>DH$1*'survival matrix'!DH86</f>
        <v>0</v>
      </c>
      <c r="DI86" s="6">
        <f>DI$1*'survival matrix'!DI86</f>
        <v>0</v>
      </c>
      <c r="DJ86" s="6">
        <f>DJ$1*'survival matrix'!DJ86</f>
        <v>0</v>
      </c>
      <c r="DK86" s="6">
        <f>DK$1*'survival matrix'!DK86</f>
        <v>0</v>
      </c>
      <c r="DL86" s="6">
        <f>DL$1*'survival matrix'!DL86</f>
        <v>0</v>
      </c>
      <c r="DM86" s="6">
        <f>DM$1*'survival matrix'!DM86</f>
        <v>0</v>
      </c>
      <c r="DN86" s="6">
        <f>DN$1*'survival matrix'!DN86</f>
        <v>0</v>
      </c>
      <c r="DO86" s="6">
        <f>DO$1*'survival matrix'!DO86</f>
        <v>0</v>
      </c>
      <c r="DP86" s="6">
        <f>DP$1*'survival matrix'!DP86</f>
        <v>0</v>
      </c>
      <c r="DQ86" s="6">
        <f>DQ$1*'survival matrix'!DQ86</f>
        <v>0</v>
      </c>
      <c r="DR86" s="6">
        <f>DR$1*'survival matrix'!DR86</f>
        <v>0</v>
      </c>
      <c r="DS86" s="6">
        <f>DS$1*'survival matrix'!DS86</f>
        <v>0</v>
      </c>
      <c r="DT86" s="6">
        <f>DT$1*'survival matrix'!DT86</f>
        <v>0</v>
      </c>
      <c r="DU86" s="6">
        <f>DU$1*'survival matrix'!DU86</f>
        <v>0</v>
      </c>
      <c r="DV86" s="6">
        <f>DV$1*'survival matrix'!DV86</f>
        <v>0</v>
      </c>
      <c r="DW86" s="6">
        <f>DW$1*'survival matrix'!DW86</f>
        <v>0</v>
      </c>
      <c r="DX86" s="6">
        <f>DX$1*'survival matrix'!DX86</f>
        <v>0</v>
      </c>
      <c r="DY86" s="6">
        <f>DY$1*'survival matrix'!DY86</f>
        <v>0</v>
      </c>
      <c r="DZ86" s="6">
        <f>DZ$1*'survival matrix'!DZ86</f>
        <v>0</v>
      </c>
      <c r="EA86" s="6">
        <f>EA$1*'survival matrix'!EA86</f>
        <v>0</v>
      </c>
      <c r="EB86" s="6">
        <f>EB$1*'survival matrix'!EB86</f>
        <v>0</v>
      </c>
      <c r="EC86" s="6">
        <f>EC$1*'survival matrix'!EC86</f>
        <v>0</v>
      </c>
    </row>
    <row r="87" spans="1:133">
      <c r="A87" s="12">
        <f>'data input'!C87-B87</f>
        <v>173696.38830100407</v>
      </c>
      <c r="B87" s="14">
        <f t="shared" si="3"/>
        <v>432075.41677618586</v>
      </c>
      <c r="C87" s="11">
        <f>SUM(F87:EC87)</f>
        <v>12621891.644473497</v>
      </c>
      <c r="E87" s="7">
        <f>'data input'!B87</f>
        <v>1962</v>
      </c>
      <c r="F87" s="6">
        <f>F$1*'survival matrix'!F87</f>
        <v>1.5713924910792718</v>
      </c>
      <c r="G87" s="6">
        <f>G$1*'survival matrix'!G87</f>
        <v>4.1109064354570108</v>
      </c>
      <c r="H87" s="6">
        <f>H$1*'survival matrix'!H87</f>
        <v>8.0148573687494551</v>
      </c>
      <c r="I87" s="6">
        <f>I$1*'survival matrix'!I87</f>
        <v>13.825418915877885</v>
      </c>
      <c r="J87" s="6">
        <f>J$1*'survival matrix'!J87</f>
        <v>22.242891732571604</v>
      </c>
      <c r="K87" s="6">
        <f>K$1*'survival matrix'!K87</f>
        <v>34.177436407894035</v>
      </c>
      <c r="L87" s="6">
        <f>L$1*'survival matrix'!L87</f>
        <v>50.808142162968856</v>
      </c>
      <c r="M87" s="6">
        <f>M$1*'survival matrix'!M87</f>
        <v>73.608331647083588</v>
      </c>
      <c r="N87" s="6">
        <f>N$1*'survival matrix'!N87</f>
        <v>104.3910945191826</v>
      </c>
      <c r="O87" s="6">
        <f>O$1*'survival matrix'!O87</f>
        <v>145.39625012162</v>
      </c>
      <c r="P87" s="6">
        <f>P$1*'survival matrix'!P87</f>
        <v>199.45693836822926</v>
      </c>
      <c r="Q87" s="6">
        <f>Q$1*'survival matrix'!Q87</f>
        <v>270.03185060683774</v>
      </c>
      <c r="R87" s="6">
        <f>R$1*'survival matrix'!R87</f>
        <v>361.22797548121167</v>
      </c>
      <c r="S87" s="6">
        <f>S$1*'survival matrix'!S87</f>
        <v>477.87190506139484</v>
      </c>
      <c r="T87" s="6">
        <f>T$1*'survival matrix'!T87</f>
        <v>625.59163760384229</v>
      </c>
      <c r="U87" s="6">
        <f>U$1*'survival matrix'!U87</f>
        <v>811.12698963870298</v>
      </c>
      <c r="V87" s="6">
        <f>V$1*'survival matrix'!V87</f>
        <v>1042.0594949670483</v>
      </c>
      <c r="W87" s="6">
        <f>W$1*'survival matrix'!W87</f>
        <v>1327.3602823366878</v>
      </c>
      <c r="X87" s="6">
        <f>X$1*'survival matrix'!X87</f>
        <v>1677.0517558199876</v>
      </c>
      <c r="Y87" s="6">
        <f>Y$1*'survival matrix'!Y87</f>
        <v>2102.2404986190418</v>
      </c>
      <c r="Z87" s="6">
        <f>Z$1*'survival matrix'!Z87</f>
        <v>2615.5019712747808</v>
      </c>
      <c r="AA87" s="6">
        <f>AA$1*'survival matrix'!AA87</f>
        <v>3230.5505183677619</v>
      </c>
      <c r="AB87" s="6">
        <f>AB$1*'survival matrix'!AB87</f>
        <v>3961.8027907588707</v>
      </c>
      <c r="AC87" s="6">
        <f>AC$1*'survival matrix'!AC87</f>
        <v>4844.673578818737</v>
      </c>
      <c r="AD87" s="6">
        <f>AD$1*'survival matrix'!AD87</f>
        <v>5932.6082378883029</v>
      </c>
      <c r="AE87" s="6">
        <f>AE$1*'survival matrix'!AE87</f>
        <v>7204.3111110351583</v>
      </c>
      <c r="AF87" s="6">
        <f>AF$1*'survival matrix'!AF87</f>
        <v>8602.896367562902</v>
      </c>
      <c r="AG87" s="6">
        <f>AG$1*'survival matrix'!AG87</f>
        <v>10238.607245691741</v>
      </c>
      <c r="AH87" s="6">
        <f>AH$1*'survival matrix'!AH87</f>
        <v>12068.466321120104</v>
      </c>
      <c r="AI87" s="6">
        <f>AI$1*'survival matrix'!AI87</f>
        <v>14438.258346703115</v>
      </c>
      <c r="AJ87" s="6">
        <f>AJ$1*'survival matrix'!AJ87</f>
        <v>16877.726483978789</v>
      </c>
      <c r="AK87" s="6">
        <f>AK$1*'survival matrix'!AK87</f>
        <v>19523.960314095639</v>
      </c>
      <c r="AL87" s="6">
        <f>AL$1*'survival matrix'!AL87</f>
        <v>22491.732185253637</v>
      </c>
      <c r="AM87" s="6">
        <f>AM$1*'survival matrix'!AM87</f>
        <v>25807.054907537113</v>
      </c>
      <c r="AN87" s="6">
        <f>AN$1*'survival matrix'!AN87</f>
        <v>29156.309009746965</v>
      </c>
      <c r="AO87" s="6">
        <f>AO$1*'survival matrix'!AO87</f>
        <v>32745.85175924985</v>
      </c>
      <c r="AP87" s="6">
        <f>AP$1*'survival matrix'!AP87</f>
        <v>36447.050439331368</v>
      </c>
      <c r="AQ87" s="6">
        <f>AQ$1*'survival matrix'!AQ87</f>
        <v>40614.665437316195</v>
      </c>
      <c r="AR87" s="6">
        <f>AR$1*'survival matrix'!AR87</f>
        <v>45313.660062840805</v>
      </c>
      <c r="AS87" s="6">
        <f>AS$1*'survival matrix'!AS87</f>
        <v>50310.832425796703</v>
      </c>
      <c r="AT87" s="6">
        <f>AT$1*'survival matrix'!AT87</f>
        <v>56171.482582356446</v>
      </c>
      <c r="AU87" s="6">
        <f>AU$1*'survival matrix'!AU87</f>
        <v>62463.381537846137</v>
      </c>
      <c r="AV87" s="6">
        <f>AV$1*'survival matrix'!AV87</f>
        <v>68688.481146760067</v>
      </c>
      <c r="AW87" s="6">
        <f>AW$1*'survival matrix'!AW87</f>
        <v>75392.159447598708</v>
      </c>
      <c r="AX87" s="6">
        <f>AX$1*'survival matrix'!AX87</f>
        <v>82356.895325252175</v>
      </c>
      <c r="AY87" s="6">
        <f>AY$1*'survival matrix'!AY87</f>
        <v>90161.792586937387</v>
      </c>
      <c r="AZ87" s="6">
        <f>AZ$1*'survival matrix'!AZ87</f>
        <v>97983.837877420883</v>
      </c>
      <c r="BA87" s="6">
        <f>BA$1*'survival matrix'!BA87</f>
        <v>105620.540623226</v>
      </c>
      <c r="BB87" s="6">
        <f>BB$1*'survival matrix'!BB87</f>
        <v>113878.39811454974</v>
      </c>
      <c r="BC87" s="6">
        <f>BC$1*'survival matrix'!BC87</f>
        <v>122414.30083871091</v>
      </c>
      <c r="BD87" s="6">
        <f>BD$1*'survival matrix'!BD87</f>
        <v>131414.33595669991</v>
      </c>
      <c r="BE87" s="6">
        <f>BE$1*'survival matrix'!BE87</f>
        <v>140390.68015599437</v>
      </c>
      <c r="BF87" s="6">
        <f>BF$1*'survival matrix'!BF87</f>
        <v>148734.99159871018</v>
      </c>
      <c r="BG87" s="6">
        <f>BG$1*'survival matrix'!BG87</f>
        <v>157062.47533889115</v>
      </c>
      <c r="BH87" s="6">
        <f>BH$1*'survival matrix'!BH87</f>
        <v>165295.90707410793</v>
      </c>
      <c r="BI87" s="6">
        <f>BI$1*'survival matrix'!BI87</f>
        <v>173852.48969019338</v>
      </c>
      <c r="BJ87" s="6">
        <f>BJ$1*'survival matrix'!BJ87</f>
        <v>182668.31745553142</v>
      </c>
      <c r="BK87" s="6">
        <f>BK$1*'survival matrix'!BK87</f>
        <v>191459.52104297123</v>
      </c>
      <c r="BL87" s="6">
        <f>BL$1*'survival matrix'!BL87</f>
        <v>200818.37725859814</v>
      </c>
      <c r="BM87" s="6">
        <f>BM$1*'survival matrix'!BM87</f>
        <v>210856.13869830163</v>
      </c>
      <c r="BN87" s="6">
        <f>BN$1*'survival matrix'!BN87</f>
        <v>221922.31090993143</v>
      </c>
      <c r="BO87" s="6">
        <f>BO$1*'survival matrix'!BO87</f>
        <v>235353.19444968601</v>
      </c>
      <c r="BP87" s="6">
        <f>BP$1*'survival matrix'!BP87</f>
        <v>248622.18156111572</v>
      </c>
      <c r="BQ87" s="6">
        <f>BQ$1*'survival matrix'!BQ87</f>
        <v>263183.88279830111</v>
      </c>
      <c r="BR87" s="6">
        <f>BR$1*'survival matrix'!BR87</f>
        <v>274648.79518483451</v>
      </c>
      <c r="BS87" s="6">
        <f>BS$1*'survival matrix'!BS87</f>
        <v>291059.64714875753</v>
      </c>
      <c r="BT87" s="6">
        <f>BT$1*'survival matrix'!BT87</f>
        <v>306169.93682840688</v>
      </c>
      <c r="BU87" s="6">
        <f>BU$1*'survival matrix'!BU87</f>
        <v>311674.35481322627</v>
      </c>
      <c r="BV87" s="6">
        <f>BV$1*'survival matrix'!BV87</f>
        <v>318659.02228365355</v>
      </c>
      <c r="BW87" s="6">
        <f>BW$1*'survival matrix'!BW87</f>
        <v>326397.61927696457</v>
      </c>
      <c r="BX87" s="6">
        <f>BX$1*'survival matrix'!BX87</f>
        <v>334564.01809621032</v>
      </c>
      <c r="BY87" s="6">
        <f>BY$1*'survival matrix'!BY87</f>
        <v>343565.6218784111</v>
      </c>
      <c r="BZ87" s="6">
        <f>BZ$1*'survival matrix'!BZ87</f>
        <v>356418.59398004488</v>
      </c>
      <c r="CA87" s="6">
        <f>CA$1*'survival matrix'!CA87</f>
        <v>374998.83121333789</v>
      </c>
      <c r="CB87" s="6">
        <f>CB$1*'survival matrix'!CB87</f>
        <v>392662.82166450366</v>
      </c>
      <c r="CC87" s="6">
        <f>CC$1*'survival matrix'!CC87</f>
        <v>412829.9907465906</v>
      </c>
      <c r="CD87" s="6">
        <f>CD$1*'survival matrix'!CD87</f>
        <v>430995.78900777694</v>
      </c>
      <c r="CE87" s="6">
        <f>CE$1*'survival matrix'!CE87</f>
        <v>450620.33070870041</v>
      </c>
      <c r="CF87" s="6">
        <f>CF$1*'survival matrix'!CF87</f>
        <v>471433.91425489151</v>
      </c>
      <c r="CG87" s="6">
        <f>CG$1*'survival matrix'!CG87</f>
        <v>493453.00797868002</v>
      </c>
      <c r="CH87" s="6">
        <f>CH$1*'survival matrix'!CH87</f>
        <v>512952.28249514644</v>
      </c>
      <c r="CI87" s="6">
        <f>CI$1*'survival matrix'!CI87</f>
        <v>533162.12349238654</v>
      </c>
      <c r="CJ87" s="6">
        <f>CJ$1*'survival matrix'!CJ87</f>
        <v>554913.81733398372</v>
      </c>
      <c r="CK87" s="6">
        <f>CK$1*'survival matrix'!CK87</f>
        <v>577212.29154272424</v>
      </c>
      <c r="CL87" s="6">
        <f>CL$1*'survival matrix'!CL87</f>
        <v>604954.07490989927</v>
      </c>
      <c r="CM87" s="6">
        <f>CM$1*'survival matrix'!CM87</f>
        <v>0</v>
      </c>
      <c r="CN87" s="6">
        <f>CN$1*'survival matrix'!CN87</f>
        <v>0</v>
      </c>
      <c r="CO87" s="6">
        <f>CO$1*'survival matrix'!CO87</f>
        <v>0</v>
      </c>
      <c r="CP87" s="6">
        <f>CP$1*'survival matrix'!CP87</f>
        <v>0</v>
      </c>
      <c r="CQ87" s="6">
        <f>CQ$1*'survival matrix'!CQ87</f>
        <v>0</v>
      </c>
      <c r="CR87" s="6">
        <f>CR$1*'survival matrix'!CR87</f>
        <v>0</v>
      </c>
      <c r="CS87" s="6">
        <f>CS$1*'survival matrix'!CS87</f>
        <v>0</v>
      </c>
      <c r="CT87" s="6">
        <f>CT$1*'survival matrix'!CT87</f>
        <v>0</v>
      </c>
      <c r="CU87" s="6">
        <f>CU$1*'survival matrix'!CU87</f>
        <v>0</v>
      </c>
      <c r="CV87" s="6">
        <f>CV$1*'survival matrix'!CV87</f>
        <v>0</v>
      </c>
      <c r="CW87" s="6">
        <f>CW$1*'survival matrix'!CW87</f>
        <v>0</v>
      </c>
      <c r="CX87" s="6">
        <f>CX$1*'survival matrix'!CX87</f>
        <v>0</v>
      </c>
      <c r="CY87" s="6">
        <f>CY$1*'survival matrix'!CY87</f>
        <v>0</v>
      </c>
      <c r="CZ87" s="6">
        <f>CZ$1*'survival matrix'!CZ87</f>
        <v>0</v>
      </c>
      <c r="DA87" s="6">
        <f>DA$1*'survival matrix'!DA87</f>
        <v>0</v>
      </c>
      <c r="DB87" s="6">
        <f>DB$1*'survival matrix'!DB87</f>
        <v>0</v>
      </c>
      <c r="DC87" s="6">
        <f>DC$1*'survival matrix'!DC87</f>
        <v>0</v>
      </c>
      <c r="DD87" s="6">
        <f>DD$1*'survival matrix'!DD87</f>
        <v>0</v>
      </c>
      <c r="DE87" s="6">
        <f>DE$1*'survival matrix'!DE87</f>
        <v>0</v>
      </c>
      <c r="DF87" s="6">
        <f>DF$1*'survival matrix'!DF87</f>
        <v>0</v>
      </c>
      <c r="DG87" s="6">
        <f>DG$1*'survival matrix'!DG87</f>
        <v>0</v>
      </c>
      <c r="DH87" s="6">
        <f>DH$1*'survival matrix'!DH87</f>
        <v>0</v>
      </c>
      <c r="DI87" s="6">
        <f>DI$1*'survival matrix'!DI87</f>
        <v>0</v>
      </c>
      <c r="DJ87" s="6">
        <f>DJ$1*'survival matrix'!DJ87</f>
        <v>0</v>
      </c>
      <c r="DK87" s="6">
        <f>DK$1*'survival matrix'!DK87</f>
        <v>0</v>
      </c>
      <c r="DL87" s="6">
        <f>DL$1*'survival matrix'!DL87</f>
        <v>0</v>
      </c>
      <c r="DM87" s="6">
        <f>DM$1*'survival matrix'!DM87</f>
        <v>0</v>
      </c>
      <c r="DN87" s="6">
        <f>DN$1*'survival matrix'!DN87</f>
        <v>0</v>
      </c>
      <c r="DO87" s="6">
        <f>DO$1*'survival matrix'!DO87</f>
        <v>0</v>
      </c>
      <c r="DP87" s="6">
        <f>DP$1*'survival matrix'!DP87</f>
        <v>0</v>
      </c>
      <c r="DQ87" s="6">
        <f>DQ$1*'survival matrix'!DQ87</f>
        <v>0</v>
      </c>
      <c r="DR87" s="6">
        <f>DR$1*'survival matrix'!DR87</f>
        <v>0</v>
      </c>
      <c r="DS87" s="6">
        <f>DS$1*'survival matrix'!DS87</f>
        <v>0</v>
      </c>
      <c r="DT87" s="6">
        <f>DT$1*'survival matrix'!DT87</f>
        <v>0</v>
      </c>
      <c r="DU87" s="6">
        <f>DU$1*'survival matrix'!DU87</f>
        <v>0</v>
      </c>
      <c r="DV87" s="6">
        <f>DV$1*'survival matrix'!DV87</f>
        <v>0</v>
      </c>
      <c r="DW87" s="6">
        <f>DW$1*'survival matrix'!DW87</f>
        <v>0</v>
      </c>
      <c r="DX87" s="6">
        <f>DX$1*'survival matrix'!DX87</f>
        <v>0</v>
      </c>
      <c r="DY87" s="6">
        <f>DY$1*'survival matrix'!DY87</f>
        <v>0</v>
      </c>
      <c r="DZ87" s="6">
        <f>DZ$1*'survival matrix'!DZ87</f>
        <v>0</v>
      </c>
      <c r="EA87" s="6">
        <f>EA$1*'survival matrix'!EA87</f>
        <v>0</v>
      </c>
      <c r="EB87" s="6">
        <f>EB$1*'survival matrix'!EB87</f>
        <v>0</v>
      </c>
      <c r="EC87" s="6">
        <f>EC$1*'survival matrix'!EC87</f>
        <v>0</v>
      </c>
    </row>
    <row r="88" spans="1:133">
      <c r="A88" s="12">
        <f>'data input'!C88-B88</f>
        <v>178915.76152258366</v>
      </c>
      <c r="B88" s="14">
        <f t="shared" si="3"/>
        <v>457213.93810031377</v>
      </c>
      <c r="C88" s="11">
        <f>SUM(F88:EC88)</f>
        <v>13079105.582573811</v>
      </c>
      <c r="E88" s="7">
        <f>'data input'!B88</f>
        <v>1963</v>
      </c>
      <c r="F88" s="6">
        <f>F$1*'survival matrix'!F88</f>
        <v>1.1997065533531008</v>
      </c>
      <c r="G88" s="6">
        <f>G$1*'survival matrix'!G88</f>
        <v>3.1551469646849997</v>
      </c>
      <c r="H88" s="6">
        <f>H$1*'survival matrix'!H88</f>
        <v>6.1839291499688347</v>
      </c>
      <c r="I88" s="6">
        <f>I$1*'survival matrix'!I88</f>
        <v>10.72330241201319</v>
      </c>
      <c r="J88" s="6">
        <f>J$1*'survival matrix'!J88</f>
        <v>17.34273775172996</v>
      </c>
      <c r="K88" s="6">
        <f>K$1*'survival matrix'!K88</f>
        <v>26.787760550889232</v>
      </c>
      <c r="L88" s="6">
        <f>L$1*'survival matrix'!L88</f>
        <v>40.030853967217048</v>
      </c>
      <c r="M88" s="6">
        <f>M$1*'survival matrix'!M88</f>
        <v>58.297100607961639</v>
      </c>
      <c r="N88" s="6">
        <f>N$1*'survival matrix'!N88</f>
        <v>83.106579780788167</v>
      </c>
      <c r="O88" s="6">
        <f>O$1*'survival matrix'!O88</f>
        <v>116.35106710919402</v>
      </c>
      <c r="P88" s="6">
        <f>P$1*'survival matrix'!P88</f>
        <v>160.43696058263868</v>
      </c>
      <c r="Q88" s="6">
        <f>Q$1*'survival matrix'!Q88</f>
        <v>218.32373234211187</v>
      </c>
      <c r="R88" s="6">
        <f>R$1*'survival matrix'!R88</f>
        <v>293.5554933953419</v>
      </c>
      <c r="S88" s="6">
        <f>S$1*'survival matrix'!S88</f>
        <v>390.33278961852568</v>
      </c>
      <c r="T88" s="6">
        <f>T$1*'survival matrix'!T88</f>
        <v>513.59477034775068</v>
      </c>
      <c r="U88" s="6">
        <f>U$1*'survival matrix'!U88</f>
        <v>669.29198493146555</v>
      </c>
      <c r="V88" s="6">
        <f>V$1*'survival matrix'!V88</f>
        <v>864.18543516781358</v>
      </c>
      <c r="W88" s="6">
        <f>W$1*'survival matrix'!W88</f>
        <v>1106.3205190667543</v>
      </c>
      <c r="X88" s="6">
        <f>X$1*'survival matrix'!X88</f>
        <v>1404.7721826201966</v>
      </c>
      <c r="Y88" s="6">
        <f>Y$1*'survival matrix'!Y88</f>
        <v>1769.6938674068508</v>
      </c>
      <c r="Z88" s="6">
        <f>Z$1*'survival matrix'!Z88</f>
        <v>2212.6645707419325</v>
      </c>
      <c r="AA88" s="6">
        <f>AA$1*'survival matrix'!AA88</f>
        <v>2746.4375209738014</v>
      </c>
      <c r="AB88" s="6">
        <f>AB$1*'survival matrix'!AB88</f>
        <v>3384.5890350528475</v>
      </c>
      <c r="AC88" s="6">
        <f>AC$1*'survival matrix'!AC88</f>
        <v>4158.9538011338</v>
      </c>
      <c r="AD88" s="6">
        <f>AD$1*'survival matrix'!AD88</f>
        <v>5117.497211632679</v>
      </c>
      <c r="AE88" s="6">
        <f>AE$1*'survival matrix'!AE88</f>
        <v>6244.273494213815</v>
      </c>
      <c r="AF88" s="6">
        <f>AF$1*'survival matrix'!AF88</f>
        <v>7491.9699559020328</v>
      </c>
      <c r="AG88" s="6">
        <f>AG$1*'survival matrix'!AG88</f>
        <v>8958.5483442437198</v>
      </c>
      <c r="AH88" s="6">
        <f>AH$1*'survival matrix'!AH88</f>
        <v>10609.060879020348</v>
      </c>
      <c r="AI88" s="6">
        <f>AI$1*'survival matrix'!AI88</f>
        <v>12751.155329018815</v>
      </c>
      <c r="AJ88" s="6">
        <f>AJ$1*'survival matrix'!AJ88</f>
        <v>14974.052515824844</v>
      </c>
      <c r="AK88" s="6">
        <f>AK$1*'survival matrix'!AK88</f>
        <v>17400.583363971964</v>
      </c>
      <c r="AL88" s="6">
        <f>AL$1*'survival matrix'!AL88</f>
        <v>20135.760235880298</v>
      </c>
      <c r="AM88" s="6">
        <f>AM$1*'survival matrix'!AM88</f>
        <v>23206.543243772503</v>
      </c>
      <c r="AN88" s="6">
        <f>AN$1*'survival matrix'!AN88</f>
        <v>26333.459913197414</v>
      </c>
      <c r="AO88" s="6">
        <f>AO$1*'survival matrix'!AO88</f>
        <v>29703.684693863572</v>
      </c>
      <c r="AP88" s="6">
        <f>AP$1*'survival matrix'!AP88</f>
        <v>33202.371512883758</v>
      </c>
      <c r="AQ88" s="6">
        <f>AQ$1*'survival matrix'!AQ88</f>
        <v>37154.806175089128</v>
      </c>
      <c r="AR88" s="6">
        <f>AR$1*'survival matrix'!AR88</f>
        <v>41625.362801858631</v>
      </c>
      <c r="AS88" s="6">
        <f>AS$1*'survival matrix'!AS88</f>
        <v>46404.182720029283</v>
      </c>
      <c r="AT88" s="6">
        <f>AT$1*'survival matrix'!AT88</f>
        <v>52017.175970863471</v>
      </c>
      <c r="AU88" s="6">
        <f>AU$1*'survival matrix'!AU88</f>
        <v>58070.915811051149</v>
      </c>
      <c r="AV88" s="6">
        <f>AV$1*'survival matrix'!AV88</f>
        <v>64103.969329619475</v>
      </c>
      <c r="AW88" s="6">
        <f>AW$1*'survival matrix'!AW88</f>
        <v>70625.087513967432</v>
      </c>
      <c r="AX88" s="6">
        <f>AX$1*'survival matrix'!AX88</f>
        <v>77433.164610733613</v>
      </c>
      <c r="AY88" s="6">
        <f>AY$1*'survival matrix'!AY88</f>
        <v>85075.527655312457</v>
      </c>
      <c r="AZ88" s="6">
        <f>AZ$1*'survival matrix'!AZ88</f>
        <v>92779.259189264354</v>
      </c>
      <c r="BA88" s="6">
        <f>BA$1*'survival matrix'!BA88</f>
        <v>100349.88675341889</v>
      </c>
      <c r="BB88" s="6">
        <f>BB$1*'survival matrix'!BB88</f>
        <v>108552.05809069735</v>
      </c>
      <c r="BC88" s="6">
        <f>BC$1*'survival matrix'!BC88</f>
        <v>117060.86949410834</v>
      </c>
      <c r="BD88" s="6">
        <f>BD$1*'survival matrix'!BD88</f>
        <v>126054.52214575962</v>
      </c>
      <c r="BE88" s="6">
        <f>BE$1*'survival matrix'!BE88</f>
        <v>135064.7152980378</v>
      </c>
      <c r="BF88" s="6">
        <f>BF$1*'survival matrix'!BF88</f>
        <v>143501.12100026227</v>
      </c>
      <c r="BG88" s="6">
        <f>BG$1*'survival matrix'!BG88</f>
        <v>151950.6239147936</v>
      </c>
      <c r="BH88" s="6">
        <f>BH$1*'survival matrix'!BH88</f>
        <v>160335.03130807178</v>
      </c>
      <c r="BI88" s="6">
        <f>BI$1*'survival matrix'!BI88</f>
        <v>169056.15348123107</v>
      </c>
      <c r="BJ88" s="6">
        <f>BJ$1*'survival matrix'!BJ88</f>
        <v>178050.75119553672</v>
      </c>
      <c r="BK88" s="6">
        <f>BK$1*'survival matrix'!BK88</f>
        <v>187039.9199162834</v>
      </c>
      <c r="BL88" s="6">
        <f>BL$1*'survival matrix'!BL88</f>
        <v>196599.98761633981</v>
      </c>
      <c r="BM88" s="6">
        <f>BM$1*'survival matrix'!BM88</f>
        <v>206840.14149914423</v>
      </c>
      <c r="BN88" s="6">
        <f>BN$1*'survival matrix'!BN88</f>
        <v>218104.23269862685</v>
      </c>
      <c r="BO88" s="6">
        <f>BO$1*'survival matrix'!BO88</f>
        <v>231709.68538484556</v>
      </c>
      <c r="BP88" s="6">
        <f>BP$1*'survival matrix'!BP88</f>
        <v>245172.63663849008</v>
      </c>
      <c r="BQ88" s="6">
        <f>BQ$1*'survival matrix'!BQ88</f>
        <v>259924.63290657679</v>
      </c>
      <c r="BR88" s="6">
        <f>BR$1*'survival matrix'!BR88</f>
        <v>271625.81060776452</v>
      </c>
      <c r="BS88" s="6">
        <f>BS$1*'survival matrix'!BS88</f>
        <v>288224.64036061341</v>
      </c>
      <c r="BT88" s="6">
        <f>BT$1*'survival matrix'!BT88</f>
        <v>303542.60598333867</v>
      </c>
      <c r="BU88" s="6">
        <f>BU$1*'survival matrix'!BU88</f>
        <v>309328.75588802801</v>
      </c>
      <c r="BV88" s="6">
        <f>BV$1*'survival matrix'!BV88</f>
        <v>316565.60460320982</v>
      </c>
      <c r="BW88" s="6">
        <f>BW$1*'survival matrix'!BW88</f>
        <v>324534.72352015163</v>
      </c>
      <c r="BX88" s="6">
        <f>BX$1*'survival matrix'!BX88</f>
        <v>332913.08910815039</v>
      </c>
      <c r="BY88" s="6">
        <f>BY$1*'survival matrix'!BY88</f>
        <v>342107.05823133601</v>
      </c>
      <c r="BZ88" s="6">
        <f>BZ$1*'survival matrix'!BZ88</f>
        <v>355123.30317670858</v>
      </c>
      <c r="CA88" s="6">
        <f>CA$1*'survival matrix'!CA88</f>
        <v>373838.12800295831</v>
      </c>
      <c r="CB88" s="6">
        <f>CB$1*'survival matrix'!CB88</f>
        <v>391633.00608517072</v>
      </c>
      <c r="CC88" s="6">
        <f>CC$1*'survival matrix'!CC88</f>
        <v>411917.35620334081</v>
      </c>
      <c r="CD88" s="6">
        <f>CD$1*'survival matrix'!CD88</f>
        <v>430196.87820976664</v>
      </c>
      <c r="CE88" s="6">
        <f>CE$1*'survival matrix'!CE88</f>
        <v>449923.65975161683</v>
      </c>
      <c r="CF88" s="6">
        <f>CF$1*'survival matrix'!CF88</f>
        <v>470829.26681055728</v>
      </c>
      <c r="CG88" s="6">
        <f>CG$1*'survival matrix'!CG88</f>
        <v>492930.79527329386</v>
      </c>
      <c r="CH88" s="6">
        <f>CH$1*'survival matrix'!CH88</f>
        <v>512506.79083625652</v>
      </c>
      <c r="CI88" s="6">
        <f>CI$1*'survival matrix'!CI88</f>
        <v>532784.19424870634</v>
      </c>
      <c r="CJ88" s="6">
        <f>CJ$1*'survival matrix'!CJ88</f>
        <v>554594.53007920936</v>
      </c>
      <c r="CK88" s="6">
        <f>CK$1*'survival matrix'!CK88</f>
        <v>576944.18780167017</v>
      </c>
      <c r="CL88" s="6">
        <f>CL$1*'survival matrix'!CL88</f>
        <v>604728.49573678046</v>
      </c>
      <c r="CM88" s="6">
        <f>CM$1*'survival matrix'!CM88</f>
        <v>635270.98939351505</v>
      </c>
      <c r="CN88" s="6">
        <f>CN$1*'survival matrix'!CN88</f>
        <v>0</v>
      </c>
      <c r="CO88" s="6">
        <f>CO$1*'survival matrix'!CO88</f>
        <v>0</v>
      </c>
      <c r="CP88" s="6">
        <f>CP$1*'survival matrix'!CP88</f>
        <v>0</v>
      </c>
      <c r="CQ88" s="6">
        <f>CQ$1*'survival matrix'!CQ88</f>
        <v>0</v>
      </c>
      <c r="CR88" s="6">
        <f>CR$1*'survival matrix'!CR88</f>
        <v>0</v>
      </c>
      <c r="CS88" s="6">
        <f>CS$1*'survival matrix'!CS88</f>
        <v>0</v>
      </c>
      <c r="CT88" s="6">
        <f>CT$1*'survival matrix'!CT88</f>
        <v>0</v>
      </c>
      <c r="CU88" s="6">
        <f>CU$1*'survival matrix'!CU88</f>
        <v>0</v>
      </c>
      <c r="CV88" s="6">
        <f>CV$1*'survival matrix'!CV88</f>
        <v>0</v>
      </c>
      <c r="CW88" s="6">
        <f>CW$1*'survival matrix'!CW88</f>
        <v>0</v>
      </c>
      <c r="CX88" s="6">
        <f>CX$1*'survival matrix'!CX88</f>
        <v>0</v>
      </c>
      <c r="CY88" s="6">
        <f>CY$1*'survival matrix'!CY88</f>
        <v>0</v>
      </c>
      <c r="CZ88" s="6">
        <f>CZ$1*'survival matrix'!CZ88</f>
        <v>0</v>
      </c>
      <c r="DA88" s="6">
        <f>DA$1*'survival matrix'!DA88</f>
        <v>0</v>
      </c>
      <c r="DB88" s="6">
        <f>DB$1*'survival matrix'!DB88</f>
        <v>0</v>
      </c>
      <c r="DC88" s="6">
        <f>DC$1*'survival matrix'!DC88</f>
        <v>0</v>
      </c>
      <c r="DD88" s="6">
        <f>DD$1*'survival matrix'!DD88</f>
        <v>0</v>
      </c>
      <c r="DE88" s="6">
        <f>DE$1*'survival matrix'!DE88</f>
        <v>0</v>
      </c>
      <c r="DF88" s="6">
        <f>DF$1*'survival matrix'!DF88</f>
        <v>0</v>
      </c>
      <c r="DG88" s="6">
        <f>DG$1*'survival matrix'!DG88</f>
        <v>0</v>
      </c>
      <c r="DH88" s="6">
        <f>DH$1*'survival matrix'!DH88</f>
        <v>0</v>
      </c>
      <c r="DI88" s="6">
        <f>DI$1*'survival matrix'!DI88</f>
        <v>0</v>
      </c>
      <c r="DJ88" s="6">
        <f>DJ$1*'survival matrix'!DJ88</f>
        <v>0</v>
      </c>
      <c r="DK88" s="6">
        <f>DK$1*'survival matrix'!DK88</f>
        <v>0</v>
      </c>
      <c r="DL88" s="6">
        <f>DL$1*'survival matrix'!DL88</f>
        <v>0</v>
      </c>
      <c r="DM88" s="6">
        <f>DM$1*'survival matrix'!DM88</f>
        <v>0</v>
      </c>
      <c r="DN88" s="6">
        <f>DN$1*'survival matrix'!DN88</f>
        <v>0</v>
      </c>
      <c r="DO88" s="6">
        <f>DO$1*'survival matrix'!DO88</f>
        <v>0</v>
      </c>
      <c r="DP88" s="6">
        <f>DP$1*'survival matrix'!DP88</f>
        <v>0</v>
      </c>
      <c r="DQ88" s="6">
        <f>DQ$1*'survival matrix'!DQ88</f>
        <v>0</v>
      </c>
      <c r="DR88" s="6">
        <f>DR$1*'survival matrix'!DR88</f>
        <v>0</v>
      </c>
      <c r="DS88" s="6">
        <f>DS$1*'survival matrix'!DS88</f>
        <v>0</v>
      </c>
      <c r="DT88" s="6">
        <f>DT$1*'survival matrix'!DT88</f>
        <v>0</v>
      </c>
      <c r="DU88" s="6">
        <f>DU$1*'survival matrix'!DU88</f>
        <v>0</v>
      </c>
      <c r="DV88" s="6">
        <f>DV$1*'survival matrix'!DV88</f>
        <v>0</v>
      </c>
      <c r="DW88" s="6">
        <f>DW$1*'survival matrix'!DW88</f>
        <v>0</v>
      </c>
      <c r="DX88" s="6">
        <f>DX$1*'survival matrix'!DX88</f>
        <v>0</v>
      </c>
      <c r="DY88" s="6">
        <f>DY$1*'survival matrix'!DY88</f>
        <v>0</v>
      </c>
      <c r="DZ88" s="6">
        <f>DZ$1*'survival matrix'!DZ88</f>
        <v>0</v>
      </c>
      <c r="EA88" s="6">
        <f>EA$1*'survival matrix'!EA88</f>
        <v>0</v>
      </c>
      <c r="EB88" s="6">
        <f>EB$1*'survival matrix'!EB88</f>
        <v>0</v>
      </c>
      <c r="EC88" s="6">
        <f>EC$1*'survival matrix'!EC88</f>
        <v>0</v>
      </c>
    </row>
    <row r="89" spans="1:133">
      <c r="A89" s="12">
        <f>'data input'!C89-B89</f>
        <v>184290.51401363243</v>
      </c>
      <c r="B89" s="14">
        <f t="shared" si="3"/>
        <v>481412.47589043528</v>
      </c>
      <c r="C89" s="11">
        <f>SUM(F89:EC89)</f>
        <v>13560518.058464246</v>
      </c>
      <c r="E89" s="7">
        <f>'data input'!B89</f>
        <v>1964</v>
      </c>
      <c r="F89" s="6">
        <f>F$1*'survival matrix'!F89</f>
        <v>0.91110623544190283</v>
      </c>
      <c r="G89" s="6">
        <f>G$1*'survival matrix'!G89</f>
        <v>2.4088510743263978</v>
      </c>
      <c r="H89" s="6">
        <f>H$1*'survival matrix'!H89</f>
        <v>4.746205148106756</v>
      </c>
      <c r="I89" s="6">
        <f>I$1*'survival matrix'!I89</f>
        <v>8.2736522084766762</v>
      </c>
      <c r="J89" s="6">
        <f>J$1*'survival matrix'!J89</f>
        <v>13.45141313226018</v>
      </c>
      <c r="K89" s="6">
        <f>K$1*'survival matrix'!K89</f>
        <v>20.886362788427679</v>
      </c>
      <c r="L89" s="6">
        <f>L$1*'survival matrix'!L89</f>
        <v>31.375581185303432</v>
      </c>
      <c r="M89" s="6">
        <f>M$1*'survival matrix'!M89</f>
        <v>45.931274433615492</v>
      </c>
      <c r="N89" s="6">
        <f>N$1*'survival matrix'!N89</f>
        <v>65.819623054262706</v>
      </c>
      <c r="O89" s="6">
        <f>O$1*'survival matrix'!O89</f>
        <v>92.628008987042705</v>
      </c>
      <c r="P89" s="6">
        <f>P$1*'survival matrix'!P89</f>
        <v>128.38715958583018</v>
      </c>
      <c r="Q89" s="6">
        <f>Q$1*'survival matrix'!Q89</f>
        <v>175.6128231315783</v>
      </c>
      <c r="R89" s="6">
        <f>R$1*'survival matrix'!R89</f>
        <v>237.34285723544318</v>
      </c>
      <c r="S89" s="6">
        <f>S$1*'survival matrix'!S89</f>
        <v>317.2078089804711</v>
      </c>
      <c r="T89" s="6">
        <f>T$1*'survival matrix'!T89</f>
        <v>419.511750575853</v>
      </c>
      <c r="U89" s="6">
        <f>U$1*'survival matrix'!U89</f>
        <v>549.47164033887509</v>
      </c>
      <c r="V89" s="6">
        <f>V$1*'survival matrix'!V89</f>
        <v>713.07254306746631</v>
      </c>
      <c r="W89" s="6">
        <f>W$1*'survival matrix'!W89</f>
        <v>917.4774413768157</v>
      </c>
      <c r="X89" s="6">
        <f>X$1*'survival matrix'!X89</f>
        <v>1170.8413389551047</v>
      </c>
      <c r="Y89" s="6">
        <f>Y$1*'survival matrix'!Y89</f>
        <v>1482.3732827918427</v>
      </c>
      <c r="Z89" s="6">
        <f>Z$1*'survival matrix'!Z89</f>
        <v>1862.650312389402</v>
      </c>
      <c r="AA89" s="6">
        <f>AA$1*'survival matrix'!AA89</f>
        <v>2323.4335378662186</v>
      </c>
      <c r="AB89" s="6">
        <f>AB$1*'survival matrix'!AB89</f>
        <v>2877.3926506006915</v>
      </c>
      <c r="AC89" s="6">
        <f>AC$1*'survival matrix'!AC89</f>
        <v>3553.0161838046815</v>
      </c>
      <c r="AD89" s="6">
        <f>AD$1*'survival matrix'!AD89</f>
        <v>4393.1617134463022</v>
      </c>
      <c r="AE89" s="6">
        <f>AE$1*'survival matrix'!AE89</f>
        <v>5386.3412033903942</v>
      </c>
      <c r="AF89" s="6">
        <f>AF$1*'survival matrix'!AF89</f>
        <v>6493.5992760539466</v>
      </c>
      <c r="AG89" s="6">
        <f>AG$1*'survival matrix'!AG89</f>
        <v>7801.6951705514211</v>
      </c>
      <c r="AH89" s="6">
        <f>AH$1*'survival matrix'!AH89</f>
        <v>9282.6868431466391</v>
      </c>
      <c r="AI89" s="6">
        <f>AI$1*'survival matrix'!AI89</f>
        <v>11209.19423926021</v>
      </c>
      <c r="AJ89" s="6">
        <f>AJ$1*'survival matrix'!AJ89</f>
        <v>13224.342226690154</v>
      </c>
      <c r="AK89" s="6">
        <f>AK$1*'survival matrix'!AK89</f>
        <v>15437.935277920205</v>
      </c>
      <c r="AL89" s="6">
        <f>AL$1*'survival matrix'!AL89</f>
        <v>17945.845460893954</v>
      </c>
      <c r="AM89" s="6">
        <f>AM$1*'survival matrix'!AM89</f>
        <v>20775.696011824155</v>
      </c>
      <c r="AN89" s="6">
        <f>AN$1*'survival matrix'!AN89</f>
        <v>23679.903748152501</v>
      </c>
      <c r="AO89" s="6">
        <f>AO$1*'survival matrix'!AO89</f>
        <v>26827.839899029124</v>
      </c>
      <c r="AP89" s="6">
        <f>AP$1*'survival matrix'!AP89</f>
        <v>30117.792682813084</v>
      </c>
      <c r="AQ89" s="6">
        <f>AQ$1*'survival matrix'!AQ89</f>
        <v>33847.119677570488</v>
      </c>
      <c r="AR89" s="6">
        <f>AR$1*'survival matrix'!AR89</f>
        <v>38079.404821339333</v>
      </c>
      <c r="AS89" s="6">
        <f>AS$1*'survival matrix'!AS89</f>
        <v>42627.122562296565</v>
      </c>
      <c r="AT89" s="6">
        <f>AT$1*'survival matrix'!AT89</f>
        <v>47978.028228652205</v>
      </c>
      <c r="AU89" s="6">
        <f>AU$1*'survival matrix'!AU89</f>
        <v>53776.131724916362</v>
      </c>
      <c r="AV89" s="6">
        <f>AV$1*'survival matrix'!AV89</f>
        <v>59596.136399356699</v>
      </c>
      <c r="AW89" s="6">
        <f>AW$1*'survival matrix'!AW89</f>
        <v>65911.319748414739</v>
      </c>
      <c r="AX89" s="6">
        <f>AX$1*'survival matrix'!AX89</f>
        <v>72537.039225113884</v>
      </c>
      <c r="AY89" s="6">
        <f>AY$1*'survival matrix'!AY89</f>
        <v>79989.262723687527</v>
      </c>
      <c r="AZ89" s="6">
        <f>AZ$1*'survival matrix'!AZ89</f>
        <v>87545.336051129416</v>
      </c>
      <c r="BA89" s="6">
        <f>BA$1*'survival matrix'!BA89</f>
        <v>95019.63134324459</v>
      </c>
      <c r="BB89" s="6">
        <f>BB$1*'survival matrix'!BB89</f>
        <v>103135.11625651167</v>
      </c>
      <c r="BC89" s="6">
        <f>BC$1*'survival matrix'!BC89</f>
        <v>111585.67837150184</v>
      </c>
      <c r="BD89" s="6">
        <f>BD$1*'survival matrix'!BD89</f>
        <v>120541.89637115232</v>
      </c>
      <c r="BE89" s="6">
        <f>BE$1*'survival matrix'!BE89</f>
        <v>129556.01854014627</v>
      </c>
      <c r="BF89" s="6">
        <f>BF$1*'survival matrix'!BF89</f>
        <v>138057.15615390966</v>
      </c>
      <c r="BG89" s="6">
        <f>BG$1*'survival matrix'!BG89</f>
        <v>146603.59767453157</v>
      </c>
      <c r="BH89" s="6">
        <f>BH$1*'survival matrix'!BH89</f>
        <v>155116.6692750245</v>
      </c>
      <c r="BI89" s="6">
        <f>BI$1*'survival matrix'!BI89</f>
        <v>163982.42485872909</v>
      </c>
      <c r="BJ89" s="6">
        <f>BJ$1*'survival matrix'!BJ89</f>
        <v>173138.591084894</v>
      </c>
      <c r="BK89" s="6">
        <f>BK$1*'survival matrix'!BK89</f>
        <v>182311.84645774405</v>
      </c>
      <c r="BL89" s="6">
        <f>BL$1*'survival matrix'!BL89</f>
        <v>192061.72531398624</v>
      </c>
      <c r="BM89" s="6">
        <f>BM$1*'survival matrix'!BM89</f>
        <v>202495.25871294556</v>
      </c>
      <c r="BN89" s="6">
        <f>BN$1*'survival matrix'!BN89</f>
        <v>213950.18722928755</v>
      </c>
      <c r="BO89" s="6">
        <f>BO$1*'survival matrix'!BO89</f>
        <v>227723.21959198001</v>
      </c>
      <c r="BP89" s="6">
        <f>BP$1*'survival matrix'!BP89</f>
        <v>241377.11252787881</v>
      </c>
      <c r="BQ89" s="6">
        <f>BQ$1*'survival matrix'!BQ89</f>
        <v>256318.27046506706</v>
      </c>
      <c r="BR89" s="6">
        <f>BR$1*'survival matrix'!BR89</f>
        <v>268262.01650152978</v>
      </c>
      <c r="BS89" s="6">
        <f>BS$1*'survival matrix'!BS89</f>
        <v>285052.23014867236</v>
      </c>
      <c r="BT89" s="6">
        <f>BT$1*'survival matrix'!BT89</f>
        <v>300586.01149528887</v>
      </c>
      <c r="BU89" s="6">
        <f>BU$1*'survival matrix'!BU89</f>
        <v>306674.31832296203</v>
      </c>
      <c r="BV89" s="6">
        <f>BV$1*'survival matrix'!BV89</f>
        <v>314183.19510931039</v>
      </c>
      <c r="BW89" s="6">
        <f>BW$1*'survival matrix'!BW89</f>
        <v>322402.70565583318</v>
      </c>
      <c r="BX89" s="6">
        <f>BX$1*'survival matrix'!BX89</f>
        <v>331013.00667966669</v>
      </c>
      <c r="BY89" s="6">
        <f>BY$1*'survival matrix'!BY89</f>
        <v>340418.90759676415</v>
      </c>
      <c r="BZ89" s="6">
        <f>BZ$1*'survival matrix'!BZ89</f>
        <v>353615.67288060731</v>
      </c>
      <c r="CA89" s="6">
        <f>CA$1*'survival matrix'!CA89</f>
        <v>372479.53140525724</v>
      </c>
      <c r="CB89" s="6">
        <f>CB$1*'survival matrix'!CB89</f>
        <v>390420.8164738515</v>
      </c>
      <c r="CC89" s="6">
        <f>CC$1*'survival matrix'!CC89</f>
        <v>410837.04279598122</v>
      </c>
      <c r="CD89" s="6">
        <f>CD$1*'survival matrix'!CD89</f>
        <v>429245.85105512012</v>
      </c>
      <c r="CE89" s="6">
        <f>CE$1*'survival matrix'!CE89</f>
        <v>449089.66350565956</v>
      </c>
      <c r="CF89" s="6">
        <f>CF$1*'survival matrix'!CF89</f>
        <v>470101.35230342438</v>
      </c>
      <c r="CG89" s="6">
        <f>CG$1*'survival matrix'!CG89</f>
        <v>492298.57655380125</v>
      </c>
      <c r="CH89" s="6">
        <f>CH$1*'survival matrix'!CH89</f>
        <v>511964.41384504578</v>
      </c>
      <c r="CI89" s="6">
        <f>CI$1*'survival matrix'!CI89</f>
        <v>532321.4788604998</v>
      </c>
      <c r="CJ89" s="6">
        <f>CJ$1*'survival matrix'!CJ89</f>
        <v>554201.40858376434</v>
      </c>
      <c r="CK89" s="6">
        <f>CK$1*'survival matrix'!CK89</f>
        <v>576612.22467491613</v>
      </c>
      <c r="CL89" s="6">
        <f>CL$1*'survival matrix'!CL89</f>
        <v>604447.61126081797</v>
      </c>
      <c r="CM89" s="6">
        <f>CM$1*'survival matrix'!CM89</f>
        <v>635034.10545399436</v>
      </c>
      <c r="CN89" s="6">
        <f>CN$1*'survival matrix'!CN89</f>
        <v>664804.35874834599</v>
      </c>
      <c r="CO89" s="6">
        <f>CO$1*'survival matrix'!CO89</f>
        <v>0</v>
      </c>
      <c r="CP89" s="6">
        <f>CP$1*'survival matrix'!CP89</f>
        <v>0</v>
      </c>
      <c r="CQ89" s="6">
        <f>CQ$1*'survival matrix'!CQ89</f>
        <v>0</v>
      </c>
      <c r="CR89" s="6">
        <f>CR$1*'survival matrix'!CR89</f>
        <v>0</v>
      </c>
      <c r="CS89" s="6">
        <f>CS$1*'survival matrix'!CS89</f>
        <v>0</v>
      </c>
      <c r="CT89" s="6">
        <f>CT$1*'survival matrix'!CT89</f>
        <v>0</v>
      </c>
      <c r="CU89" s="6">
        <f>CU$1*'survival matrix'!CU89</f>
        <v>0</v>
      </c>
      <c r="CV89" s="6">
        <f>CV$1*'survival matrix'!CV89</f>
        <v>0</v>
      </c>
      <c r="CW89" s="6">
        <f>CW$1*'survival matrix'!CW89</f>
        <v>0</v>
      </c>
      <c r="CX89" s="6">
        <f>CX$1*'survival matrix'!CX89</f>
        <v>0</v>
      </c>
      <c r="CY89" s="6">
        <f>CY$1*'survival matrix'!CY89</f>
        <v>0</v>
      </c>
      <c r="CZ89" s="6">
        <f>CZ$1*'survival matrix'!CZ89</f>
        <v>0</v>
      </c>
      <c r="DA89" s="6">
        <f>DA$1*'survival matrix'!DA89</f>
        <v>0</v>
      </c>
      <c r="DB89" s="6">
        <f>DB$1*'survival matrix'!DB89</f>
        <v>0</v>
      </c>
      <c r="DC89" s="6">
        <f>DC$1*'survival matrix'!DC89</f>
        <v>0</v>
      </c>
      <c r="DD89" s="6">
        <f>DD$1*'survival matrix'!DD89</f>
        <v>0</v>
      </c>
      <c r="DE89" s="6">
        <f>DE$1*'survival matrix'!DE89</f>
        <v>0</v>
      </c>
      <c r="DF89" s="6">
        <f>DF$1*'survival matrix'!DF89</f>
        <v>0</v>
      </c>
      <c r="DG89" s="6">
        <f>DG$1*'survival matrix'!DG89</f>
        <v>0</v>
      </c>
      <c r="DH89" s="6">
        <f>DH$1*'survival matrix'!DH89</f>
        <v>0</v>
      </c>
      <c r="DI89" s="6">
        <f>DI$1*'survival matrix'!DI89</f>
        <v>0</v>
      </c>
      <c r="DJ89" s="6">
        <f>DJ$1*'survival matrix'!DJ89</f>
        <v>0</v>
      </c>
      <c r="DK89" s="6">
        <f>DK$1*'survival matrix'!DK89</f>
        <v>0</v>
      </c>
      <c r="DL89" s="6">
        <f>DL$1*'survival matrix'!DL89</f>
        <v>0</v>
      </c>
      <c r="DM89" s="6">
        <f>DM$1*'survival matrix'!DM89</f>
        <v>0</v>
      </c>
      <c r="DN89" s="6">
        <f>DN$1*'survival matrix'!DN89</f>
        <v>0</v>
      </c>
      <c r="DO89" s="6">
        <f>DO$1*'survival matrix'!DO89</f>
        <v>0</v>
      </c>
      <c r="DP89" s="6">
        <f>DP$1*'survival matrix'!DP89</f>
        <v>0</v>
      </c>
      <c r="DQ89" s="6">
        <f>DQ$1*'survival matrix'!DQ89</f>
        <v>0</v>
      </c>
      <c r="DR89" s="6">
        <f>DR$1*'survival matrix'!DR89</f>
        <v>0</v>
      </c>
      <c r="DS89" s="6">
        <f>DS$1*'survival matrix'!DS89</f>
        <v>0</v>
      </c>
      <c r="DT89" s="6">
        <f>DT$1*'survival matrix'!DT89</f>
        <v>0</v>
      </c>
      <c r="DU89" s="6">
        <f>DU$1*'survival matrix'!DU89</f>
        <v>0</v>
      </c>
      <c r="DV89" s="6">
        <f>DV$1*'survival matrix'!DV89</f>
        <v>0</v>
      </c>
      <c r="DW89" s="6">
        <f>DW$1*'survival matrix'!DW89</f>
        <v>0</v>
      </c>
      <c r="DX89" s="6">
        <f>DX$1*'survival matrix'!DX89</f>
        <v>0</v>
      </c>
      <c r="DY89" s="6">
        <f>DY$1*'survival matrix'!DY89</f>
        <v>0</v>
      </c>
      <c r="DZ89" s="6">
        <f>DZ$1*'survival matrix'!DZ89</f>
        <v>0</v>
      </c>
      <c r="EA89" s="6">
        <f>EA$1*'survival matrix'!EA89</f>
        <v>0</v>
      </c>
      <c r="EB89" s="6">
        <f>EB$1*'survival matrix'!EB89</f>
        <v>0</v>
      </c>
      <c r="EC89" s="6">
        <f>EC$1*'survival matrix'!EC89</f>
        <v>0</v>
      </c>
    </row>
    <row r="90" spans="1:133">
      <c r="A90" s="12">
        <f>'data input'!C90-B90</f>
        <v>189836.39490648615</v>
      </c>
      <c r="B90" s="14">
        <f t="shared" si="3"/>
        <v>507468.50276435167</v>
      </c>
      <c r="C90" s="11">
        <f>SUM(F90:EC90)</f>
        <v>14067986.561228598</v>
      </c>
      <c r="E90" s="7">
        <f>'data input'!B90</f>
        <v>1965</v>
      </c>
      <c r="F90" s="6">
        <f>F$1*'survival matrix'!F90</f>
        <v>0.68827518139611943</v>
      </c>
      <c r="G90" s="6">
        <f>G$1*'survival matrix'!G90</f>
        <v>1.8293800495926371</v>
      </c>
      <c r="H90" s="6">
        <f>H$1*'survival matrix'!H90</f>
        <v>3.6235717378483088</v>
      </c>
      <c r="I90" s="6">
        <f>I$1*'survival matrix'!I90</f>
        <v>6.350080952288196</v>
      </c>
      <c r="J90" s="6">
        <f>J$1*'survival matrix'!J90</f>
        <v>10.378548481872254</v>
      </c>
      <c r="K90" s="6">
        <f>K$1*'survival matrix'!K90</f>
        <v>16.199927526977753</v>
      </c>
      <c r="L90" s="6">
        <f>L$1*'survival matrix'!L90</f>
        <v>24.463477269370301</v>
      </c>
      <c r="M90" s="6">
        <f>M$1*'survival matrix'!M90</f>
        <v>36.000241991253766</v>
      </c>
      <c r="N90" s="6">
        <f>N$1*'survival matrix'!N90</f>
        <v>51.858139394493143</v>
      </c>
      <c r="O90" s="6">
        <f>O$1*'survival matrix'!O90</f>
        <v>73.360504690188193</v>
      </c>
      <c r="P90" s="6">
        <f>P$1*'survival matrix'!P90</f>
        <v>102.21003783984585</v>
      </c>
      <c r="Q90" s="6">
        <f>Q$1*'survival matrix'!Q90</f>
        <v>140.53140539956055</v>
      </c>
      <c r="R90" s="6">
        <f>R$1*'survival matrix'!R90</f>
        <v>190.91121593651727</v>
      </c>
      <c r="S90" s="6">
        <f>S$1*'survival matrix'!S90</f>
        <v>256.46601550538151</v>
      </c>
      <c r="T90" s="6">
        <f>T$1*'survival matrix'!T90</f>
        <v>340.92038071354597</v>
      </c>
      <c r="U90" s="6">
        <f>U$1*'survival matrix'!U90</f>
        <v>448.81650483759938</v>
      </c>
      <c r="V90" s="6">
        <f>V$1*'survival matrix'!V90</f>
        <v>585.41436135682227</v>
      </c>
      <c r="W90" s="6">
        <f>W$1*'survival matrix'!W90</f>
        <v>757.04582107722706</v>
      </c>
      <c r="X90" s="6">
        <f>X$1*'survival matrix'!X90</f>
        <v>970.98489760354619</v>
      </c>
      <c r="Y90" s="6">
        <f>Y$1*'survival matrix'!Y90</f>
        <v>1235.519852064532</v>
      </c>
      <c r="Z90" s="6">
        <f>Z$1*'survival matrix'!Z90</f>
        <v>1560.23768241671</v>
      </c>
      <c r="AA90" s="6">
        <f>AA$1*'survival matrix'!AA90</f>
        <v>1955.8970945475853</v>
      </c>
      <c r="AB90" s="6">
        <f>AB$1*'survival matrix'!AB90</f>
        <v>2434.2190692344516</v>
      </c>
      <c r="AC90" s="6">
        <f>AC$1*'survival matrix'!AC90</f>
        <v>3020.5802089603699</v>
      </c>
      <c r="AD90" s="6">
        <f>AD$1*'survival matrix'!AD90</f>
        <v>3753.1012394729055</v>
      </c>
      <c r="AE90" s="6">
        <f>AE$1*'survival matrix'!AE90</f>
        <v>4623.953266941503</v>
      </c>
      <c r="AF90" s="6">
        <f>AF$1*'survival matrix'!AF90</f>
        <v>5601.4108560949817</v>
      </c>
      <c r="AG90" s="6">
        <f>AG$1*'survival matrix'!AG90</f>
        <v>6762.0508904438984</v>
      </c>
      <c r="AH90" s="6">
        <f>AH$1*'survival matrix'!AH90</f>
        <v>8083.9763688334588</v>
      </c>
      <c r="AI90" s="6">
        <f>AI$1*'survival matrix'!AI90</f>
        <v>9807.7898763706671</v>
      </c>
      <c r="AJ90" s="6">
        <f>AJ$1*'survival matrix'!AJ90</f>
        <v>11625.159985940445</v>
      </c>
      <c r="AK90" s="6">
        <f>AK$1*'survival matrix'!AK90</f>
        <v>13634.020528040324</v>
      </c>
      <c r="AL90" s="6">
        <f>AL$1*'survival matrix'!AL90</f>
        <v>15921.696125801529</v>
      </c>
      <c r="AM90" s="6">
        <f>AM$1*'survival matrix'!AM90</f>
        <v>18516.18342705238</v>
      </c>
      <c r="AN90" s="6">
        <f>AN$1*'survival matrix'!AN90</f>
        <v>21199.472782009074</v>
      </c>
      <c r="AO90" s="6">
        <f>AO$1*'survival matrix'!AO90</f>
        <v>24124.466312969169</v>
      </c>
      <c r="AP90" s="6">
        <f>AP$1*'survival matrix'!AP90</f>
        <v>27201.854872018033</v>
      </c>
      <c r="AQ90" s="6">
        <f>AQ$1*'survival matrix'!AQ90</f>
        <v>30702.642218308589</v>
      </c>
      <c r="AR90" s="6">
        <f>AR$1*'survival matrix'!AR90</f>
        <v>34689.40643008038</v>
      </c>
      <c r="AS90" s="6">
        <f>AS$1*'survival matrix'!AS90</f>
        <v>38995.827235073601</v>
      </c>
      <c r="AT90" s="6">
        <f>AT$1*'survival matrix'!AT90</f>
        <v>44072.865197070569</v>
      </c>
      <c r="AU90" s="6">
        <f>AU$1*'survival matrix'!AU90</f>
        <v>49600.400594044942</v>
      </c>
      <c r="AV90" s="6">
        <f>AV$1*'survival matrix'!AV90</f>
        <v>55188.550697834726</v>
      </c>
      <c r="AW90" s="6">
        <f>AW$1*'survival matrix'!AW90</f>
        <v>61276.392757993577</v>
      </c>
      <c r="AX90" s="6">
        <f>AX$1*'survival matrix'!AX90</f>
        <v>67695.661049966817</v>
      </c>
      <c r="AY90" s="6">
        <f>AY$1*'survival matrix'!AY90</f>
        <v>74931.514383331509</v>
      </c>
      <c r="AZ90" s="6">
        <f>AZ$1*'survival matrix'!AZ90</f>
        <v>82311.412912994478</v>
      </c>
      <c r="BA90" s="6">
        <f>BA$1*'survival matrix'!BA90</f>
        <v>89659.322892732554</v>
      </c>
      <c r="BB90" s="6">
        <f>BB$1*'survival matrix'!BB90</f>
        <v>97656.918630279702</v>
      </c>
      <c r="BC90" s="6">
        <f>BC$1*'survival matrix'!BC90</f>
        <v>106017.35345995071</v>
      </c>
      <c r="BD90" s="6">
        <f>BD$1*'survival matrix'!BD90</f>
        <v>114903.89006071139</v>
      </c>
      <c r="BE90" s="6">
        <f>BE$1*'survival matrix'!BE90</f>
        <v>123890.26506377298</v>
      </c>
      <c r="BF90" s="6">
        <f>BF$1*'survival matrix'!BF90</f>
        <v>132426.41087131979</v>
      </c>
      <c r="BG90" s="6">
        <f>BG$1*'survival matrix'!BG90</f>
        <v>141041.93497443662</v>
      </c>
      <c r="BH90" s="6">
        <f>BH$1*'survival matrix'!BH90</f>
        <v>149658.2323199996</v>
      </c>
      <c r="BI90" s="6">
        <f>BI$1*'survival matrix'!BI90</f>
        <v>158645.35252345374</v>
      </c>
      <c r="BJ90" s="6">
        <f>BJ$1*'survival matrix'!BJ90</f>
        <v>167942.33997449226</v>
      </c>
      <c r="BK90" s="6">
        <f>BK$1*'survival matrix'!BK90</f>
        <v>177282.12895386305</v>
      </c>
      <c r="BL90" s="6">
        <f>BL$1*'survival matrix'!BL90</f>
        <v>187206.70855465072</v>
      </c>
      <c r="BM90" s="6">
        <f>BM$1*'survival matrix'!BM90</f>
        <v>197820.91152623235</v>
      </c>
      <c r="BN90" s="6">
        <f>BN$1*'survival matrix'!BN90</f>
        <v>209455.9508646293</v>
      </c>
      <c r="BO90" s="6">
        <f>BO$1*'survival matrix'!BO90</f>
        <v>223385.9694758094</v>
      </c>
      <c r="BP90" s="6">
        <f>BP$1*'survival matrix'!BP90</f>
        <v>237224.32279587054</v>
      </c>
      <c r="BQ90" s="6">
        <f>BQ$1*'survival matrix'!BQ90</f>
        <v>252350.20050065729</v>
      </c>
      <c r="BR90" s="6">
        <f>BR$1*'survival matrix'!BR90</f>
        <v>264539.97580851667</v>
      </c>
      <c r="BS90" s="6">
        <f>BS$1*'survival matrix'!BS90</f>
        <v>281522.16424809495</v>
      </c>
      <c r="BT90" s="6">
        <f>BT$1*'survival matrix'!BT90</f>
        <v>297277.54303387902</v>
      </c>
      <c r="BU90" s="6">
        <f>BU$1*'survival matrix'!BU90</f>
        <v>303687.22003327467</v>
      </c>
      <c r="BV90" s="6">
        <f>BV$1*'survival matrix'!BV90</f>
        <v>311487.10022793926</v>
      </c>
      <c r="BW90" s="6">
        <f>BW$1*'survival matrix'!BW90</f>
        <v>319976.36730560061</v>
      </c>
      <c r="BX90" s="6">
        <f>BX$1*'survival matrix'!BX90</f>
        <v>328838.42999367154</v>
      </c>
      <c r="BY90" s="6">
        <f>BY$1*'survival matrix'!BY90</f>
        <v>338475.98613825074</v>
      </c>
      <c r="BZ90" s="6">
        <f>BZ$1*'survival matrix'!BZ90</f>
        <v>351870.73220135277</v>
      </c>
      <c r="CA90" s="6">
        <f>CA$1*'survival matrix'!CA90</f>
        <v>370898.21747513552</v>
      </c>
      <c r="CB90" s="6">
        <f>CB$1*'survival matrix'!CB90</f>
        <v>389001.95533262286</v>
      </c>
      <c r="CC90" s="6">
        <f>CC$1*'survival matrix'!CC90</f>
        <v>409565.41250056605</v>
      </c>
      <c r="CD90" s="6">
        <f>CD$1*'survival matrix'!CD90</f>
        <v>428120.0911400186</v>
      </c>
      <c r="CE90" s="6">
        <f>CE$1*'survival matrix'!CE90</f>
        <v>448096.87046949833</v>
      </c>
      <c r="CF90" s="6">
        <f>CF$1*'survival matrix'!CF90</f>
        <v>469229.95389050938</v>
      </c>
      <c r="CG90" s="6">
        <f>CG$1*'survival matrix'!CG90</f>
        <v>491537.46992561332</v>
      </c>
      <c r="CH90" s="6">
        <f>CH$1*'survival matrix'!CH90</f>
        <v>511307.78315925662</v>
      </c>
      <c r="CI90" s="6">
        <f>CI$1*'survival matrix'!CI90</f>
        <v>531758.13233080774</v>
      </c>
      <c r="CJ90" s="6">
        <f>CJ$1*'survival matrix'!CJ90</f>
        <v>553720.09265381435</v>
      </c>
      <c r="CK90" s="6">
        <f>CK$1*'survival matrix'!CK90</f>
        <v>576203.49604929518</v>
      </c>
      <c r="CL90" s="6">
        <f>CL$1*'survival matrix'!CL90</f>
        <v>604099.82316755771</v>
      </c>
      <c r="CM90" s="6">
        <f>CM$1*'survival matrix'!CM90</f>
        <v>634739.14461919619</v>
      </c>
      <c r="CN90" s="6">
        <f>CN$1*'survival matrix'!CN90</f>
        <v>664556.46221577935</v>
      </c>
      <c r="CO90" s="6">
        <f>CO$1*'survival matrix'!CO90</f>
        <v>696363.60716202587</v>
      </c>
      <c r="CP90" s="6">
        <f>CP$1*'survival matrix'!CP90</f>
        <v>0</v>
      </c>
      <c r="CQ90" s="6">
        <f>CQ$1*'survival matrix'!CQ90</f>
        <v>0</v>
      </c>
      <c r="CR90" s="6">
        <f>CR$1*'survival matrix'!CR90</f>
        <v>0</v>
      </c>
      <c r="CS90" s="6">
        <f>CS$1*'survival matrix'!CS90</f>
        <v>0</v>
      </c>
      <c r="CT90" s="6">
        <f>CT$1*'survival matrix'!CT90</f>
        <v>0</v>
      </c>
      <c r="CU90" s="6">
        <f>CU$1*'survival matrix'!CU90</f>
        <v>0</v>
      </c>
      <c r="CV90" s="6">
        <f>CV$1*'survival matrix'!CV90</f>
        <v>0</v>
      </c>
      <c r="CW90" s="6">
        <f>CW$1*'survival matrix'!CW90</f>
        <v>0</v>
      </c>
      <c r="CX90" s="6">
        <f>CX$1*'survival matrix'!CX90</f>
        <v>0</v>
      </c>
      <c r="CY90" s="6">
        <f>CY$1*'survival matrix'!CY90</f>
        <v>0</v>
      </c>
      <c r="CZ90" s="6">
        <f>CZ$1*'survival matrix'!CZ90</f>
        <v>0</v>
      </c>
      <c r="DA90" s="6">
        <f>DA$1*'survival matrix'!DA90</f>
        <v>0</v>
      </c>
      <c r="DB90" s="6">
        <f>DB$1*'survival matrix'!DB90</f>
        <v>0</v>
      </c>
      <c r="DC90" s="6">
        <f>DC$1*'survival matrix'!DC90</f>
        <v>0</v>
      </c>
      <c r="DD90" s="6">
        <f>DD$1*'survival matrix'!DD90</f>
        <v>0</v>
      </c>
      <c r="DE90" s="6">
        <f>DE$1*'survival matrix'!DE90</f>
        <v>0</v>
      </c>
      <c r="DF90" s="6">
        <f>DF$1*'survival matrix'!DF90</f>
        <v>0</v>
      </c>
      <c r="DG90" s="6">
        <f>DG$1*'survival matrix'!DG90</f>
        <v>0</v>
      </c>
      <c r="DH90" s="6">
        <f>DH$1*'survival matrix'!DH90</f>
        <v>0</v>
      </c>
      <c r="DI90" s="6">
        <f>DI$1*'survival matrix'!DI90</f>
        <v>0</v>
      </c>
      <c r="DJ90" s="6">
        <f>DJ$1*'survival matrix'!DJ90</f>
        <v>0</v>
      </c>
      <c r="DK90" s="6">
        <f>DK$1*'survival matrix'!DK90</f>
        <v>0</v>
      </c>
      <c r="DL90" s="6">
        <f>DL$1*'survival matrix'!DL90</f>
        <v>0</v>
      </c>
      <c r="DM90" s="6">
        <f>DM$1*'survival matrix'!DM90</f>
        <v>0</v>
      </c>
      <c r="DN90" s="6">
        <f>DN$1*'survival matrix'!DN90</f>
        <v>0</v>
      </c>
      <c r="DO90" s="6">
        <f>DO$1*'survival matrix'!DO90</f>
        <v>0</v>
      </c>
      <c r="DP90" s="6">
        <f>DP$1*'survival matrix'!DP90</f>
        <v>0</v>
      </c>
      <c r="DQ90" s="6">
        <f>DQ$1*'survival matrix'!DQ90</f>
        <v>0</v>
      </c>
      <c r="DR90" s="6">
        <f>DR$1*'survival matrix'!DR90</f>
        <v>0</v>
      </c>
      <c r="DS90" s="6">
        <f>DS$1*'survival matrix'!DS90</f>
        <v>0</v>
      </c>
      <c r="DT90" s="6">
        <f>DT$1*'survival matrix'!DT90</f>
        <v>0</v>
      </c>
      <c r="DU90" s="6">
        <f>DU$1*'survival matrix'!DU90</f>
        <v>0</v>
      </c>
      <c r="DV90" s="6">
        <f>DV$1*'survival matrix'!DV90</f>
        <v>0</v>
      </c>
      <c r="DW90" s="6">
        <f>DW$1*'survival matrix'!DW90</f>
        <v>0</v>
      </c>
      <c r="DX90" s="6">
        <f>DX$1*'survival matrix'!DX90</f>
        <v>0</v>
      </c>
      <c r="DY90" s="6">
        <f>DY$1*'survival matrix'!DY90</f>
        <v>0</v>
      </c>
      <c r="DZ90" s="6">
        <f>DZ$1*'survival matrix'!DZ90</f>
        <v>0</v>
      </c>
      <c r="EA90" s="6">
        <f>EA$1*'survival matrix'!EA90</f>
        <v>0</v>
      </c>
      <c r="EB90" s="6">
        <f>EB$1*'survival matrix'!EB90</f>
        <v>0</v>
      </c>
      <c r="EC90" s="6">
        <f>EC$1*'survival matrix'!EC90</f>
        <v>0</v>
      </c>
    </row>
    <row r="91" spans="1:133">
      <c r="A91" s="12">
        <f>'data input'!C91-B91</f>
        <v>195569.07524754875</v>
      </c>
      <c r="B91" s="14">
        <f t="shared" si="3"/>
        <v>536944.13196533546</v>
      </c>
      <c r="C91" s="11">
        <f>SUM(F91:EC91)</f>
        <v>14604930.693193933</v>
      </c>
      <c r="E91" s="7">
        <f>'data input'!B91</f>
        <v>1966</v>
      </c>
      <c r="F91" s="6">
        <f>F$1*'survival matrix'!F91</f>
        <v>0.51718981722120949</v>
      </c>
      <c r="G91" s="6">
        <f>G$1*'survival matrix'!G91</f>
        <v>1.3819649525997593</v>
      </c>
      <c r="H91" s="6">
        <f>H$1*'survival matrix'!H91</f>
        <v>2.7518886145093449</v>
      </c>
      <c r="I91" s="6">
        <f>I$1*'survival matrix'!I91</f>
        <v>4.8480782338156994</v>
      </c>
      <c r="J91" s="6">
        <f>J$1*'survival matrix'!J91</f>
        <v>7.965602295877841</v>
      </c>
      <c r="K91" s="6">
        <f>K$1*'survival matrix'!K91</f>
        <v>12.499187378189248</v>
      </c>
      <c r="L91" s="6">
        <f>L$1*'survival matrix'!L91</f>
        <v>18.974417079513938</v>
      </c>
      <c r="M91" s="6">
        <f>M$1*'survival matrix'!M91</f>
        <v>28.069315957639997</v>
      </c>
      <c r="N91" s="6">
        <f>N$1*'survival matrix'!N91</f>
        <v>40.645629594192158</v>
      </c>
      <c r="O91" s="6">
        <f>O$1*'survival matrix'!O91</f>
        <v>57.799469242444488</v>
      </c>
      <c r="P91" s="6">
        <f>P$1*'survival matrix'!P91</f>
        <v>80.949380671490076</v>
      </c>
      <c r="Q91" s="6">
        <f>Q$1*'survival matrix'!Q91</f>
        <v>111.87816842363647</v>
      </c>
      <c r="R91" s="6">
        <f>R$1*'survival matrix'!R91</f>
        <v>152.77370412749445</v>
      </c>
      <c r="S91" s="6">
        <f>S$1*'survival matrix'!S91</f>
        <v>206.29328995544927</v>
      </c>
      <c r="T91" s="6">
        <f>T$1*'survival matrix'!T91</f>
        <v>275.63789153615625</v>
      </c>
      <c r="U91" s="6">
        <f>U$1*'survival matrix'!U91</f>
        <v>364.73517962184269</v>
      </c>
      <c r="V91" s="6">
        <f>V$1*'survival matrix'!V91</f>
        <v>478.17504718507899</v>
      </c>
      <c r="W91" s="6">
        <f>W$1*'survival matrix'!W91</f>
        <v>621.51530047321523</v>
      </c>
      <c r="X91" s="6">
        <f>X$1*'survival matrix'!X91</f>
        <v>801.19687515887415</v>
      </c>
      <c r="Y91" s="6">
        <f>Y$1*'survival matrix'!Y91</f>
        <v>1024.6231296502156</v>
      </c>
      <c r="Z91" s="6">
        <f>Z$1*'survival matrix'!Z91</f>
        <v>1300.4178184690697</v>
      </c>
      <c r="AA91" s="6">
        <f>AA$1*'survival matrix'!AA91</f>
        <v>1638.3452812073112</v>
      </c>
      <c r="AB91" s="6">
        <f>AB$1*'survival matrix'!AB91</f>
        <v>2049.1578207054918</v>
      </c>
      <c r="AC91" s="6">
        <f>AC$1*'survival matrix'!AC91</f>
        <v>2555.3530010124055</v>
      </c>
      <c r="AD91" s="6">
        <f>AD$1*'survival matrix'!AD91</f>
        <v>3190.6815898702057</v>
      </c>
      <c r="AE91" s="6">
        <f>AE$1*'survival matrix'!AE91</f>
        <v>3950.2676817715255</v>
      </c>
      <c r="AF91" s="6">
        <f>AF$1*'survival matrix'!AF91</f>
        <v>4808.5817532723331</v>
      </c>
      <c r="AG91" s="6">
        <f>AG$1*'survival matrix'!AG91</f>
        <v>5832.9785465629211</v>
      </c>
      <c r="AH91" s="6">
        <f>AH$1*'survival matrix'!AH91</f>
        <v>7006.7156442532569</v>
      </c>
      <c r="AI91" s="6">
        <f>AI$1*'survival matrix'!AI91</f>
        <v>8541.2707474453819</v>
      </c>
      <c r="AJ91" s="6">
        <f>AJ$1*'survival matrix'!AJ91</f>
        <v>10171.750438755982</v>
      </c>
      <c r="AK91" s="6">
        <f>AK$1*'survival matrix'!AK91</f>
        <v>11985.297050931998</v>
      </c>
      <c r="AL91" s="6">
        <f>AL$1*'survival matrix'!AL91</f>
        <v>14061.254171136974</v>
      </c>
      <c r="AM91" s="6">
        <f>AM$1*'survival matrix'!AM91</f>
        <v>16427.704483333091</v>
      </c>
      <c r="AN91" s="6">
        <f>AN$1*'survival matrix'!AN91</f>
        <v>18893.871298707894</v>
      </c>
      <c r="AO91" s="6">
        <f>AO$1*'survival matrix'!AO91</f>
        <v>21597.468149429704</v>
      </c>
      <c r="AP91" s="6">
        <f>AP$1*'survival matrix'!AP91</f>
        <v>24460.792742915677</v>
      </c>
      <c r="AQ91" s="6">
        <f>AQ$1*'survival matrix'!AQ91</f>
        <v>27730.080574149066</v>
      </c>
      <c r="AR91" s="6">
        <f>AR$1*'survival matrix'!AR91</f>
        <v>31466.678539681874</v>
      </c>
      <c r="AS91" s="6">
        <f>AS$1*'survival matrix'!AS91</f>
        <v>35524.244834746001</v>
      </c>
      <c r="AT91" s="6">
        <f>AT$1*'survival matrix'!AT91</f>
        <v>40318.410759908867</v>
      </c>
      <c r="AU91" s="6">
        <f>AU$1*'survival matrix'!AU91</f>
        <v>45563.184853781793</v>
      </c>
      <c r="AV91" s="6">
        <f>AV$1*'survival matrix'!AV91</f>
        <v>50903.144852812824</v>
      </c>
      <c r="AW91" s="6">
        <f>AW$1*'survival matrix'!AW91</f>
        <v>56744.539371539955</v>
      </c>
      <c r="AX91" s="6">
        <f>AX$1*'survival matrix'!AX91</f>
        <v>62935.258015517793</v>
      </c>
      <c r="AY91" s="6">
        <f>AY$1*'survival matrix'!AY91</f>
        <v>69930.32047961645</v>
      </c>
      <c r="AZ91" s="6">
        <f>AZ$1*'survival matrix'!AZ91</f>
        <v>77106.834224837949</v>
      </c>
      <c r="BA91" s="6">
        <f>BA$1*'survival matrix'!BA91</f>
        <v>84299.014442220519</v>
      </c>
      <c r="BB91" s="6">
        <f>BB$1*'survival matrix'!BB91</f>
        <v>92147.833836066056</v>
      </c>
      <c r="BC91" s="6">
        <f>BC$1*'survival matrix'!BC91</f>
        <v>100386.06088818295</v>
      </c>
      <c r="BD91" s="6">
        <f>BD$1*'survival matrix'!BD91</f>
        <v>109169.98045154959</v>
      </c>
      <c r="BE91" s="6">
        <f>BE$1*'survival matrix'!BE91</f>
        <v>118095.64827691684</v>
      </c>
      <c r="BF91" s="6">
        <f>BF$1*'survival matrix'!BF91</f>
        <v>126635.12918319569</v>
      </c>
      <c r="BG91" s="6">
        <f>BG$1*'survival matrix'!BG91</f>
        <v>135289.45366793126</v>
      </c>
      <c r="BH91" s="6">
        <f>BH$1*'survival matrix'!BH91</f>
        <v>143980.68673681311</v>
      </c>
      <c r="BI91" s="6">
        <f>BI$1*'survival matrix'!BI91</f>
        <v>153062.74390373394</v>
      </c>
      <c r="BJ91" s="6">
        <f>BJ$1*'survival matrix'!BJ91</f>
        <v>162476.38581890851</v>
      </c>
      <c r="BK91" s="6">
        <f>BK$1*'survival matrix'!BK91</f>
        <v>171961.52160885348</v>
      </c>
      <c r="BL91" s="6">
        <f>BL$1*'survival matrix'!BL91</f>
        <v>182041.94895643383</v>
      </c>
      <c r="BM91" s="6">
        <f>BM$1*'survival matrix'!BM91</f>
        <v>192820.31164493493</v>
      </c>
      <c r="BN91" s="6">
        <f>BN$1*'survival matrix'!BN91</f>
        <v>204620.92489470108</v>
      </c>
      <c r="BO91" s="6">
        <f>BO$1*'survival matrix'!BO91</f>
        <v>218693.5251252153</v>
      </c>
      <c r="BP91" s="6">
        <f>BP$1*'survival matrix'!BP91</f>
        <v>232706.11326305082</v>
      </c>
      <c r="BQ91" s="6">
        <f>BQ$1*'survival matrix'!BQ91</f>
        <v>248008.62349472506</v>
      </c>
      <c r="BR91" s="6">
        <f>BR$1*'survival matrix'!BR91</f>
        <v>260444.62540494674</v>
      </c>
      <c r="BS91" s="6">
        <f>BS$1*'survival matrix'!BS91</f>
        <v>277616.1436903521</v>
      </c>
      <c r="BT91" s="6">
        <f>BT$1*'survival matrix'!BT91</f>
        <v>293596.07975564402</v>
      </c>
      <c r="BU91" s="6">
        <f>BU$1*'survival matrix'!BU91</f>
        <v>300344.61741309561</v>
      </c>
      <c r="BV91" s="6">
        <f>BV$1*'survival matrix'!BV91</f>
        <v>308453.12402334984</v>
      </c>
      <c r="BW91" s="6">
        <f>BW$1*'survival matrix'!BW91</f>
        <v>317230.55957469315</v>
      </c>
      <c r="BX91" s="6">
        <f>BX$1*'survival matrix'!BX91</f>
        <v>326363.65766785963</v>
      </c>
      <c r="BY91" s="6">
        <f>BY$1*'survival matrix'!BY91</f>
        <v>336252.38170769199</v>
      </c>
      <c r="BZ91" s="6">
        <f>BZ$1*'survival matrix'!BZ91</f>
        <v>349862.45010843605</v>
      </c>
      <c r="CA91" s="6">
        <f>CA$1*'survival matrix'!CA91</f>
        <v>369067.99489969591</v>
      </c>
      <c r="CB91" s="6">
        <f>CB$1*'survival matrix'!CB91</f>
        <v>387350.49757737026</v>
      </c>
      <c r="CC91" s="6">
        <f>CC$1*'survival matrix'!CC91</f>
        <v>408076.97637198877</v>
      </c>
      <c r="CD91" s="6">
        <f>CD$1*'survival matrix'!CD91</f>
        <v>426794.9660386779</v>
      </c>
      <c r="CE91" s="6">
        <f>CE$1*'survival matrix'!CE91</f>
        <v>446921.67100369796</v>
      </c>
      <c r="CF91" s="6">
        <f>CF$1*'survival matrix'!CF91</f>
        <v>468192.63713967556</v>
      </c>
      <c r="CG91" s="6">
        <f>CG$1*'survival matrix'!CG91</f>
        <v>490626.33667938306</v>
      </c>
      <c r="CH91" s="6">
        <f>CH$1*'survival matrix'!CH91</f>
        <v>510517.28779457201</v>
      </c>
      <c r="CI91" s="6">
        <f>CI$1*'survival matrix'!CI91</f>
        <v>531076.11479665153</v>
      </c>
      <c r="CJ91" s="6">
        <f>CJ$1*'survival matrix'!CJ91</f>
        <v>553134.10034464614</v>
      </c>
      <c r="CK91" s="6">
        <f>CK$1*'survival matrix'!CK91</f>
        <v>575703.07162372372</v>
      </c>
      <c r="CL91" s="6">
        <f>CL$1*'survival matrix'!CL91</f>
        <v>603671.61009836663</v>
      </c>
      <c r="CM91" s="6">
        <f>CM$1*'survival matrix'!CM91</f>
        <v>634373.92733202013</v>
      </c>
      <c r="CN91" s="6">
        <f>CN$1*'survival matrix'!CN91</f>
        <v>664247.78882771695</v>
      </c>
      <c r="CO91" s="6">
        <f>CO$1*'survival matrix'!CO91</f>
        <v>696103.94261357735</v>
      </c>
      <c r="CP91" s="6">
        <f>CP$1*'survival matrix'!CP91</f>
        <v>731524.38907632453</v>
      </c>
      <c r="CQ91" s="6">
        <f>CQ$1*'survival matrix'!CQ91</f>
        <v>0</v>
      </c>
      <c r="CR91" s="6">
        <f>CR$1*'survival matrix'!CR91</f>
        <v>0</v>
      </c>
      <c r="CS91" s="6">
        <f>CS$1*'survival matrix'!CS91</f>
        <v>0</v>
      </c>
      <c r="CT91" s="6">
        <f>CT$1*'survival matrix'!CT91</f>
        <v>0</v>
      </c>
      <c r="CU91" s="6">
        <f>CU$1*'survival matrix'!CU91</f>
        <v>0</v>
      </c>
      <c r="CV91" s="6">
        <f>CV$1*'survival matrix'!CV91</f>
        <v>0</v>
      </c>
      <c r="CW91" s="6">
        <f>CW$1*'survival matrix'!CW91</f>
        <v>0</v>
      </c>
      <c r="CX91" s="6">
        <f>CX$1*'survival matrix'!CX91</f>
        <v>0</v>
      </c>
      <c r="CY91" s="6">
        <f>CY$1*'survival matrix'!CY91</f>
        <v>0</v>
      </c>
      <c r="CZ91" s="6">
        <f>CZ$1*'survival matrix'!CZ91</f>
        <v>0</v>
      </c>
      <c r="DA91" s="6">
        <f>DA$1*'survival matrix'!DA91</f>
        <v>0</v>
      </c>
      <c r="DB91" s="6">
        <f>DB$1*'survival matrix'!DB91</f>
        <v>0</v>
      </c>
      <c r="DC91" s="6">
        <f>DC$1*'survival matrix'!DC91</f>
        <v>0</v>
      </c>
      <c r="DD91" s="6">
        <f>DD$1*'survival matrix'!DD91</f>
        <v>0</v>
      </c>
      <c r="DE91" s="6">
        <f>DE$1*'survival matrix'!DE91</f>
        <v>0</v>
      </c>
      <c r="DF91" s="6">
        <f>DF$1*'survival matrix'!DF91</f>
        <v>0</v>
      </c>
      <c r="DG91" s="6">
        <f>DG$1*'survival matrix'!DG91</f>
        <v>0</v>
      </c>
      <c r="DH91" s="6">
        <f>DH$1*'survival matrix'!DH91</f>
        <v>0</v>
      </c>
      <c r="DI91" s="6">
        <f>DI$1*'survival matrix'!DI91</f>
        <v>0</v>
      </c>
      <c r="DJ91" s="6">
        <f>DJ$1*'survival matrix'!DJ91</f>
        <v>0</v>
      </c>
      <c r="DK91" s="6">
        <f>DK$1*'survival matrix'!DK91</f>
        <v>0</v>
      </c>
      <c r="DL91" s="6">
        <f>DL$1*'survival matrix'!DL91</f>
        <v>0</v>
      </c>
      <c r="DM91" s="6">
        <f>DM$1*'survival matrix'!DM91</f>
        <v>0</v>
      </c>
      <c r="DN91" s="6">
        <f>DN$1*'survival matrix'!DN91</f>
        <v>0</v>
      </c>
      <c r="DO91" s="6">
        <f>DO$1*'survival matrix'!DO91</f>
        <v>0</v>
      </c>
      <c r="DP91" s="6">
        <f>DP$1*'survival matrix'!DP91</f>
        <v>0</v>
      </c>
      <c r="DQ91" s="6">
        <f>DQ$1*'survival matrix'!DQ91</f>
        <v>0</v>
      </c>
      <c r="DR91" s="6">
        <f>DR$1*'survival matrix'!DR91</f>
        <v>0</v>
      </c>
      <c r="DS91" s="6">
        <f>DS$1*'survival matrix'!DS91</f>
        <v>0</v>
      </c>
      <c r="DT91" s="6">
        <f>DT$1*'survival matrix'!DT91</f>
        <v>0</v>
      </c>
      <c r="DU91" s="6">
        <f>DU$1*'survival matrix'!DU91</f>
        <v>0</v>
      </c>
      <c r="DV91" s="6">
        <f>DV$1*'survival matrix'!DV91</f>
        <v>0</v>
      </c>
      <c r="DW91" s="6">
        <f>DW$1*'survival matrix'!DW91</f>
        <v>0</v>
      </c>
      <c r="DX91" s="6">
        <f>DX$1*'survival matrix'!DX91</f>
        <v>0</v>
      </c>
      <c r="DY91" s="6">
        <f>DY$1*'survival matrix'!DY91</f>
        <v>0</v>
      </c>
      <c r="DZ91" s="6">
        <f>DZ$1*'survival matrix'!DZ91</f>
        <v>0</v>
      </c>
      <c r="EA91" s="6">
        <f>EA$1*'survival matrix'!EA91</f>
        <v>0</v>
      </c>
      <c r="EB91" s="6">
        <f>EB$1*'survival matrix'!EB91</f>
        <v>0</v>
      </c>
      <c r="EC91" s="6">
        <f>EC$1*'survival matrix'!EC91</f>
        <v>0</v>
      </c>
    </row>
    <row r="92" spans="1:133">
      <c r="A92" s="12">
        <f>'data input'!C92-B92</f>
        <v>201504.61040252761</v>
      </c>
      <c r="B92" s="14">
        <f t="shared" si="3"/>
        <v>570667.57982819527</v>
      </c>
      <c r="C92" s="11">
        <f>SUM(F92:EC92)</f>
        <v>15175598.273022128</v>
      </c>
      <c r="E92" s="7">
        <f>'data input'!B92</f>
        <v>1967</v>
      </c>
      <c r="F92" s="6">
        <f>F$1*'survival matrix'!F92</f>
        <v>0.38657025107515747</v>
      </c>
      <c r="G92" s="6">
        <f>G$1*'survival matrix'!G92</f>
        <v>1.0384483133495952</v>
      </c>
      <c r="H92" s="6">
        <f>H$1*'survival matrix'!H92</f>
        <v>2.0788537731987793</v>
      </c>
      <c r="I92" s="6">
        <f>I$1*'survival matrix'!I92</f>
        <v>3.681828940914015</v>
      </c>
      <c r="J92" s="6">
        <f>J$1*'survival matrix'!J92</f>
        <v>6.0814757166146229</v>
      </c>
      <c r="K92" s="6">
        <f>K$1*'survival matrix'!K92</f>
        <v>9.5932062031809942</v>
      </c>
      <c r="L92" s="6">
        <f>L$1*'survival matrix'!L92</f>
        <v>14.639867621247586</v>
      </c>
      <c r="M92" s="6">
        <f>M$1*'survival matrix'!M92</f>
        <v>21.771185766128283</v>
      </c>
      <c r="N92" s="6">
        <f>N$1*'survival matrix'!N92</f>
        <v>31.691315287651729</v>
      </c>
      <c r="O92" s="6">
        <f>O$1*'survival matrix'!O92</f>
        <v>45.302354558034423</v>
      </c>
      <c r="P92" s="6">
        <f>P$1*'survival matrix'!P92</f>
        <v>63.778613002678867</v>
      </c>
      <c r="Q92" s="6">
        <f>Q$1*'survival matrix'!Q92</f>
        <v>88.606448407197732</v>
      </c>
      <c r="R92" s="6">
        <f>R$1*'survival matrix'!R92</f>
        <v>121.62435971149888</v>
      </c>
      <c r="S92" s="6">
        <f>S$1*'survival matrix'!S92</f>
        <v>165.0829674335171</v>
      </c>
      <c r="T92" s="6">
        <f>T$1*'survival matrix'!T92</f>
        <v>221.71455102667898</v>
      </c>
      <c r="U92" s="6">
        <f>U$1*'survival matrix'!U92</f>
        <v>294.89241936667628</v>
      </c>
      <c r="V92" s="6">
        <f>V$1*'survival matrix'!V92</f>
        <v>388.59368995095394</v>
      </c>
      <c r="W92" s="6">
        <f>W$1*'survival matrix'!W92</f>
        <v>507.66282439880712</v>
      </c>
      <c r="X92" s="6">
        <f>X$1*'survival matrix'!X92</f>
        <v>657.7621892080582</v>
      </c>
      <c r="Y92" s="6">
        <f>Y$1*'survival matrix'!Y92</f>
        <v>845.45583738465405</v>
      </c>
      <c r="Z92" s="6">
        <f>Z$1*'survival matrix'!Z92</f>
        <v>1078.4433554719524</v>
      </c>
      <c r="AA92" s="6">
        <f>AA$1*'survival matrix'!AA92</f>
        <v>1365.518485098145</v>
      </c>
      <c r="AB92" s="6">
        <f>AB$1*'survival matrix'!AB92</f>
        <v>1716.4645601043003</v>
      </c>
      <c r="AC92" s="6">
        <f>AC$1*'survival matrix'!AC92</f>
        <v>2151.129967252542</v>
      </c>
      <c r="AD92" s="6">
        <f>AD$1*'survival matrix'!AD92</f>
        <v>2699.2555111642246</v>
      </c>
      <c r="AE92" s="6">
        <f>AE$1*'survival matrix'!AE92</f>
        <v>3358.3017251774972</v>
      </c>
      <c r="AF92" s="6">
        <f>AF$1*'survival matrix'!AF92</f>
        <v>4107.996772136984</v>
      </c>
      <c r="AG92" s="6">
        <f>AG$1*'survival matrix'!AG92</f>
        <v>5007.3731291664844</v>
      </c>
      <c r="AH92" s="6">
        <f>AH$1*'survival matrix'!AH92</f>
        <v>6044.0275734324014</v>
      </c>
      <c r="AI92" s="6">
        <f>AI$1*'survival matrix'!AI92</f>
        <v>7403.071537746745</v>
      </c>
      <c r="AJ92" s="6">
        <f>AJ$1*'survival matrix'!AJ92</f>
        <v>8858.2316269005005</v>
      </c>
      <c r="AK92" s="6">
        <f>AK$1*'survival matrix'!AK92</f>
        <v>10486.862175133843</v>
      </c>
      <c r="AL92" s="6">
        <f>AL$1*'survival matrix'!AL92</f>
        <v>12360.866539927129</v>
      </c>
      <c r="AM92" s="6">
        <f>AM$1*'survival matrix'!AM92</f>
        <v>14508.135713891745</v>
      </c>
      <c r="AN92" s="6">
        <f>AN$1*'survival matrix'!AN92</f>
        <v>16762.792152287097</v>
      </c>
      <c r="AO92" s="6">
        <f>AO$1*'survival matrix'!AO92</f>
        <v>19248.581688294038</v>
      </c>
      <c r="AP92" s="6">
        <f>AP$1*'survival matrix'!AP92</f>
        <v>21898.564939068368</v>
      </c>
      <c r="AQ92" s="6">
        <f>AQ$1*'survival matrix'!AQ92</f>
        <v>24935.790476787119</v>
      </c>
      <c r="AR92" s="6">
        <f>AR$1*'survival matrix'!AR92</f>
        <v>28420.14459543462</v>
      </c>
      <c r="AS92" s="6">
        <f>AS$1*'survival matrix'!AS92</f>
        <v>32223.958482339374</v>
      </c>
      <c r="AT92" s="6">
        <f>AT$1*'survival matrix'!AT92</f>
        <v>36729.086077564702</v>
      </c>
      <c r="AU92" s="6">
        <f>AU$1*'survival matrix'!AU92</f>
        <v>41681.773904423542</v>
      </c>
      <c r="AV92" s="6">
        <f>AV$1*'survival matrix'!AV92</f>
        <v>46759.892476473266</v>
      </c>
      <c r="AW92" s="6">
        <f>AW$1*'survival matrix'!AW92</f>
        <v>52338.31058638337</v>
      </c>
      <c r="AX92" s="6">
        <f>AX$1*'survival matrix'!AX92</f>
        <v>58280.718978088073</v>
      </c>
      <c r="AY92" s="6">
        <f>AY$1*'survival matrix'!AY92</f>
        <v>65012.774736685526</v>
      </c>
      <c r="AZ92" s="6">
        <f>AZ$1*'survival matrix'!AZ92</f>
        <v>71960.4517923776</v>
      </c>
      <c r="BA92" s="6">
        <f>BA$1*'survival matrix'!BA92</f>
        <v>78968.759032046219</v>
      </c>
      <c r="BB92" s="6">
        <f>BB$1*'survival matrix'!BB92</f>
        <v>86638.74904185241</v>
      </c>
      <c r="BC92" s="6">
        <f>BC$1*'survival matrix'!BC92</f>
        <v>94723.017968675777</v>
      </c>
      <c r="BD92" s="6">
        <f>BD$1*'survival matrix'!BD92</f>
        <v>103371.23071942128</v>
      </c>
      <c r="BE92" s="6">
        <f>BE$1*'survival matrix'!BE92</f>
        <v>112202.4642245978</v>
      </c>
      <c r="BF92" s="6">
        <f>BF$1*'survival matrix'!BF92</f>
        <v>120712.12913962557</v>
      </c>
      <c r="BG92" s="6">
        <f>BG$1*'survival matrix'!BG92</f>
        <v>129372.96517845055</v>
      </c>
      <c r="BH92" s="6">
        <f>BH$1*'survival matrix'!BH92</f>
        <v>138108.34664802009</v>
      </c>
      <c r="BI92" s="6">
        <f>BI$1*'survival matrix'!BI92</f>
        <v>147256.04224670175</v>
      </c>
      <c r="BJ92" s="6">
        <f>BJ$1*'survival matrix'!BJ92</f>
        <v>156758.96606758324</v>
      </c>
      <c r="BK92" s="6">
        <f>BK$1*'survival matrix'!BK92</f>
        <v>166364.75670858368</v>
      </c>
      <c r="BL92" s="6">
        <f>BL$1*'survival matrix'!BL92</f>
        <v>176578.48946148652</v>
      </c>
      <c r="BM92" s="6">
        <f>BM$1*'survival matrix'!BM92</f>
        <v>187500.68093838563</v>
      </c>
      <c r="BN92" s="6">
        <f>BN$1*'survival matrix'!BN92</f>
        <v>199448.43142651828</v>
      </c>
      <c r="BO92" s="6">
        <f>BO$1*'survival matrix'!BO92</f>
        <v>213645.26142551762</v>
      </c>
      <c r="BP92" s="6">
        <f>BP$1*'survival matrix'!BP92</f>
        <v>227817.89002731099</v>
      </c>
      <c r="BQ92" s="6">
        <f>BQ$1*'survival matrix'!BQ92</f>
        <v>243285.01457600726</v>
      </c>
      <c r="BR92" s="6">
        <f>BR$1*'survival matrix'!BR92</f>
        <v>255963.78728897384</v>
      </c>
      <c r="BS92" s="6">
        <f>BS$1*'survival matrix'!BS92</f>
        <v>273318.36078391236</v>
      </c>
      <c r="BT92" s="6">
        <f>BT$1*'survival matrix'!BT92</f>
        <v>289522.53788635222</v>
      </c>
      <c r="BU92" s="6">
        <f>BU$1*'survival matrix'!BU92</f>
        <v>296625.17171081516</v>
      </c>
      <c r="BV92" s="6">
        <f>BV$1*'survival matrix'!BV92</f>
        <v>305058.06439440034</v>
      </c>
      <c r="BW92" s="6">
        <f>BW$1*'survival matrix'!BW92</f>
        <v>314140.64038248931</v>
      </c>
      <c r="BX92" s="6">
        <f>BX$1*'survival matrix'!BX92</f>
        <v>323563.0387913544</v>
      </c>
      <c r="BY92" s="6">
        <f>BY$1*'survival matrix'!BY92</f>
        <v>333721.81346250686</v>
      </c>
      <c r="BZ92" s="6">
        <f>BZ$1*'survival matrix'!BZ92</f>
        <v>347564.0427590016</v>
      </c>
      <c r="CA92" s="6">
        <f>CA$1*'survival matrix'!CA92</f>
        <v>366961.56041283556</v>
      </c>
      <c r="CB92" s="6">
        <f>CB$1*'survival matrix'!CB92</f>
        <v>385439.09010256518</v>
      </c>
      <c r="CC92" s="6">
        <f>CC$1*'survival matrix'!CC92</f>
        <v>406344.53806896455</v>
      </c>
      <c r="CD92" s="6">
        <f>CD$1*'survival matrix'!CD92</f>
        <v>425243.9145398016</v>
      </c>
      <c r="CE92" s="6">
        <f>CE$1*'survival matrix'!CE92</f>
        <v>445538.35091002256</v>
      </c>
      <c r="CF92" s="6">
        <f>CF$1*'survival matrix'!CF92</f>
        <v>466964.73359176255</v>
      </c>
      <c r="CG92" s="6">
        <f>CG$1*'survival matrix'!CG92</f>
        <v>489541.71939692268</v>
      </c>
      <c r="CH92" s="6">
        <f>CH$1*'survival matrix'!CH92</f>
        <v>509570.97280915425</v>
      </c>
      <c r="CI92" s="6">
        <f>CI$1*'survival matrix'!CI92</f>
        <v>530255.05706808041</v>
      </c>
      <c r="CJ92" s="6">
        <f>CJ$1*'survival matrix'!CJ92</f>
        <v>552424.66661483888</v>
      </c>
      <c r="CK92" s="6">
        <f>CK$1*'survival matrix'!CK92</f>
        <v>575093.8151116129</v>
      </c>
      <c r="CL92" s="6">
        <f>CL$1*'survival matrix'!CL92</f>
        <v>603147.33001192403</v>
      </c>
      <c r="CM92" s="6">
        <f>CM$1*'survival matrix'!CM92</f>
        <v>633924.2546189687</v>
      </c>
      <c r="CN92" s="6">
        <f>CN$1*'survival matrix'!CN92</f>
        <v>663865.59280671377</v>
      </c>
      <c r="CO92" s="6">
        <f>CO$1*'survival matrix'!CO92</f>
        <v>695780.61604220711</v>
      </c>
      <c r="CP92" s="6">
        <f>CP$1*'survival matrix'!CP92</f>
        <v>731251.61354897788</v>
      </c>
      <c r="CQ92" s="6">
        <f>CQ$1*'survival matrix'!CQ92</f>
        <v>771129.83651105093</v>
      </c>
      <c r="CR92" s="6">
        <f>CR$1*'survival matrix'!CR92</f>
        <v>0</v>
      </c>
      <c r="CS92" s="6">
        <f>CS$1*'survival matrix'!CS92</f>
        <v>0</v>
      </c>
      <c r="CT92" s="6">
        <f>CT$1*'survival matrix'!CT92</f>
        <v>0</v>
      </c>
      <c r="CU92" s="6">
        <f>CU$1*'survival matrix'!CU92</f>
        <v>0</v>
      </c>
      <c r="CV92" s="6">
        <f>CV$1*'survival matrix'!CV92</f>
        <v>0</v>
      </c>
      <c r="CW92" s="6">
        <f>CW$1*'survival matrix'!CW92</f>
        <v>0</v>
      </c>
      <c r="CX92" s="6">
        <f>CX$1*'survival matrix'!CX92</f>
        <v>0</v>
      </c>
      <c r="CY92" s="6">
        <f>CY$1*'survival matrix'!CY92</f>
        <v>0</v>
      </c>
      <c r="CZ92" s="6">
        <f>CZ$1*'survival matrix'!CZ92</f>
        <v>0</v>
      </c>
      <c r="DA92" s="6">
        <f>DA$1*'survival matrix'!DA92</f>
        <v>0</v>
      </c>
      <c r="DB92" s="6">
        <f>DB$1*'survival matrix'!DB92</f>
        <v>0</v>
      </c>
      <c r="DC92" s="6">
        <f>DC$1*'survival matrix'!DC92</f>
        <v>0</v>
      </c>
      <c r="DD92" s="6">
        <f>DD$1*'survival matrix'!DD92</f>
        <v>0</v>
      </c>
      <c r="DE92" s="6">
        <f>DE$1*'survival matrix'!DE92</f>
        <v>0</v>
      </c>
      <c r="DF92" s="6">
        <f>DF$1*'survival matrix'!DF92</f>
        <v>0</v>
      </c>
      <c r="DG92" s="6">
        <f>DG$1*'survival matrix'!DG92</f>
        <v>0</v>
      </c>
      <c r="DH92" s="6">
        <f>DH$1*'survival matrix'!DH92</f>
        <v>0</v>
      </c>
      <c r="DI92" s="6">
        <f>DI$1*'survival matrix'!DI92</f>
        <v>0</v>
      </c>
      <c r="DJ92" s="6">
        <f>DJ$1*'survival matrix'!DJ92</f>
        <v>0</v>
      </c>
      <c r="DK92" s="6">
        <f>DK$1*'survival matrix'!DK92</f>
        <v>0</v>
      </c>
      <c r="DL92" s="6">
        <f>DL$1*'survival matrix'!DL92</f>
        <v>0</v>
      </c>
      <c r="DM92" s="6">
        <f>DM$1*'survival matrix'!DM92</f>
        <v>0</v>
      </c>
      <c r="DN92" s="6">
        <f>DN$1*'survival matrix'!DN92</f>
        <v>0</v>
      </c>
      <c r="DO92" s="6">
        <f>DO$1*'survival matrix'!DO92</f>
        <v>0</v>
      </c>
      <c r="DP92" s="6">
        <f>DP$1*'survival matrix'!DP92</f>
        <v>0</v>
      </c>
      <c r="DQ92" s="6">
        <f>DQ$1*'survival matrix'!DQ92</f>
        <v>0</v>
      </c>
      <c r="DR92" s="6">
        <f>DR$1*'survival matrix'!DR92</f>
        <v>0</v>
      </c>
      <c r="DS92" s="6">
        <f>DS$1*'survival matrix'!DS92</f>
        <v>0</v>
      </c>
      <c r="DT92" s="6">
        <f>DT$1*'survival matrix'!DT92</f>
        <v>0</v>
      </c>
      <c r="DU92" s="6">
        <f>DU$1*'survival matrix'!DU92</f>
        <v>0</v>
      </c>
      <c r="DV92" s="6">
        <f>DV$1*'survival matrix'!DV92</f>
        <v>0</v>
      </c>
      <c r="DW92" s="6">
        <f>DW$1*'survival matrix'!DW92</f>
        <v>0</v>
      </c>
      <c r="DX92" s="6">
        <f>DX$1*'survival matrix'!DX92</f>
        <v>0</v>
      </c>
      <c r="DY92" s="6">
        <f>DY$1*'survival matrix'!DY92</f>
        <v>0</v>
      </c>
      <c r="DZ92" s="6">
        <f>DZ$1*'survival matrix'!DZ92</f>
        <v>0</v>
      </c>
      <c r="EA92" s="6">
        <f>EA$1*'survival matrix'!EA92</f>
        <v>0</v>
      </c>
      <c r="EB92" s="6">
        <f>EB$1*'survival matrix'!EB92</f>
        <v>0</v>
      </c>
      <c r="EC92" s="6">
        <f>EC$1*'survival matrix'!EC92</f>
        <v>0</v>
      </c>
    </row>
    <row r="93" spans="1:133">
      <c r="A93" s="12">
        <f>'data input'!C93-B93</f>
        <v>207654.66110841674</v>
      </c>
      <c r="B93" s="14">
        <f t="shared" si="3"/>
        <v>605264.43214938417</v>
      </c>
      <c r="C93" s="11">
        <f>SUM(F93:EC93)</f>
        <v>15780862.705171512</v>
      </c>
      <c r="E93" s="7">
        <f>'data input'!B93</f>
        <v>1968</v>
      </c>
      <c r="F93" s="6">
        <f>F$1*'survival matrix'!F93</f>
        <v>0.28740446714362511</v>
      </c>
      <c r="G93" s="6">
        <f>G$1*'survival matrix'!G93</f>
        <v>0.77618161041331579</v>
      </c>
      <c r="H93" s="6">
        <f>H$1*'survival matrix'!H93</f>
        <v>1.5621106674359597</v>
      </c>
      <c r="I93" s="6">
        <f>I$1*'survival matrix'!I93</f>
        <v>2.7813567546796412</v>
      </c>
      <c r="J93" s="6">
        <f>J$1*'survival matrix'!J93</f>
        <v>4.6185214464401554</v>
      </c>
      <c r="K93" s="6">
        <f>K$1*'survival matrix'!K93</f>
        <v>7.3240978399477807</v>
      </c>
      <c r="L93" s="6">
        <f>L$1*'survival matrix'!L93</f>
        <v>11.236191972205386</v>
      </c>
      <c r="M93" s="6">
        <f>M$1*'survival matrix'!M93</f>
        <v>16.797737513519046</v>
      </c>
      <c r="N93" s="6">
        <f>N$1*'survival matrix'!N93</f>
        <v>24.58048900591794</v>
      </c>
      <c r="O93" s="6">
        <f>O$1*'survival matrix'!O93</f>
        <v>35.322154335057981</v>
      </c>
      <c r="P93" s="6">
        <f>P$1*'survival matrix'!P93</f>
        <v>49.988717497517726</v>
      </c>
      <c r="Q93" s="6">
        <f>Q$1*'survival matrix'!Q93</f>
        <v>69.811483863456104</v>
      </c>
      <c r="R93" s="6">
        <f>R$1*'survival matrix'!R93</f>
        <v>96.325339480250136</v>
      </c>
      <c r="S93" s="6">
        <f>S$1*'survival matrix'!S93</f>
        <v>131.42386203204137</v>
      </c>
      <c r="T93" s="6">
        <f>T$1*'survival matrix'!T93</f>
        <v>177.42358956308496</v>
      </c>
      <c r="U93" s="6">
        <f>U$1*'survival matrix'!U93</f>
        <v>237.20229463617639</v>
      </c>
      <c r="V93" s="6">
        <f>V$1*'survival matrix'!V93</f>
        <v>314.18228836349488</v>
      </c>
      <c r="W93" s="6">
        <f>W$1*'survival matrix'!W93</f>
        <v>412.55722427460739</v>
      </c>
      <c r="X93" s="6">
        <f>X$1*'survival matrix'!X93</f>
        <v>537.26981540416</v>
      </c>
      <c r="Y93" s="6">
        <f>Y$1*'survival matrix'!Y93</f>
        <v>694.09766777558627</v>
      </c>
      <c r="Z93" s="6">
        <f>Z$1*'survival matrix'!Z93</f>
        <v>889.86496965349249</v>
      </c>
      <c r="AA93" s="6">
        <f>AA$1*'survival matrix'!AA93</f>
        <v>1132.4316816589724</v>
      </c>
      <c r="AB93" s="6">
        <f>AB$1*'survival matrix'!AB93</f>
        <v>1430.6288867942803</v>
      </c>
      <c r="AC93" s="6">
        <f>AC$1*'survival matrix'!AC93</f>
        <v>1801.8809071992805</v>
      </c>
      <c r="AD93" s="6">
        <f>AD$1*'survival matrix'!AD93</f>
        <v>2272.2690043357939</v>
      </c>
      <c r="AE93" s="6">
        <f>AE$1*'survival matrix'!AE93</f>
        <v>2841.0589350617201</v>
      </c>
      <c r="AF93" s="6">
        <f>AF$1*'survival matrix'!AF93</f>
        <v>3492.3943788802585</v>
      </c>
      <c r="AG93" s="6">
        <f>AG$1*'survival matrix'!AG93</f>
        <v>4277.8252938099504</v>
      </c>
      <c r="AH93" s="6">
        <f>AH$1*'survival matrix'!AH93</f>
        <v>5188.5500729263213</v>
      </c>
      <c r="AI93" s="6">
        <f>AI$1*'survival matrix'!AI93</f>
        <v>6385.9261277332153</v>
      </c>
      <c r="AJ93" s="6">
        <f>AJ$1*'survival matrix'!AJ93</f>
        <v>7677.7946011709064</v>
      </c>
      <c r="AK93" s="6">
        <f>AK$1*'survival matrix'!AK93</f>
        <v>9132.6517246011354</v>
      </c>
      <c r="AL93" s="6">
        <f>AL$1*'survival matrix'!AL93</f>
        <v>10815.476931325564</v>
      </c>
      <c r="AM93" s="6">
        <f>AM$1*'survival matrix'!AM93</f>
        <v>12753.707963737465</v>
      </c>
      <c r="AN93" s="6">
        <f>AN$1*'survival matrix'!AN93</f>
        <v>14804.068562097569</v>
      </c>
      <c r="AO93" s="6">
        <f>AO$1*'survival matrix'!AO93</f>
        <v>17077.494017293237</v>
      </c>
      <c r="AP93" s="6">
        <f>AP$1*'survival matrix'!AP93</f>
        <v>19516.931946358709</v>
      </c>
      <c r="AQ93" s="6">
        <f>AQ$1*'survival matrix'!AQ93</f>
        <v>22323.807441648605</v>
      </c>
      <c r="AR93" s="6">
        <f>AR$1*'survival matrix'!AR93</f>
        <v>25556.318491638503</v>
      </c>
      <c r="AS93" s="6">
        <f>AS$1*'survival matrix'!AS93</f>
        <v>29104.106375589068</v>
      </c>
      <c r="AT93" s="6">
        <f>AT$1*'survival matrix'!AT93</f>
        <v>33316.867124507771</v>
      </c>
      <c r="AU93" s="6">
        <f>AU$1*'survival matrix'!AU93</f>
        <v>37971.076556506188</v>
      </c>
      <c r="AV93" s="6">
        <f>AV$1*'survival matrix'!AV93</f>
        <v>42776.537071634099</v>
      </c>
      <c r="AW93" s="6">
        <f>AW$1*'survival matrix'!AW93</f>
        <v>48078.243151696217</v>
      </c>
      <c r="AX93" s="6">
        <f>AX$1*'survival matrix'!AX93</f>
        <v>53755.2054322037</v>
      </c>
      <c r="AY93" s="6">
        <f>AY$1*'survival matrix'!AY93</f>
        <v>60204.587601440682</v>
      </c>
      <c r="AZ93" s="6">
        <f>AZ$1*'survival matrix'!AZ93</f>
        <v>66900.145891532491</v>
      </c>
      <c r="BA93" s="6">
        <f>BA$1*'survival matrix'!BA93</f>
        <v>73698.10516223911</v>
      </c>
      <c r="BB93" s="6">
        <f>BB$1*'survival matrix'!BB93</f>
        <v>81160.551415620444</v>
      </c>
      <c r="BC93" s="6">
        <f>BC$1*'survival matrix'!BC93</f>
        <v>89059.975049168599</v>
      </c>
      <c r="BD93" s="6">
        <f>BD$1*'survival matrix'!BD93</f>
        <v>97539.786482771568</v>
      </c>
      <c r="BE93" s="6">
        <f>BE$1*'survival matrix'!BE93</f>
        <v>106242.63894410066</v>
      </c>
      <c r="BF93" s="6">
        <f>BF$1*'survival matrix'!BF93</f>
        <v>114688.37801291986</v>
      </c>
      <c r="BG93" s="6">
        <f>BG$1*'survival matrix'!BG93</f>
        <v>123321.91059879887</v>
      </c>
      <c r="BH93" s="6">
        <f>BH$1*'survival matrix'!BH93</f>
        <v>132068.58212025551</v>
      </c>
      <c r="BI93" s="6">
        <f>BI$1*'survival matrix'!BI93</f>
        <v>141250.11478656271</v>
      </c>
      <c r="BJ93" s="6">
        <f>BJ$1*'survival matrix'!BJ93</f>
        <v>150812.04178800952</v>
      </c>
      <c r="BK93" s="6">
        <f>BK$1*'survival matrix'!BK93</f>
        <v>160510.50815956539</v>
      </c>
      <c r="BL93" s="6">
        <f>BL$1*'survival matrix'!BL93</f>
        <v>170831.45790050368</v>
      </c>
      <c r="BM93" s="6">
        <f>BM$1*'survival matrix'!BM93</f>
        <v>181873.39348373929</v>
      </c>
      <c r="BN93" s="6">
        <f>BN$1*'survival matrix'!BN93</f>
        <v>193945.94057823386</v>
      </c>
      <c r="BO93" s="6">
        <f>BO$1*'survival matrix'!BO93</f>
        <v>208244.64699764142</v>
      </c>
      <c r="BP93" s="6">
        <f>BP$1*'survival matrix'!BP93</f>
        <v>222559.0018928402</v>
      </c>
      <c r="BQ93" s="6">
        <f>BQ$1*'survival matrix'!BQ93</f>
        <v>238174.57100199841</v>
      </c>
      <c r="BR93" s="6">
        <f>BR$1*'survival matrix'!BR93</f>
        <v>251088.66314421722</v>
      </c>
      <c r="BS93" s="6">
        <f>BS$1*'survival matrix'!BS93</f>
        <v>268616.0355702836</v>
      </c>
      <c r="BT93" s="6">
        <f>BT$1*'survival matrix'!BT93</f>
        <v>285040.431774595</v>
      </c>
      <c r="BU93" s="6">
        <f>BU$1*'survival matrix'!BU93</f>
        <v>292509.60226092488</v>
      </c>
      <c r="BV93" s="6">
        <f>BV$1*'survival matrix'!BV93</f>
        <v>301280.24771058362</v>
      </c>
      <c r="BW93" s="6">
        <f>BW$1*'survival matrix'!BW93</f>
        <v>310682.97980812541</v>
      </c>
      <c r="BX93" s="6">
        <f>BX$1*'survival matrix'!BX93</f>
        <v>320411.43938431877</v>
      </c>
      <c r="BY93" s="6">
        <f>BY$1*'survival matrix'!BY93</f>
        <v>330858.0521694654</v>
      </c>
      <c r="BZ93" s="6">
        <f>BZ$1*'survival matrix'!BZ93</f>
        <v>344948.34521269042</v>
      </c>
      <c r="CA93" s="6">
        <f>CA$1*'survival matrix'!CA93</f>
        <v>364550.82114329864</v>
      </c>
      <c r="CB93" s="6">
        <f>CB$1*'survival matrix'!CB93</f>
        <v>383239.2185255221</v>
      </c>
      <c r="CC93" s="6">
        <f>CC$1*'survival matrix'!CC93</f>
        <v>404339.40320462605</v>
      </c>
      <c r="CD93" s="6">
        <f>CD$1*'survival matrix'!CD93</f>
        <v>423438.59620935709</v>
      </c>
      <c r="CE93" s="6">
        <f>CE$1*'survival matrix'!CE93</f>
        <v>443919.18249901739</v>
      </c>
      <c r="CF93" s="6">
        <f>CF$1*'survival matrix'!CF93</f>
        <v>465519.3758458189</v>
      </c>
      <c r="CG93" s="6">
        <f>CG$1*'survival matrix'!CG93</f>
        <v>488257.82476378343</v>
      </c>
      <c r="CH93" s="6">
        <f>CH$1*'survival matrix'!CH93</f>
        <v>508444.47501963563</v>
      </c>
      <c r="CI93" s="6">
        <f>CI$1*'survival matrix'!CI93</f>
        <v>529272.15537484922</v>
      </c>
      <c r="CJ93" s="6">
        <f>CJ$1*'survival matrix'!CJ93</f>
        <v>551570.60346016078</v>
      </c>
      <c r="CK93" s="6">
        <f>CK$1*'survival matrix'!CK93</f>
        <v>574356.21648952551</v>
      </c>
      <c r="CL93" s="6">
        <f>CL$1*'survival matrix'!CL93</f>
        <v>602509.02972018567</v>
      </c>
      <c r="CM93" s="6">
        <f>CM$1*'survival matrix'!CM93</f>
        <v>633373.70054710249</v>
      </c>
      <c r="CN93" s="6">
        <f>CN$1*'survival matrix'!CN93</f>
        <v>663395.01507746452</v>
      </c>
      <c r="CO93" s="6">
        <f>CO$1*'survival matrix'!CO93</f>
        <v>695380.27660952078</v>
      </c>
      <c r="CP93" s="6">
        <f>CP$1*'survival matrix'!CP93</f>
        <v>730911.96157670196</v>
      </c>
      <c r="CQ93" s="6">
        <f>CQ$1*'survival matrix'!CQ93</f>
        <v>770842.29264929041</v>
      </c>
      <c r="CR93" s="6">
        <f>CR$1*'survival matrix'!CR93</f>
        <v>811821.73537393764</v>
      </c>
      <c r="CS93" s="6">
        <f>CS$1*'survival matrix'!CS93</f>
        <v>0</v>
      </c>
      <c r="CT93" s="6">
        <f>CT$1*'survival matrix'!CT93</f>
        <v>0</v>
      </c>
      <c r="CU93" s="6">
        <f>CU$1*'survival matrix'!CU93</f>
        <v>0</v>
      </c>
      <c r="CV93" s="6">
        <f>CV$1*'survival matrix'!CV93</f>
        <v>0</v>
      </c>
      <c r="CW93" s="6">
        <f>CW$1*'survival matrix'!CW93</f>
        <v>0</v>
      </c>
      <c r="CX93" s="6">
        <f>CX$1*'survival matrix'!CX93</f>
        <v>0</v>
      </c>
      <c r="CY93" s="6">
        <f>CY$1*'survival matrix'!CY93</f>
        <v>0</v>
      </c>
      <c r="CZ93" s="6">
        <f>CZ$1*'survival matrix'!CZ93</f>
        <v>0</v>
      </c>
      <c r="DA93" s="6">
        <f>DA$1*'survival matrix'!DA93</f>
        <v>0</v>
      </c>
      <c r="DB93" s="6">
        <f>DB$1*'survival matrix'!DB93</f>
        <v>0</v>
      </c>
      <c r="DC93" s="6">
        <f>DC$1*'survival matrix'!DC93</f>
        <v>0</v>
      </c>
      <c r="DD93" s="6">
        <f>DD$1*'survival matrix'!DD93</f>
        <v>0</v>
      </c>
      <c r="DE93" s="6">
        <f>DE$1*'survival matrix'!DE93</f>
        <v>0</v>
      </c>
      <c r="DF93" s="6">
        <f>DF$1*'survival matrix'!DF93</f>
        <v>0</v>
      </c>
      <c r="DG93" s="6">
        <f>DG$1*'survival matrix'!DG93</f>
        <v>0</v>
      </c>
      <c r="DH93" s="6">
        <f>DH$1*'survival matrix'!DH93</f>
        <v>0</v>
      </c>
      <c r="DI93" s="6">
        <f>DI$1*'survival matrix'!DI93</f>
        <v>0</v>
      </c>
      <c r="DJ93" s="6">
        <f>DJ$1*'survival matrix'!DJ93</f>
        <v>0</v>
      </c>
      <c r="DK93" s="6">
        <f>DK$1*'survival matrix'!DK93</f>
        <v>0</v>
      </c>
      <c r="DL93" s="6">
        <f>DL$1*'survival matrix'!DL93</f>
        <v>0</v>
      </c>
      <c r="DM93" s="6">
        <f>DM$1*'survival matrix'!DM93</f>
        <v>0</v>
      </c>
      <c r="DN93" s="6">
        <f>DN$1*'survival matrix'!DN93</f>
        <v>0</v>
      </c>
      <c r="DO93" s="6">
        <f>DO$1*'survival matrix'!DO93</f>
        <v>0</v>
      </c>
      <c r="DP93" s="6">
        <f>DP$1*'survival matrix'!DP93</f>
        <v>0</v>
      </c>
      <c r="DQ93" s="6">
        <f>DQ$1*'survival matrix'!DQ93</f>
        <v>0</v>
      </c>
      <c r="DR93" s="6">
        <f>DR$1*'survival matrix'!DR93</f>
        <v>0</v>
      </c>
      <c r="DS93" s="6">
        <f>DS$1*'survival matrix'!DS93</f>
        <v>0</v>
      </c>
      <c r="DT93" s="6">
        <f>DT$1*'survival matrix'!DT93</f>
        <v>0</v>
      </c>
      <c r="DU93" s="6">
        <f>DU$1*'survival matrix'!DU93</f>
        <v>0</v>
      </c>
      <c r="DV93" s="6">
        <f>DV$1*'survival matrix'!DV93</f>
        <v>0</v>
      </c>
      <c r="DW93" s="6">
        <f>DW$1*'survival matrix'!DW93</f>
        <v>0</v>
      </c>
      <c r="DX93" s="6">
        <f>DX$1*'survival matrix'!DX93</f>
        <v>0</v>
      </c>
      <c r="DY93" s="6">
        <f>DY$1*'survival matrix'!DY93</f>
        <v>0</v>
      </c>
      <c r="DZ93" s="6">
        <f>DZ$1*'survival matrix'!DZ93</f>
        <v>0</v>
      </c>
      <c r="EA93" s="6">
        <f>EA$1*'survival matrix'!EA93</f>
        <v>0</v>
      </c>
      <c r="EB93" s="6">
        <f>EB$1*'survival matrix'!EB93</f>
        <v>0</v>
      </c>
      <c r="EC93" s="6">
        <f>EC$1*'survival matrix'!EC93</f>
        <v>0</v>
      </c>
    </row>
    <row r="94" spans="1:133">
      <c r="A94" s="12">
        <f>'data input'!C94-B94</f>
        <v>214033.7456405866</v>
      </c>
      <c r="B94" s="14">
        <f t="shared" si="3"/>
        <v>639571.29848069139</v>
      </c>
      <c r="C94" s="11">
        <f>SUM(F94:EC94)</f>
        <v>16420434.003652204</v>
      </c>
      <c r="E94" s="7">
        <f>'data input'!B94</f>
        <v>1969</v>
      </c>
      <c r="F94" s="6">
        <f>F$1*'survival matrix'!F94</f>
        <v>0.2125403519697929</v>
      </c>
      <c r="G94" s="6">
        <f>G$1*'survival matrix'!G94</f>
        <v>0.57706991556406317</v>
      </c>
      <c r="H94" s="6">
        <f>H$1*'survival matrix'!H94</f>
        <v>1.1675897181471748</v>
      </c>
      <c r="I94" s="6">
        <f>I$1*'survival matrix'!I94</f>
        <v>2.0899916638892342</v>
      </c>
      <c r="J94" s="6">
        <f>J$1*'survival matrix'!J94</f>
        <v>3.4889605214793469</v>
      </c>
      <c r="K94" s="6">
        <f>K$1*'survival matrix'!K94</f>
        <v>5.5622195213590446</v>
      </c>
      <c r="L94" s="6">
        <f>L$1*'survival matrix'!L94</f>
        <v>8.5784635094761157</v>
      </c>
      <c r="M94" s="6">
        <f>M$1*'survival matrix'!M94</f>
        <v>12.892370906871058</v>
      </c>
      <c r="N94" s="6">
        <f>N$1*'survival matrix'!N94</f>
        <v>18.965278543428571</v>
      </c>
      <c r="O94" s="6">
        <f>O$1*'survival matrix'!O94</f>
        <v>27.396648527129152</v>
      </c>
      <c r="P94" s="6">
        <f>P$1*'survival matrix'!P94</f>
        <v>38.976102052200815</v>
      </c>
      <c r="Q94" s="6">
        <f>Q$1*'survival matrix'!Q94</f>
        <v>54.717190930229933</v>
      </c>
      <c r="R94" s="6">
        <f>R$1*'survival matrix'!R94</f>
        <v>75.893064259430986</v>
      </c>
      <c r="S94" s="6">
        <f>S$1*'survival matrix'!S94</f>
        <v>104.08645238561584</v>
      </c>
      <c r="T94" s="6">
        <f>T$1*'survival matrix'!T94</f>
        <v>141.24832936116809</v>
      </c>
      <c r="U94" s="6">
        <f>U$1*'survival matrix'!U94</f>
        <v>189.81741330043232</v>
      </c>
      <c r="V94" s="6">
        <f>V$1*'survival matrix'!V94</f>
        <v>252.71846558117176</v>
      </c>
      <c r="W94" s="6">
        <f>W$1*'survival matrix'!W94</f>
        <v>333.55707041935597</v>
      </c>
      <c r="X94" s="6">
        <f>X$1*'survival matrix'!X94</f>
        <v>436.61763886721934</v>
      </c>
      <c r="Y94" s="6">
        <f>Y$1*'survival matrix'!Y94</f>
        <v>566.94916788579462</v>
      </c>
      <c r="Z94" s="6">
        <f>Z$1*'survival matrix'!Z94</f>
        <v>730.5564321163597</v>
      </c>
      <c r="AA94" s="6">
        <f>AA$1*'survival matrix'!AA94</f>
        <v>934.41280798018033</v>
      </c>
      <c r="AB94" s="6">
        <f>AB$1*'survival matrix'!AB94</f>
        <v>1186.4280811884494</v>
      </c>
      <c r="AC94" s="6">
        <f>AC$1*'survival matrix'!AC94</f>
        <v>1501.8212064021493</v>
      </c>
      <c r="AD94" s="6">
        <f>AD$1*'survival matrix'!AD94</f>
        <v>1903.3522833410047</v>
      </c>
      <c r="AE94" s="6">
        <f>AE$1*'survival matrix'!AE94</f>
        <v>2391.6410028362225</v>
      </c>
      <c r="AF94" s="6">
        <f>AF$1*'survival matrix'!AF94</f>
        <v>2954.4987517024456</v>
      </c>
      <c r="AG94" s="6">
        <f>AG$1*'survival matrix'!AG94</f>
        <v>3636.7733079210611</v>
      </c>
      <c r="AH94" s="6">
        <f>AH$1*'survival matrix'!AH94</f>
        <v>4432.6057131393218</v>
      </c>
      <c r="AI94" s="6">
        <f>AI$1*'survival matrix'!AI94</f>
        <v>5482.0559756208486</v>
      </c>
      <c r="AJ94" s="6">
        <f>AJ$1*'survival matrix'!AJ94</f>
        <v>6622.9036011597691</v>
      </c>
      <c r="AK94" s="6">
        <f>AK$1*'survival matrix'!AK94</f>
        <v>7915.6458149707823</v>
      </c>
      <c r="AL94" s="6">
        <f>AL$1*'survival matrix'!AL94</f>
        <v>9418.8311431673392</v>
      </c>
      <c r="AM94" s="6">
        <f>AM$1*'survival matrix'!AM94</f>
        <v>11159.204237430336</v>
      </c>
      <c r="AN94" s="6">
        <f>AN$1*'survival matrix'!AN94</f>
        <v>13013.854490991151</v>
      </c>
      <c r="AO94" s="6">
        <f>AO$1*'survival matrix'!AO94</f>
        <v>15081.997676999541</v>
      </c>
      <c r="AP94" s="6">
        <f>AP$1*'survival matrix'!AP94</f>
        <v>17315.576490113843</v>
      </c>
      <c r="AQ94" s="6">
        <f>AQ$1*'survival matrix'!AQ94</f>
        <v>19895.92614103085</v>
      </c>
      <c r="AR94" s="6">
        <f>AR$1*'survival matrix'!AR94</f>
        <v>22879.336167661371</v>
      </c>
      <c r="AS94" s="6">
        <f>AS$1*'survival matrix'!AS94</f>
        <v>26171.359172766603</v>
      </c>
      <c r="AT94" s="6">
        <f>AT$1*'survival matrix'!AT94</f>
        <v>30091.202029833486</v>
      </c>
      <c r="AU94" s="6">
        <f>AU$1*'survival matrix'!AU94</f>
        <v>34443.47375091313</v>
      </c>
      <c r="AV94" s="6">
        <f>AV$1*'survival matrix'!AV94</f>
        <v>38968.379025655267</v>
      </c>
      <c r="AW94" s="6">
        <f>AW$1*'survival matrix'!AW94</f>
        <v>43982.580831475134</v>
      </c>
      <c r="AX94" s="6">
        <f>AX$1*'survival matrix'!AX94</f>
        <v>49379.810094811452</v>
      </c>
      <c r="AY94" s="6">
        <f>AY$1*'survival matrix'!AY94</f>
        <v>55529.685138121065</v>
      </c>
      <c r="AZ94" s="6">
        <f>AZ$1*'survival matrix'!AZ94</f>
        <v>61952.373363371844</v>
      </c>
      <c r="BA94" s="6">
        <f>BA$1*'survival matrix'!BA94</f>
        <v>68515.606343171312</v>
      </c>
      <c r="BB94" s="6">
        <f>BB$1*'survival matrix'!BB94</f>
        <v>75743.609581434765</v>
      </c>
      <c r="BC94" s="6">
        <f>BC$1*'survival matrix'!BC94</f>
        <v>83428.682477400842</v>
      </c>
      <c r="BD94" s="6">
        <f>BD$1*'survival matrix'!BD94</f>
        <v>91708.342246121858</v>
      </c>
      <c r="BE94" s="6">
        <f>BE$1*'survival matrix'!BE94</f>
        <v>100249.21098309805</v>
      </c>
      <c r="BF94" s="6">
        <f>BF$1*'survival matrix'!BF94</f>
        <v>108596.50918112315</v>
      </c>
      <c r="BG94" s="6">
        <f>BG$1*'survival matrix'!BG94</f>
        <v>117167.9267099242</v>
      </c>
      <c r="BH94" s="6">
        <f>BH$1*'survival matrix'!BH94</f>
        <v>125891.44768135196</v>
      </c>
      <c r="BI94" s="6">
        <f>BI$1*'survival matrix'!BI94</f>
        <v>135072.95421997659</v>
      </c>
      <c r="BJ94" s="6">
        <f>BJ$1*'survival matrix'!BJ94</f>
        <v>144661.08071860368</v>
      </c>
      <c r="BK94" s="6">
        <f>BK$1*'survival matrix'!BK94</f>
        <v>154421.26259966992</v>
      </c>
      <c r="BL94" s="6">
        <f>BL$1*'survival matrix'!BL94</f>
        <v>164820.02955277657</v>
      </c>
      <c r="BM94" s="6">
        <f>BM$1*'survival matrix'!BM94</f>
        <v>175954.03073665861</v>
      </c>
      <c r="BN94" s="6">
        <f>BN$1*'survival matrix'!BN94</f>
        <v>188125.21740627845</v>
      </c>
      <c r="BO94" s="6">
        <f>BO$1*'survival matrix'!BO94</f>
        <v>202499.48141216574</v>
      </c>
      <c r="BP94" s="6">
        <f>BP$1*'survival matrix'!BP94</f>
        <v>216933.06219889928</v>
      </c>
      <c r="BQ94" s="6">
        <f>BQ$1*'survival matrix'!BQ94</f>
        <v>232676.61197329819</v>
      </c>
      <c r="BR94" s="6">
        <f>BR$1*'survival matrix'!BR94</f>
        <v>245814.29617464397</v>
      </c>
      <c r="BS94" s="6">
        <f>BS$1*'survival matrix'!BS94</f>
        <v>263499.93483374047</v>
      </c>
      <c r="BT94" s="6">
        <f>BT$1*'survival matrix'!BT94</f>
        <v>280136.43335534132</v>
      </c>
      <c r="BU94" s="6">
        <f>BU$1*'survival matrix'!BU94</f>
        <v>287981.25332611409</v>
      </c>
      <c r="BV94" s="6">
        <f>BV$1*'survival matrix'!BV94</f>
        <v>297100.09072599065</v>
      </c>
      <c r="BW94" s="6">
        <f>BW$1*'survival matrix'!BW94</f>
        <v>306835.50458459032</v>
      </c>
      <c r="BX94" s="6">
        <f>BX$1*'survival matrix'!BX94</f>
        <v>316884.75783116015</v>
      </c>
      <c r="BY94" s="6">
        <f>BY$1*'survival matrix'!BY94</f>
        <v>327635.39718104241</v>
      </c>
      <c r="BZ94" s="6">
        <f>BZ$1*'survival matrix'!BZ94</f>
        <v>341988.24587465363</v>
      </c>
      <c r="CA94" s="6">
        <f>CA$1*'survival matrix'!CA94</f>
        <v>361807.28449663974</v>
      </c>
      <c r="CB94" s="6">
        <f>CB$1*'survival matrix'!CB94</f>
        <v>380721.54383314634</v>
      </c>
      <c r="CC94" s="6">
        <f>CC$1*'survival matrix'!CC94</f>
        <v>402031.65917079773</v>
      </c>
      <c r="CD94" s="6">
        <f>CD$1*'survival matrix'!CD94</f>
        <v>421349.10954810947</v>
      </c>
      <c r="CE94" s="6">
        <f>CE$1*'survival matrix'!CE94</f>
        <v>442034.58072107378</v>
      </c>
      <c r="CF94" s="6">
        <f>CF$1*'survival matrix'!CF94</f>
        <v>463827.59271078499</v>
      </c>
      <c r="CG94" s="6">
        <f>CG$1*'survival matrix'!CG94</f>
        <v>486746.56025433791</v>
      </c>
      <c r="CH94" s="6">
        <f>CH$1*'survival matrix'!CH94</f>
        <v>507111.00515003758</v>
      </c>
      <c r="CI94" s="6">
        <f>CI$1*'survival matrix'!CI94</f>
        <v>528102.10459704162</v>
      </c>
      <c r="CJ94" s="6">
        <f>CJ$1*'survival matrix'!CJ94</f>
        <v>550548.19042920321</v>
      </c>
      <c r="CK94" s="6">
        <f>CK$1*'survival matrix'!CK94</f>
        <v>573468.24657831586</v>
      </c>
      <c r="CL94" s="6">
        <f>CL$1*'survival matrix'!CL94</f>
        <v>601736.26914019149</v>
      </c>
      <c r="CM94" s="6">
        <f>CM$1*'survival matrix'!CM94</f>
        <v>632703.41221501189</v>
      </c>
      <c r="CN94" s="6">
        <f>CN$1*'survival matrix'!CN94</f>
        <v>662818.86607520527</v>
      </c>
      <c r="CO94" s="6">
        <f>CO$1*'survival matrix'!CO94</f>
        <v>694887.35985788109</v>
      </c>
      <c r="CP94" s="6">
        <f>CP$1*'survival matrix'!CP94</f>
        <v>730491.40821074904</v>
      </c>
      <c r="CQ94" s="6">
        <f>CQ$1*'survival matrix'!CQ94</f>
        <v>770484.25158632256</v>
      </c>
      <c r="CR94" s="6">
        <f>CR$1*'survival matrix'!CR94</f>
        <v>811519.01805475482</v>
      </c>
      <c r="CS94" s="6">
        <f>CS$1*'survival matrix'!CS94</f>
        <v>852452.76435242919</v>
      </c>
      <c r="CT94" s="6">
        <f>CT$1*'survival matrix'!CT94</f>
        <v>0</v>
      </c>
      <c r="CU94" s="6">
        <f>CU$1*'survival matrix'!CU94</f>
        <v>0</v>
      </c>
      <c r="CV94" s="6">
        <f>CV$1*'survival matrix'!CV94</f>
        <v>0</v>
      </c>
      <c r="CW94" s="6">
        <f>CW$1*'survival matrix'!CW94</f>
        <v>0</v>
      </c>
      <c r="CX94" s="6">
        <f>CX$1*'survival matrix'!CX94</f>
        <v>0</v>
      </c>
      <c r="CY94" s="6">
        <f>CY$1*'survival matrix'!CY94</f>
        <v>0</v>
      </c>
      <c r="CZ94" s="6">
        <f>CZ$1*'survival matrix'!CZ94</f>
        <v>0</v>
      </c>
      <c r="DA94" s="6">
        <f>DA$1*'survival matrix'!DA94</f>
        <v>0</v>
      </c>
      <c r="DB94" s="6">
        <f>DB$1*'survival matrix'!DB94</f>
        <v>0</v>
      </c>
      <c r="DC94" s="6">
        <f>DC$1*'survival matrix'!DC94</f>
        <v>0</v>
      </c>
      <c r="DD94" s="6">
        <f>DD$1*'survival matrix'!DD94</f>
        <v>0</v>
      </c>
      <c r="DE94" s="6">
        <f>DE$1*'survival matrix'!DE94</f>
        <v>0</v>
      </c>
      <c r="DF94" s="6">
        <f>DF$1*'survival matrix'!DF94</f>
        <v>0</v>
      </c>
      <c r="DG94" s="6">
        <f>DG$1*'survival matrix'!DG94</f>
        <v>0</v>
      </c>
      <c r="DH94" s="6">
        <f>DH$1*'survival matrix'!DH94</f>
        <v>0</v>
      </c>
      <c r="DI94" s="6">
        <f>DI$1*'survival matrix'!DI94</f>
        <v>0</v>
      </c>
      <c r="DJ94" s="6">
        <f>DJ$1*'survival matrix'!DJ94</f>
        <v>0</v>
      </c>
      <c r="DK94" s="6">
        <f>DK$1*'survival matrix'!DK94</f>
        <v>0</v>
      </c>
      <c r="DL94" s="6">
        <f>DL$1*'survival matrix'!DL94</f>
        <v>0</v>
      </c>
      <c r="DM94" s="6">
        <f>DM$1*'survival matrix'!DM94</f>
        <v>0</v>
      </c>
      <c r="DN94" s="6">
        <f>DN$1*'survival matrix'!DN94</f>
        <v>0</v>
      </c>
      <c r="DO94" s="6">
        <f>DO$1*'survival matrix'!DO94</f>
        <v>0</v>
      </c>
      <c r="DP94" s="6">
        <f>DP$1*'survival matrix'!DP94</f>
        <v>0</v>
      </c>
      <c r="DQ94" s="6">
        <f>DQ$1*'survival matrix'!DQ94</f>
        <v>0</v>
      </c>
      <c r="DR94" s="6">
        <f>DR$1*'survival matrix'!DR94</f>
        <v>0</v>
      </c>
      <c r="DS94" s="6">
        <f>DS$1*'survival matrix'!DS94</f>
        <v>0</v>
      </c>
      <c r="DT94" s="6">
        <f>DT$1*'survival matrix'!DT94</f>
        <v>0</v>
      </c>
      <c r="DU94" s="6">
        <f>DU$1*'survival matrix'!DU94</f>
        <v>0</v>
      </c>
      <c r="DV94" s="6">
        <f>DV$1*'survival matrix'!DV94</f>
        <v>0</v>
      </c>
      <c r="DW94" s="6">
        <f>DW$1*'survival matrix'!DW94</f>
        <v>0</v>
      </c>
      <c r="DX94" s="6">
        <f>DX$1*'survival matrix'!DX94</f>
        <v>0</v>
      </c>
      <c r="DY94" s="6">
        <f>DY$1*'survival matrix'!DY94</f>
        <v>0</v>
      </c>
      <c r="DZ94" s="6">
        <f>DZ$1*'survival matrix'!DZ94</f>
        <v>0</v>
      </c>
      <c r="EA94" s="6">
        <f>EA$1*'survival matrix'!EA94</f>
        <v>0</v>
      </c>
      <c r="EB94" s="6">
        <f>EB$1*'survival matrix'!EB94</f>
        <v>0</v>
      </c>
      <c r="EC94" s="6">
        <f>EC$1*'survival matrix'!EC94</f>
        <v>0</v>
      </c>
    </row>
    <row r="95" spans="1:133">
      <c r="A95" s="12">
        <f>'data input'!C95-B95</f>
        <v>220663.32504842081</v>
      </c>
      <c r="B95" s="14">
        <f t="shared" si="3"/>
        <v>677200.82149111852</v>
      </c>
      <c r="C95" s="11">
        <f>SUM(F95:EC95)</f>
        <v>17097634.825143322</v>
      </c>
      <c r="E95" s="7">
        <f>'data input'!B95</f>
        <v>1970</v>
      </c>
      <c r="F95" s="6">
        <f>F$1*'survival matrix'!F95</f>
        <v>0.15633938649593898</v>
      </c>
      <c r="G95" s="6">
        <f>G$1*'survival matrix'!G95</f>
        <v>0.4267527369498828</v>
      </c>
      <c r="H95" s="6">
        <f>H$1*'survival matrix'!H95</f>
        <v>0.86807119754598527</v>
      </c>
      <c r="I95" s="6">
        <f>I$1*'survival matrix'!I95</f>
        <v>1.5621510233815852</v>
      </c>
      <c r="J95" s="6">
        <f>J$1*'survival matrix'!J95</f>
        <v>2.6217055375085661</v>
      </c>
      <c r="K95" s="6">
        <f>K$1*'survival matrix'!K95</f>
        <v>4.201856491709357</v>
      </c>
      <c r="L95" s="6">
        <f>L$1*'survival matrix'!L95</f>
        <v>6.5148361256755782</v>
      </c>
      <c r="M95" s="6">
        <f>M$1*'survival matrix'!M95</f>
        <v>9.8429017276319684</v>
      </c>
      <c r="N95" s="6">
        <f>N$1*'survival matrix'!N95</f>
        <v>14.555972501488464</v>
      </c>
      <c r="O95" s="6">
        <f>O$1*'survival matrix'!O95</f>
        <v>21.138109593683122</v>
      </c>
      <c r="P95" s="6">
        <f>P$1*'survival matrix'!P95</f>
        <v>30.23073164656423</v>
      </c>
      <c r="Q95" s="6">
        <f>Q$1*'survival matrix'!Q95</f>
        <v>42.662883235848163</v>
      </c>
      <c r="R95" s="6">
        <f>R$1*'survival matrix'!R95</f>
        <v>59.483842163928934</v>
      </c>
      <c r="S95" s="6">
        <f>S$1*'survival matrix'!S95</f>
        <v>82.007910504767977</v>
      </c>
      <c r="T95" s="6">
        <f>T$1*'survival matrix'!T95</f>
        <v>111.86733734102735</v>
      </c>
      <c r="U95" s="6">
        <f>U$1*'survival matrix'!U95</f>
        <v>151.11515091295874</v>
      </c>
      <c r="V95" s="6">
        <f>V$1*'survival matrix'!V95</f>
        <v>202.23398556683381</v>
      </c>
      <c r="W95" s="6">
        <f>W$1*'survival matrix'!W95</f>
        <v>268.30293795111629</v>
      </c>
      <c r="X95" s="6">
        <f>X$1*'survival matrix'!X95</f>
        <v>353.01018124221918</v>
      </c>
      <c r="Y95" s="6">
        <f>Y$1*'survival matrix'!Y95</f>
        <v>460.73685873050391</v>
      </c>
      <c r="Z95" s="6">
        <f>Z$1*'survival matrix'!Z95</f>
        <v>596.72922199747154</v>
      </c>
      <c r="AA95" s="6">
        <f>AA$1*'survival matrix'!AA95</f>
        <v>767.12907059106453</v>
      </c>
      <c r="AB95" s="6">
        <f>AB$1*'survival matrix'!AB95</f>
        <v>978.96730793133304</v>
      </c>
      <c r="AC95" s="6">
        <f>AC$1*'survival matrix'!AC95</f>
        <v>1245.4682473191535</v>
      </c>
      <c r="AD95" s="6">
        <f>AD$1*'survival matrix'!AD95</f>
        <v>1586.3949781334443</v>
      </c>
      <c r="AE95" s="6">
        <f>AE$1*'survival matrix'!AE95</f>
        <v>2003.3435103828858</v>
      </c>
      <c r="AF95" s="6">
        <f>AF$1*'survival matrix'!AF95</f>
        <v>2487.1361414565295</v>
      </c>
      <c r="AG95" s="6">
        <f>AG$1*'survival matrix'!AG95</f>
        <v>3076.6405602572841</v>
      </c>
      <c r="AH95" s="6">
        <f>AH$1*'survival matrix'!AH95</f>
        <v>3768.3591626357006</v>
      </c>
      <c r="AI95" s="6">
        <f>AI$1*'survival matrix'!AI95</f>
        <v>4683.349354973373</v>
      </c>
      <c r="AJ95" s="6">
        <f>AJ$1*'survival matrix'!AJ95</f>
        <v>5685.4914285684881</v>
      </c>
      <c r="AK95" s="6">
        <f>AK$1*'survival matrix'!AK95</f>
        <v>6828.0752347139132</v>
      </c>
      <c r="AL95" s="6">
        <f>AL$1*'survival matrix'!AL95</f>
        <v>8163.6893170351586</v>
      </c>
      <c r="AM95" s="6">
        <f>AM$1*'survival matrix'!AM95</f>
        <v>9718.1715676399417</v>
      </c>
      <c r="AN95" s="6">
        <f>AN$1*'survival matrix'!AN95</f>
        <v>11386.82652873074</v>
      </c>
      <c r="AO95" s="6">
        <f>AO$1*'survival matrix'!AO95</f>
        <v>13258.174425404623</v>
      </c>
      <c r="AP95" s="6">
        <f>AP$1*'survival matrix'!AP95</f>
        <v>15292.260336051189</v>
      </c>
      <c r="AQ95" s="6">
        <f>AQ$1*'survival matrix'!AQ95</f>
        <v>17651.82313918713</v>
      </c>
      <c r="AR95" s="6">
        <f>AR$1*'survival matrix'!AR95</f>
        <v>20391.036956283191</v>
      </c>
      <c r="AS95" s="6">
        <f>AS$1*'survival matrix'!AS95</f>
        <v>23429.952349132156</v>
      </c>
      <c r="AT95" s="6">
        <f>AT$1*'survival matrix'!AT95</f>
        <v>27058.98769403862</v>
      </c>
      <c r="AU95" s="6">
        <f>AU$1*'survival matrix'!AU95</f>
        <v>31108.733104307634</v>
      </c>
      <c r="AV95" s="6">
        <f>AV$1*'survival matrix'!AV95</f>
        <v>35348.124462270731</v>
      </c>
      <c r="AW95" s="6">
        <f>AW$1*'survival matrix'!AW95</f>
        <v>40067.055392942995</v>
      </c>
      <c r="AX95" s="6">
        <f>AX$1*'survival matrix'!AX95</f>
        <v>45173.27062233373</v>
      </c>
      <c r="AY95" s="6">
        <f>AY$1*'survival matrix'!AY95</f>
        <v>51009.856342254556</v>
      </c>
      <c r="AZ95" s="6">
        <f>AZ$1*'survival matrix'!AZ95</f>
        <v>57141.754864292663</v>
      </c>
      <c r="BA95" s="6">
        <f>BA$1*'survival matrix'!BA95</f>
        <v>63448.3582782023</v>
      </c>
      <c r="BB95" s="6">
        <f>BB$1*'survival matrix'!BB95</f>
        <v>70417.269557582375</v>
      </c>
      <c r="BC95" s="6">
        <f>BC$1*'survival matrix'!BC95</f>
        <v>77860.357565849714</v>
      </c>
      <c r="BD95" s="6">
        <f>BD$1*'survival matrix'!BD95</f>
        <v>85909.592513993543</v>
      </c>
      <c r="BE95" s="6">
        <f>BE$1*'survival matrix'!BE95</f>
        <v>94255.783022095435</v>
      </c>
      <c r="BF95" s="6">
        <f>BF$1*'survival matrix'!BF95</f>
        <v>102470.29318101164</v>
      </c>
      <c r="BG95" s="6">
        <f>BG$1*'survival matrix'!BG95</f>
        <v>110944.35241951075</v>
      </c>
      <c r="BH95" s="6">
        <f>BH$1*'survival matrix'!BH95</f>
        <v>119609.23929667506</v>
      </c>
      <c r="BI95" s="6">
        <f>BI$1*'survival matrix'!BI95</f>
        <v>128755.2987724688</v>
      </c>
      <c r="BJ95" s="6">
        <f>BJ$1*'survival matrix'!BJ95</f>
        <v>138334.7515351905</v>
      </c>
      <c r="BK95" s="6">
        <f>BK$1*'survival matrix'!BK95</f>
        <v>148123.09725903874</v>
      </c>
      <c r="BL95" s="6">
        <f>BL$1*'survival matrix'!BL95</f>
        <v>158567.29479638068</v>
      </c>
      <c r="BM95" s="6">
        <f>BM$1*'survival matrix'!BM95</f>
        <v>169762.34296868765</v>
      </c>
      <c r="BN95" s="6">
        <f>BN$1*'survival matrix'!BN95</f>
        <v>182002.37897251526</v>
      </c>
      <c r="BO95" s="6">
        <f>BO$1*'survival matrix'!BO95</f>
        <v>196422.04859634824</v>
      </c>
      <c r="BP95" s="6">
        <f>BP$1*'survival matrix'!BP95</f>
        <v>210948.19593095104</v>
      </c>
      <c r="BQ95" s="6">
        <f>BQ$1*'survival matrix'!BQ95</f>
        <v>226794.91509283436</v>
      </c>
      <c r="BR95" s="6">
        <f>BR$1*'survival matrix'!BR95</f>
        <v>240139.98374342464</v>
      </c>
      <c r="BS95" s="6">
        <f>BS$1*'survival matrix'!BS95</f>
        <v>257964.85676463012</v>
      </c>
      <c r="BT95" s="6">
        <f>BT$1*'survival matrix'!BT95</f>
        <v>274800.91341894184</v>
      </c>
      <c r="BU95" s="6">
        <f>BU$1*'survival matrix'!BU95</f>
        <v>283026.65933292668</v>
      </c>
      <c r="BV95" s="6">
        <f>BV$1*'survival matrix'!BV95</f>
        <v>292500.67631712242</v>
      </c>
      <c r="BW95" s="6">
        <f>BW$1*'survival matrix'!BW95</f>
        <v>302578.27037372859</v>
      </c>
      <c r="BX95" s="6">
        <f>BX$1*'survival matrix'!BX95</f>
        <v>312960.48024368408</v>
      </c>
      <c r="BY95" s="6">
        <f>BY$1*'survival matrix'!BY95</f>
        <v>324029.20348951739</v>
      </c>
      <c r="BZ95" s="6">
        <f>BZ$1*'survival matrix'!BZ95</f>
        <v>338657.17951757583</v>
      </c>
      <c r="CA95" s="6">
        <f>CA$1*'survival matrix'!CA95</f>
        <v>358702.5138311215</v>
      </c>
      <c r="CB95" s="6">
        <f>CB$1*'survival matrix'!CB95</f>
        <v>377856.30955825711</v>
      </c>
      <c r="CC95" s="6">
        <f>CC$1*'survival matrix'!CC95</f>
        <v>399390.52829248511</v>
      </c>
      <c r="CD95" s="6">
        <f>CD$1*'survival matrix'!CD95</f>
        <v>418944.28358751308</v>
      </c>
      <c r="CE95" s="6">
        <f>CE$1*'survival matrix'!CE95</f>
        <v>439853.33090470085</v>
      </c>
      <c r="CF95" s="6">
        <f>CF$1*'survival matrix'!CF95</f>
        <v>461858.47233855602</v>
      </c>
      <c r="CG95" s="6">
        <f>CG$1*'survival matrix'!CG95</f>
        <v>484977.63362227695</v>
      </c>
      <c r="CH95" s="6">
        <f>CH$1*'survival matrix'!CH95</f>
        <v>505541.38593338034</v>
      </c>
      <c r="CI95" s="6">
        <f>CI$1*'survival matrix'!CI95</f>
        <v>526717.07972382556</v>
      </c>
      <c r="CJ95" s="6">
        <f>CJ$1*'survival matrix'!CJ95</f>
        <v>549331.10516996449</v>
      </c>
      <c r="CK95" s="6">
        <f>CK$1*'survival matrix'!CK95</f>
        <v>572405.24321217579</v>
      </c>
      <c r="CL95" s="6">
        <f>CL$1*'survival matrix'!CL95</f>
        <v>600805.96894296224</v>
      </c>
      <c r="CM95" s="6">
        <f>CM$1*'survival matrix'!CM95</f>
        <v>631891.9251971083</v>
      </c>
      <c r="CN95" s="6">
        <f>CN$1*'survival matrix'!CN95</f>
        <v>662117.41643838584</v>
      </c>
      <c r="CO95" s="6">
        <f>CO$1*'survival matrix'!CO95</f>
        <v>694283.86020840309</v>
      </c>
      <c r="CP95" s="6">
        <f>CP$1*'survival matrix'!CP95</f>
        <v>729973.60311309586</v>
      </c>
      <c r="CQ95" s="6">
        <f>CQ$1*'survival matrix'!CQ95</f>
        <v>770040.92904892797</v>
      </c>
      <c r="CR95" s="6">
        <f>CR$1*'survival matrix'!CR95</f>
        <v>811142.08345397632</v>
      </c>
      <c r="CS95" s="6">
        <f>CS$1*'survival matrix'!CS95</f>
        <v>852134.89627337863</v>
      </c>
      <c r="CT95" s="6">
        <f>CT$1*'survival matrix'!CT95</f>
        <v>896652.12149545434</v>
      </c>
      <c r="CU95" s="6">
        <f>CU$1*'survival matrix'!CU95</f>
        <v>0</v>
      </c>
      <c r="CV95" s="6">
        <f>CV$1*'survival matrix'!CV95</f>
        <v>0</v>
      </c>
      <c r="CW95" s="6">
        <f>CW$1*'survival matrix'!CW95</f>
        <v>0</v>
      </c>
      <c r="CX95" s="6">
        <f>CX$1*'survival matrix'!CX95</f>
        <v>0</v>
      </c>
      <c r="CY95" s="6">
        <f>CY$1*'survival matrix'!CY95</f>
        <v>0</v>
      </c>
      <c r="CZ95" s="6">
        <f>CZ$1*'survival matrix'!CZ95</f>
        <v>0</v>
      </c>
      <c r="DA95" s="6">
        <f>DA$1*'survival matrix'!DA95</f>
        <v>0</v>
      </c>
      <c r="DB95" s="6">
        <f>DB$1*'survival matrix'!DB95</f>
        <v>0</v>
      </c>
      <c r="DC95" s="6">
        <f>DC$1*'survival matrix'!DC95</f>
        <v>0</v>
      </c>
      <c r="DD95" s="6">
        <f>DD$1*'survival matrix'!DD95</f>
        <v>0</v>
      </c>
      <c r="DE95" s="6">
        <f>DE$1*'survival matrix'!DE95</f>
        <v>0</v>
      </c>
      <c r="DF95" s="6">
        <f>DF$1*'survival matrix'!DF95</f>
        <v>0</v>
      </c>
      <c r="DG95" s="6">
        <f>DG$1*'survival matrix'!DG95</f>
        <v>0</v>
      </c>
      <c r="DH95" s="6">
        <f>DH$1*'survival matrix'!DH95</f>
        <v>0</v>
      </c>
      <c r="DI95" s="6">
        <f>DI$1*'survival matrix'!DI95</f>
        <v>0</v>
      </c>
      <c r="DJ95" s="6">
        <f>DJ$1*'survival matrix'!DJ95</f>
        <v>0</v>
      </c>
      <c r="DK95" s="6">
        <f>DK$1*'survival matrix'!DK95</f>
        <v>0</v>
      </c>
      <c r="DL95" s="6">
        <f>DL$1*'survival matrix'!DL95</f>
        <v>0</v>
      </c>
      <c r="DM95" s="6">
        <f>DM$1*'survival matrix'!DM95</f>
        <v>0</v>
      </c>
      <c r="DN95" s="6">
        <f>DN$1*'survival matrix'!DN95</f>
        <v>0</v>
      </c>
      <c r="DO95" s="6">
        <f>DO$1*'survival matrix'!DO95</f>
        <v>0</v>
      </c>
      <c r="DP95" s="6">
        <f>DP$1*'survival matrix'!DP95</f>
        <v>0</v>
      </c>
      <c r="DQ95" s="6">
        <f>DQ$1*'survival matrix'!DQ95</f>
        <v>0</v>
      </c>
      <c r="DR95" s="6">
        <f>DR$1*'survival matrix'!DR95</f>
        <v>0</v>
      </c>
      <c r="DS95" s="6">
        <f>DS$1*'survival matrix'!DS95</f>
        <v>0</v>
      </c>
      <c r="DT95" s="6">
        <f>DT$1*'survival matrix'!DT95</f>
        <v>0</v>
      </c>
      <c r="DU95" s="6">
        <f>DU$1*'survival matrix'!DU95</f>
        <v>0</v>
      </c>
      <c r="DV95" s="6">
        <f>DV$1*'survival matrix'!DV95</f>
        <v>0</v>
      </c>
      <c r="DW95" s="6">
        <f>DW$1*'survival matrix'!DW95</f>
        <v>0</v>
      </c>
      <c r="DX95" s="6">
        <f>DX$1*'survival matrix'!DX95</f>
        <v>0</v>
      </c>
      <c r="DY95" s="6">
        <f>DY$1*'survival matrix'!DY95</f>
        <v>0</v>
      </c>
      <c r="DZ95" s="6">
        <f>DZ$1*'survival matrix'!DZ95</f>
        <v>0</v>
      </c>
      <c r="EA95" s="6">
        <f>EA$1*'survival matrix'!EA95</f>
        <v>0</v>
      </c>
      <c r="EB95" s="6">
        <f>EB$1*'survival matrix'!EB95</f>
        <v>0</v>
      </c>
      <c r="EC95" s="6">
        <f>EC$1*'survival matrix'!EC95</f>
        <v>0</v>
      </c>
    </row>
    <row r="96" spans="1:133">
      <c r="A96" s="12">
        <f>'data input'!C96-B96</f>
        <v>227554.98281019321</v>
      </c>
      <c r="B96" s="14">
        <f t="shared" si="3"/>
        <v>712821.07651968673</v>
      </c>
      <c r="C96" s="11">
        <f>SUM(F96:EC96)</f>
        <v>17810455.901663009</v>
      </c>
      <c r="E96" s="7">
        <f>'data input'!B96</f>
        <v>1971</v>
      </c>
      <c r="F96" s="6">
        <f>F$1*'survival matrix'!F96</f>
        <v>0.11438551048359878</v>
      </c>
      <c r="G96" s="6">
        <f>G$1*'survival matrix'!G96</f>
        <v>0.31390867880791773</v>
      </c>
      <c r="H96" s="6">
        <f>H$1*'survival matrix'!H96</f>
        <v>0.64195299291942731</v>
      </c>
      <c r="I96" s="6">
        <f>I$1*'survival matrix'!I96</f>
        <v>1.1614167961040642</v>
      </c>
      <c r="J96" s="6">
        <f>J$1*'survival matrix'!J96</f>
        <v>1.9595771883620441</v>
      </c>
      <c r="K96" s="6">
        <f>K$1*'survival matrix'!K96</f>
        <v>3.1573961253823111</v>
      </c>
      <c r="L96" s="6">
        <f>L$1*'survival matrix'!L96</f>
        <v>4.9214897689625952</v>
      </c>
      <c r="M96" s="6">
        <f>M$1*'survival matrix'!M96</f>
        <v>7.4751022354779941</v>
      </c>
      <c r="N96" s="6">
        <f>N$1*'survival matrix'!N96</f>
        <v>11.113006902858041</v>
      </c>
      <c r="O96" s="6">
        <f>O$1*'survival matrix'!O96</f>
        <v>16.223634220532631</v>
      </c>
      <c r="P96" s="6">
        <f>P$1*'survival matrix'!P96</f>
        <v>23.324769743624589</v>
      </c>
      <c r="Q96" s="6">
        <f>Q$1*'survival matrix'!Q96</f>
        <v>33.0902811328924</v>
      </c>
      <c r="R96" s="6">
        <f>R$1*'survival matrix'!R96</f>
        <v>46.379431573803153</v>
      </c>
      <c r="S96" s="6">
        <f>S$1*'survival matrix'!S96</f>
        <v>64.276566669964652</v>
      </c>
      <c r="T96" s="6">
        <f>T$1*'survival matrix'!T96</f>
        <v>88.138334805399282</v>
      </c>
      <c r="U96" s="6">
        <f>U$1*'survival matrix'!U96</f>
        <v>119.68176643912705</v>
      </c>
      <c r="V96" s="6">
        <f>V$1*'survival matrix'!V96</f>
        <v>161.00008274947663</v>
      </c>
      <c r="W96" s="6">
        <f>W$1*'survival matrix'!W96</f>
        <v>214.70521497653348</v>
      </c>
      <c r="X96" s="6">
        <f>X$1*'survival matrix'!X96</f>
        <v>283.95041554618268</v>
      </c>
      <c r="Y96" s="6">
        <f>Y$1*'survival matrix'!Y96</f>
        <v>372.51083677562588</v>
      </c>
      <c r="Z96" s="6">
        <f>Z$1*'survival matrix'!Z96</f>
        <v>484.93791477121476</v>
      </c>
      <c r="AA96" s="6">
        <f>AA$1*'survival matrix'!AA96</f>
        <v>626.60229017398922</v>
      </c>
      <c r="AB96" s="6">
        <f>AB$1*'survival matrix'!AB96</f>
        <v>803.70717808946085</v>
      </c>
      <c r="AC96" s="6">
        <f>AC$1*'survival matrix'!AC96</f>
        <v>1027.6836131277655</v>
      </c>
      <c r="AD96" s="6">
        <f>AD$1*'survival matrix'!AD96</f>
        <v>1315.6057222717748</v>
      </c>
      <c r="AE96" s="6">
        <f>AE$1*'survival matrix'!AE96</f>
        <v>1669.7350838117275</v>
      </c>
      <c r="AF96" s="6">
        <f>AF$1*'survival matrix'!AF96</f>
        <v>2083.3344312615773</v>
      </c>
      <c r="AG96" s="6">
        <f>AG$1*'survival matrix'!AG96</f>
        <v>2589.9567320100223</v>
      </c>
      <c r="AH96" s="6">
        <f>AH$1*'survival matrix'!AH96</f>
        <v>3187.9596729689333</v>
      </c>
      <c r="AI96" s="6">
        <f>AI$1*'survival matrix'!AI96</f>
        <v>3981.5277053231544</v>
      </c>
      <c r="AJ96" s="6">
        <f>AJ$1*'survival matrix'!AJ96</f>
        <v>4857.1453361851736</v>
      </c>
      <c r="AK96" s="6">
        <f>AK$1*'survival matrix'!AK96</f>
        <v>5861.6228709396573</v>
      </c>
      <c r="AL96" s="6">
        <f>AL$1*'survival matrix'!AL96</f>
        <v>7042.0387865411403</v>
      </c>
      <c r="AM96" s="6">
        <f>AM$1*'survival matrix'!AM96</f>
        <v>8423.1400055843951</v>
      </c>
      <c r="AN96" s="6">
        <f>AN$1*'survival matrix'!AN96</f>
        <v>9916.400082183738</v>
      </c>
      <c r="AO96" s="6">
        <f>AO$1*'survival matrix'!AO96</f>
        <v>11600.600911455162</v>
      </c>
      <c r="AP96" s="6">
        <f>AP$1*'survival matrix'!AP96</f>
        <v>13443.01061677385</v>
      </c>
      <c r="AQ96" s="6">
        <f>AQ$1*'survival matrix'!AQ96</f>
        <v>15589.216738148996</v>
      </c>
      <c r="AR96" s="6">
        <f>AR$1*'survival matrix'!AR96</f>
        <v>18091.08937304742</v>
      </c>
      <c r="AS96" s="6">
        <f>AS$1*'survival matrix'!AS96</f>
        <v>20881.769503015377</v>
      </c>
      <c r="AT96" s="6">
        <f>AT$1*'survival matrix'!AT96</f>
        <v>24224.60324287615</v>
      </c>
      <c r="AU96" s="6">
        <f>AU$1*'survival matrix'!AU96</f>
        <v>27973.98473520701</v>
      </c>
      <c r="AV96" s="6">
        <f>AV$1*'survival matrix'!AV96</f>
        <v>31925.797542574386</v>
      </c>
      <c r="AW96" s="6">
        <f>AW$1*'survival matrix'!AW96</f>
        <v>36344.731196902263</v>
      </c>
      <c r="AX96" s="6">
        <f>AX$1*'survival matrix'!AX96</f>
        <v>41151.744670021581</v>
      </c>
      <c r="AY96" s="6">
        <f>AY$1*'survival matrix'!AY96</f>
        <v>46664.457407404094</v>
      </c>
      <c r="AZ96" s="6">
        <f>AZ$1*'survival matrix'!AZ96</f>
        <v>52490.711941222442</v>
      </c>
      <c r="BA96" s="6">
        <f>BA$1*'survival matrix'!BA96</f>
        <v>58521.576147046973</v>
      </c>
      <c r="BB96" s="6">
        <f>BB$1*'survival matrix'!BB96</f>
        <v>65209.379093636649</v>
      </c>
      <c r="BC96" s="6">
        <f>BC$1*'survival matrix'!BC96</f>
        <v>72385.166443243215</v>
      </c>
      <c r="BD96" s="6">
        <f>BD$1*'survival matrix'!BD96</f>
        <v>80175.682904831745</v>
      </c>
      <c r="BE96" s="6">
        <f>BE$1*'survival matrix'!BE96</f>
        <v>88295.957741598293</v>
      </c>
      <c r="BF96" s="6">
        <f>BF$1*'survival matrix'!BF96</f>
        <v>96344.077180900131</v>
      </c>
      <c r="BG96" s="6">
        <f>BG$1*'survival matrix'!BG96</f>
        <v>104685.68837920694</v>
      </c>
      <c r="BH96" s="6">
        <f>BH$1*'survival matrix'!BH96</f>
        <v>113255.99052386353</v>
      </c>
      <c r="BI96" s="6">
        <f>BI$1*'survival matrix'!BI96</f>
        <v>122330.17909660858</v>
      </c>
      <c r="BJ96" s="6">
        <f>BJ$1*'survival matrix'!BJ96</f>
        <v>131864.534742622</v>
      </c>
      <c r="BK96" s="6">
        <f>BK$1*'survival matrix'!BK96</f>
        <v>141645.36690978042</v>
      </c>
      <c r="BL96" s="6">
        <f>BL$1*'survival matrix'!BL96</f>
        <v>152100.03100490881</v>
      </c>
      <c r="BM96" s="6">
        <f>BM$1*'survival matrix'!BM96</f>
        <v>163322.11294878207</v>
      </c>
      <c r="BN96" s="6">
        <f>BN$1*'survival matrix'!BN96</f>
        <v>175597.85445603906</v>
      </c>
      <c r="BO96" s="6">
        <f>BO$1*'survival matrix'!BO96</f>
        <v>190029.17641809615</v>
      </c>
      <c r="BP96" s="6">
        <f>BP$1*'survival matrix'!BP96</f>
        <v>204617.19952815614</v>
      </c>
      <c r="BQ96" s="6">
        <f>BQ$1*'survival matrix'!BQ96</f>
        <v>220537.97471075103</v>
      </c>
      <c r="BR96" s="6">
        <f>BR$1*'survival matrix'!BR96</f>
        <v>234069.62462447534</v>
      </c>
      <c r="BS96" s="6">
        <f>BS$1*'survival matrix'!BS96</f>
        <v>252010.06399489928</v>
      </c>
      <c r="BT96" s="6">
        <f>BT$1*'survival matrix'!BT96</f>
        <v>269028.44706066215</v>
      </c>
      <c r="BU96" s="6">
        <f>BU$1*'survival matrix'!BU96</f>
        <v>277636.09172515012</v>
      </c>
      <c r="BV96" s="6">
        <f>BV$1*'survival matrix'!BV96</f>
        <v>287468.32758905098</v>
      </c>
      <c r="BW96" s="6">
        <f>BW$1*'survival matrix'!BW96</f>
        <v>297894.0481199869</v>
      </c>
      <c r="BX96" s="6">
        <f>BX$1*'survival matrix'!BX96</f>
        <v>308618.26415971131</v>
      </c>
      <c r="BY96" s="6">
        <f>BY$1*'survival matrix'!BY96</f>
        <v>320016.44961127901</v>
      </c>
      <c r="BZ96" s="6">
        <f>BZ$1*'survival matrix'!BZ96</f>
        <v>334929.67206608062</v>
      </c>
      <c r="CA96" s="6">
        <f>CA$1*'survival matrix'!CA96</f>
        <v>355208.6455756026</v>
      </c>
      <c r="CB96" s="6">
        <f>CB$1*'survival matrix'!CB96</f>
        <v>374613.81766832853</v>
      </c>
      <c r="CC96" s="6">
        <f>CC$1*'survival matrix'!CC96</f>
        <v>396384.79497041373</v>
      </c>
      <c r="CD96" s="6">
        <f>CD$1*'survival matrix'!CD96</f>
        <v>416192.04590066598</v>
      </c>
      <c r="CE96" s="6">
        <f>CE$1*'survival matrix'!CE96</f>
        <v>437342.89315831789</v>
      </c>
      <c r="CF96" s="6">
        <f>CF$1*'survival matrix'!CF96</f>
        <v>459579.40017561486</v>
      </c>
      <c r="CG96" s="6">
        <f>CG$1*'survival matrix'!CG96</f>
        <v>482918.72347236593</v>
      </c>
      <c r="CH96" s="6">
        <f>CH$1*'survival matrix'!CH96</f>
        <v>503704.15544382273</v>
      </c>
      <c r="CI96" s="6">
        <f>CI$1*'survival matrix'!CI96</f>
        <v>525086.77542815858</v>
      </c>
      <c r="CJ96" s="6">
        <f>CJ$1*'survival matrix'!CJ96</f>
        <v>547890.4041432715</v>
      </c>
      <c r="CK96" s="6">
        <f>CK$1*'survival matrix'!CK96</f>
        <v>571139.83902788197</v>
      </c>
      <c r="CL96" s="6">
        <f>CL$1*'survival matrix'!CL96</f>
        <v>599692.29129612818</v>
      </c>
      <c r="CM96" s="6">
        <f>CM$1*'survival matrix'!CM96</f>
        <v>630915.00355753617</v>
      </c>
      <c r="CN96" s="6">
        <f>CN$1*'survival matrix'!CN96</f>
        <v>661268.20387307554</v>
      </c>
      <c r="CO96" s="6">
        <f>CO$1*'survival matrix'!CO96</f>
        <v>693549.11171749712</v>
      </c>
      <c r="CP96" s="6">
        <f>CP$1*'survival matrix'!CP96</f>
        <v>729339.63156740961</v>
      </c>
      <c r="CQ96" s="6">
        <f>CQ$1*'survival matrix'!CQ96</f>
        <v>769495.08947575651</v>
      </c>
      <c r="CR96" s="6">
        <f>CR$1*'survival matrix'!CR96</f>
        <v>810675.36714422167</v>
      </c>
      <c r="CS96" s="6">
        <f>CS$1*'survival matrix'!CS96</f>
        <v>851739.09639710933</v>
      </c>
      <c r="CT96" s="6">
        <f>CT$1*'survival matrix'!CT96</f>
        <v>896317.77207533969</v>
      </c>
      <c r="CU96" s="6">
        <f>CU$1*'survival matrix'!CU96</f>
        <v>939106.64753839851</v>
      </c>
      <c r="CV96" s="6">
        <f>CV$1*'survival matrix'!CV96</f>
        <v>0</v>
      </c>
      <c r="CW96" s="6">
        <f>CW$1*'survival matrix'!CW96</f>
        <v>0</v>
      </c>
      <c r="CX96" s="6">
        <f>CX$1*'survival matrix'!CX96</f>
        <v>0</v>
      </c>
      <c r="CY96" s="6">
        <f>CY$1*'survival matrix'!CY96</f>
        <v>0</v>
      </c>
      <c r="CZ96" s="6">
        <f>CZ$1*'survival matrix'!CZ96</f>
        <v>0</v>
      </c>
      <c r="DA96" s="6">
        <f>DA$1*'survival matrix'!DA96</f>
        <v>0</v>
      </c>
      <c r="DB96" s="6">
        <f>DB$1*'survival matrix'!DB96</f>
        <v>0</v>
      </c>
      <c r="DC96" s="6">
        <f>DC$1*'survival matrix'!DC96</f>
        <v>0</v>
      </c>
      <c r="DD96" s="6">
        <f>DD$1*'survival matrix'!DD96</f>
        <v>0</v>
      </c>
      <c r="DE96" s="6">
        <f>DE$1*'survival matrix'!DE96</f>
        <v>0</v>
      </c>
      <c r="DF96" s="6">
        <f>DF$1*'survival matrix'!DF96</f>
        <v>0</v>
      </c>
      <c r="DG96" s="6">
        <f>DG$1*'survival matrix'!DG96</f>
        <v>0</v>
      </c>
      <c r="DH96" s="6">
        <f>DH$1*'survival matrix'!DH96</f>
        <v>0</v>
      </c>
      <c r="DI96" s="6">
        <f>DI$1*'survival matrix'!DI96</f>
        <v>0</v>
      </c>
      <c r="DJ96" s="6">
        <f>DJ$1*'survival matrix'!DJ96</f>
        <v>0</v>
      </c>
      <c r="DK96" s="6">
        <f>DK$1*'survival matrix'!DK96</f>
        <v>0</v>
      </c>
      <c r="DL96" s="6">
        <f>DL$1*'survival matrix'!DL96</f>
        <v>0</v>
      </c>
      <c r="DM96" s="6">
        <f>DM$1*'survival matrix'!DM96</f>
        <v>0</v>
      </c>
      <c r="DN96" s="6">
        <f>DN$1*'survival matrix'!DN96</f>
        <v>0</v>
      </c>
      <c r="DO96" s="6">
        <f>DO$1*'survival matrix'!DO96</f>
        <v>0</v>
      </c>
      <c r="DP96" s="6">
        <f>DP$1*'survival matrix'!DP96</f>
        <v>0</v>
      </c>
      <c r="DQ96" s="6">
        <f>DQ$1*'survival matrix'!DQ96</f>
        <v>0</v>
      </c>
      <c r="DR96" s="6">
        <f>DR$1*'survival matrix'!DR96</f>
        <v>0</v>
      </c>
      <c r="DS96" s="6">
        <f>DS$1*'survival matrix'!DS96</f>
        <v>0</v>
      </c>
      <c r="DT96" s="6">
        <f>DT$1*'survival matrix'!DT96</f>
        <v>0</v>
      </c>
      <c r="DU96" s="6">
        <f>DU$1*'survival matrix'!DU96</f>
        <v>0</v>
      </c>
      <c r="DV96" s="6">
        <f>DV$1*'survival matrix'!DV96</f>
        <v>0</v>
      </c>
      <c r="DW96" s="6">
        <f>DW$1*'survival matrix'!DW96</f>
        <v>0</v>
      </c>
      <c r="DX96" s="6">
        <f>DX$1*'survival matrix'!DX96</f>
        <v>0</v>
      </c>
      <c r="DY96" s="6">
        <f>DY$1*'survival matrix'!DY96</f>
        <v>0</v>
      </c>
      <c r="DZ96" s="6">
        <f>DZ$1*'survival matrix'!DZ96</f>
        <v>0</v>
      </c>
      <c r="EA96" s="6">
        <f>EA$1*'survival matrix'!EA96</f>
        <v>0</v>
      </c>
      <c r="EB96" s="6">
        <f>EB$1*'survival matrix'!EB96</f>
        <v>0</v>
      </c>
      <c r="EC96" s="6">
        <f>EC$1*'survival matrix'!EC96</f>
        <v>0</v>
      </c>
    </row>
    <row r="97" spans="1:133">
      <c r="A97" s="12">
        <f>'data input'!C97-B97</f>
        <v>234730.93868646247</v>
      </c>
      <c r="B97" s="14">
        <f t="shared" si="3"/>
        <v>749536.02223835513</v>
      </c>
      <c r="C97" s="11">
        <f>SUM(F97:EC97)</f>
        <v>18559991.923901364</v>
      </c>
      <c r="E97" s="7">
        <f>'data input'!B97</f>
        <v>1972</v>
      </c>
      <c r="F97" s="6">
        <f>F$1*'survival matrix'!F97</f>
        <v>8.3242640126207051E-2</v>
      </c>
      <c r="G97" s="6">
        <f>G$1*'survival matrix'!G97</f>
        <v>0.22967087997117358</v>
      </c>
      <c r="H97" s="6">
        <f>H$1*'survival matrix'!H97</f>
        <v>0.47220462440242433</v>
      </c>
      <c r="I97" s="6">
        <f>I$1*'survival matrix'!I97</f>
        <v>0.85888690973000537</v>
      </c>
      <c r="J97" s="6">
        <f>J$1*'survival matrix'!J97</f>
        <v>1.4568923399604796</v>
      </c>
      <c r="K97" s="6">
        <f>K$1*'survival matrix'!K97</f>
        <v>2.3599757232086427</v>
      </c>
      <c r="L97" s="6">
        <f>L$1*'survival matrix'!L97</f>
        <v>3.6981493200187159</v>
      </c>
      <c r="M97" s="6">
        <f>M$1*'survival matrix'!M97</f>
        <v>5.6469016970153563</v>
      </c>
      <c r="N97" s="6">
        <f>N$1*'survival matrix'!N97</f>
        <v>8.4396720643092227</v>
      </c>
      <c r="O97" s="6">
        <f>O$1*'survival matrix'!O97</f>
        <v>12.386211849726056</v>
      </c>
      <c r="P97" s="6">
        <f>P$1*'survival matrix'!P97</f>
        <v>17.901909861977259</v>
      </c>
      <c r="Q97" s="6">
        <f>Q$1*'survival matrix'!Q97</f>
        <v>25.531078678482441</v>
      </c>
      <c r="R97" s="6">
        <f>R$1*'survival matrix'!R97</f>
        <v>35.972918686173784</v>
      </c>
      <c r="S97" s="6">
        <f>S$1*'survival matrix'!S97</f>
        <v>50.116309189529304</v>
      </c>
      <c r="T97" s="6">
        <f>T$1*'survival matrix'!T97</f>
        <v>69.081501021411029</v>
      </c>
      <c r="U97" s="6">
        <f>U$1*'survival matrix'!U97</f>
        <v>94.295187954247467</v>
      </c>
      <c r="V97" s="6">
        <f>V$1*'survival matrix'!V97</f>
        <v>127.51053871098384</v>
      </c>
      <c r="W97" s="6">
        <f>W$1*'survival matrix'!W97</f>
        <v>170.92852757204975</v>
      </c>
      <c r="X97" s="6">
        <f>X$1*'survival matrix'!X97</f>
        <v>227.22686332874542</v>
      </c>
      <c r="Y97" s="6">
        <f>Y$1*'survival matrix'!Y97</f>
        <v>299.6361366283586</v>
      </c>
      <c r="Z97" s="6">
        <f>Z$1*'survival matrix'!Z97</f>
        <v>392.07765776194555</v>
      </c>
      <c r="AA97" s="6">
        <f>AA$1*'survival matrix'!AA97</f>
        <v>509.21455961332066</v>
      </c>
      <c r="AB97" s="6">
        <f>AB$1*'survival matrix'!AB97</f>
        <v>656.47982552937071</v>
      </c>
      <c r="AC97" s="6">
        <f>AC$1*'survival matrix'!AC97</f>
        <v>843.70202149143893</v>
      </c>
      <c r="AD97" s="6">
        <f>AD$1*'survival matrix'!AD97</f>
        <v>1085.5567334021014</v>
      </c>
      <c r="AE97" s="6">
        <f>AE$1*'survival matrix'!AE97</f>
        <v>1384.7201114600775</v>
      </c>
      <c r="AF97" s="6">
        <f>AF$1*'survival matrix'!AF97</f>
        <v>1736.4054507684318</v>
      </c>
      <c r="AG97" s="6">
        <f>AG$1*'survival matrix'!AG97</f>
        <v>2169.461472307788</v>
      </c>
      <c r="AH97" s="6">
        <f>AH$1*'survival matrix'!AH97</f>
        <v>2683.6666340028664</v>
      </c>
      <c r="AI97" s="6">
        <f>AI$1*'survival matrix'!AI97</f>
        <v>3368.2961770822635</v>
      </c>
      <c r="AJ97" s="6">
        <f>AJ$1*'survival matrix'!AJ97</f>
        <v>4129.2795516665801</v>
      </c>
      <c r="AK97" s="6">
        <f>AK$1*'survival matrix'!AK97</f>
        <v>5007.6153570473971</v>
      </c>
      <c r="AL97" s="6">
        <f>AL$1*'survival matrix'!AL97</f>
        <v>6045.3018149796626</v>
      </c>
      <c r="AM97" s="6">
        <f>AM$1*'survival matrix'!AM97</f>
        <v>7265.8422338558248</v>
      </c>
      <c r="AN97" s="6">
        <f>AN$1*'survival matrix'!AN97</f>
        <v>8594.9528326661148</v>
      </c>
      <c r="AO97" s="6">
        <f>AO$1*'survival matrix'!AO97</f>
        <v>10102.568923964936</v>
      </c>
      <c r="AP97" s="6">
        <f>AP$1*'survival matrix'!AP97</f>
        <v>11762.328372662727</v>
      </c>
      <c r="AQ97" s="6">
        <f>AQ$1*'survival matrix'!AQ97</f>
        <v>13704.056922447104</v>
      </c>
      <c r="AR97" s="6">
        <f>AR$1*'survival matrix'!AR97</f>
        <v>15977.154939852157</v>
      </c>
      <c r="AS97" s="6">
        <f>AS$1*'survival matrix'!AS97</f>
        <v>18526.471172424699</v>
      </c>
      <c r="AT97" s="6">
        <f>AT$1*'survival matrix'!AT97</f>
        <v>21589.996158847305</v>
      </c>
      <c r="AU97" s="6">
        <f>AU$1*'survival matrix'!AU97</f>
        <v>25043.755849076311</v>
      </c>
      <c r="AV97" s="6">
        <f>AV$1*'survival matrix'!AV97</f>
        <v>28708.71565617112</v>
      </c>
      <c r="AW97" s="6">
        <f>AW$1*'survival matrix'!AW97</f>
        <v>32825.915026130642</v>
      </c>
      <c r="AX97" s="6">
        <f>AX$1*'survival matrix'!AX97</f>
        <v>37328.650275081556</v>
      </c>
      <c r="AY97" s="6">
        <f>AY$1*'survival matrix'!AY97</f>
        <v>42510.179359144728</v>
      </c>
      <c r="AZ97" s="6">
        <f>AZ$1*'survival matrix'!AZ97</f>
        <v>48019.162713000311</v>
      </c>
      <c r="BA97" s="6">
        <f>BA$1*'survival matrix'!BA97</f>
        <v>53758.222917310515</v>
      </c>
      <c r="BB97" s="6">
        <f>BB$1*'survival matrix'!BB97</f>
        <v>60145.853221247984</v>
      </c>
      <c r="BC97" s="6">
        <f>BC$1*'survival matrix'!BC97</f>
        <v>67031.735098640638</v>
      </c>
      <c r="BD97" s="6">
        <f>BD$1*'survival matrix'!BD97</f>
        <v>74537.67659439081</v>
      </c>
      <c r="BE97" s="6">
        <f>BE$1*'survival matrix'!BE97</f>
        <v>82402.77368927926</v>
      </c>
      <c r="BF97" s="6">
        <f>BF$1*'survival matrix'!BF97</f>
        <v>90252.208349103428</v>
      </c>
      <c r="BG97" s="6">
        <f>BG$1*'survival matrix'!BG97</f>
        <v>98427.024338903138</v>
      </c>
      <c r="BH97" s="6">
        <f>BH$1*'survival matrix'!BH97</f>
        <v>106866.92087063404</v>
      </c>
      <c r="BI97" s="6">
        <f>BI$1*'survival matrix'!BI97</f>
        <v>115832.40296498705</v>
      </c>
      <c r="BJ97" s="6">
        <f>BJ$1*'survival matrix'!BJ97</f>
        <v>125284.25863126606</v>
      </c>
      <c r="BK97" s="6">
        <f>BK$1*'survival matrix'!BK97</f>
        <v>135020.30544548127</v>
      </c>
      <c r="BL97" s="6">
        <f>BL$1*'survival matrix'!BL97</f>
        <v>145448.38109212989</v>
      </c>
      <c r="BM97" s="6">
        <f>BM$1*'survival matrix'!BM97</f>
        <v>156660.92100011016</v>
      </c>
      <c r="BN97" s="6">
        <f>BN$1*'survival matrix'!BN97</f>
        <v>168936.24414881453</v>
      </c>
      <c r="BO97" s="6">
        <f>BO$1*'survival matrix'!BO97</f>
        <v>183342.19503858755</v>
      </c>
      <c r="BP97" s="6">
        <f>BP$1*'survival matrix'!BP97</f>
        <v>197957.60295331557</v>
      </c>
      <c r="BQ97" s="6">
        <f>BQ$1*'survival matrix'!BQ97</f>
        <v>213919.16899680946</v>
      </c>
      <c r="BR97" s="6">
        <f>BR$1*'survival matrix'!BR97</f>
        <v>227611.98563405761</v>
      </c>
      <c r="BS97" s="6">
        <f>BS$1*'survival matrix'!BS97</f>
        <v>245639.64801422306</v>
      </c>
      <c r="BT97" s="6">
        <f>BT$1*'survival matrix'!BT97</f>
        <v>262818.26528822619</v>
      </c>
      <c r="BU97" s="6">
        <f>BU$1*'survival matrix'!BU97</f>
        <v>271804.06962817692</v>
      </c>
      <c r="BV97" s="6">
        <f>BV$1*'survival matrix'!BV97</f>
        <v>281993.16331083223</v>
      </c>
      <c r="BW97" s="6">
        <f>BW$1*'survival matrix'!BW97</f>
        <v>292768.90874242404</v>
      </c>
      <c r="BX97" s="6">
        <f>BX$1*'survival matrix'!BX97</f>
        <v>303840.53660147492</v>
      </c>
      <c r="BY97" s="6">
        <f>BY$1*'survival matrix'!BY97</f>
        <v>315576.33444544085</v>
      </c>
      <c r="BZ97" s="6">
        <f>BZ$1*'survival matrix'!BZ97</f>
        <v>330781.9275848837</v>
      </c>
      <c r="CA97" s="6">
        <f>CA$1*'survival matrix'!CA97</f>
        <v>351298.96063963074</v>
      </c>
      <c r="CB97" s="6">
        <f>CB$1*'survival matrix'!CB97</f>
        <v>370964.96862166043</v>
      </c>
      <c r="CC97" s="6">
        <f>CC$1*'survival matrix'!CC97</f>
        <v>392983.30490535393</v>
      </c>
      <c r="CD97" s="6">
        <f>CD$1*'survival matrix'!CD97</f>
        <v>413059.86771383486</v>
      </c>
      <c r="CE97" s="6">
        <f>CE$1*'survival matrix'!CE97</f>
        <v>434469.78654299962</v>
      </c>
      <c r="CF97" s="6">
        <f>CF$1*'survival matrix'!CF97</f>
        <v>456956.37701630895</v>
      </c>
      <c r="CG97" s="6">
        <f>CG$1*'survival matrix'!CG97</f>
        <v>480535.72806241672</v>
      </c>
      <c r="CH97" s="6">
        <f>CH$1*'survival matrix'!CH97</f>
        <v>501565.74425473402</v>
      </c>
      <c r="CI97" s="6">
        <f>CI$1*'survival matrix'!CI97</f>
        <v>523178.51339398517</v>
      </c>
      <c r="CJ97" s="6">
        <f>CJ$1*'survival matrix'!CJ97</f>
        <v>546194.563788336</v>
      </c>
      <c r="CK97" s="6">
        <f>CK$1*'survival matrix'!CK97</f>
        <v>569641.94141253014</v>
      </c>
      <c r="CL97" s="6">
        <f>CL$1*'survival matrix'!CL97</f>
        <v>598366.56421082676</v>
      </c>
      <c r="CM97" s="6">
        <f>CM$1*'survival matrix'!CM97</f>
        <v>629745.51461628871</v>
      </c>
      <c r="CN97" s="6">
        <f>CN$1*'survival matrix'!CN97</f>
        <v>660245.865729218</v>
      </c>
      <c r="CO97" s="6">
        <f>CO$1*'survival matrix'!CO97</f>
        <v>692659.58577284159</v>
      </c>
      <c r="CP97" s="6">
        <f>CP$1*'survival matrix'!CP97</f>
        <v>728567.7841655541</v>
      </c>
      <c r="CQ97" s="6">
        <f>CQ$1*'survival matrix'!CQ97</f>
        <v>768826.79408919392</v>
      </c>
      <c r="CR97" s="6">
        <f>CR$1*'survival matrix'!CR97</f>
        <v>810100.72405748453</v>
      </c>
      <c r="CS97" s="6">
        <f>CS$1*'survival matrix'!CS97</f>
        <v>851249.02130909089</v>
      </c>
      <c r="CT97" s="6">
        <f>CT$1*'survival matrix'!CT97</f>
        <v>895901.45012345538</v>
      </c>
      <c r="CU97" s="6">
        <f>CU$1*'survival matrix'!CU97</f>
        <v>938756.46740108216</v>
      </c>
      <c r="CV97" s="6">
        <f>CV$1*'survival matrix'!CV97</f>
        <v>982938.30089166667</v>
      </c>
      <c r="CW97" s="6">
        <f>CW$1*'survival matrix'!CW97</f>
        <v>0</v>
      </c>
      <c r="CX97" s="6">
        <f>CX$1*'survival matrix'!CX97</f>
        <v>0</v>
      </c>
      <c r="CY97" s="6">
        <f>CY$1*'survival matrix'!CY97</f>
        <v>0</v>
      </c>
      <c r="CZ97" s="6">
        <f>CZ$1*'survival matrix'!CZ97</f>
        <v>0</v>
      </c>
      <c r="DA97" s="6">
        <f>DA$1*'survival matrix'!DA97</f>
        <v>0</v>
      </c>
      <c r="DB97" s="6">
        <f>DB$1*'survival matrix'!DB97</f>
        <v>0</v>
      </c>
      <c r="DC97" s="6">
        <f>DC$1*'survival matrix'!DC97</f>
        <v>0</v>
      </c>
      <c r="DD97" s="6">
        <f>DD$1*'survival matrix'!DD97</f>
        <v>0</v>
      </c>
      <c r="DE97" s="6">
        <f>DE$1*'survival matrix'!DE97</f>
        <v>0</v>
      </c>
      <c r="DF97" s="6">
        <f>DF$1*'survival matrix'!DF97</f>
        <v>0</v>
      </c>
      <c r="DG97" s="6">
        <f>DG$1*'survival matrix'!DG97</f>
        <v>0</v>
      </c>
      <c r="DH97" s="6">
        <f>DH$1*'survival matrix'!DH97</f>
        <v>0</v>
      </c>
      <c r="DI97" s="6">
        <f>DI$1*'survival matrix'!DI97</f>
        <v>0</v>
      </c>
      <c r="DJ97" s="6">
        <f>DJ$1*'survival matrix'!DJ97</f>
        <v>0</v>
      </c>
      <c r="DK97" s="6">
        <f>DK$1*'survival matrix'!DK97</f>
        <v>0</v>
      </c>
      <c r="DL97" s="6">
        <f>DL$1*'survival matrix'!DL97</f>
        <v>0</v>
      </c>
      <c r="DM97" s="6">
        <f>DM$1*'survival matrix'!DM97</f>
        <v>0</v>
      </c>
      <c r="DN97" s="6">
        <f>DN$1*'survival matrix'!DN97</f>
        <v>0</v>
      </c>
      <c r="DO97" s="6">
        <f>DO$1*'survival matrix'!DO97</f>
        <v>0</v>
      </c>
      <c r="DP97" s="6">
        <f>DP$1*'survival matrix'!DP97</f>
        <v>0</v>
      </c>
      <c r="DQ97" s="6">
        <f>DQ$1*'survival matrix'!DQ97</f>
        <v>0</v>
      </c>
      <c r="DR97" s="6">
        <f>DR$1*'survival matrix'!DR97</f>
        <v>0</v>
      </c>
      <c r="DS97" s="6">
        <f>DS$1*'survival matrix'!DS97</f>
        <v>0</v>
      </c>
      <c r="DT97" s="6">
        <f>DT$1*'survival matrix'!DT97</f>
        <v>0</v>
      </c>
      <c r="DU97" s="6">
        <f>DU$1*'survival matrix'!DU97</f>
        <v>0</v>
      </c>
      <c r="DV97" s="6">
        <f>DV$1*'survival matrix'!DV97</f>
        <v>0</v>
      </c>
      <c r="DW97" s="6">
        <f>DW$1*'survival matrix'!DW97</f>
        <v>0</v>
      </c>
      <c r="DX97" s="6">
        <f>DX$1*'survival matrix'!DX97</f>
        <v>0</v>
      </c>
      <c r="DY97" s="6">
        <f>DY$1*'survival matrix'!DY97</f>
        <v>0</v>
      </c>
      <c r="DZ97" s="6">
        <f>DZ$1*'survival matrix'!DZ97</f>
        <v>0</v>
      </c>
      <c r="EA97" s="6">
        <f>EA$1*'survival matrix'!EA97</f>
        <v>0</v>
      </c>
      <c r="EB97" s="6">
        <f>EB$1*'survival matrix'!EB97</f>
        <v>0</v>
      </c>
      <c r="EC97" s="6">
        <f>EC$1*'survival matrix'!EC97</f>
        <v>0</v>
      </c>
    </row>
    <row r="98" spans="1:133">
      <c r="A98" s="12">
        <f>'data input'!C98-B98</f>
        <v>242213.89560457144</v>
      </c>
      <c r="B98" s="14">
        <f t="shared" si="3"/>
        <v>789335.06319660693</v>
      </c>
      <c r="C98" s="11">
        <f>SUM(F98:EC98)</f>
        <v>19349326.987097971</v>
      </c>
      <c r="E98" s="7">
        <f>'data input'!B98</f>
        <v>1973</v>
      </c>
      <c r="F98" s="6">
        <f>F$1*'survival matrix'!F98</f>
        <v>6.0254522078802275E-2</v>
      </c>
      <c r="G98" s="6">
        <f>G$1*'survival matrix'!G98</f>
        <v>0.1671401415098899</v>
      </c>
      <c r="H98" s="6">
        <f>H$1*'survival matrix'!H98</f>
        <v>0.34548790439567423</v>
      </c>
      <c r="I98" s="6">
        <f>I$1*'survival matrix'!I98</f>
        <v>0.6317758077095218</v>
      </c>
      <c r="J98" s="6">
        <f>J$1*'survival matrix'!J98</f>
        <v>1.0773959562798112</v>
      </c>
      <c r="K98" s="6">
        <f>K$1*'survival matrix'!K98</f>
        <v>1.7545777599652941</v>
      </c>
      <c r="L98" s="6">
        <f>L$1*'survival matrix'!L98</f>
        <v>2.7641582713945816</v>
      </c>
      <c r="M98" s="6">
        <f>M$1*'survival matrix'!M98</f>
        <v>4.2432447594891238</v>
      </c>
      <c r="N98" s="6">
        <f>N$1*'survival matrix'!N98</f>
        <v>6.3755647750218856</v>
      </c>
      <c r="O98" s="6">
        <f>O$1*'survival matrix'!O98</f>
        <v>9.406595986533981</v>
      </c>
      <c r="P98" s="6">
        <f>P$1*'survival matrix'!P98</f>
        <v>13.667520177724443</v>
      </c>
      <c r="Q98" s="6">
        <f>Q$1*'survival matrix'!Q98</f>
        <v>19.59526607143335</v>
      </c>
      <c r="R98" s="6">
        <f>R$1*'survival matrix'!R98</f>
        <v>27.755201401369142</v>
      </c>
      <c r="S98" s="6">
        <f>S$1*'survival matrix'!S98</f>
        <v>38.871324079452236</v>
      </c>
      <c r="T98" s="6">
        <f>T$1*'survival matrix'!T98</f>
        <v>53.86270679705742</v>
      </c>
      <c r="U98" s="6">
        <f>U$1*'survival matrix'!U98</f>
        <v>73.907149906540383</v>
      </c>
      <c r="V98" s="6">
        <f>V$1*'survival matrix'!V98</f>
        <v>100.46334184092335</v>
      </c>
      <c r="W98" s="6">
        <f>W$1*'survival matrix'!W98</f>
        <v>135.37377285514575</v>
      </c>
      <c r="X98" s="6">
        <f>X$1*'survival matrix'!X98</f>
        <v>180.89711131535796</v>
      </c>
      <c r="Y98" s="6">
        <f>Y$1*'survival matrix'!Y98</f>
        <v>239.77911543127036</v>
      </c>
      <c r="Z98" s="6">
        <f>Z$1*'survival matrix'!Z98</f>
        <v>315.37507914393137</v>
      </c>
      <c r="AA98" s="6">
        <f>AA$1*'survival matrix'!AA98</f>
        <v>411.70559312868642</v>
      </c>
      <c r="AB98" s="6">
        <f>AB$1*'survival matrix'!AB98</f>
        <v>533.49483475259206</v>
      </c>
      <c r="AC98" s="6">
        <f>AC$1*'survival matrix'!AC98</f>
        <v>689.14820094567494</v>
      </c>
      <c r="AD98" s="6">
        <f>AD$1*'survival matrix'!AD98</f>
        <v>891.21437640470538</v>
      </c>
      <c r="AE98" s="6">
        <f>AE$1*'survival matrix'!AE98</f>
        <v>1142.5856663781442</v>
      </c>
      <c r="AF98" s="6">
        <f>AF$1*'survival matrix'!AF98</f>
        <v>1440.0101984076555</v>
      </c>
      <c r="AG98" s="6">
        <f>AG$1*'survival matrix'!AG98</f>
        <v>1808.1901154324892</v>
      </c>
      <c r="AH98" s="6">
        <f>AH$1*'survival matrix'!AH98</f>
        <v>2247.9570006054505</v>
      </c>
      <c r="AI98" s="6">
        <f>AI$1*'survival matrix'!AI98</f>
        <v>2835.4762892771291</v>
      </c>
      <c r="AJ98" s="6">
        <f>AJ$1*'survival matrix'!AJ98</f>
        <v>3493.2914090707386</v>
      </c>
      <c r="AK98" s="6">
        <f>AK$1*'survival matrix'!AK98</f>
        <v>4257.20094114125</v>
      </c>
      <c r="AL98" s="6">
        <f>AL$1*'survival matrix'!AL98</f>
        <v>5164.5332484219971</v>
      </c>
      <c r="AM98" s="6">
        <f>AM$1*'survival matrix'!AM98</f>
        <v>6237.4279061957404</v>
      </c>
      <c r="AN98" s="6">
        <f>AN$1*'survival matrix'!AN98</f>
        <v>7414.0488283681907</v>
      </c>
      <c r="AO98" s="6">
        <f>AO$1*'survival matrix'!AO98</f>
        <v>8756.3130441098147</v>
      </c>
      <c r="AP98" s="6">
        <f>AP$1*'survival matrix'!AP98</f>
        <v>10243.411871344835</v>
      </c>
      <c r="AQ98" s="6">
        <f>AQ$1*'survival matrix'!AQ98</f>
        <v>11990.737949604367</v>
      </c>
      <c r="AR98" s="6">
        <f>AR$1*'survival matrix'!AR98</f>
        <v>14045.082856451991</v>
      </c>
      <c r="AS98" s="6">
        <f>AS$1*'survival matrix'!AS98</f>
        <v>16361.662601231901</v>
      </c>
      <c r="AT98" s="6">
        <f>AT$1*'survival matrix'!AT98</f>
        <v>19154.815466758482</v>
      </c>
      <c r="AU98" s="6">
        <f>AU$1*'survival matrix'!AU98</f>
        <v>22320.059782348428</v>
      </c>
      <c r="AV98" s="6">
        <f>AV$1*'survival matrix'!AV98</f>
        <v>25701.524914640791</v>
      </c>
      <c r="AW98" s="6">
        <f>AW$1*'survival matrix'!AW98</f>
        <v>29518.13057707026</v>
      </c>
      <c r="AX98" s="6">
        <f>AX$1*'survival matrix'!AX98</f>
        <v>33714.573243959348</v>
      </c>
      <c r="AY98" s="6">
        <f>AY$1*'survival matrix'!AY98</f>
        <v>38560.883169176996</v>
      </c>
      <c r="AZ98" s="6">
        <f>AZ$1*'survival matrix'!AZ98</f>
        <v>43744.282758588583</v>
      </c>
      <c r="BA98" s="6">
        <f>BA$1*'survival matrix'!BA98</f>
        <v>49178.697677384895</v>
      </c>
      <c r="BB98" s="6">
        <f>BB$1*'survival matrix'!BB98</f>
        <v>55250.292249397033</v>
      </c>
      <c r="BC98" s="6">
        <f>BC$1*'survival matrix'!BC98</f>
        <v>61826.702791007592</v>
      </c>
      <c r="BD98" s="6">
        <f>BD$1*'survival matrix'!BD98</f>
        <v>69025.050819783515</v>
      </c>
      <c r="BE98" s="6">
        <f>BE$1*'survival matrix'!BE98</f>
        <v>76608.156902423114</v>
      </c>
      <c r="BF98" s="6">
        <f>BF$1*'survival matrix'!BF98</f>
        <v>84228.457222397716</v>
      </c>
      <c r="BG98" s="6">
        <f>BG$1*'survival matrix'!BG98</f>
        <v>92203.450048489685</v>
      </c>
      <c r="BH98" s="6">
        <f>BH$1*'survival matrix'!BH98</f>
        <v>100477.85121740456</v>
      </c>
      <c r="BI98" s="6">
        <f>BI$1*'survival matrix'!BI98</f>
        <v>109297.99107894811</v>
      </c>
      <c r="BJ98" s="6">
        <f>BJ$1*'survival matrix'!BJ98</f>
        <v>118629.57152613855</v>
      </c>
      <c r="BK98" s="6">
        <f>BK$1*'survival matrix'!BK98</f>
        <v>128282.55073224443</v>
      </c>
      <c r="BL98" s="6">
        <f>BL$1*'survival matrix'!BL98</f>
        <v>138645.44439437031</v>
      </c>
      <c r="BM98" s="6">
        <f>BM$1*'survival matrix'!BM98</f>
        <v>149809.81390551256</v>
      </c>
      <c r="BN98" s="6">
        <f>BN$1*'survival matrix'!BN98</f>
        <v>162046.07643640038</v>
      </c>
      <c r="BO98" s="6">
        <f>BO$1*'survival matrix'!BO98</f>
        <v>176386.7896892358</v>
      </c>
      <c r="BP98" s="6">
        <f>BP$1*'survival matrix'!BP98</f>
        <v>190991.62630787387</v>
      </c>
      <c r="BQ98" s="6">
        <f>BQ$1*'survival matrix'!BQ98</f>
        <v>206956.82483205191</v>
      </c>
      <c r="BR98" s="6">
        <f>BR$1*'survival matrix'!BR98</f>
        <v>220780.87406221981</v>
      </c>
      <c r="BS98" s="6">
        <f>BS$1*'survival matrix'!BS98</f>
        <v>238862.80898116183</v>
      </c>
      <c r="BT98" s="6">
        <f>BT$1*'survival matrix'!BT98</f>
        <v>256174.63506701565</v>
      </c>
      <c r="BU98" s="6">
        <f>BU$1*'survival matrix'!BU98</f>
        <v>265529.81611587747</v>
      </c>
      <c r="BV98" s="6">
        <f>BV$1*'survival matrix'!BV98</f>
        <v>276069.61659395852</v>
      </c>
      <c r="BW98" s="6">
        <f>BW$1*'survival matrix'!BW98</f>
        <v>287192.78881170554</v>
      </c>
      <c r="BX98" s="6">
        <f>BX$1*'survival matrix'!BX98</f>
        <v>298613.09043911041</v>
      </c>
      <c r="BY98" s="6">
        <f>BY$1*'survival matrix'!BY98</f>
        <v>310690.88881599187</v>
      </c>
      <c r="BZ98" s="6">
        <f>BZ$1*'survival matrix'!BZ98</f>
        <v>326192.44521596533</v>
      </c>
      <c r="CA98" s="6">
        <f>CA$1*'survival matrix'!CA98</f>
        <v>346948.50008994323</v>
      </c>
      <c r="CB98" s="6">
        <f>CB$1*'survival matrix'!CB98</f>
        <v>366881.85812404531</v>
      </c>
      <c r="CC98" s="6">
        <f>CC$1*'survival matrix'!CC98</f>
        <v>389155.53163637657</v>
      </c>
      <c r="CD98" s="6">
        <f>CD$1*'survival matrix'!CD98</f>
        <v>409515.28413209476</v>
      </c>
      <c r="CE98" s="6">
        <f>CE$1*'survival matrix'!CE98</f>
        <v>431200.05373178684</v>
      </c>
      <c r="CF98" s="6">
        <f>CF$1*'survival matrix'!CF98</f>
        <v>453954.42040456133</v>
      </c>
      <c r="CG98" s="6">
        <f>CG$1*'survival matrix'!CG98</f>
        <v>477793.09785945283</v>
      </c>
      <c r="CH98" s="6">
        <f>CH$1*'survival matrix'!CH98</f>
        <v>499090.73384769773</v>
      </c>
      <c r="CI98" s="6">
        <f>CI$1*'survival matrix'!CI98</f>
        <v>520957.42632364581</v>
      </c>
      <c r="CJ98" s="6">
        <f>CJ$1*'survival matrix'!CJ98</f>
        <v>544209.59216436138</v>
      </c>
      <c r="CK98" s="6">
        <f>CK$1*'survival matrix'!CK98</f>
        <v>567878.77530338499</v>
      </c>
      <c r="CL98" s="6">
        <f>CL$1*'survival matrix'!CL98</f>
        <v>596797.26053352898</v>
      </c>
      <c r="CM98" s="6">
        <f>CM$1*'survival matrix'!CM98</f>
        <v>628353.34950479551</v>
      </c>
      <c r="CN98" s="6">
        <f>CN$1*'survival matrix'!CN98</f>
        <v>659022.00794469751</v>
      </c>
      <c r="CO98" s="6">
        <f>CO$1*'survival matrix'!CO98</f>
        <v>691588.71572178428</v>
      </c>
      <c r="CP98" s="6">
        <f>CP$1*'survival matrix'!CP98</f>
        <v>727633.34428882995</v>
      </c>
      <c r="CQ98" s="6">
        <f>CQ$1*'survival matrix'!CQ98</f>
        <v>768013.1581124689</v>
      </c>
      <c r="CR98" s="6">
        <f>CR$1*'survival matrix'!CR98</f>
        <v>809397.16326295445</v>
      </c>
      <c r="CS98" s="6">
        <f>CS$1*'survival matrix'!CS98</f>
        <v>850645.61779516621</v>
      </c>
      <c r="CT98" s="6">
        <f>CT$1*'survival matrix'!CT98</f>
        <v>895385.96482533717</v>
      </c>
      <c r="CU98" s="6">
        <f>CU$1*'survival matrix'!CU98</f>
        <v>938320.43351106159</v>
      </c>
      <c r="CV98" s="6">
        <f>CV$1*'survival matrix'!CV98</f>
        <v>982571.77652504446</v>
      </c>
      <c r="CW98" s="6">
        <f>CW$1*'survival matrix'!CW98</f>
        <v>1030156.4728921626</v>
      </c>
      <c r="CX98" s="6">
        <f>CX$1*'survival matrix'!CX98</f>
        <v>0</v>
      </c>
      <c r="CY98" s="6">
        <f>CY$1*'survival matrix'!CY98</f>
        <v>0</v>
      </c>
      <c r="CZ98" s="6">
        <f>CZ$1*'survival matrix'!CZ98</f>
        <v>0</v>
      </c>
      <c r="DA98" s="6">
        <f>DA$1*'survival matrix'!DA98</f>
        <v>0</v>
      </c>
      <c r="DB98" s="6">
        <f>DB$1*'survival matrix'!DB98</f>
        <v>0</v>
      </c>
      <c r="DC98" s="6">
        <f>DC$1*'survival matrix'!DC98</f>
        <v>0</v>
      </c>
      <c r="DD98" s="6">
        <f>DD$1*'survival matrix'!DD98</f>
        <v>0</v>
      </c>
      <c r="DE98" s="6">
        <f>DE$1*'survival matrix'!DE98</f>
        <v>0</v>
      </c>
      <c r="DF98" s="6">
        <f>DF$1*'survival matrix'!DF98</f>
        <v>0</v>
      </c>
      <c r="DG98" s="6">
        <f>DG$1*'survival matrix'!DG98</f>
        <v>0</v>
      </c>
      <c r="DH98" s="6">
        <f>DH$1*'survival matrix'!DH98</f>
        <v>0</v>
      </c>
      <c r="DI98" s="6">
        <f>DI$1*'survival matrix'!DI98</f>
        <v>0</v>
      </c>
      <c r="DJ98" s="6">
        <f>DJ$1*'survival matrix'!DJ98</f>
        <v>0</v>
      </c>
      <c r="DK98" s="6">
        <f>DK$1*'survival matrix'!DK98</f>
        <v>0</v>
      </c>
      <c r="DL98" s="6">
        <f>DL$1*'survival matrix'!DL98</f>
        <v>0</v>
      </c>
      <c r="DM98" s="6">
        <f>DM$1*'survival matrix'!DM98</f>
        <v>0</v>
      </c>
      <c r="DN98" s="6">
        <f>DN$1*'survival matrix'!DN98</f>
        <v>0</v>
      </c>
      <c r="DO98" s="6">
        <f>DO$1*'survival matrix'!DO98</f>
        <v>0</v>
      </c>
      <c r="DP98" s="6">
        <f>DP$1*'survival matrix'!DP98</f>
        <v>0</v>
      </c>
      <c r="DQ98" s="6">
        <f>DQ$1*'survival matrix'!DQ98</f>
        <v>0</v>
      </c>
      <c r="DR98" s="6">
        <f>DR$1*'survival matrix'!DR98</f>
        <v>0</v>
      </c>
      <c r="DS98" s="6">
        <f>DS$1*'survival matrix'!DS98</f>
        <v>0</v>
      </c>
      <c r="DT98" s="6">
        <f>DT$1*'survival matrix'!DT98</f>
        <v>0</v>
      </c>
      <c r="DU98" s="6">
        <f>DU$1*'survival matrix'!DU98</f>
        <v>0</v>
      </c>
      <c r="DV98" s="6">
        <f>DV$1*'survival matrix'!DV98</f>
        <v>0</v>
      </c>
      <c r="DW98" s="6">
        <f>DW$1*'survival matrix'!DW98</f>
        <v>0</v>
      </c>
      <c r="DX98" s="6">
        <f>DX$1*'survival matrix'!DX98</f>
        <v>0</v>
      </c>
      <c r="DY98" s="6">
        <f>DY$1*'survival matrix'!DY98</f>
        <v>0</v>
      </c>
      <c r="DZ98" s="6">
        <f>DZ$1*'survival matrix'!DZ98</f>
        <v>0</v>
      </c>
      <c r="EA98" s="6">
        <f>EA$1*'survival matrix'!EA98</f>
        <v>0</v>
      </c>
      <c r="EB98" s="6">
        <f>EB$1*'survival matrix'!EB98</f>
        <v>0</v>
      </c>
      <c r="EC98" s="6">
        <f>EC$1*'survival matrix'!EC98</f>
        <v>0</v>
      </c>
    </row>
    <row r="99" spans="1:133">
      <c r="A99" s="12">
        <f>'data input'!C99-B99</f>
        <v>250014.38139941869</v>
      </c>
      <c r="B99" s="14">
        <f t="shared" si="3"/>
        <v>823826.37098883092</v>
      </c>
      <c r="C99" s="11">
        <f>SUM(F99:EC99)</f>
        <v>20173153.358086802</v>
      </c>
      <c r="E99" s="7">
        <f>'data input'!B99</f>
        <v>1974</v>
      </c>
      <c r="F99" s="6">
        <f>F$1*'survival matrix'!F99</f>
        <v>4.3380973254681647E-2</v>
      </c>
      <c r="G99" s="6">
        <f>G$1*'survival matrix'!G99</f>
        <v>0.12098306026326031</v>
      </c>
      <c r="H99" s="6">
        <f>H$1*'survival matrix'!H99</f>
        <v>0.25142454819651489</v>
      </c>
      <c r="I99" s="6">
        <f>I$1*'survival matrix'!I99</f>
        <v>0.46223795484779356</v>
      </c>
      <c r="J99" s="6">
        <f>J$1*'survival matrix'!J99</f>
        <v>0.7925056172012479</v>
      </c>
      <c r="K99" s="6">
        <f>K$1*'survival matrix'!K99</f>
        <v>1.2975392427530892</v>
      </c>
      <c r="L99" s="6">
        <f>L$1*'survival matrix'!L99</f>
        <v>2.0550764909645078</v>
      </c>
      <c r="M99" s="6">
        <f>M$1*'survival matrix'!M99</f>
        <v>3.1715864029617427</v>
      </c>
      <c r="N99" s="6">
        <f>N$1*'survival matrix'!N99</f>
        <v>4.7907832067793654</v>
      </c>
      <c r="O99" s="6">
        <f>O$1*'survival matrix'!O99</f>
        <v>7.1060062011446119</v>
      </c>
      <c r="P99" s="6">
        <f>P$1*'survival matrix'!P99</f>
        <v>10.379673947890565</v>
      </c>
      <c r="Q99" s="6">
        <f>Q$1*'survival matrix'!Q99</f>
        <v>14.960342024066813</v>
      </c>
      <c r="R99" s="6">
        <f>R$1*'survival matrix'!R99</f>
        <v>21.302294477061071</v>
      </c>
      <c r="S99" s="6">
        <f>S$1*'survival matrix'!S99</f>
        <v>29.991489930945065</v>
      </c>
      <c r="T99" s="6">
        <f>T$1*'survival matrix'!T99</f>
        <v>41.777113390113115</v>
      </c>
      <c r="U99" s="6">
        <f>U$1*'survival matrix'!U99</f>
        <v>57.625255484653387</v>
      </c>
      <c r="V99" s="6">
        <f>V$1*'survival matrix'!V99</f>
        <v>78.741656139990553</v>
      </c>
      <c r="W99" s="6">
        <f>W$1*'survival matrix'!W99</f>
        <v>106.6586476390637</v>
      </c>
      <c r="X99" s="6">
        <f>X$1*'survival matrix'!X99</f>
        <v>143.26879664387681</v>
      </c>
      <c r="Y99" s="6">
        <f>Y$1*'survival matrix'!Y99</f>
        <v>190.89005894745091</v>
      </c>
      <c r="Z99" s="6">
        <f>Z$1*'survival matrix'!Z99</f>
        <v>252.37395715054012</v>
      </c>
      <c r="AA99" s="6">
        <f>AA$1*'survival matrix'!AA99</f>
        <v>331.16318016721465</v>
      </c>
      <c r="AB99" s="6">
        <f>AB$1*'survival matrix'!AB99</f>
        <v>431.33646363076372</v>
      </c>
      <c r="AC99" s="6">
        <f>AC$1*'survival matrix'!AC99</f>
        <v>560.04311371958545</v>
      </c>
      <c r="AD99" s="6">
        <f>AD$1*'survival matrix'!AD99</f>
        <v>727.95699015929938</v>
      </c>
      <c r="AE99" s="6">
        <f>AE$1*'survival matrix'!AE99</f>
        <v>938.03367508841927</v>
      </c>
      <c r="AF99" s="6">
        <f>AF$1*'survival matrix'!AF99</f>
        <v>1188.2076374293861</v>
      </c>
      <c r="AG99" s="6">
        <f>AG$1*'survival matrix'!AG99</f>
        <v>1499.5415994175812</v>
      </c>
      <c r="AH99" s="6">
        <f>AH$1*'survival matrix'!AH99</f>
        <v>1873.614111288244</v>
      </c>
      <c r="AI99" s="6">
        <f>AI$1*'survival matrix'!AI99</f>
        <v>2375.1194331555262</v>
      </c>
      <c r="AJ99" s="6">
        <f>AJ$1*'survival matrix'!AJ99</f>
        <v>2940.6989294319587</v>
      </c>
      <c r="AK99" s="6">
        <f>AK$1*'survival matrix'!AK99</f>
        <v>3601.5104543780249</v>
      </c>
      <c r="AL99" s="6">
        <f>AL$1*'survival matrix'!AL99</f>
        <v>4390.6039577890251</v>
      </c>
      <c r="AM99" s="6">
        <f>AM$1*'survival matrix'!AM99</f>
        <v>5328.6675822142506</v>
      </c>
      <c r="AN99" s="6">
        <f>AN$1*'survival matrix'!AN99</f>
        <v>6364.657196172092</v>
      </c>
      <c r="AO99" s="6">
        <f>AO$1*'survival matrix'!AO99</f>
        <v>7553.2389449273642</v>
      </c>
      <c r="AP99" s="6">
        <f>AP$1*'survival matrix'!AP99</f>
        <v>8878.3874339601007</v>
      </c>
      <c r="AQ99" s="6">
        <f>AQ$1*'survival matrix'!AQ99</f>
        <v>10442.326006186593</v>
      </c>
      <c r="AR99" s="6">
        <f>AR$1*'survival matrix'!AR99</f>
        <v>12289.127881272972</v>
      </c>
      <c r="AS99" s="6">
        <f>AS$1*'survival matrix'!AS99</f>
        <v>14383.09309565601</v>
      </c>
      <c r="AT99" s="6">
        <f>AT$1*'survival matrix'!AT99</f>
        <v>16916.585189868245</v>
      </c>
      <c r="AU99" s="6">
        <f>AU$1*'survival matrix'!AU99</f>
        <v>19802.533691637673</v>
      </c>
      <c r="AV99" s="6">
        <f>AV$1*'survival matrix'!AV99</f>
        <v>22906.291534281125</v>
      </c>
      <c r="AW99" s="6">
        <f>AW$1*'survival matrix'!AW99</f>
        <v>26426.154953996087</v>
      </c>
      <c r="AX99" s="6">
        <f>AX$1*'survival matrix'!AX99</f>
        <v>30317.240953471737</v>
      </c>
      <c r="AY99" s="6">
        <f>AY$1*'survival matrix'!AY99</f>
        <v>34827.504085429631</v>
      </c>
      <c r="AZ99" s="6">
        <f>AZ$1*'survival matrix'!AZ99</f>
        <v>39680.335444421311</v>
      </c>
      <c r="BA99" s="6">
        <f>BA$1*'survival matrix'!BA99</f>
        <v>44800.590750747237</v>
      </c>
      <c r="BB99" s="6">
        <f>BB$1*'survival matrix'!BB99</f>
        <v>50543.661446913669</v>
      </c>
      <c r="BC99" s="6">
        <f>BC$1*'survival matrix'!BC99</f>
        <v>56794.329368878505</v>
      </c>
      <c r="BD99" s="6">
        <f>BD$1*'survival matrix'!BD99</f>
        <v>63665.237008843207</v>
      </c>
      <c r="BE99" s="6">
        <f>BE$1*'survival matrix'!BE99</f>
        <v>70942.40342604983</v>
      </c>
      <c r="BF99" s="6">
        <f>BF$1*'survival matrix'!BF99</f>
        <v>78305.457178827593</v>
      </c>
      <c r="BG99" s="6">
        <f>BG$1*'survival matrix'!BG99</f>
        <v>86049.466159615011</v>
      </c>
      <c r="BH99" s="6">
        <f>BH$1*'survival matrix'!BH99</f>
        <v>94124.602444593023</v>
      </c>
      <c r="BI99" s="6">
        <f>BI$1*'survival matrix'!BI99</f>
        <v>102763.57919290916</v>
      </c>
      <c r="BJ99" s="6">
        <f>BJ$1*'survival matrix'!BJ99</f>
        <v>111937.36397131108</v>
      </c>
      <c r="BK99" s="6">
        <f>BK$1*'survival matrix'!BK99</f>
        <v>121468.60422773371</v>
      </c>
      <c r="BL99" s="6">
        <f>BL$1*'survival matrix'!BL99</f>
        <v>131726.78876435338</v>
      </c>
      <c r="BM99" s="6">
        <f>BM$1*'survival matrix'!BM99</f>
        <v>142802.88352203308</v>
      </c>
      <c r="BN99" s="6">
        <f>BN$1*'survival matrix'!BN99</f>
        <v>154959.46532216886</v>
      </c>
      <c r="BO99" s="6">
        <f>BO$1*'survival matrix'!BO99</f>
        <v>169192.74693460597</v>
      </c>
      <c r="BP99" s="6">
        <f>BP$1*'survival matrix'!BP99</f>
        <v>183746.0264664212</v>
      </c>
      <c r="BQ99" s="6">
        <f>BQ$1*'survival matrix'!BQ99</f>
        <v>199674.17245150742</v>
      </c>
      <c r="BR99" s="6">
        <f>BR$1*'survival matrix'!BR99</f>
        <v>213595.20464593623</v>
      </c>
      <c r="BS99" s="6">
        <f>BS$1*'survival matrix'!BS99</f>
        <v>231694.03667786031</v>
      </c>
      <c r="BT99" s="6">
        <f>BT$1*'survival matrix'!BT99</f>
        <v>249107.15113176004</v>
      </c>
      <c r="BU99" s="6">
        <f>BU$1*'survival matrix'!BU99</f>
        <v>258817.64217680483</v>
      </c>
      <c r="BV99" s="6">
        <f>BV$1*'survival matrix'!BV99</f>
        <v>269696.89831963938</v>
      </c>
      <c r="BW99" s="6">
        <f>BW$1*'survival matrix'!BW99</f>
        <v>281160.01879238349</v>
      </c>
      <c r="BX99" s="6">
        <f>BX$1*'survival matrix'!BX99</f>
        <v>292925.66135955637</v>
      </c>
      <c r="BY99" s="6">
        <f>BY$1*'survival matrix'!BY99</f>
        <v>305345.58528082527</v>
      </c>
      <c r="BZ99" s="6">
        <f>BZ$1*'survival matrix'!BZ99</f>
        <v>321142.65129323653</v>
      </c>
      <c r="CA99" s="6">
        <f>CA$1*'survival matrix'!CA99</f>
        <v>342134.71223970811</v>
      </c>
      <c r="CB99" s="6">
        <f>CB$1*'survival matrix'!CB99</f>
        <v>362338.42011540855</v>
      </c>
      <c r="CC99" s="6">
        <f>CC$1*'survival matrix'!CC99</f>
        <v>384872.20255995903</v>
      </c>
      <c r="CD99" s="6">
        <f>CD$1*'survival matrix'!CD99</f>
        <v>405526.48451065534</v>
      </c>
      <c r="CE99" s="6">
        <f>CE$1*'survival matrix'!CE99</f>
        <v>427499.80408186925</v>
      </c>
      <c r="CF99" s="6">
        <f>CF$1*'survival matrix'!CF99</f>
        <v>450538.05013172311</v>
      </c>
      <c r="CG99" s="6">
        <f>CG$1*'survival matrix'!CG99</f>
        <v>474654.25524490856</v>
      </c>
      <c r="CH99" s="6">
        <f>CH$1*'survival matrix'!CH99</f>
        <v>496242.20200972311</v>
      </c>
      <c r="CI99" s="6">
        <f>CI$1*'survival matrix'!CI99</f>
        <v>518386.72633756575</v>
      </c>
      <c r="CJ99" s="6">
        <f>CJ$1*'survival matrix'!CJ99</f>
        <v>541899.22035480523</v>
      </c>
      <c r="CK99" s="6">
        <f>CK$1*'survival matrix'!CK99</f>
        <v>565814.99926171883</v>
      </c>
      <c r="CL99" s="6">
        <f>CL$1*'survival matrix'!CL99</f>
        <v>594950.04278619448</v>
      </c>
      <c r="CM99" s="6">
        <f>CM$1*'survival matrix'!CM99</f>
        <v>626705.40110493673</v>
      </c>
      <c r="CN99" s="6">
        <f>CN$1*'survival matrix'!CN99</f>
        <v>657565.12190760393</v>
      </c>
      <c r="CO99" s="6">
        <f>CO$1*'survival matrix'!CO99</f>
        <v>690306.7595939897</v>
      </c>
      <c r="CP99" s="6">
        <f>CP$1*'survival matrix'!CP99</f>
        <v>726508.40388151549</v>
      </c>
      <c r="CQ99" s="6">
        <f>CQ$1*'survival matrix'!CQ99</f>
        <v>767028.12674491934</v>
      </c>
      <c r="CR99" s="6">
        <f>CR$1*'survival matrix'!CR99</f>
        <v>808540.59237266681</v>
      </c>
      <c r="CS99" s="6">
        <f>CS$1*'survival matrix'!CS99</f>
        <v>849906.84434521548</v>
      </c>
      <c r="CT99" s="6">
        <f>CT$1*'survival matrix'!CT99</f>
        <v>894751.27506479737</v>
      </c>
      <c r="CU99" s="6">
        <f>CU$1*'survival matrix'!CU99</f>
        <v>937780.54110623058</v>
      </c>
      <c r="CV99" s="6">
        <f>CV$1*'survival matrix'!CV99</f>
        <v>982115.3912868913</v>
      </c>
      <c r="CW99" s="6">
        <f>CW$1*'survival matrix'!CW99</f>
        <v>1029772.3415093422</v>
      </c>
      <c r="CX99" s="6">
        <f>CX$1*'survival matrix'!CX99</f>
        <v>1072391.1768703165</v>
      </c>
      <c r="CY99" s="6">
        <f>CY$1*'survival matrix'!CY99</f>
        <v>0</v>
      </c>
      <c r="CZ99" s="6">
        <f>CZ$1*'survival matrix'!CZ99</f>
        <v>0</v>
      </c>
      <c r="DA99" s="6">
        <f>DA$1*'survival matrix'!DA99</f>
        <v>0</v>
      </c>
      <c r="DB99" s="6">
        <f>DB$1*'survival matrix'!DB99</f>
        <v>0</v>
      </c>
      <c r="DC99" s="6">
        <f>DC$1*'survival matrix'!DC99</f>
        <v>0</v>
      </c>
      <c r="DD99" s="6">
        <f>DD$1*'survival matrix'!DD99</f>
        <v>0</v>
      </c>
      <c r="DE99" s="6">
        <f>DE$1*'survival matrix'!DE99</f>
        <v>0</v>
      </c>
      <c r="DF99" s="6">
        <f>DF$1*'survival matrix'!DF99</f>
        <v>0</v>
      </c>
      <c r="DG99" s="6">
        <f>DG$1*'survival matrix'!DG99</f>
        <v>0</v>
      </c>
      <c r="DH99" s="6">
        <f>DH$1*'survival matrix'!DH99</f>
        <v>0</v>
      </c>
      <c r="DI99" s="6">
        <f>DI$1*'survival matrix'!DI99</f>
        <v>0</v>
      </c>
      <c r="DJ99" s="6">
        <f>DJ$1*'survival matrix'!DJ99</f>
        <v>0</v>
      </c>
      <c r="DK99" s="6">
        <f>DK$1*'survival matrix'!DK99</f>
        <v>0</v>
      </c>
      <c r="DL99" s="6">
        <f>DL$1*'survival matrix'!DL99</f>
        <v>0</v>
      </c>
      <c r="DM99" s="6">
        <f>DM$1*'survival matrix'!DM99</f>
        <v>0</v>
      </c>
      <c r="DN99" s="6">
        <f>DN$1*'survival matrix'!DN99</f>
        <v>0</v>
      </c>
      <c r="DO99" s="6">
        <f>DO$1*'survival matrix'!DO99</f>
        <v>0</v>
      </c>
      <c r="DP99" s="6">
        <f>DP$1*'survival matrix'!DP99</f>
        <v>0</v>
      </c>
      <c r="DQ99" s="6">
        <f>DQ$1*'survival matrix'!DQ99</f>
        <v>0</v>
      </c>
      <c r="DR99" s="6">
        <f>DR$1*'survival matrix'!DR99</f>
        <v>0</v>
      </c>
      <c r="DS99" s="6">
        <f>DS$1*'survival matrix'!DS99</f>
        <v>0</v>
      </c>
      <c r="DT99" s="6">
        <f>DT$1*'survival matrix'!DT99</f>
        <v>0</v>
      </c>
      <c r="DU99" s="6">
        <f>DU$1*'survival matrix'!DU99</f>
        <v>0</v>
      </c>
      <c r="DV99" s="6">
        <f>DV$1*'survival matrix'!DV99</f>
        <v>0</v>
      </c>
      <c r="DW99" s="6">
        <f>DW$1*'survival matrix'!DW99</f>
        <v>0</v>
      </c>
      <c r="DX99" s="6">
        <f>DX$1*'survival matrix'!DX99</f>
        <v>0</v>
      </c>
      <c r="DY99" s="6">
        <f>DY$1*'survival matrix'!DY99</f>
        <v>0</v>
      </c>
      <c r="DZ99" s="6">
        <f>DZ$1*'survival matrix'!DZ99</f>
        <v>0</v>
      </c>
      <c r="EA99" s="6">
        <f>EA$1*'survival matrix'!EA99</f>
        <v>0</v>
      </c>
      <c r="EB99" s="6">
        <f>EB$1*'survival matrix'!EB99</f>
        <v>0</v>
      </c>
      <c r="EC99" s="6">
        <f>EC$1*'survival matrix'!EC99</f>
        <v>0</v>
      </c>
    </row>
    <row r="100" spans="1:133">
      <c r="A100" s="12">
        <f>'data input'!C100-B100</f>
        <v>258146.58906687074</v>
      </c>
      <c r="B100" s="14">
        <f t="shared" si="3"/>
        <v>848652.77370503545</v>
      </c>
      <c r="C100" s="11">
        <f>SUM(F100:EC100)</f>
        <v>21021806.131791838</v>
      </c>
      <c r="E100" s="7">
        <f>'data input'!B100</f>
        <v>1975</v>
      </c>
      <c r="F100" s="6">
        <f>F$1*'survival matrix'!F100</f>
        <v>3.1065030001024417E-2</v>
      </c>
      <c r="G100" s="6">
        <f>G$1*'survival matrix'!G100</f>
        <v>8.7103220148125993E-2</v>
      </c>
      <c r="H100" s="6">
        <f>H$1*'survival matrix'!H100</f>
        <v>0.18199165676978965</v>
      </c>
      <c r="I100" s="6">
        <f>I$1*'survival matrix'!I100</f>
        <v>0.33638795303174346</v>
      </c>
      <c r="J100" s="6">
        <f>J$1*'survival matrix'!J100</f>
        <v>0.5798357126535032</v>
      </c>
      <c r="K100" s="6">
        <f>K$1*'survival matrix'!K100</f>
        <v>0.95443753285613275</v>
      </c>
      <c r="L100" s="6">
        <f>L$1*'survival matrix'!L100</f>
        <v>1.5197630191884506</v>
      </c>
      <c r="M100" s="6">
        <f>M$1*'survival matrix'!M100</f>
        <v>2.3579882249293047</v>
      </c>
      <c r="N100" s="6">
        <f>N$1*'survival matrix'!N100</f>
        <v>3.580840545240727</v>
      </c>
      <c r="O100" s="6">
        <f>O$1*'survival matrix'!O100</f>
        <v>5.3396579561215081</v>
      </c>
      <c r="P100" s="6">
        <f>P$1*'survival matrix'!P100</f>
        <v>7.8410965608768448</v>
      </c>
      <c r="Q100" s="6">
        <f>Q$1*'survival matrix'!Q100</f>
        <v>11.36149574608438</v>
      </c>
      <c r="R100" s="6">
        <f>R$1*'survival matrix'!R100</f>
        <v>16.2636021431125</v>
      </c>
      <c r="S100" s="6">
        <f>S$1*'survival matrix'!S100</f>
        <v>23.018660217082338</v>
      </c>
      <c r="T100" s="6">
        <f>T$1*'survival matrix'!T100</f>
        <v>32.233475582733071</v>
      </c>
      <c r="U100" s="6">
        <f>U$1*'survival matrix'!U100</f>
        <v>44.695429837702143</v>
      </c>
      <c r="V100" s="6">
        <f>V$1*'survival matrix'!V100</f>
        <v>61.394710228842648</v>
      </c>
      <c r="W100" s="6">
        <f>W$1*'survival matrix'!W100</f>
        <v>83.597443633220664</v>
      </c>
      <c r="X100" s="6">
        <f>X$1*'survival matrix'!X100</f>
        <v>112.87899994678386</v>
      </c>
      <c r="Y100" s="6">
        <f>Y$1*'survival matrix'!Y100</f>
        <v>151.18311640147309</v>
      </c>
      <c r="Z100" s="6">
        <f>Z$1*'survival matrix'!Z100</f>
        <v>200.91691251182797</v>
      </c>
      <c r="AA100" s="6">
        <f>AA$1*'survival matrix'!AA100</f>
        <v>265.00813719404329</v>
      </c>
      <c r="AB100" s="6">
        <f>AB$1*'survival matrix'!AB100</f>
        <v>346.95364212211615</v>
      </c>
      <c r="AC100" s="6">
        <f>AC$1*'survival matrix'!AC100</f>
        <v>452.8010402661053</v>
      </c>
      <c r="AD100" s="6">
        <f>AD$1*'survival matrix'!AD100</f>
        <v>591.58146079944459</v>
      </c>
      <c r="AE100" s="6">
        <f>AE$1*'survival matrix'!AE100</f>
        <v>766.19968086707195</v>
      </c>
      <c r="AF100" s="6">
        <f>AF$1*'survival matrix'!AF100</f>
        <v>975.48814911978752</v>
      </c>
      <c r="AG100" s="6">
        <f>AG$1*'survival matrix'!AG100</f>
        <v>1237.3292793629525</v>
      </c>
      <c r="AH100" s="6">
        <f>AH$1*'survival matrix'!AH100</f>
        <v>1553.7980642375774</v>
      </c>
      <c r="AI100" s="6">
        <f>AI$1*'survival matrix'!AI100</f>
        <v>1979.6007151189185</v>
      </c>
      <c r="AJ100" s="6">
        <f>AJ$1*'survival matrix'!AJ100</f>
        <v>2463.2585364112192</v>
      </c>
      <c r="AK100" s="6">
        <f>AK$1*'survival matrix'!AK100</f>
        <v>3031.7991536654536</v>
      </c>
      <c r="AL100" s="6">
        <f>AL$1*'survival matrix'!AL100</f>
        <v>3714.3668512794429</v>
      </c>
      <c r="AM100" s="6">
        <f>AM$1*'survival matrix'!AM100</f>
        <v>4530.1419994460375</v>
      </c>
      <c r="AN100" s="6">
        <f>AN$1*'survival matrix'!AN100</f>
        <v>5437.3602361736966</v>
      </c>
      <c r="AO100" s="6">
        <f>AO$1*'survival matrix'!AO100</f>
        <v>6484.1462091935191</v>
      </c>
      <c r="AP100" s="6">
        <f>AP$1*'survival matrix'!AP100</f>
        <v>7658.5409174528531</v>
      </c>
      <c r="AQ100" s="6">
        <f>AQ$1*'survival matrix'!AQ100</f>
        <v>9050.7945164241428</v>
      </c>
      <c r="AR100" s="6">
        <f>AR$1*'survival matrix'!AR100</f>
        <v>10702.183652692005</v>
      </c>
      <c r="AS100" s="6">
        <f>AS$1*'survival matrix'!AS100</f>
        <v>12584.879148617734</v>
      </c>
      <c r="AT100" s="6">
        <f>AT$1*'survival matrix'!AT100</f>
        <v>14870.910467751068</v>
      </c>
      <c r="AU100" s="6">
        <f>AU$1*'survival matrix'!AU100</f>
        <v>17488.617875289532</v>
      </c>
      <c r="AV100" s="6">
        <f>AV$1*'survival matrix'!AV100</f>
        <v>20322.643141699977</v>
      </c>
      <c r="AW100" s="6">
        <f>AW$1*'survival matrix'!AW100</f>
        <v>23552.112628208302</v>
      </c>
      <c r="AX100" s="6">
        <f>AX$1*'survival matrix'!AX100</f>
        <v>27141.559832939733</v>
      </c>
      <c r="AY100" s="6">
        <f>AY$1*'survival matrix'!AY100</f>
        <v>31318.024568357036</v>
      </c>
      <c r="AZ100" s="6">
        <f>AZ$1*'survival matrix'!AZ100</f>
        <v>35838.573477135862</v>
      </c>
      <c r="BA100" s="6">
        <f>BA$1*'survival matrix'!BA100</f>
        <v>40638.509926165425</v>
      </c>
      <c r="BB100" s="6">
        <f>BB$1*'survival matrix'!BB100</f>
        <v>46044.03935992781</v>
      </c>
      <c r="BC100" s="6">
        <f>BC$1*'survival matrix'!BC100</f>
        <v>51956.166001211139</v>
      </c>
      <c r="BD100" s="6">
        <f>BD$1*'survival matrix'!BD100</f>
        <v>58483.216422692036</v>
      </c>
      <c r="BE100" s="6">
        <f>BE$1*'survival matrix'!BE100</f>
        <v>65433.70666815828</v>
      </c>
      <c r="BF100" s="6">
        <f>BF$1*'survival matrix'!BF100</f>
        <v>72514.175490703492</v>
      </c>
      <c r="BG100" s="6">
        <f>BG$1*'survival matrix'!BG100</f>
        <v>79998.411579963329</v>
      </c>
      <c r="BH100" s="6">
        <f>BH$1*'survival matrix'!BH100</f>
        <v>87842.394059916129</v>
      </c>
      <c r="BI100" s="6">
        <f>BI$1*'survival matrix'!BI100</f>
        <v>96265.803061287632</v>
      </c>
      <c r="BJ100" s="6">
        <f>BJ$1*'survival matrix'!BJ100</f>
        <v>105245.1564164836</v>
      </c>
      <c r="BK100" s="6">
        <f>BK$1*'survival matrix'!BK100</f>
        <v>114616.2393373482</v>
      </c>
      <c r="BL100" s="6">
        <f>BL$1*'survival matrix'!BL100</f>
        <v>124729.89568163984</v>
      </c>
      <c r="BM100" s="6">
        <f>BM$1*'survival matrix'!BM100</f>
        <v>135676.7642443449</v>
      </c>
      <c r="BN100" s="6">
        <f>BN$1*'survival matrix'!BN100</f>
        <v>147711.6745568825</v>
      </c>
      <c r="BO100" s="6">
        <f>BO$1*'survival matrix'!BO100</f>
        <v>161793.59709252554</v>
      </c>
      <c r="BP100" s="6">
        <f>BP$1*'survival matrix'!BP100</f>
        <v>176251.83275315215</v>
      </c>
      <c r="BQ100" s="6">
        <f>BQ$1*'survival matrix'!BQ100</f>
        <v>192099.18510664502</v>
      </c>
      <c r="BR100" s="6">
        <f>BR$1*'survival matrix'!BR100</f>
        <v>206078.95275692531</v>
      </c>
      <c r="BS100" s="6">
        <f>BS$1*'survival matrix'!BS100</f>
        <v>224153.18079365816</v>
      </c>
      <c r="BT100" s="6">
        <f>BT$1*'survival matrix'!BT100</f>
        <v>241630.92470201664</v>
      </c>
      <c r="BU100" s="6">
        <f>BU$1*'survival matrix'!BU100</f>
        <v>251677.24153656661</v>
      </c>
      <c r="BV100" s="6">
        <f>BV$1*'survival matrix'!BV100</f>
        <v>262879.38713076478</v>
      </c>
      <c r="BW100" s="6">
        <f>BW$1*'survival matrix'!BW100</f>
        <v>274669.7950152359</v>
      </c>
      <c r="BX100" s="6">
        <f>BX$1*'survival matrix'!BX100</f>
        <v>286772.46665347822</v>
      </c>
      <c r="BY100" s="6">
        <f>BY$1*'survival matrix'!BY100</f>
        <v>299529.92810891126</v>
      </c>
      <c r="BZ100" s="6">
        <f>BZ$1*'survival matrix'!BZ100</f>
        <v>315617.52966578136</v>
      </c>
      <c r="CA100" s="6">
        <f>CA$1*'survival matrix'!CA100</f>
        <v>336838.1156570412</v>
      </c>
      <c r="CB100" s="6">
        <f>CB$1*'survival matrix'!CB100</f>
        <v>357311.1025625937</v>
      </c>
      <c r="CC100" s="6">
        <f>CC$1*'survival matrix'!CC100</f>
        <v>380105.97344598785</v>
      </c>
      <c r="CD100" s="6">
        <f>CD$1*'survival matrix'!CD100</f>
        <v>401062.96480927046</v>
      </c>
      <c r="CE100" s="6">
        <f>CE$1*'survival matrix'!CE100</f>
        <v>423335.82993301394</v>
      </c>
      <c r="CF100" s="6">
        <f>CF$1*'survival matrix'!CF100</f>
        <v>446671.85566387314</v>
      </c>
      <c r="CG100" s="6">
        <f>CG$1*'survival matrix'!CG100</f>
        <v>471082.10215066239</v>
      </c>
      <c r="CH100" s="6">
        <f>CH$1*'survival matrix'!CH100</f>
        <v>492982.15874459082</v>
      </c>
      <c r="CI100" s="6">
        <f>CI$1*'survival matrix'!CI100</f>
        <v>515428.06372531492</v>
      </c>
      <c r="CJ100" s="6">
        <f>CJ$1*'survival matrix'!CJ100</f>
        <v>539225.18165637727</v>
      </c>
      <c r="CK100" s="6">
        <f>CK$1*'survival matrix'!CK100</f>
        <v>563412.9044759227</v>
      </c>
      <c r="CL100" s="6">
        <f>CL$1*'survival matrix'!CL100</f>
        <v>592787.88477344881</v>
      </c>
      <c r="CM100" s="6">
        <f>CM$1*'survival matrix'!CM100</f>
        <v>624765.61113633576</v>
      </c>
      <c r="CN100" s="6">
        <f>CN$1*'survival matrix'!CN100</f>
        <v>655840.56136964459</v>
      </c>
      <c r="CO100" s="6">
        <f>CO$1*'survival matrix'!CO100</f>
        <v>688780.7130170319</v>
      </c>
      <c r="CP100" s="6">
        <f>CP$1*'survival matrix'!CP100</f>
        <v>725161.71924210782</v>
      </c>
      <c r="CQ100" s="6">
        <f>CQ$1*'survival matrix'!CQ100</f>
        <v>765842.28096133249</v>
      </c>
      <c r="CR100" s="6">
        <f>CR$1*'survival matrix'!CR100</f>
        <v>807503.58169516549</v>
      </c>
      <c r="CS100" s="6">
        <f>CS$1*'survival matrix'!CS100</f>
        <v>849007.40276651317</v>
      </c>
      <c r="CT100" s="6">
        <f>CT$1*'survival matrix'!CT100</f>
        <v>893974.19648765645</v>
      </c>
      <c r="CU100" s="6">
        <f>CU$1*'survival matrix'!CU100</f>
        <v>937115.80016717664</v>
      </c>
      <c r="CV100" s="6">
        <f>CV$1*'survival matrix'!CV100</f>
        <v>981550.30006486666</v>
      </c>
      <c r="CW100" s="6">
        <f>CW$1*'survival matrix'!CW100</f>
        <v>1029294.0325383832</v>
      </c>
      <c r="CX100" s="6">
        <f>CX$1*'survival matrix'!CX100</f>
        <v>1071991.2967389624</v>
      </c>
      <c r="CY100" s="6">
        <f>CY$1*'survival matrix'!CY100</f>
        <v>1105305.2964906909</v>
      </c>
      <c r="CZ100" s="6">
        <f>CZ$1*'survival matrix'!CZ100</f>
        <v>0</v>
      </c>
      <c r="DA100" s="6">
        <f>DA$1*'survival matrix'!DA100</f>
        <v>0</v>
      </c>
      <c r="DB100" s="6">
        <f>DB$1*'survival matrix'!DB100</f>
        <v>0</v>
      </c>
      <c r="DC100" s="6">
        <f>DC$1*'survival matrix'!DC100</f>
        <v>0</v>
      </c>
      <c r="DD100" s="6">
        <f>DD$1*'survival matrix'!DD100</f>
        <v>0</v>
      </c>
      <c r="DE100" s="6">
        <f>DE$1*'survival matrix'!DE100</f>
        <v>0</v>
      </c>
      <c r="DF100" s="6">
        <f>DF$1*'survival matrix'!DF100</f>
        <v>0</v>
      </c>
      <c r="DG100" s="6">
        <f>DG$1*'survival matrix'!DG100</f>
        <v>0</v>
      </c>
      <c r="DH100" s="6">
        <f>DH$1*'survival matrix'!DH100</f>
        <v>0</v>
      </c>
      <c r="DI100" s="6">
        <f>DI$1*'survival matrix'!DI100</f>
        <v>0</v>
      </c>
      <c r="DJ100" s="6">
        <f>DJ$1*'survival matrix'!DJ100</f>
        <v>0</v>
      </c>
      <c r="DK100" s="6">
        <f>DK$1*'survival matrix'!DK100</f>
        <v>0</v>
      </c>
      <c r="DL100" s="6">
        <f>DL$1*'survival matrix'!DL100</f>
        <v>0</v>
      </c>
      <c r="DM100" s="6">
        <f>DM$1*'survival matrix'!DM100</f>
        <v>0</v>
      </c>
      <c r="DN100" s="6">
        <f>DN$1*'survival matrix'!DN100</f>
        <v>0</v>
      </c>
      <c r="DO100" s="6">
        <f>DO$1*'survival matrix'!DO100</f>
        <v>0</v>
      </c>
      <c r="DP100" s="6">
        <f>DP$1*'survival matrix'!DP100</f>
        <v>0</v>
      </c>
      <c r="DQ100" s="6">
        <f>DQ$1*'survival matrix'!DQ100</f>
        <v>0</v>
      </c>
      <c r="DR100" s="6">
        <f>DR$1*'survival matrix'!DR100</f>
        <v>0</v>
      </c>
      <c r="DS100" s="6">
        <f>DS$1*'survival matrix'!DS100</f>
        <v>0</v>
      </c>
      <c r="DT100" s="6">
        <f>DT$1*'survival matrix'!DT100</f>
        <v>0</v>
      </c>
      <c r="DU100" s="6">
        <f>DU$1*'survival matrix'!DU100</f>
        <v>0</v>
      </c>
      <c r="DV100" s="6">
        <f>DV$1*'survival matrix'!DV100</f>
        <v>0</v>
      </c>
      <c r="DW100" s="6">
        <f>DW$1*'survival matrix'!DW100</f>
        <v>0</v>
      </c>
      <c r="DX100" s="6">
        <f>DX$1*'survival matrix'!DX100</f>
        <v>0</v>
      </c>
      <c r="DY100" s="6">
        <f>DY$1*'survival matrix'!DY100</f>
        <v>0</v>
      </c>
      <c r="DZ100" s="6">
        <f>DZ$1*'survival matrix'!DZ100</f>
        <v>0</v>
      </c>
      <c r="EA100" s="6">
        <f>EA$1*'survival matrix'!EA100</f>
        <v>0</v>
      </c>
      <c r="EB100" s="6">
        <f>EB$1*'survival matrix'!EB100</f>
        <v>0</v>
      </c>
      <c r="EC100" s="6">
        <f>EC$1*'survival matrix'!EC100</f>
        <v>0</v>
      </c>
    </row>
    <row r="101" spans="1:133">
      <c r="A101" s="12">
        <f>'data input'!C101-B101</f>
        <v>266662.51893876167</v>
      </c>
      <c r="B101" s="14">
        <f t="shared" si="3"/>
        <v>888144.00472879782</v>
      </c>
      <c r="C101" s="11">
        <f>SUM(F101:EC101)</f>
        <v>21909950.136520635</v>
      </c>
      <c r="E101" s="7">
        <f>'data input'!B101</f>
        <v>1976</v>
      </c>
      <c r="F101" s="6">
        <f>F$1*'survival matrix'!F101</f>
        <v>2.2126066611436922E-2</v>
      </c>
      <c r="G101" s="6">
        <f>G$1*'survival matrix'!G101</f>
        <v>6.2374445386500256E-2</v>
      </c>
      <c r="H101" s="6">
        <f>H$1*'survival matrix'!H101</f>
        <v>0.13102709842391932</v>
      </c>
      <c r="I101" s="6">
        <f>I$1*'survival matrix'!I101</f>
        <v>0.24349174067838208</v>
      </c>
      <c r="J101" s="6">
        <f>J$1*'survival matrix'!J101</f>
        <v>0.42196826640607737</v>
      </c>
      <c r="K101" s="6">
        <f>K$1*'survival matrix'!K101</f>
        <v>0.69831298988301438</v>
      </c>
      <c r="L101" s="6">
        <f>L$1*'survival matrix'!L101</f>
        <v>1.1178998050822218</v>
      </c>
      <c r="M101" s="6">
        <f>M$1*'survival matrix'!M101</f>
        <v>1.743771251184667</v>
      </c>
      <c r="N101" s="6">
        <f>N$1*'survival matrix'!N101</f>
        <v>2.6622575481917008</v>
      </c>
      <c r="O101" s="6">
        <f>O$1*'survival matrix'!O101</f>
        <v>3.9910934980192891</v>
      </c>
      <c r="P101" s="6">
        <f>P$1*'survival matrix'!P101</f>
        <v>5.8920260482264926</v>
      </c>
      <c r="Q101" s="6">
        <f>Q$1*'survival matrix'!Q101</f>
        <v>8.5827922599769124</v>
      </c>
      <c r="R101" s="6">
        <f>R$1*'survival matrix'!R101</f>
        <v>12.351244795588656</v>
      </c>
      <c r="S101" s="6">
        <f>S$1*'survival matrix'!S101</f>
        <v>17.573991010275783</v>
      </c>
      <c r="T101" s="6">
        <f>T$1*'survival matrix'!T101</f>
        <v>24.739398534815386</v>
      </c>
      <c r="U101" s="6">
        <f>U$1*'survival matrix'!U101</f>
        <v>34.485126650092624</v>
      </c>
      <c r="V101" s="6">
        <f>V$1*'survival matrix'!V101</f>
        <v>47.619102776387386</v>
      </c>
      <c r="W101" s="6">
        <f>W$1*'survival matrix'!W101</f>
        <v>65.180757928292735</v>
      </c>
      <c r="X101" s="6">
        <f>X$1*'survival matrix'!X101</f>
        <v>88.472862203903532</v>
      </c>
      <c r="Y101" s="6">
        <f>Y$1*'survival matrix'!Y101</f>
        <v>119.11455521369358</v>
      </c>
      <c r="Z101" s="6">
        <f>Z$1*'survival matrix'!Z101</f>
        <v>159.12428933589524</v>
      </c>
      <c r="AA101" s="6">
        <f>AA$1*'survival matrix'!AA101</f>
        <v>210.97508362868791</v>
      </c>
      <c r="AB101" s="6">
        <f>AB$1*'survival matrix'!AB101</f>
        <v>277.6442065360182</v>
      </c>
      <c r="AC101" s="6">
        <f>AC$1*'survival matrix'!AC101</f>
        <v>364.21908028506283</v>
      </c>
      <c r="AD101" s="6">
        <f>AD$1*'survival matrix'!AD101</f>
        <v>478.30014206058615</v>
      </c>
      <c r="AE101" s="6">
        <f>AE$1*'survival matrix'!AE101</f>
        <v>622.65976231950378</v>
      </c>
      <c r="AF101" s="6">
        <f>AF$1*'survival matrix'!AF101</f>
        <v>796.79304527605586</v>
      </c>
      <c r="AG101" s="6">
        <f>AG$1*'survival matrix'!AG101</f>
        <v>1015.81576363939</v>
      </c>
      <c r="AH101" s="6">
        <f>AH$1*'survival matrix'!AH101</f>
        <v>1282.0983691585152</v>
      </c>
      <c r="AI101" s="6">
        <f>AI$1*'survival matrix'!AI101</f>
        <v>1641.6933137849812</v>
      </c>
      <c r="AJ101" s="6">
        <f>AJ$1*'survival matrix'!AJ101</f>
        <v>2053.062381677345</v>
      </c>
      <c r="AK101" s="6">
        <f>AK$1*'survival matrix'!AK101</f>
        <v>2539.5680840382115</v>
      </c>
      <c r="AL101" s="6">
        <f>AL$1*'survival matrix'!AL101</f>
        <v>3126.8031618297287</v>
      </c>
      <c r="AM101" s="6">
        <f>AM$1*'survival matrix'!AM101</f>
        <v>3832.4133618292708</v>
      </c>
      <c r="AN101" s="6">
        <f>AN$1*'survival matrix'!AN101</f>
        <v>4622.546554456454</v>
      </c>
      <c r="AO101" s="6">
        <f>AO$1*'survival matrix'!AO101</f>
        <v>5539.440330676367</v>
      </c>
      <c r="AP101" s="6">
        <f>AP$1*'survival matrix'!AP101</f>
        <v>6574.5436388194285</v>
      </c>
      <c r="AQ101" s="6">
        <f>AQ$1*'survival matrix'!AQ101</f>
        <v>7807.2601195974921</v>
      </c>
      <c r="AR101" s="6">
        <f>AR$1*'survival matrix'!AR101</f>
        <v>9276.0238533217525</v>
      </c>
      <c r="AS101" s="6">
        <f>AS$1*'survival matrix'!AS101</f>
        <v>10959.743376149954</v>
      </c>
      <c r="AT101" s="6">
        <f>AT$1*'survival matrix'!AT101</f>
        <v>13011.708248143395</v>
      </c>
      <c r="AU101" s="6">
        <f>AU$1*'survival matrix'!AU101</f>
        <v>15373.768861099981</v>
      </c>
      <c r="AV101" s="6">
        <f>AV$1*'survival matrix'!AV101</f>
        <v>17947.952805208508</v>
      </c>
      <c r="AW101" s="6">
        <f>AW$1*'survival matrix'!AW101</f>
        <v>20895.620727601301</v>
      </c>
      <c r="AX101" s="6">
        <f>AX$1*'survival matrix'!AX101</f>
        <v>24189.711867029935</v>
      </c>
      <c r="AY101" s="6">
        <f>AY$1*'survival matrix'!AY101</f>
        <v>28037.513010371746</v>
      </c>
      <c r="AZ101" s="6">
        <f>AZ$1*'survival matrix'!AZ101</f>
        <v>32227.211054190131</v>
      </c>
      <c r="BA101" s="6">
        <f>BA$1*'survival matrix'!BA101</f>
        <v>36703.979633190196</v>
      </c>
      <c r="BB101" s="6">
        <f>BB$1*'survival matrix'!BB101</f>
        <v>41766.439219062493</v>
      </c>
      <c r="BC101" s="6">
        <f>BC$1*'survival matrix'!BC101</f>
        <v>47330.79646126007</v>
      </c>
      <c r="BD101" s="6">
        <f>BD$1*'survival matrix'!BD101</f>
        <v>53501.181095153166</v>
      </c>
      <c r="BE101" s="6">
        <f>BE$1*'survival matrix'!BE101</f>
        <v>60107.74181020174</v>
      </c>
      <c r="BF101" s="6">
        <f>BF$1*'survival matrix'!BF101</f>
        <v>66883.430208113612</v>
      </c>
      <c r="BG101" s="6">
        <f>BG$1*'survival matrix'!BG101</f>
        <v>74081.923090482625</v>
      </c>
      <c r="BH101" s="6">
        <f>BH$1*'survival matrix'!BH101</f>
        <v>81665.259621012592</v>
      </c>
      <c r="BI101" s="6">
        <f>BI$1*'survival matrix'!BI101</f>
        <v>89840.683385427415</v>
      </c>
      <c r="BJ101" s="6">
        <f>BJ$1*'survival matrix'!BJ101</f>
        <v>98590.469311356093</v>
      </c>
      <c r="BK101" s="6">
        <f>BK$1*'survival matrix'!BK101</f>
        <v>107763.8744469627</v>
      </c>
      <c r="BL101" s="6">
        <f>BL$1*'survival matrix'!BL101</f>
        <v>117693.5527238505</v>
      </c>
      <c r="BM101" s="6">
        <f>BM$1*'survival matrix'!BM101</f>
        <v>128470.06147620527</v>
      </c>
      <c r="BN101" s="6">
        <f>BN$1*'survival matrix'!BN101</f>
        <v>140340.59782763009</v>
      </c>
      <c r="BO101" s="6">
        <f>BO$1*'survival matrix'!BO101</f>
        <v>154226.15914059617</v>
      </c>
      <c r="BP101" s="6">
        <f>BP$1*'survival matrix'!BP101</f>
        <v>168543.97444297341</v>
      </c>
      <c r="BQ101" s="6">
        <f>BQ$1*'survival matrix'!BQ101</f>
        <v>184264.30272559164</v>
      </c>
      <c r="BR101" s="6">
        <f>BR$1*'survival matrix'!BR101</f>
        <v>198260.98892109012</v>
      </c>
      <c r="BS101" s="6">
        <f>BS$1*'survival matrix'!BS101</f>
        <v>216265.40179898962</v>
      </c>
      <c r="BT101" s="6">
        <f>BT$1*'survival matrix'!BT101</f>
        <v>233766.65678010287</v>
      </c>
      <c r="BU101" s="6">
        <f>BU$1*'survival matrix'!BU101</f>
        <v>244123.88132032231</v>
      </c>
      <c r="BV101" s="6">
        <f>BV$1*'survival matrix'!BV101</f>
        <v>255626.92888106141</v>
      </c>
      <c r="BW101" s="6">
        <f>BW$1*'survival matrix'!BW101</f>
        <v>267726.57686022791</v>
      </c>
      <c r="BX101" s="6">
        <f>BX$1*'survival matrix'!BX101</f>
        <v>280152.68660900451</v>
      </c>
      <c r="BY101" s="6">
        <f>BY$1*'survival matrix'!BY101</f>
        <v>293238.00421464571</v>
      </c>
      <c r="BZ101" s="6">
        <f>BZ$1*'survival matrix'!BZ101</f>
        <v>309606.23152209132</v>
      </c>
      <c r="CA101" s="6">
        <f>CA$1*'survival matrix'!CA101</f>
        <v>331042.96029454586</v>
      </c>
      <c r="CB101" s="6">
        <f>CB$1*'survival matrix'!CB101</f>
        <v>351779.55987757078</v>
      </c>
      <c r="CC101" s="6">
        <f>CC$1*'survival matrix'!CC101</f>
        <v>374832.13736858231</v>
      </c>
      <c r="CD101" s="6">
        <f>CD$1*'survival matrix'!CD101</f>
        <v>396096.23048370756</v>
      </c>
      <c r="CE101" s="6">
        <f>CE$1*'survival matrix'!CE101</f>
        <v>418676.28761116473</v>
      </c>
      <c r="CF101" s="6">
        <f>CF$1*'survival matrix'!CF101</f>
        <v>442321.14007933583</v>
      </c>
      <c r="CG101" s="6">
        <f>CG$1*'survival matrix'!CG101</f>
        <v>467039.61336041358</v>
      </c>
      <c r="CH101" s="6">
        <f>CH$1*'survival matrix'!CH101</f>
        <v>489272.07351032062</v>
      </c>
      <c r="CI101" s="6">
        <f>CI$1*'survival matrix'!CI101</f>
        <v>512041.97971028596</v>
      </c>
      <c r="CJ101" s="6">
        <f>CJ$1*'survival matrix'!CJ101</f>
        <v>536147.58475141332</v>
      </c>
      <c r="CK101" s="6">
        <f>CK$1*'survival matrix'!CK101</f>
        <v>560632.7050344547</v>
      </c>
      <c r="CL101" s="6">
        <f>CL$1*'survival matrix'!CL101</f>
        <v>590271.28007234435</v>
      </c>
      <c r="CM101" s="6">
        <f>CM$1*'survival matrix'!CM101</f>
        <v>622495.09785780858</v>
      </c>
      <c r="CN101" s="6">
        <f>CN$1*'survival matrix'!CN101</f>
        <v>653810.59172249702</v>
      </c>
      <c r="CO101" s="6">
        <f>CO$1*'survival matrix'!CO101</f>
        <v>686974.28503385244</v>
      </c>
      <c r="CP101" s="6">
        <f>CP$1*'survival matrix'!CP101</f>
        <v>723558.61954185122</v>
      </c>
      <c r="CQ101" s="6">
        <f>CQ$1*'survival matrix'!CQ101</f>
        <v>764422.68549558229</v>
      </c>
      <c r="CR101" s="6">
        <f>CR$1*'survival matrix'!CR101</f>
        <v>806255.15978702996</v>
      </c>
      <c r="CS101" s="6">
        <f>CS$1*'survival matrix'!CS101</f>
        <v>847918.49053347006</v>
      </c>
      <c r="CT101" s="6">
        <f>CT$1*'survival matrix'!CT101</f>
        <v>893028.11919935385</v>
      </c>
      <c r="CU101" s="6">
        <f>CU$1*'survival matrix'!CU101</f>
        <v>936301.92861101998</v>
      </c>
      <c r="CV101" s="6">
        <f>CV$1*'survival matrix'!CV101</f>
        <v>980854.53315609286</v>
      </c>
      <c r="CW101" s="6">
        <f>CW$1*'survival matrix'!CW101</f>
        <v>1028701.7955896192</v>
      </c>
      <c r="CX101" s="6">
        <f>CX$1*'survival matrix'!CX101</f>
        <v>1071493.3778948139</v>
      </c>
      <c r="CY101" s="6">
        <f>CY$1*'survival matrix'!CY101</f>
        <v>1104893.1431303499</v>
      </c>
      <c r="CZ101" s="6">
        <f>CZ$1*'survival matrix'!CZ101</f>
        <v>1153247.6526143469</v>
      </c>
      <c r="DA101" s="6">
        <f>DA$1*'survival matrix'!DA101</f>
        <v>0</v>
      </c>
      <c r="DB101" s="6">
        <f>DB$1*'survival matrix'!DB101</f>
        <v>0</v>
      </c>
      <c r="DC101" s="6">
        <f>DC$1*'survival matrix'!DC101</f>
        <v>0</v>
      </c>
      <c r="DD101" s="6">
        <f>DD$1*'survival matrix'!DD101</f>
        <v>0</v>
      </c>
      <c r="DE101" s="6">
        <f>DE$1*'survival matrix'!DE101</f>
        <v>0</v>
      </c>
      <c r="DF101" s="6">
        <f>DF$1*'survival matrix'!DF101</f>
        <v>0</v>
      </c>
      <c r="DG101" s="6">
        <f>DG$1*'survival matrix'!DG101</f>
        <v>0</v>
      </c>
      <c r="DH101" s="6">
        <f>DH$1*'survival matrix'!DH101</f>
        <v>0</v>
      </c>
      <c r="DI101" s="6">
        <f>DI$1*'survival matrix'!DI101</f>
        <v>0</v>
      </c>
      <c r="DJ101" s="6">
        <f>DJ$1*'survival matrix'!DJ101</f>
        <v>0</v>
      </c>
      <c r="DK101" s="6">
        <f>DK$1*'survival matrix'!DK101</f>
        <v>0</v>
      </c>
      <c r="DL101" s="6">
        <f>DL$1*'survival matrix'!DL101</f>
        <v>0</v>
      </c>
      <c r="DM101" s="6">
        <f>DM$1*'survival matrix'!DM101</f>
        <v>0</v>
      </c>
      <c r="DN101" s="6">
        <f>DN$1*'survival matrix'!DN101</f>
        <v>0</v>
      </c>
      <c r="DO101" s="6">
        <f>DO$1*'survival matrix'!DO101</f>
        <v>0</v>
      </c>
      <c r="DP101" s="6">
        <f>DP$1*'survival matrix'!DP101</f>
        <v>0</v>
      </c>
      <c r="DQ101" s="6">
        <f>DQ$1*'survival matrix'!DQ101</f>
        <v>0</v>
      </c>
      <c r="DR101" s="6">
        <f>DR$1*'survival matrix'!DR101</f>
        <v>0</v>
      </c>
      <c r="DS101" s="6">
        <f>DS$1*'survival matrix'!DS101</f>
        <v>0</v>
      </c>
      <c r="DT101" s="6">
        <f>DT$1*'survival matrix'!DT101</f>
        <v>0</v>
      </c>
      <c r="DU101" s="6">
        <f>DU$1*'survival matrix'!DU101</f>
        <v>0</v>
      </c>
      <c r="DV101" s="6">
        <f>DV$1*'survival matrix'!DV101</f>
        <v>0</v>
      </c>
      <c r="DW101" s="6">
        <f>DW$1*'survival matrix'!DW101</f>
        <v>0</v>
      </c>
      <c r="DX101" s="6">
        <f>DX$1*'survival matrix'!DX101</f>
        <v>0</v>
      </c>
      <c r="DY101" s="6">
        <f>DY$1*'survival matrix'!DY101</f>
        <v>0</v>
      </c>
      <c r="DZ101" s="6">
        <f>DZ$1*'survival matrix'!DZ101</f>
        <v>0</v>
      </c>
      <c r="EA101" s="6">
        <f>EA$1*'survival matrix'!EA101</f>
        <v>0</v>
      </c>
      <c r="EB101" s="6">
        <f>EB$1*'survival matrix'!EB101</f>
        <v>0</v>
      </c>
      <c r="EC101" s="6">
        <f>EC$1*'survival matrix'!EC101</f>
        <v>0</v>
      </c>
    </row>
    <row r="102" spans="1:133">
      <c r="A102" s="12">
        <f>'data input'!C102-B102</f>
        <v>275546.08298334875</v>
      </c>
      <c r="B102" s="14">
        <f t="shared" si="3"/>
        <v>909405.25156303123</v>
      </c>
      <c r="C102" s="11">
        <f>SUM(F102:EC102)</f>
        <v>22819355.388083667</v>
      </c>
      <c r="E102" s="7">
        <f>'data input'!B102</f>
        <v>1977</v>
      </c>
      <c r="F102" s="6">
        <f>F$1*'survival matrix'!F102</f>
        <v>1.5674504681941245E-2</v>
      </c>
      <c r="G102" s="6">
        <f>G$1*'survival matrix'!G102</f>
        <v>4.4426196705029036E-2</v>
      </c>
      <c r="H102" s="6">
        <f>H$1*'survival matrix'!H102</f>
        <v>9.3828248610050777E-2</v>
      </c>
      <c r="I102" s="6">
        <f>I$1*'survival matrix'!I102</f>
        <v>0.17530482901001773</v>
      </c>
      <c r="J102" s="6">
        <f>J$1*'survival matrix'!J102</f>
        <v>0.30543836891970794</v>
      </c>
      <c r="K102" s="6">
        <f>K$1*'survival matrix'!K102</f>
        <v>0.50818863916004775</v>
      </c>
      <c r="L102" s="6">
        <f>L$1*'survival matrix'!L102</f>
        <v>0.81790995052399706</v>
      </c>
      <c r="M102" s="6">
        <f>M$1*'survival matrix'!M102</f>
        <v>1.2826746783510203</v>
      </c>
      <c r="N102" s="6">
        <f>N$1*'survival matrix'!N102</f>
        <v>1.9687834428966455</v>
      </c>
      <c r="O102" s="6">
        <f>O$1*'survival matrix'!O102</f>
        <v>2.9672694598933531</v>
      </c>
      <c r="P102" s="6">
        <f>P$1*'survival matrix'!P102</f>
        <v>4.4039575277060923</v>
      </c>
      <c r="Q102" s="6">
        <f>Q$1*'survival matrix'!Q102</f>
        <v>6.4493575827926808</v>
      </c>
      <c r="R102" s="6">
        <f>R$1*'survival matrix'!R102</f>
        <v>9.3304764268554194</v>
      </c>
      <c r="S102" s="6">
        <f>S$1*'survival matrix'!S102</f>
        <v>13.34640770804357</v>
      </c>
      <c r="T102" s="6">
        <f>T$1*'survival matrix'!T102</f>
        <v>18.887718196901361</v>
      </c>
      <c r="U102" s="6">
        <f>U$1*'survival matrix'!U102</f>
        <v>26.467555120777536</v>
      </c>
      <c r="V102" s="6">
        <f>V$1*'survival matrix'!V102</f>
        <v>36.74091056223125</v>
      </c>
      <c r="W102" s="6">
        <f>W$1*'survival matrix'!W102</f>
        <v>50.5556455802285</v>
      </c>
      <c r="X102" s="6">
        <f>X$1*'survival matrix'!X102</f>
        <v>68.982111939176619</v>
      </c>
      <c r="Y102" s="6">
        <f>Y$1*'survival matrix'!Y102</f>
        <v>93.360196625312398</v>
      </c>
      <c r="Z102" s="6">
        <f>Z$1*'survival matrix'!Z102</f>
        <v>125.37126763286884</v>
      </c>
      <c r="AA102" s="6">
        <f>AA$1*'survival matrix'!AA102</f>
        <v>167.09026547488722</v>
      </c>
      <c r="AB102" s="6">
        <f>AB$1*'survival matrix'!AB102</f>
        <v>221.03475883107254</v>
      </c>
      <c r="AC102" s="6">
        <f>AC$1*'survival matrix'!AC102</f>
        <v>291.46060243815668</v>
      </c>
      <c r="AD102" s="6">
        <f>AD$1*'survival matrix'!AD102</f>
        <v>384.72976506225109</v>
      </c>
      <c r="AE102" s="6">
        <f>AE$1*'survival matrix'!AE102</f>
        <v>503.42729194110859</v>
      </c>
      <c r="AF102" s="6">
        <f>AF$1*'survival matrix'!AF102</f>
        <v>647.52176303176554</v>
      </c>
      <c r="AG102" s="6">
        <f>AG$1*'survival matrix'!AG102</f>
        <v>829.73323302799042</v>
      </c>
      <c r="AH102" s="6">
        <f>AH$1*'survival matrix'!AH102</f>
        <v>1052.5700439240479</v>
      </c>
      <c r="AI102" s="6">
        <f>AI$1*'survival matrix'!AI102</f>
        <v>1354.6241102410943</v>
      </c>
      <c r="AJ102" s="6">
        <f>AJ$1*'survival matrix'!AJ102</f>
        <v>1702.6154613106885</v>
      </c>
      <c r="AK102" s="6">
        <f>AK$1*'survival matrix'!AK102</f>
        <v>2116.6644190924053</v>
      </c>
      <c r="AL102" s="6">
        <f>AL$1*'survival matrix'!AL102</f>
        <v>2619.1476124835581</v>
      </c>
      <c r="AM102" s="6">
        <f>AM$1*'survival matrix'!AM102</f>
        <v>3226.1762763359134</v>
      </c>
      <c r="AN102" s="6">
        <f>AN$1*'survival matrix'!AN102</f>
        <v>3910.5858454642457</v>
      </c>
      <c r="AO102" s="6">
        <f>AO$1*'survival matrix'!AO102</f>
        <v>4709.3294727524772</v>
      </c>
      <c r="AP102" s="6">
        <f>AP$1*'survival matrix'!AP102</f>
        <v>5616.6673319351066</v>
      </c>
      <c r="AQ102" s="6">
        <f>AQ$1*'survival matrix'!AQ102</f>
        <v>6702.212981448668</v>
      </c>
      <c r="AR102" s="6">
        <f>AR$1*'survival matrix'!AR102</f>
        <v>8001.5440597016623</v>
      </c>
      <c r="AS102" s="6">
        <f>AS$1*'survival matrix'!AS102</f>
        <v>9499.2614855642096</v>
      </c>
      <c r="AT102" s="6">
        <f>AT$1*'survival matrix'!AT102</f>
        <v>11331.454327127836</v>
      </c>
      <c r="AU102" s="6">
        <f>AU$1*'survival matrix'!AU102</f>
        <v>13451.697898983899</v>
      </c>
      <c r="AV102" s="6">
        <f>AV$1*'survival matrix'!AV102</f>
        <v>15777.557719245355</v>
      </c>
      <c r="AW102" s="6">
        <f>AW$1*'survival matrix'!AW102</f>
        <v>18453.978256646864</v>
      </c>
      <c r="AX102" s="6">
        <f>AX$1*'survival matrix'!AX102</f>
        <v>21461.303818580884</v>
      </c>
      <c r="AY102" s="6">
        <f>AY$1*'survival matrix'!AY102</f>
        <v>24988.223424281248</v>
      </c>
      <c r="AZ102" s="6">
        <f>AZ$1*'survival matrix'!AZ102</f>
        <v>28851.463707350107</v>
      </c>
      <c r="BA102" s="6">
        <f>BA$1*'survival matrix'!BA102</f>
        <v>33005.412420283879</v>
      </c>
      <c r="BB102" s="6">
        <f>BB$1*'survival matrix'!BB102</f>
        <v>37722.705316523316</v>
      </c>
      <c r="BC102" s="6">
        <f>BC$1*'survival matrix'!BC102</f>
        <v>42933.65354277502</v>
      </c>
      <c r="BD102" s="6">
        <f>BD$1*'survival matrix'!BD102</f>
        <v>48738.267423209807</v>
      </c>
      <c r="BE102" s="6">
        <f>BE$1*'survival matrix'!BE102</f>
        <v>54987.317328199111</v>
      </c>
      <c r="BF102" s="6">
        <f>BF$1*'survival matrix'!BF102</f>
        <v>61439.465361761002</v>
      </c>
      <c r="BG102" s="6">
        <f>BG$1*'survival matrix'!BG102</f>
        <v>68329.44178397728</v>
      </c>
      <c r="BH102" s="6">
        <f>BH$1*'survival matrix'!BH102</f>
        <v>75625.495093247999</v>
      </c>
      <c r="BI102" s="6">
        <f>BI$1*'survival matrix'!BI102</f>
        <v>83523.027937919644</v>
      </c>
      <c r="BJ102" s="6">
        <f>BJ$1*'survival matrix'!BJ102</f>
        <v>92010.193200000154</v>
      </c>
      <c r="BK102" s="6">
        <f>BK$1*'survival matrix'!BK102</f>
        <v>100949.92794245198</v>
      </c>
      <c r="BL102" s="6">
        <f>BL$1*'survival matrix'!BL102</f>
        <v>110657.20976606116</v>
      </c>
      <c r="BM102" s="6">
        <f>BM$1*'survival matrix'!BM102</f>
        <v>121222.72588424644</v>
      </c>
      <c r="BN102" s="6">
        <f>BN$1*'survival matrix'!BN102</f>
        <v>132886.16758321991</v>
      </c>
      <c r="BO102" s="6">
        <f>BO$1*'survival matrix'!BO102</f>
        <v>146529.99798005464</v>
      </c>
      <c r="BP102" s="6">
        <f>BP$1*'survival matrix'!BP102</f>
        <v>160660.80668053485</v>
      </c>
      <c r="BQ102" s="6">
        <f>BQ$1*'survival matrix'!BQ102</f>
        <v>176206.04248031011</v>
      </c>
      <c r="BR102" s="6">
        <f>BR$1*'survival matrix'!BR102</f>
        <v>190174.79361481793</v>
      </c>
      <c r="BS102" s="6">
        <f>BS$1*'survival matrix'!BS102</f>
        <v>208060.99728514702</v>
      </c>
      <c r="BT102" s="6">
        <f>BT$1*'survival matrix'!BT102</f>
        <v>225540.58691807682</v>
      </c>
      <c r="BU102" s="6">
        <f>BU$1*'survival matrix'!BU102</f>
        <v>236178.4761069454</v>
      </c>
      <c r="BV102" s="6">
        <f>BV$1*'survival matrix'!BV102</f>
        <v>247955.03028974446</v>
      </c>
      <c r="BW102" s="6">
        <f>BW$1*'survival matrix'!BW102</f>
        <v>260340.39172716171</v>
      </c>
      <c r="BX102" s="6">
        <f>BX$1*'survival matrix'!BX102</f>
        <v>273070.86962315789</v>
      </c>
      <c r="BY102" s="6">
        <f>BY$1*'survival matrix'!BY102</f>
        <v>286468.97540503193</v>
      </c>
      <c r="BZ102" s="6">
        <f>BZ$1*'survival matrix'!BZ102</f>
        <v>303102.64485806006</v>
      </c>
      <c r="CA102" s="6">
        <f>CA$1*'survival matrix'!CA102</f>
        <v>324737.86711798009</v>
      </c>
      <c r="CB102" s="6">
        <f>CB$1*'survival matrix'!CB102</f>
        <v>345727.34337331861</v>
      </c>
      <c r="CC102" s="6">
        <f>CC$1*'survival matrix'!CC102</f>
        <v>369029.35107758123</v>
      </c>
      <c r="CD102" s="6">
        <f>CD$1*'survival matrix'!CD102</f>
        <v>390600.53523979645</v>
      </c>
      <c r="CE102" s="6">
        <f>CE$1*'survival matrix'!CE102</f>
        <v>413491.43118851667</v>
      </c>
      <c r="CF102" s="6">
        <f>CF$1*'survival matrix'!CF102</f>
        <v>437452.63161319832</v>
      </c>
      <c r="CG102" s="6">
        <f>CG$1*'survival matrix'!CG102</f>
        <v>462490.50981006032</v>
      </c>
      <c r="CH102" s="6">
        <f>CH$1*'survival matrix'!CH102</f>
        <v>485073.4914297926</v>
      </c>
      <c r="CI102" s="6">
        <f>CI$1*'survival matrix'!CI102</f>
        <v>508188.4540713717</v>
      </c>
      <c r="CJ102" s="6">
        <f>CJ$1*'survival matrix'!CJ102</f>
        <v>532625.38467309042</v>
      </c>
      <c r="CK102" s="6">
        <f>CK$1*'survival matrix'!CK102</f>
        <v>557432.9259133545</v>
      </c>
      <c r="CL102" s="6">
        <f>CL$1*'survival matrix'!CL102</f>
        <v>587358.54614286823</v>
      </c>
      <c r="CM102" s="6">
        <f>CM$1*'survival matrix'!CM102</f>
        <v>619852.37500546465</v>
      </c>
      <c r="CN102" s="6">
        <f>CN$1*'survival matrix'!CN102</f>
        <v>651434.5236360227</v>
      </c>
      <c r="CO102" s="6">
        <f>CO$1*'survival matrix'!CO102</f>
        <v>684847.94971833425</v>
      </c>
      <c r="CP102" s="6">
        <f>CP$1*'survival matrix'!CP102</f>
        <v>721660.98142117006</v>
      </c>
      <c r="CQ102" s="6">
        <f>CQ$1*'survival matrix'!CQ102</f>
        <v>762732.79240626143</v>
      </c>
      <c r="CR102" s="6">
        <f>CR$1*'survival matrix'!CR102</f>
        <v>804760.65341473278</v>
      </c>
      <c r="CS102" s="6">
        <f>CS$1*'survival matrix'!CS102</f>
        <v>846607.58610667731</v>
      </c>
      <c r="CT102" s="6">
        <f>CT$1*'survival matrix'!CT102</f>
        <v>891882.74727411615</v>
      </c>
      <c r="CU102" s="6">
        <f>CU$1*'survival matrix'!CU102</f>
        <v>935311.05662261904</v>
      </c>
      <c r="CV102" s="6">
        <f>CV$1*'survival matrix'!CV102</f>
        <v>980002.67514119146</v>
      </c>
      <c r="CW102" s="6">
        <f>CW$1*'survival matrix'!CW102</f>
        <v>1027972.6055844609</v>
      </c>
      <c r="CX102" s="6">
        <f>CX$1*'survival matrix'!CX102</f>
        <v>1070876.8602150404</v>
      </c>
      <c r="CY102" s="6">
        <f>CY$1*'survival matrix'!CY102</f>
        <v>1104379.9420265644</v>
      </c>
      <c r="CZ102" s="6">
        <f>CZ$1*'survival matrix'!CZ102</f>
        <v>1152817.6221993661</v>
      </c>
      <c r="DA102" s="6">
        <f>DA$1*'survival matrix'!DA102</f>
        <v>1183351.7710722983</v>
      </c>
      <c r="DB102" s="6">
        <f>DB$1*'survival matrix'!DB102</f>
        <v>0</v>
      </c>
      <c r="DC102" s="6">
        <f>DC$1*'survival matrix'!DC102</f>
        <v>0</v>
      </c>
      <c r="DD102" s="6">
        <f>DD$1*'survival matrix'!DD102</f>
        <v>0</v>
      </c>
      <c r="DE102" s="6">
        <f>DE$1*'survival matrix'!DE102</f>
        <v>0</v>
      </c>
      <c r="DF102" s="6">
        <f>DF$1*'survival matrix'!DF102</f>
        <v>0</v>
      </c>
      <c r="DG102" s="6">
        <f>DG$1*'survival matrix'!DG102</f>
        <v>0</v>
      </c>
      <c r="DH102" s="6">
        <f>DH$1*'survival matrix'!DH102</f>
        <v>0</v>
      </c>
      <c r="DI102" s="6">
        <f>DI$1*'survival matrix'!DI102</f>
        <v>0</v>
      </c>
      <c r="DJ102" s="6">
        <f>DJ$1*'survival matrix'!DJ102</f>
        <v>0</v>
      </c>
      <c r="DK102" s="6">
        <f>DK$1*'survival matrix'!DK102</f>
        <v>0</v>
      </c>
      <c r="DL102" s="6">
        <f>DL$1*'survival matrix'!DL102</f>
        <v>0</v>
      </c>
      <c r="DM102" s="6">
        <f>DM$1*'survival matrix'!DM102</f>
        <v>0</v>
      </c>
      <c r="DN102" s="6">
        <f>DN$1*'survival matrix'!DN102</f>
        <v>0</v>
      </c>
      <c r="DO102" s="6">
        <f>DO$1*'survival matrix'!DO102</f>
        <v>0</v>
      </c>
      <c r="DP102" s="6">
        <f>DP$1*'survival matrix'!DP102</f>
        <v>0</v>
      </c>
      <c r="DQ102" s="6">
        <f>DQ$1*'survival matrix'!DQ102</f>
        <v>0</v>
      </c>
      <c r="DR102" s="6">
        <f>DR$1*'survival matrix'!DR102</f>
        <v>0</v>
      </c>
      <c r="DS102" s="6">
        <f>DS$1*'survival matrix'!DS102</f>
        <v>0</v>
      </c>
      <c r="DT102" s="6">
        <f>DT$1*'survival matrix'!DT102</f>
        <v>0</v>
      </c>
      <c r="DU102" s="6">
        <f>DU$1*'survival matrix'!DU102</f>
        <v>0</v>
      </c>
      <c r="DV102" s="6">
        <f>DV$1*'survival matrix'!DV102</f>
        <v>0</v>
      </c>
      <c r="DW102" s="6">
        <f>DW$1*'survival matrix'!DW102</f>
        <v>0</v>
      </c>
      <c r="DX102" s="6">
        <f>DX$1*'survival matrix'!DX102</f>
        <v>0</v>
      </c>
      <c r="DY102" s="6">
        <f>DY$1*'survival matrix'!DY102</f>
        <v>0</v>
      </c>
      <c r="DZ102" s="6">
        <f>DZ$1*'survival matrix'!DZ102</f>
        <v>0</v>
      </c>
      <c r="EA102" s="6">
        <f>EA$1*'survival matrix'!EA102</f>
        <v>0</v>
      </c>
      <c r="EB102" s="6">
        <f>EB$1*'survival matrix'!EB102</f>
        <v>0</v>
      </c>
      <c r="EC102" s="6">
        <f>EC$1*'survival matrix'!EC102</f>
        <v>0</v>
      </c>
    </row>
    <row r="103" spans="1:133">
      <c r="A103" s="12">
        <f>'data input'!C103-B103</f>
        <v>284847.85380841163</v>
      </c>
      <c r="B103" s="14">
        <f t="shared" si="3"/>
        <v>936302.28135056421</v>
      </c>
      <c r="C103" s="11">
        <f>SUM(F103:EC103)</f>
        <v>23755657.669434231</v>
      </c>
      <c r="E103" s="7">
        <f>'data input'!B103</f>
        <v>1978</v>
      </c>
      <c r="F103" s="6">
        <f>F$1*'survival matrix'!F103</f>
        <v>1.1044293338411011E-2</v>
      </c>
      <c r="G103" s="6">
        <f>G$1*'survival matrix'!G103</f>
        <v>3.1472319074275674E-2</v>
      </c>
      <c r="H103" s="6">
        <f>H$1*'survival matrix'!H103</f>
        <v>6.6829167031610348E-2</v>
      </c>
      <c r="I103" s="6">
        <f>I$1*'survival matrix'!I103</f>
        <v>0.12553544478011322</v>
      </c>
      <c r="J103" s="6">
        <f>J$1*'survival matrix'!J103</f>
        <v>0.21990405459909707</v>
      </c>
      <c r="K103" s="6">
        <f>K$1*'survival matrix'!K103</f>
        <v>0.36784829904530331</v>
      </c>
      <c r="L103" s="6">
        <f>L$1*'survival matrix'!L103</f>
        <v>0.59522384766447578</v>
      </c>
      <c r="M103" s="6">
        <f>M$1*'survival matrix'!M103</f>
        <v>0.9384672740248885</v>
      </c>
      <c r="N103" s="6">
        <f>N$1*'survival matrix'!N103</f>
        <v>1.4481880393684943</v>
      </c>
      <c r="O103" s="6">
        <f>O$1*'survival matrix'!O103</f>
        <v>2.194344791028553</v>
      </c>
      <c r="P103" s="6">
        <f>P$1*'survival matrix'!P103</f>
        <v>3.2742226362562068</v>
      </c>
      <c r="Q103" s="6">
        <f>Q$1*'survival matrix'!Q103</f>
        <v>4.8205314510035882</v>
      </c>
      <c r="R103" s="6">
        <f>R$1*'survival matrix'!R103</f>
        <v>7.0111890247207542</v>
      </c>
      <c r="S103" s="6">
        <f>S$1*'survival matrix'!S103</f>
        <v>10.082250377514846</v>
      </c>
      <c r="T103" s="6">
        <f>T$1*'survival matrix'!T103</f>
        <v>14.344105876865545</v>
      </c>
      <c r="U103" s="6">
        <f>U$1*'survival matrix'!U103</f>
        <v>20.207108987661176</v>
      </c>
      <c r="V103" s="6">
        <f>V$1*'survival matrix'!V103</f>
        <v>28.198883691523321</v>
      </c>
      <c r="W103" s="6">
        <f>W$1*'survival matrix'!W103</f>
        <v>39.006624324725529</v>
      </c>
      <c r="X103" s="6">
        <f>X$1*'survival matrix'!X103</f>
        <v>53.504060299656103</v>
      </c>
      <c r="Y103" s="6">
        <f>Y$1*'survival matrix'!Y103</f>
        <v>72.792756714800731</v>
      </c>
      <c r="Z103" s="6">
        <f>Z$1*'survival matrix'!Z103</f>
        <v>98.264113704415806</v>
      </c>
      <c r="AA103" s="6">
        <f>AA$1*'survival matrix'!AA103</f>
        <v>131.64752206672492</v>
      </c>
      <c r="AB103" s="6">
        <f>AB$1*'survival matrix'!AB103</f>
        <v>175.05743283535097</v>
      </c>
      <c r="AC103" s="6">
        <f>AC$1*'survival matrix'!AC103</f>
        <v>232.03410138622723</v>
      </c>
      <c r="AD103" s="6">
        <f>AD$1*'survival matrix'!AD103</f>
        <v>307.87395600793553</v>
      </c>
      <c r="AE103" s="6">
        <f>AE$1*'survival matrix'!AE103</f>
        <v>404.94126328294959</v>
      </c>
      <c r="AF103" s="6">
        <f>AF$1*'survival matrix'!AF103</f>
        <v>523.52849399114473</v>
      </c>
      <c r="AG103" s="6">
        <f>AG$1*'survival matrix'!AG103</f>
        <v>674.29093298648104</v>
      </c>
      <c r="AH103" s="6">
        <f>AH$1*'survival matrix'!AH103</f>
        <v>859.75466890229359</v>
      </c>
      <c r="AI103" s="6">
        <f>AI$1*'survival matrix'!AI103</f>
        <v>1112.1118266088024</v>
      </c>
      <c r="AJ103" s="6">
        <f>AJ$1*'survival matrix'!AJ103</f>
        <v>1404.8933104583505</v>
      </c>
      <c r="AK103" s="6">
        <f>AK$1*'survival matrix'!AK103</f>
        <v>1755.3609663865111</v>
      </c>
      <c r="AL103" s="6">
        <f>AL$1*'survival matrix'!AL103</f>
        <v>2182.9919010792532</v>
      </c>
      <c r="AM103" s="6">
        <f>AM$1*'survival matrix'!AM103</f>
        <v>2702.3868962290767</v>
      </c>
      <c r="AN103" s="6">
        <f>AN$1*'survival matrix'!AN103</f>
        <v>3291.9829073943738</v>
      </c>
      <c r="AO103" s="6">
        <f>AO$1*'survival matrix'!AO103</f>
        <v>3984.0025321148819</v>
      </c>
      <c r="AP103" s="6">
        <f>AP$1*'survival matrix'!AP103</f>
        <v>4774.9836492413988</v>
      </c>
      <c r="AQ103" s="6">
        <f>AQ$1*'survival matrix'!AQ103</f>
        <v>5725.735925198569</v>
      </c>
      <c r="AR103" s="6">
        <f>AR$1*'survival matrix'!AR103</f>
        <v>6868.9977850168998</v>
      </c>
      <c r="AS103" s="6">
        <f>AS$1*'survival matrix'!AS103</f>
        <v>8194.1099455183357</v>
      </c>
      <c r="AT103" s="6">
        <f>AT$1*'survival matrix'!AT103</f>
        <v>9821.438693478638</v>
      </c>
      <c r="AU103" s="6">
        <f>AU$1*'survival matrix'!AU103</f>
        <v>11714.626354799106</v>
      </c>
      <c r="AV103" s="6">
        <f>AV$1*'survival matrix'!AV103</f>
        <v>13805.003961005608</v>
      </c>
      <c r="AW103" s="6">
        <f>AW$1*'survival matrix'!AW103</f>
        <v>16222.390946417589</v>
      </c>
      <c r="AX103" s="6">
        <f>AX$1*'survival matrix'!AX103</f>
        <v>18953.561571121023</v>
      </c>
      <c r="AY103" s="6">
        <f>AY$1*'survival matrix'!AY103</f>
        <v>22169.749592016327</v>
      </c>
      <c r="AZ103" s="6">
        <f>AZ$1*'survival matrix'!AZ103</f>
        <v>25713.650885159135</v>
      </c>
      <c r="BA103" s="6">
        <f>BA$1*'survival matrix'!BA103</f>
        <v>29548.149760422169</v>
      </c>
      <c r="BB103" s="6">
        <f>BB$1*'survival matrix'!BB103</f>
        <v>33921.483692597372</v>
      </c>
      <c r="BC103" s="6">
        <f>BC$1*'survival matrix'!BC103</f>
        <v>38776.912541221005</v>
      </c>
      <c r="BD103" s="6">
        <f>BD$1*'survival matrix'!BD103</f>
        <v>44210.367123991127</v>
      </c>
      <c r="BE103" s="6">
        <f>BE$1*'survival matrix'!BE103</f>
        <v>50092.101182967242</v>
      </c>
      <c r="BF103" s="6">
        <f>BF$1*'survival matrix'!BF103</f>
        <v>56205.594763313093</v>
      </c>
      <c r="BG103" s="6">
        <f>BG$1*'survival matrix'!BG103</f>
        <v>62767.77908388232</v>
      </c>
      <c r="BH103" s="6">
        <f>BH$1*'survival matrix'!BH103</f>
        <v>69753.155004454995</v>
      </c>
      <c r="BI103" s="6">
        <f>BI$1*'survival matrix'!BI103</f>
        <v>77345.867371333516</v>
      </c>
      <c r="BJ103" s="6">
        <f>BJ$1*'survival matrix'!BJ103</f>
        <v>85539.976407431634</v>
      </c>
      <c r="BK103" s="6">
        <f>BK$1*'survival matrix'!BK103</f>
        <v>94212.173229215143</v>
      </c>
      <c r="BL103" s="6">
        <f>BL$1*'survival matrix'!BL103</f>
        <v>103660.31668334763</v>
      </c>
      <c r="BM103" s="6">
        <f>BM$1*'survival matrix'!BM103</f>
        <v>113975.3902922876</v>
      </c>
      <c r="BN103" s="6">
        <f>BN$1*'survival matrix'!BN103</f>
        <v>125389.70777819949</v>
      </c>
      <c r="BO103" s="6">
        <f>BO$1*'survival matrix'!BO103</f>
        <v>138746.80718876651</v>
      </c>
      <c r="BP103" s="6">
        <f>BP$1*'survival matrix'!BP103</f>
        <v>152643.54509996987</v>
      </c>
      <c r="BQ103" s="6">
        <f>BQ$1*'survival matrix'!BQ103</f>
        <v>167964.50315374314</v>
      </c>
      <c r="BR103" s="6">
        <f>BR$1*'survival matrix'!BR103</f>
        <v>181858.05534064936</v>
      </c>
      <c r="BS103" s="6">
        <f>BS$1*'survival matrix'!BS103</f>
        <v>199575.10266300791</v>
      </c>
      <c r="BT103" s="6">
        <f>BT$1*'survival matrix'!BT103</f>
        <v>216984.31210956504</v>
      </c>
      <c r="BU103" s="6">
        <f>BU$1*'survival matrix'!BU103</f>
        <v>227867.53616742213</v>
      </c>
      <c r="BV103" s="6">
        <f>BV$1*'survival matrix'!BV103</f>
        <v>239884.934157846</v>
      </c>
      <c r="BW103" s="6">
        <f>BW$1*'survival matrix'!BW103</f>
        <v>252527.03226109457</v>
      </c>
      <c r="BX103" s="6">
        <f>BX$1*'survival matrix'!BX103</f>
        <v>265537.24326025473</v>
      </c>
      <c r="BY103" s="6">
        <f>BY$1*'survival matrix'!BY103</f>
        <v>279227.49262470502</v>
      </c>
      <c r="BZ103" s="6">
        <f>BZ$1*'survival matrix'!BZ103</f>
        <v>296105.90328355209</v>
      </c>
      <c r="CA103" s="6">
        <f>CA$1*'survival matrix'!CA103</f>
        <v>317916.42540632078</v>
      </c>
      <c r="CB103" s="6">
        <f>CB$1*'survival matrix'!CB103</f>
        <v>339142.56926510076</v>
      </c>
      <c r="CC103" s="6">
        <f>CC$1*'survival matrix'!CC103</f>
        <v>362680.3593114806</v>
      </c>
      <c r="CD103" s="6">
        <f>CD$1*'survival matrix'!CD103</f>
        <v>384553.63796183333</v>
      </c>
      <c r="CE103" s="6">
        <f>CE$1*'survival matrix'!CE103</f>
        <v>407754.38368113269</v>
      </c>
      <c r="CF103" s="6">
        <f>CF$1*'survival matrix'!CF103</f>
        <v>432035.25032426685</v>
      </c>
      <c r="CG103" s="6">
        <f>CG$1*'survival matrix'!CG103</f>
        <v>457400.00257788354</v>
      </c>
      <c r="CH103" s="6">
        <f>CH$1*'survival matrix'!CH103</f>
        <v>480348.73258938425</v>
      </c>
      <c r="CI103" s="6">
        <f>CI$1*'survival matrix'!CI103</f>
        <v>503827.54517770209</v>
      </c>
      <c r="CJ103" s="6">
        <f>CJ$1*'survival matrix'!CJ103</f>
        <v>528616.95244076522</v>
      </c>
      <c r="CK103" s="6">
        <f>CK$1*'survival matrix'!CK103</f>
        <v>553770.8926390236</v>
      </c>
      <c r="CL103" s="6">
        <f>CL$1*'survival matrix'!CL103</f>
        <v>584006.23081115342</v>
      </c>
      <c r="CM103" s="6">
        <f>CM$1*'survival matrix'!CM103</f>
        <v>616793.67114353273</v>
      </c>
      <c r="CN103" s="6">
        <f>CN$1*'survival matrix'!CN103</f>
        <v>648668.9421746697</v>
      </c>
      <c r="CO103" s="6">
        <f>CO$1*'survival matrix'!CO103</f>
        <v>682359.08615751914</v>
      </c>
      <c r="CP103" s="6">
        <f>CP$1*'survival matrix'!CP103</f>
        <v>719427.28321141563</v>
      </c>
      <c r="CQ103" s="6">
        <f>CQ$1*'survival matrix'!CQ103</f>
        <v>760732.41429773974</v>
      </c>
      <c r="CR103" s="6">
        <f>CR$1*'survival matrix'!CR103</f>
        <v>802981.58603150724</v>
      </c>
      <c r="CS103" s="6">
        <f>CS$1*'survival matrix'!CS103</f>
        <v>845038.28088498325</v>
      </c>
      <c r="CT103" s="6">
        <f>CT$1*'survival matrix'!CT103</f>
        <v>890503.87294287456</v>
      </c>
      <c r="CU103" s="6">
        <f>CU$1*'survival matrix'!CU103</f>
        <v>934111.45383006602</v>
      </c>
      <c r="CV103" s="6">
        <f>CV$1*'survival matrix'!CV103</f>
        <v>978965.5554155109</v>
      </c>
      <c r="CW103" s="6">
        <f>CW$1*'survival matrix'!CW103</f>
        <v>1027079.8262032529</v>
      </c>
      <c r="CX103" s="6">
        <f>CX$1*'survival matrix'!CX103</f>
        <v>1070117.7746310821</v>
      </c>
      <c r="CY103" s="6">
        <f>CY$1*'survival matrix'!CY103</f>
        <v>1103744.5020196608</v>
      </c>
      <c r="CZ103" s="6">
        <f>CZ$1*'survival matrix'!CZ103</f>
        <v>1152282.1611189398</v>
      </c>
      <c r="DA103" s="6">
        <f>DA$1*'survival matrix'!DA103</f>
        <v>1182910.5152396685</v>
      </c>
      <c r="DB103" s="6">
        <f>DB$1*'survival matrix'!DB103</f>
        <v>1219501.7069951999</v>
      </c>
      <c r="DC103" s="6">
        <f>DC$1*'survival matrix'!DC103</f>
        <v>0</v>
      </c>
      <c r="DD103" s="6">
        <f>DD$1*'survival matrix'!DD103</f>
        <v>0</v>
      </c>
      <c r="DE103" s="6">
        <f>DE$1*'survival matrix'!DE103</f>
        <v>0</v>
      </c>
      <c r="DF103" s="6">
        <f>DF$1*'survival matrix'!DF103</f>
        <v>0</v>
      </c>
      <c r="DG103" s="6">
        <f>DG$1*'survival matrix'!DG103</f>
        <v>0</v>
      </c>
      <c r="DH103" s="6">
        <f>DH$1*'survival matrix'!DH103</f>
        <v>0</v>
      </c>
      <c r="DI103" s="6">
        <f>DI$1*'survival matrix'!DI103</f>
        <v>0</v>
      </c>
      <c r="DJ103" s="6">
        <f>DJ$1*'survival matrix'!DJ103</f>
        <v>0</v>
      </c>
      <c r="DK103" s="6">
        <f>DK$1*'survival matrix'!DK103</f>
        <v>0</v>
      </c>
      <c r="DL103" s="6">
        <f>DL$1*'survival matrix'!DL103</f>
        <v>0</v>
      </c>
      <c r="DM103" s="6">
        <f>DM$1*'survival matrix'!DM103</f>
        <v>0</v>
      </c>
      <c r="DN103" s="6">
        <f>DN$1*'survival matrix'!DN103</f>
        <v>0</v>
      </c>
      <c r="DO103" s="6">
        <f>DO$1*'survival matrix'!DO103</f>
        <v>0</v>
      </c>
      <c r="DP103" s="6">
        <f>DP$1*'survival matrix'!DP103</f>
        <v>0</v>
      </c>
      <c r="DQ103" s="6">
        <f>DQ$1*'survival matrix'!DQ103</f>
        <v>0</v>
      </c>
      <c r="DR103" s="6">
        <f>DR$1*'survival matrix'!DR103</f>
        <v>0</v>
      </c>
      <c r="DS103" s="6">
        <f>DS$1*'survival matrix'!DS103</f>
        <v>0</v>
      </c>
      <c r="DT103" s="6">
        <f>DT$1*'survival matrix'!DT103</f>
        <v>0</v>
      </c>
      <c r="DU103" s="6">
        <f>DU$1*'survival matrix'!DU103</f>
        <v>0</v>
      </c>
      <c r="DV103" s="6">
        <f>DV$1*'survival matrix'!DV103</f>
        <v>0</v>
      </c>
      <c r="DW103" s="6">
        <f>DW$1*'survival matrix'!DW103</f>
        <v>0</v>
      </c>
      <c r="DX103" s="6">
        <f>DX$1*'survival matrix'!DX103</f>
        <v>0</v>
      </c>
      <c r="DY103" s="6">
        <f>DY$1*'survival matrix'!DY103</f>
        <v>0</v>
      </c>
      <c r="DZ103" s="6">
        <f>DZ$1*'survival matrix'!DZ103</f>
        <v>0</v>
      </c>
      <c r="EA103" s="6">
        <f>EA$1*'survival matrix'!EA103</f>
        <v>0</v>
      </c>
      <c r="EB103" s="6">
        <f>EB$1*'survival matrix'!EB103</f>
        <v>0</v>
      </c>
      <c r="EC103" s="6">
        <f>EC$1*'survival matrix'!EC103</f>
        <v>0</v>
      </c>
    </row>
    <row r="104" spans="1:133">
      <c r="A104" s="12">
        <f>'data input'!C104-B104</f>
        <v>294589.10564885521</v>
      </c>
      <c r="B104" s="14">
        <f t="shared" si="3"/>
        <v>964851.49637861177</v>
      </c>
      <c r="C104" s="11">
        <f>SUM(F104:EC104)</f>
        <v>24720509.165812843</v>
      </c>
      <c r="E104" s="7">
        <f>'data input'!B104</f>
        <v>1979</v>
      </c>
      <c r="F104" s="6">
        <f>F$1*'survival matrix'!F104</f>
        <v>7.7398752499817387E-3</v>
      </c>
      <c r="G104" s="6">
        <f>G$1*'survival matrix'!G104</f>
        <v>2.217547099251117E-2</v>
      </c>
      <c r="H104" s="6">
        <f>H$1*'survival matrix'!H104</f>
        <v>4.7342987342619304E-2</v>
      </c>
      <c r="I104" s="6">
        <f>I$1*'survival matrix'!I104</f>
        <v>8.9412616476132523E-2</v>
      </c>
      <c r="J104" s="6">
        <f>J$1*'survival matrix'!J104</f>
        <v>0.15747286289227339</v>
      </c>
      <c r="K104" s="6">
        <f>K$1*'survival matrix'!K104</f>
        <v>0.26483683999343144</v>
      </c>
      <c r="L104" s="6">
        <f>L$1*'survival matrix'!L104</f>
        <v>0.43084804153920081</v>
      </c>
      <c r="M104" s="6">
        <f>M$1*'survival matrix'!M104</f>
        <v>0.68295794835900714</v>
      </c>
      <c r="N104" s="6">
        <f>N$1*'survival matrix'!N104</f>
        <v>1.0595649111345986</v>
      </c>
      <c r="O104" s="6">
        <f>O$1*'survival matrix'!O104</f>
        <v>1.6141053461637291</v>
      </c>
      <c r="P104" s="6">
        <f>P$1*'survival matrix'!P104</f>
        <v>2.4213417364511316</v>
      </c>
      <c r="Q104" s="6">
        <f>Q$1*'survival matrix'!Q104</f>
        <v>3.5839340176112326</v>
      </c>
      <c r="R104" s="6">
        <f>R$1*'survival matrix'!R104</f>
        <v>5.2404688015395493</v>
      </c>
      <c r="S104" s="6">
        <f>S$1*'survival matrix'!S104</f>
        <v>7.5760936481077845</v>
      </c>
      <c r="T104" s="6">
        <f>T$1*'survival matrix'!T104</f>
        <v>10.83593953187725</v>
      </c>
      <c r="U104" s="6">
        <f>U$1*'survival matrix'!U104</f>
        <v>15.346105218359583</v>
      </c>
      <c r="V104" s="6">
        <f>V$1*'survival matrix'!V104</f>
        <v>21.52892148461703</v>
      </c>
      <c r="W104" s="6">
        <f>W$1*'survival matrix'!W104</f>
        <v>29.937833485885189</v>
      </c>
      <c r="X104" s="6">
        <f>X$1*'survival matrix'!X104</f>
        <v>41.281497961373951</v>
      </c>
      <c r="Y104" s="6">
        <f>Y$1*'survival matrix'!Y104</f>
        <v>56.459681142858663</v>
      </c>
      <c r="Z104" s="6">
        <f>Z$1*'survival matrix'!Z104</f>
        <v>76.616330955131176</v>
      </c>
      <c r="AA104" s="6">
        <f>AA$1*'survival matrix'!AA104</f>
        <v>103.18334752067013</v>
      </c>
      <c r="AB104" s="6">
        <f>AB$1*'survival matrix'!AB104</f>
        <v>137.92471504331743</v>
      </c>
      <c r="AC104" s="6">
        <f>AC$1*'survival matrix'!AC104</f>
        <v>183.76880782797645</v>
      </c>
      <c r="AD104" s="6">
        <f>AD$1*'survival matrix'!AD104</f>
        <v>245.10090257458396</v>
      </c>
      <c r="AE104" s="6">
        <f>AE$1*'survival matrix'!AE104</f>
        <v>324.04789023173271</v>
      </c>
      <c r="AF104" s="6">
        <f>AF$1*'survival matrix'!AF104</f>
        <v>421.11004531354251</v>
      </c>
      <c r="AG104" s="6">
        <f>AG$1*'survival matrix'!AG104</f>
        <v>545.17166342867563</v>
      </c>
      <c r="AH104" s="6">
        <f>AH$1*'survival matrix'!AH104</f>
        <v>698.68815030824976</v>
      </c>
      <c r="AI104" s="6">
        <f>AI$1*'survival matrix'!AI104</f>
        <v>908.38927137220503</v>
      </c>
      <c r="AJ104" s="6">
        <f>AJ$1*'survival matrix'!AJ104</f>
        <v>1153.3815571954126</v>
      </c>
      <c r="AK104" s="6">
        <f>AK$1*'survival matrix'!AK104</f>
        <v>1448.4156494254394</v>
      </c>
      <c r="AL104" s="6">
        <f>AL$1*'survival matrix'!AL104</f>
        <v>1810.3666970201557</v>
      </c>
      <c r="AM104" s="6">
        <f>AM$1*'survival matrix'!AM104</f>
        <v>2252.3696946033838</v>
      </c>
      <c r="AN104" s="6">
        <f>AN$1*'survival matrix'!AN104</f>
        <v>2757.5094196825498</v>
      </c>
      <c r="AO104" s="6">
        <f>AO$1*'survival matrix'!AO104</f>
        <v>3353.7860456253748</v>
      </c>
      <c r="AP104" s="6">
        <f>AP$1*'survival matrix'!AP104</f>
        <v>4039.5447078936563</v>
      </c>
      <c r="AQ104" s="6">
        <f>AQ$1*'survival matrix'!AQ104</f>
        <v>4867.7078073053162</v>
      </c>
      <c r="AR104" s="6">
        <f>AR$1*'survival matrix'!AR104</f>
        <v>5868.2210631986745</v>
      </c>
      <c r="AS104" s="6">
        <f>AS$1*'survival matrix'!AS104</f>
        <v>7034.3077093609099</v>
      </c>
      <c r="AT104" s="6">
        <f>AT$1*'survival matrix'!AT104</f>
        <v>8472.0215987139873</v>
      </c>
      <c r="AU104" s="6">
        <f>AU$1*'survival matrix'!AU104</f>
        <v>10153.549689136082</v>
      </c>
      <c r="AV104" s="6">
        <f>AV$1*'survival matrix'!AV104</f>
        <v>12022.308592130828</v>
      </c>
      <c r="AW104" s="6">
        <f>AW$1*'survival matrix'!AW104</f>
        <v>14194.222911896146</v>
      </c>
      <c r="AX104" s="6">
        <f>AX$1*'survival matrix'!AX104</f>
        <v>16661.561065998052</v>
      </c>
      <c r="AY104" s="6">
        <f>AY$1*'survival matrix'!AY104</f>
        <v>19579.225822469245</v>
      </c>
      <c r="AZ104" s="6">
        <f>AZ$1*'survival matrix'!AZ104</f>
        <v>22813.354576723141</v>
      </c>
      <c r="BA104" s="6">
        <f>BA$1*'survival matrix'!BA104</f>
        <v>26334.567110656932</v>
      </c>
      <c r="BB104" s="6">
        <f>BB$1*'survival matrix'!BB104</f>
        <v>30368.264073822007</v>
      </c>
      <c r="BC104" s="6">
        <f>BC$1*'survival matrix'!BC104</f>
        <v>34869.461121075634</v>
      </c>
      <c r="BD104" s="6">
        <f>BD$1*'survival matrix'!BD104</f>
        <v>39930.017548454598</v>
      </c>
      <c r="BE104" s="6">
        <f>BE$1*'survival matrix'!BE104</f>
        <v>45438.426525939147</v>
      </c>
      <c r="BF104" s="6">
        <f>BF$1*'survival matrix'!BF104</f>
        <v>51201.922129212231</v>
      </c>
      <c r="BG104" s="6">
        <f>BG$1*'survival matrix'!BG104</f>
        <v>57420.752843620292</v>
      </c>
      <c r="BH104" s="6">
        <f>BH$1*'survival matrix'!BH104</f>
        <v>64075.609421268498</v>
      </c>
      <c r="BI104" s="6">
        <f>BI$1*'survival matrix'!BI104</f>
        <v>71339.939911194466</v>
      </c>
      <c r="BJ104" s="6">
        <f>BJ$1*'survival matrix'!BJ104</f>
        <v>79213.647224018467</v>
      </c>
      <c r="BK104" s="6">
        <f>BK$1*'survival matrix'!BK104</f>
        <v>87587.111764915986</v>
      </c>
      <c r="BL104" s="6">
        <f>BL$1*'survival matrix'!BL104</f>
        <v>96741.66105333071</v>
      </c>
      <c r="BM104" s="6">
        <f>BM$1*'survival matrix'!BM104</f>
        <v>106768.68752414796</v>
      </c>
      <c r="BN104" s="6">
        <f>BN$1*'survival matrix'!BN104</f>
        <v>117893.24797317907</v>
      </c>
      <c r="BO104" s="6">
        <f>BO$1*'survival matrix'!BO104</f>
        <v>130919.73321950527</v>
      </c>
      <c r="BP104" s="6">
        <f>BP$1*'survival matrix'!BP104</f>
        <v>144535.62282501443</v>
      </c>
      <c r="BQ104" s="6">
        <f>BQ$1*'survival matrix'!BQ104</f>
        <v>159582.77405716974</v>
      </c>
      <c r="BR104" s="6">
        <f>BR$1*'survival matrix'!BR104</f>
        <v>173352.15909642473</v>
      </c>
      <c r="BS104" s="6">
        <f>BS$1*'survival matrix'!BS104</f>
        <v>190847.26937164983</v>
      </c>
      <c r="BT104" s="6">
        <f>BT$1*'survival matrix'!BT104</f>
        <v>208134.474652064</v>
      </c>
      <c r="BU104" s="6">
        <f>BU$1*'survival matrix'!BU104</f>
        <v>219222.98448814877</v>
      </c>
      <c r="BV104" s="6">
        <f>BV$1*'survival matrix'!BV104</f>
        <v>231443.56679429513</v>
      </c>
      <c r="BW104" s="6">
        <f>BW$1*'survival matrix'!BW104</f>
        <v>244308.13295556858</v>
      </c>
      <c r="BX104" s="6">
        <f>BX$1*'survival matrix'!BX104</f>
        <v>257567.91541428908</v>
      </c>
      <c r="BY104" s="6">
        <f>BY$1*'survival matrix'!BY104</f>
        <v>271524.014027417</v>
      </c>
      <c r="BZ104" s="6">
        <f>BZ$1*'survival matrix'!BZ104</f>
        <v>288620.81420279108</v>
      </c>
      <c r="CA104" s="6">
        <f>CA$1*'survival matrix'!CA104</f>
        <v>310577.72642564704</v>
      </c>
      <c r="CB104" s="6">
        <f>CB$1*'survival matrix'!CB104</f>
        <v>332018.54246552894</v>
      </c>
      <c r="CC104" s="6">
        <f>CC$1*'survival matrix'!CC104</f>
        <v>355772.69555468415</v>
      </c>
      <c r="CD104" s="6">
        <f>CD$1*'survival matrix'!CD104</f>
        <v>377937.55749583693</v>
      </c>
      <c r="CE104" s="6">
        <f>CE$1*'survival matrix'!CE104</f>
        <v>401441.92721907166</v>
      </c>
      <c r="CF104" s="6">
        <f>CF$1*'survival matrix'!CF104</f>
        <v>426040.91387852607</v>
      </c>
      <c r="CG104" s="6">
        <f>CG$1*'survival matrix'!CG104</f>
        <v>451735.59451069508</v>
      </c>
      <c r="CH104" s="6">
        <f>CH$1*'survival matrix'!CH104</f>
        <v>475061.66475697083</v>
      </c>
      <c r="CI104" s="6">
        <f>CI$1*'survival matrix'!CI104</f>
        <v>498920.11632377119</v>
      </c>
      <c r="CJ104" s="6">
        <f>CJ$1*'survival matrix'!CJ104</f>
        <v>524080.74082325434</v>
      </c>
      <c r="CK104" s="6">
        <f>CK$1*'survival matrix'!CK104</f>
        <v>549603.32353838789</v>
      </c>
      <c r="CL104" s="6">
        <f>CL$1*'survival matrix'!CL104</f>
        <v>580169.62527490384</v>
      </c>
      <c r="CM104" s="6">
        <f>CM$1*'survival matrix'!CM104</f>
        <v>613273.35651823715</v>
      </c>
      <c r="CN104" s="6">
        <f>CN$1*'survival matrix'!CN104</f>
        <v>645468.04099472752</v>
      </c>
      <c r="CO104" s="6">
        <f>CO$1*'survival matrix'!CO104</f>
        <v>679462.21844450629</v>
      </c>
      <c r="CP104" s="6">
        <f>CP$1*'survival matrix'!CP104</f>
        <v>716812.75198506459</v>
      </c>
      <c r="CQ104" s="6">
        <f>CQ$1*'survival matrix'!CQ104</f>
        <v>758377.78147753002</v>
      </c>
      <c r="CR104" s="6">
        <f>CR$1*'survival matrix'!CR104</f>
        <v>800875.64958530292</v>
      </c>
      <c r="CS104" s="6">
        <f>CS$1*'survival matrix'!CS104</f>
        <v>843170.17260120925</v>
      </c>
      <c r="CT104" s="6">
        <f>CT$1*'survival matrix'!CT104</f>
        <v>888853.19983211893</v>
      </c>
      <c r="CU104" s="6">
        <f>CU$1*'survival matrix'!CU104</f>
        <v>932667.29280089308</v>
      </c>
      <c r="CV104" s="6">
        <f>CV$1*'survival matrix'!CV104</f>
        <v>977709.96263087052</v>
      </c>
      <c r="CW104" s="6">
        <f>CW$1*'survival matrix'!CW104</f>
        <v>1025992.8855503097</v>
      </c>
      <c r="CX104" s="6">
        <f>CX$1*'survival matrix'!CX104</f>
        <v>1069188.392778429</v>
      </c>
      <c r="CY104" s="6">
        <f>CY$1*'survival matrix'!CY104</f>
        <v>1102962.118375954</v>
      </c>
      <c r="CZ104" s="6">
        <f>CZ$1*'survival matrix'!CZ104</f>
        <v>1151619.15905185</v>
      </c>
      <c r="DA104" s="6">
        <f>DA$1*'survival matrix'!DA104</f>
        <v>1182361.0766031137</v>
      </c>
      <c r="DB104" s="6">
        <f>DB$1*'survival matrix'!DB104</f>
        <v>1219046.9713415524</v>
      </c>
      <c r="DC104" s="6">
        <f>DC$1*'survival matrix'!DC104</f>
        <v>1257740.485637835</v>
      </c>
      <c r="DD104" s="6">
        <f>DD$1*'survival matrix'!DD104</f>
        <v>0</v>
      </c>
      <c r="DE104" s="6">
        <f>DE$1*'survival matrix'!DE104</f>
        <v>0</v>
      </c>
      <c r="DF104" s="6">
        <f>DF$1*'survival matrix'!DF104</f>
        <v>0</v>
      </c>
      <c r="DG104" s="6">
        <f>DG$1*'survival matrix'!DG104</f>
        <v>0</v>
      </c>
      <c r="DH104" s="6">
        <f>DH$1*'survival matrix'!DH104</f>
        <v>0</v>
      </c>
      <c r="DI104" s="6">
        <f>DI$1*'survival matrix'!DI104</f>
        <v>0</v>
      </c>
      <c r="DJ104" s="6">
        <f>DJ$1*'survival matrix'!DJ104</f>
        <v>0</v>
      </c>
      <c r="DK104" s="6">
        <f>DK$1*'survival matrix'!DK104</f>
        <v>0</v>
      </c>
      <c r="DL104" s="6">
        <f>DL$1*'survival matrix'!DL104</f>
        <v>0</v>
      </c>
      <c r="DM104" s="6">
        <f>DM$1*'survival matrix'!DM104</f>
        <v>0</v>
      </c>
      <c r="DN104" s="6">
        <f>DN$1*'survival matrix'!DN104</f>
        <v>0</v>
      </c>
      <c r="DO104" s="6">
        <f>DO$1*'survival matrix'!DO104</f>
        <v>0</v>
      </c>
      <c r="DP104" s="6">
        <f>DP$1*'survival matrix'!DP104</f>
        <v>0</v>
      </c>
      <c r="DQ104" s="6">
        <f>DQ$1*'survival matrix'!DQ104</f>
        <v>0</v>
      </c>
      <c r="DR104" s="6">
        <f>DR$1*'survival matrix'!DR104</f>
        <v>0</v>
      </c>
      <c r="DS104" s="6">
        <f>DS$1*'survival matrix'!DS104</f>
        <v>0</v>
      </c>
      <c r="DT104" s="6">
        <f>DT$1*'survival matrix'!DT104</f>
        <v>0</v>
      </c>
      <c r="DU104" s="6">
        <f>DU$1*'survival matrix'!DU104</f>
        <v>0</v>
      </c>
      <c r="DV104" s="6">
        <f>DV$1*'survival matrix'!DV104</f>
        <v>0</v>
      </c>
      <c r="DW104" s="6">
        <f>DW$1*'survival matrix'!DW104</f>
        <v>0</v>
      </c>
      <c r="DX104" s="6">
        <f>DX$1*'survival matrix'!DX104</f>
        <v>0</v>
      </c>
      <c r="DY104" s="6">
        <f>DY$1*'survival matrix'!DY104</f>
        <v>0</v>
      </c>
      <c r="DZ104" s="6">
        <f>DZ$1*'survival matrix'!DZ104</f>
        <v>0</v>
      </c>
      <c r="EA104" s="6">
        <f>EA$1*'survival matrix'!EA104</f>
        <v>0</v>
      </c>
      <c r="EB104" s="6">
        <f>EB$1*'survival matrix'!EB104</f>
        <v>0</v>
      </c>
      <c r="EC104" s="6">
        <f>EC$1*'survival matrix'!EC104</f>
        <v>0</v>
      </c>
    </row>
    <row r="105" spans="1:133">
      <c r="A105" s="12">
        <f>'data input'!C105-B105</f>
        <v>304786.9650676474</v>
      </c>
      <c r="B105" s="14">
        <f t="shared" si="3"/>
        <v>988177.67841529101</v>
      </c>
      <c r="C105" s="11">
        <f>SUM(F105:EC105)</f>
        <v>25708686.844228134</v>
      </c>
      <c r="E105" s="7">
        <f>'data input'!B105</f>
        <v>1980</v>
      </c>
      <c r="F105" s="6">
        <f>F$1*'survival matrix'!F105</f>
        <v>5.394850672020138E-3</v>
      </c>
      <c r="G105" s="6">
        <f>G$1*'survival matrix'!G105</f>
        <v>1.554063929963663E-2</v>
      </c>
      <c r="H105" s="6">
        <f>H$1*'survival matrix'!H105</f>
        <v>3.335798166119857E-2</v>
      </c>
      <c r="I105" s="6">
        <f>I$1*'survival matrix'!I105</f>
        <v>6.3341510273467405E-2</v>
      </c>
      <c r="J105" s="6">
        <f>J$1*'survival matrix'!J105</f>
        <v>0.11216004149145248</v>
      </c>
      <c r="K105" s="6">
        <f>K$1*'survival matrix'!K105</f>
        <v>0.18964914252781501</v>
      </c>
      <c r="L105" s="6">
        <f>L$1*'survival matrix'!L105</f>
        <v>0.3101942679488856</v>
      </c>
      <c r="M105" s="6">
        <f>M$1*'survival matrix'!M105</f>
        <v>0.49435367157865712</v>
      </c>
      <c r="N105" s="6">
        <f>N$1*'survival matrix'!N105</f>
        <v>0.77108525559782937</v>
      </c>
      <c r="O105" s="6">
        <f>O$1*'survival matrix'!O105</f>
        <v>1.1809580946515992</v>
      </c>
      <c r="P105" s="6">
        <f>P$1*'survival matrix'!P105</f>
        <v>1.7810786425515224</v>
      </c>
      <c r="Q105" s="6">
        <f>Q$1*'survival matrix'!Q105</f>
        <v>2.6503784200366813</v>
      </c>
      <c r="R105" s="6">
        <f>R$1*'survival matrix'!R105</f>
        <v>3.8961460156344034</v>
      </c>
      <c r="S105" s="6">
        <f>S$1*'survival matrix'!S105</f>
        <v>5.6627031820800307</v>
      </c>
      <c r="T105" s="6">
        <f>T$1*'survival matrix'!T105</f>
        <v>8.1424374107807544</v>
      </c>
      <c r="U105" s="6">
        <f>U$1*'survival matrix'!U105</f>
        <v>11.592877912604179</v>
      </c>
      <c r="V105" s="6">
        <f>V$1*'survival matrix'!V105</f>
        <v>16.349943702608535</v>
      </c>
      <c r="W105" s="6">
        <f>W$1*'survival matrix'!W105</f>
        <v>22.856552535478858</v>
      </c>
      <c r="X105" s="6">
        <f>X$1*'survival matrix'!X105</f>
        <v>31.683813542207069</v>
      </c>
      <c r="Y105" s="6">
        <f>Y$1*'survival matrix'!Y105</f>
        <v>43.561931542113712</v>
      </c>
      <c r="Z105" s="6">
        <f>Z$1*'survival matrix'!Z105</f>
        <v>59.425330366460756</v>
      </c>
      <c r="AA105" s="6">
        <f>AA$1*'survival matrix'!AA105</f>
        <v>80.451847624477352</v>
      </c>
      <c r="AB105" s="6">
        <f>AB$1*'survival matrix'!AB105</f>
        <v>108.10331695260344</v>
      </c>
      <c r="AC105" s="6">
        <f>AC$1*'survival matrix'!AC105</f>
        <v>144.78825630536386</v>
      </c>
      <c r="AD105" s="6">
        <f>AD$1*'survival matrix'!AD105</f>
        <v>194.11759045158107</v>
      </c>
      <c r="AE105" s="6">
        <f>AE$1*'survival matrix'!AE105</f>
        <v>257.97710011931053</v>
      </c>
      <c r="AF105" s="6">
        <f>AF$1*'survival matrix'!AF105</f>
        <v>336.98670427639917</v>
      </c>
      <c r="AG105" s="6">
        <f>AG$1*'survival matrix'!AG105</f>
        <v>438.51913797454569</v>
      </c>
      <c r="AH105" s="6">
        <f>AH$1*'survival matrix'!AH105</f>
        <v>564.89708297633285</v>
      </c>
      <c r="AI105" s="6">
        <f>AI$1*'survival matrix'!AI105</f>
        <v>738.21154188699472</v>
      </c>
      <c r="AJ105" s="6">
        <f>AJ$1*'survival matrix'!AJ105</f>
        <v>942.09899336267631</v>
      </c>
      <c r="AK105" s="6">
        <f>AK$1*'survival matrix'!AK105</f>
        <v>1189.1122868650343</v>
      </c>
      <c r="AL105" s="6">
        <f>AL$1*'survival matrix'!AL105</f>
        <v>1493.8029871773194</v>
      </c>
      <c r="AM105" s="6">
        <f>AM$1*'survival matrix'!AM105</f>
        <v>1867.9020670995096</v>
      </c>
      <c r="AN105" s="6">
        <f>AN$1*'survival matrix'!AN105</f>
        <v>2298.3128944797286</v>
      </c>
      <c r="AO105" s="6">
        <f>AO$1*'survival matrix'!AO105</f>
        <v>2809.2784417680318</v>
      </c>
      <c r="AP105" s="6">
        <f>AP$1*'survival matrix'!AP105</f>
        <v>3400.542184098922</v>
      </c>
      <c r="AQ105" s="6">
        <f>AQ$1*'survival matrix'!AQ105</f>
        <v>4117.987569590261</v>
      </c>
      <c r="AR105" s="6">
        <f>AR$1*'survival matrix'!AR105</f>
        <v>4988.8408856954165</v>
      </c>
      <c r="AS105" s="6">
        <f>AS$1*'survival matrix'!AS105</f>
        <v>6009.4462040929238</v>
      </c>
      <c r="AT105" s="6">
        <f>AT$1*'survival matrix'!AT105</f>
        <v>7272.8834787359147</v>
      </c>
      <c r="AU105" s="6">
        <f>AU$1*'survival matrix'!AU105</f>
        <v>8758.5021863542206</v>
      </c>
      <c r="AV105" s="6">
        <f>AV$1*'survival matrix'!AV105</f>
        <v>10420.230570847038</v>
      </c>
      <c r="AW105" s="6">
        <f>AW$1*'survival matrix'!AW105</f>
        <v>12361.266143373039</v>
      </c>
      <c r="AX105" s="6">
        <f>AX$1*'survival matrix'!AX105</f>
        <v>14578.486772516875</v>
      </c>
      <c r="AY105" s="6">
        <f>AY$1*'survival matrix'!AY105</f>
        <v>17211.565511945239</v>
      </c>
      <c r="AZ105" s="6">
        <f>AZ$1*'survival matrix'!AZ105</f>
        <v>20147.625897704173</v>
      </c>
      <c r="BA105" s="6">
        <f>BA$1*'survival matrix'!BA105</f>
        <v>23364.236366243636</v>
      </c>
      <c r="BB105" s="6">
        <f>BB$1*'survival matrix'!BB105</f>
        <v>27065.487848495028</v>
      </c>
      <c r="BC105" s="6">
        <f>BC$1*'survival matrix'!BC105</f>
        <v>31216.94242601133</v>
      </c>
      <c r="BD105" s="6">
        <f>BD$1*'survival matrix'!BD105</f>
        <v>35906.37065263019</v>
      </c>
      <c r="BE105" s="6">
        <f>BE$1*'survival matrix'!BE105</f>
        <v>41039.178966019914</v>
      </c>
      <c r="BF105" s="6">
        <f>BF$1*'survival matrix'!BF105</f>
        <v>46445.142481788251</v>
      </c>
      <c r="BG105" s="6">
        <f>BG$1*'survival matrix'!BG105</f>
        <v>52308.901419522743</v>
      </c>
      <c r="BH105" s="6">
        <f>BH$1*'survival matrix'!BH105</f>
        <v>58617.172466243581</v>
      </c>
      <c r="BI105" s="6">
        <f>BI$1*'survival matrix'!BI105</f>
        <v>65533.238254162272</v>
      </c>
      <c r="BJ105" s="6">
        <f>BJ$1*'survival matrix'!BJ105</f>
        <v>73062.686154612631</v>
      </c>
      <c r="BK105" s="6">
        <f>BK$1*'survival matrix'!BK105</f>
        <v>81109.381415657685</v>
      </c>
      <c r="BL105" s="6">
        <f>BL$1*'survival matrix'!BL105</f>
        <v>89938.724355571103</v>
      </c>
      <c r="BM105" s="6">
        <f>BM$1*'survival matrix'!BM105</f>
        <v>99642.568246459792</v>
      </c>
      <c r="BN105" s="6">
        <f>BN$1*'survival matrix'!BN105</f>
        <v>110438.81772876889</v>
      </c>
      <c r="BO105" s="6">
        <f>BO$1*'survival matrix'!BO105</f>
        <v>123092.65925024403</v>
      </c>
      <c r="BP105" s="6">
        <f>BP$1*'survival matrix'!BP105</f>
        <v>136381.9864713829</v>
      </c>
      <c r="BQ105" s="6">
        <f>BQ$1*'survival matrix'!BQ105</f>
        <v>151106.26279932447</v>
      </c>
      <c r="BR105" s="6">
        <f>BR$1*'survival matrix'!BR105</f>
        <v>164701.57633298004</v>
      </c>
      <c r="BS105" s="6">
        <f>BS$1*'survival matrix'!BS105</f>
        <v>181920.92806261027</v>
      </c>
      <c r="BT105" s="6">
        <f>BT$1*'survival matrix'!BT105</f>
        <v>199032.32226577681</v>
      </c>
      <c r="BU105" s="6">
        <f>BU$1*'survival matrix'!BU105</f>
        <v>210281.84141284315</v>
      </c>
      <c r="BV105" s="6">
        <f>BV$1*'survival matrix'!BV105</f>
        <v>222663.35216767699</v>
      </c>
      <c r="BW105" s="6">
        <f>BW$1*'survival matrix'!BW105</f>
        <v>235711.11660928908</v>
      </c>
      <c r="BX105" s="6">
        <f>BX$1*'survival matrix'!BX105</f>
        <v>249184.95244129721</v>
      </c>
      <c r="BY105" s="6">
        <f>BY$1*'survival matrix'!BY105</f>
        <v>263375.01067380363</v>
      </c>
      <c r="BZ105" s="6">
        <f>BZ$1*'survival matrix'!BZ105</f>
        <v>280658.18758589355</v>
      </c>
      <c r="CA105" s="6">
        <f>CA$1*'survival matrix'!CA105</f>
        <v>302726.81253633479</v>
      </c>
      <c r="CB105" s="6">
        <f>CB$1*'survival matrix'!CB105</f>
        <v>324354.31393111957</v>
      </c>
      <c r="CC105" s="6">
        <f>CC$1*'survival matrix'!CC105</f>
        <v>348299.33642085548</v>
      </c>
      <c r="CD105" s="6">
        <f>CD$1*'survival matrix'!CD105</f>
        <v>370739.30288617924</v>
      </c>
      <c r="CE105" s="6">
        <f>CE$1*'survival matrix'!CE105</f>
        <v>394535.29097716027</v>
      </c>
      <c r="CF105" s="6">
        <f>CF$1*'survival matrix'!CF105</f>
        <v>419445.36315596662</v>
      </c>
      <c r="CG105" s="6">
        <f>CG$1*'survival matrix'!CG105</f>
        <v>445467.92275015835</v>
      </c>
      <c r="CH105" s="6">
        <f>CH$1*'survival matrix'!CH105</f>
        <v>469178.53596139734</v>
      </c>
      <c r="CI105" s="6">
        <f>CI$1*'survival matrix'!CI105</f>
        <v>493428.63832248695</v>
      </c>
      <c r="CJ105" s="6">
        <f>CJ$1*'survival matrix'!CJ105</f>
        <v>518976.03987166495</v>
      </c>
      <c r="CK105" s="6">
        <f>CK$1*'survival matrix'!CK105</f>
        <v>544887.02193332952</v>
      </c>
      <c r="CL105" s="6">
        <f>CL$1*'survival matrix'!CL105</f>
        <v>575803.38458662841</v>
      </c>
      <c r="CM105" s="6">
        <f>CM$1*'survival matrix'!CM105</f>
        <v>609244.48177218484</v>
      </c>
      <c r="CN105" s="6">
        <f>CN$1*'survival matrix'!CN105</f>
        <v>641784.06904238579</v>
      </c>
      <c r="CO105" s="6">
        <f>CO$1*'survival matrix'!CO105</f>
        <v>676109.36574054649</v>
      </c>
      <c r="CP105" s="6">
        <f>CP$1*'survival matrix'!CP105</f>
        <v>713769.61566633452</v>
      </c>
      <c r="CQ105" s="6">
        <f>CQ$1*'survival matrix'!CQ105</f>
        <v>755621.69696792832</v>
      </c>
      <c r="CR105" s="6">
        <f>CR$1*'survival matrix'!CR105</f>
        <v>798396.7646923</v>
      </c>
      <c r="CS105" s="6">
        <f>CS$1*'survival matrix'!CS105</f>
        <v>840958.83571911592</v>
      </c>
      <c r="CT105" s="6">
        <f>CT$1*'survival matrix'!CT105</f>
        <v>886888.23083222168</v>
      </c>
      <c r="CU105" s="6">
        <f>CU$1*'survival matrix'!CU105</f>
        <v>930938.46391167108</v>
      </c>
      <c r="CV105" s="6">
        <f>CV$1*'survival matrix'!CV105</f>
        <v>976198.39715324331</v>
      </c>
      <c r="CW105" s="6">
        <f>CW$1*'survival matrix'!CW105</f>
        <v>1024676.9768780761</v>
      </c>
      <c r="CX105" s="6">
        <f>CX$1*'survival matrix'!CX105</f>
        <v>1068056.8893644616</v>
      </c>
      <c r="CY105" s="6">
        <f>CY$1*'survival matrix'!CY105</f>
        <v>1102004.2116844817</v>
      </c>
      <c r="CZ105" s="6">
        <f>CZ$1*'survival matrix'!CZ105</f>
        <v>1150802.8397024237</v>
      </c>
      <c r="DA105" s="6">
        <f>DA$1*'survival matrix'!DA105</f>
        <v>1181680.7676785416</v>
      </c>
      <c r="DB105" s="6">
        <f>DB$1*'survival matrix'!DB105</f>
        <v>1218480.7480328563</v>
      </c>
      <c r="DC105" s="6">
        <f>DC$1*'survival matrix'!DC105</f>
        <v>1257271.4912620382</v>
      </c>
      <c r="DD105" s="6">
        <f>DD$1*'survival matrix'!DD105</f>
        <v>1291219.2730557334</v>
      </c>
      <c r="DE105" s="6">
        <f>DE$1*'survival matrix'!DE105</f>
        <v>0</v>
      </c>
      <c r="DF105" s="6">
        <f>DF$1*'survival matrix'!DF105</f>
        <v>0</v>
      </c>
      <c r="DG105" s="6">
        <f>DG$1*'survival matrix'!DG105</f>
        <v>0</v>
      </c>
      <c r="DH105" s="6">
        <f>DH$1*'survival matrix'!DH105</f>
        <v>0</v>
      </c>
      <c r="DI105" s="6">
        <f>DI$1*'survival matrix'!DI105</f>
        <v>0</v>
      </c>
      <c r="DJ105" s="6">
        <f>DJ$1*'survival matrix'!DJ105</f>
        <v>0</v>
      </c>
      <c r="DK105" s="6">
        <f>DK$1*'survival matrix'!DK105</f>
        <v>0</v>
      </c>
      <c r="DL105" s="6">
        <f>DL$1*'survival matrix'!DL105</f>
        <v>0</v>
      </c>
      <c r="DM105" s="6">
        <f>DM$1*'survival matrix'!DM105</f>
        <v>0</v>
      </c>
      <c r="DN105" s="6">
        <f>DN$1*'survival matrix'!DN105</f>
        <v>0</v>
      </c>
      <c r="DO105" s="6">
        <f>DO$1*'survival matrix'!DO105</f>
        <v>0</v>
      </c>
      <c r="DP105" s="6">
        <f>DP$1*'survival matrix'!DP105</f>
        <v>0</v>
      </c>
      <c r="DQ105" s="6">
        <f>DQ$1*'survival matrix'!DQ105</f>
        <v>0</v>
      </c>
      <c r="DR105" s="6">
        <f>DR$1*'survival matrix'!DR105</f>
        <v>0</v>
      </c>
      <c r="DS105" s="6">
        <f>DS$1*'survival matrix'!DS105</f>
        <v>0</v>
      </c>
      <c r="DT105" s="6">
        <f>DT$1*'survival matrix'!DT105</f>
        <v>0</v>
      </c>
      <c r="DU105" s="6">
        <f>DU$1*'survival matrix'!DU105</f>
        <v>0</v>
      </c>
      <c r="DV105" s="6">
        <f>DV$1*'survival matrix'!DV105</f>
        <v>0</v>
      </c>
      <c r="DW105" s="6">
        <f>DW$1*'survival matrix'!DW105</f>
        <v>0</v>
      </c>
      <c r="DX105" s="6">
        <f>DX$1*'survival matrix'!DX105</f>
        <v>0</v>
      </c>
      <c r="DY105" s="6">
        <f>DY$1*'survival matrix'!DY105</f>
        <v>0</v>
      </c>
      <c r="DZ105" s="6">
        <f>DZ$1*'survival matrix'!DZ105</f>
        <v>0</v>
      </c>
      <c r="EA105" s="6">
        <f>EA$1*'survival matrix'!EA105</f>
        <v>0</v>
      </c>
      <c r="EB105" s="6">
        <f>EB$1*'survival matrix'!EB105</f>
        <v>0</v>
      </c>
      <c r="EC105" s="6">
        <f>EC$1*'survival matrix'!EC105</f>
        <v>0</v>
      </c>
    </row>
    <row r="106" spans="1:133">
      <c r="A106" s="12">
        <f>'data input'!C106-B106</f>
        <v>315460.96014455566</v>
      </c>
      <c r="B106" s="14">
        <f t="shared" si="3"/>
        <v>1002420.9287791103</v>
      </c>
      <c r="C106" s="11">
        <f>SUM(F106:EC106)</f>
        <v>26711107.773007244</v>
      </c>
      <c r="E106" s="7">
        <f>'data input'!B106</f>
        <v>1981</v>
      </c>
      <c r="F106" s="6">
        <f>F$1*'survival matrix'!F106</f>
        <v>3.7400029422821834E-3</v>
      </c>
      <c r="G106" s="6">
        <f>G$1*'survival matrix'!G106</f>
        <v>1.0832142077414626E-2</v>
      </c>
      <c r="H106" s="6">
        <f>H$1*'survival matrix'!H106</f>
        <v>2.3377377686167287E-2</v>
      </c>
      <c r="I106" s="6">
        <f>I$1*'survival matrix'!I106</f>
        <v>4.4630579029659632E-2</v>
      </c>
      <c r="J106" s="6">
        <f>J$1*'survival matrix'!J106</f>
        <v>7.9456196456344469E-2</v>
      </c>
      <c r="K106" s="6">
        <f>K$1*'survival matrix'!K106</f>
        <v>0.13507759561905958</v>
      </c>
      <c r="L106" s="6">
        <f>L$1*'survival matrix'!L106</f>
        <v>0.22212950786985874</v>
      </c>
      <c r="M106" s="6">
        <f>M$1*'survival matrix'!M106</f>
        <v>0.35591591577243636</v>
      </c>
      <c r="N106" s="6">
        <f>N$1*'survival matrix'!N106</f>
        <v>0.55814392104354937</v>
      </c>
      <c r="O106" s="6">
        <f>O$1*'survival matrix'!O106</f>
        <v>0.85942764307818431</v>
      </c>
      <c r="P106" s="6">
        <f>P$1*'survival matrix'!P106</f>
        <v>1.3031238915919825</v>
      </c>
      <c r="Q106" s="6">
        <f>Q$1*'survival matrix'!Q106</f>
        <v>1.9495523195026101</v>
      </c>
      <c r="R106" s="6">
        <f>R$1*'survival matrix'!R106</f>
        <v>2.8812643509636908</v>
      </c>
      <c r="S106" s="6">
        <f>S$1*'survival matrix'!S106</f>
        <v>4.2100657929877885</v>
      </c>
      <c r="T106" s="6">
        <f>T$1*'survival matrix'!T106</f>
        <v>6.0860132381589169</v>
      </c>
      <c r="U106" s="6">
        <f>U$1*'survival matrix'!U106</f>
        <v>8.711222735833136</v>
      </c>
      <c r="V106" s="6">
        <f>V$1*'survival matrix'!V106</f>
        <v>12.351205633304877</v>
      </c>
      <c r="W106" s="6">
        <f>W$1*'survival matrix'!W106</f>
        <v>17.358201034725052</v>
      </c>
      <c r="X106" s="6">
        <f>X$1*'survival matrix'!X106</f>
        <v>24.189550960432836</v>
      </c>
      <c r="Y106" s="6">
        <f>Y$1*'survival matrix'!Y106</f>
        <v>33.434060891156264</v>
      </c>
      <c r="Z106" s="6">
        <f>Z$1*'survival matrix'!Z106</f>
        <v>45.850102602265331</v>
      </c>
      <c r="AA106" s="6">
        <f>AA$1*'survival matrix'!AA106</f>
        <v>62.400242403627402</v>
      </c>
      <c r="AB106" s="6">
        <f>AB$1*'survival matrix'!AB106</f>
        <v>84.287937851882432</v>
      </c>
      <c r="AC106" s="6">
        <f>AC$1*'survival matrix'!AC106</f>
        <v>113.48285735067677</v>
      </c>
      <c r="AD106" s="6">
        <f>AD$1*'survival matrix'!AD106</f>
        <v>152.94188263980456</v>
      </c>
      <c r="AE106" s="6">
        <f>AE$1*'survival matrix'!AE106</f>
        <v>204.31541679699936</v>
      </c>
      <c r="AF106" s="6">
        <f>AF$1*'survival matrix'!AF106</f>
        <v>268.27779278495029</v>
      </c>
      <c r="AG106" s="6">
        <f>AG$1*'survival matrix'!AG106</f>
        <v>350.91805743589413</v>
      </c>
      <c r="AH106" s="6">
        <f>AH$1*'survival matrix'!AH106</f>
        <v>454.38565224240728</v>
      </c>
      <c r="AI106" s="6">
        <f>AI$1*'survival matrix'!AI106</f>
        <v>596.85218140231041</v>
      </c>
      <c r="AJ106" s="6">
        <f>AJ$1*'survival matrix'!AJ106</f>
        <v>765.60608146535935</v>
      </c>
      <c r="AK106" s="6">
        <f>AK$1*'survival matrix'!AK106</f>
        <v>971.28437806374404</v>
      </c>
      <c r="AL106" s="6">
        <f>AL$1*'survival matrix'!AL106</f>
        <v>1226.3741329451034</v>
      </c>
      <c r="AM106" s="6">
        <f>AM$1*'survival matrix'!AM106</f>
        <v>1541.2776274445969</v>
      </c>
      <c r="AN106" s="6">
        <f>AN$1*'survival matrix'!AN106</f>
        <v>1906.0030050688874</v>
      </c>
      <c r="AO106" s="6">
        <f>AO$1*'survival matrix'!AO106</f>
        <v>2341.4610375629049</v>
      </c>
      <c r="AP106" s="6">
        <f>AP$1*'survival matrix'!AP106</f>
        <v>2848.4434362092807</v>
      </c>
      <c r="AQ106" s="6">
        <f>AQ$1*'survival matrix'!AQ106</f>
        <v>3466.5764229871538</v>
      </c>
      <c r="AR106" s="6">
        <f>AR$1*'survival matrix'!AR106</f>
        <v>4220.4638337423557</v>
      </c>
      <c r="AS106" s="6">
        <f>AS$1*'survival matrix'!AS106</f>
        <v>5108.9027833972204</v>
      </c>
      <c r="AT106" s="6">
        <f>AT$1*'survival matrix'!AT106</f>
        <v>6213.2627431037581</v>
      </c>
      <c r="AU106" s="6">
        <f>AU$1*'survival matrix'!AU106</f>
        <v>7518.8153272977115</v>
      </c>
      <c r="AV106" s="6">
        <f>AV$1*'survival matrix'!AV106</f>
        <v>8988.5424340543341</v>
      </c>
      <c r="AW106" s="6">
        <f>AW$1*'survival matrix'!AW106</f>
        <v>10714.019056694538</v>
      </c>
      <c r="AX106" s="6">
        <f>AX$1*'survival matrix'!AX106</f>
        <v>12695.908474967808</v>
      </c>
      <c r="AY106" s="6">
        <f>AY$1*'survival matrix'!AY106</f>
        <v>15059.728146497715</v>
      </c>
      <c r="AZ106" s="6">
        <f>AZ$1*'survival matrix'!AZ106</f>
        <v>17711.230576366401</v>
      </c>
      <c r="BA106" s="6">
        <f>BA$1*'survival matrix'!BA106</f>
        <v>20634.137435136778</v>
      </c>
      <c r="BB106" s="6">
        <f>BB$1*'survival matrix'!BB106</f>
        <v>24012.715029746243</v>
      </c>
      <c r="BC106" s="6">
        <f>BC$1*'survival matrix'!BC106</f>
        <v>27821.866071913515</v>
      </c>
      <c r="BD106" s="6">
        <f>BD$1*'survival matrix'!BD106</f>
        <v>32145.237389765633</v>
      </c>
      <c r="BE106" s="6">
        <f>BE$1*'survival matrix'!BE106</f>
        <v>36903.764678925538</v>
      </c>
      <c r="BF106" s="6">
        <f>BF$1*'survival matrix'!BF106</f>
        <v>41948.426918443052</v>
      </c>
      <c r="BG106" s="6">
        <f>BG$1*'survival matrix'!BG106</f>
        <v>47449.280778259112</v>
      </c>
      <c r="BH106" s="6">
        <f>BH$1*'survival matrix'!BH106</f>
        <v>53398.810433196311</v>
      </c>
      <c r="BI106" s="6">
        <f>BI$1*'survival matrix'!BI106</f>
        <v>59950.629634442485</v>
      </c>
      <c r="BJ106" s="6">
        <f>BJ$1*'survival matrix'!BJ106</f>
        <v>67115.761875038908</v>
      </c>
      <c r="BK106" s="6">
        <f>BK$1*'survival matrix'!BK106</f>
        <v>74811.216075026488</v>
      </c>
      <c r="BL106" s="6">
        <f>BL$1*'survival matrix'!BL106</f>
        <v>83287.074442792204</v>
      </c>
      <c r="BM106" s="6">
        <f>BM$1*'survival matrix'!BM106</f>
        <v>92635.637862980308</v>
      </c>
      <c r="BN106" s="6">
        <f>BN$1*'survival matrix'!BN106</f>
        <v>103067.74099951646</v>
      </c>
      <c r="BO106" s="6">
        <f>BO$1*'survival matrix'!BO106</f>
        <v>115309.4684589559</v>
      </c>
      <c r="BP106" s="6">
        <f>BP$1*'survival matrix'!BP106</f>
        <v>128228.35011775137</v>
      </c>
      <c r="BQ106" s="6">
        <f>BQ$1*'survival matrix'!BQ106</f>
        <v>142581.95928479504</v>
      </c>
      <c r="BR106" s="6">
        <f>BR$1*'survival matrix'!BR106</f>
        <v>155953.17116068231</v>
      </c>
      <c r="BS106" s="6">
        <f>BS$1*'survival matrix'!BS106</f>
        <v>172842.74840329078</v>
      </c>
      <c r="BT106" s="6">
        <f>BT$1*'survival matrix'!BT106</f>
        <v>189723.14825493295</v>
      </c>
      <c r="BU106" s="6">
        <f>BU$1*'survival matrix'!BU106</f>
        <v>201085.78022303586</v>
      </c>
      <c r="BV106" s="6">
        <f>BV$1*'survival matrix'!BV106</f>
        <v>213581.89159908413</v>
      </c>
      <c r="BW106" s="6">
        <f>BW$1*'survival matrix'!BW106</f>
        <v>226769.00505105851</v>
      </c>
      <c r="BX106" s="6">
        <f>BX$1*'survival matrix'!BX106</f>
        <v>240416.32454721758</v>
      </c>
      <c r="BY106" s="6">
        <f>BY$1*'survival matrix'!BY106</f>
        <v>254803.04642531188</v>
      </c>
      <c r="BZ106" s="6">
        <f>BZ$1*'survival matrix'!BZ106</f>
        <v>272235.04858638847</v>
      </c>
      <c r="CA106" s="6">
        <f>CA$1*'survival matrix'!CA106</f>
        <v>294375.02203290735</v>
      </c>
      <c r="CB106" s="6">
        <f>CB$1*'survival matrix'!CB106</f>
        <v>316155.14969095698</v>
      </c>
      <c r="CC106" s="6">
        <f>CC$1*'survival matrix'!CC106</f>
        <v>340259.28632940695</v>
      </c>
      <c r="CD106" s="6">
        <f>CD$1*'survival matrix'!CD106</f>
        <v>362951.55528746609</v>
      </c>
      <c r="CE106" s="6">
        <f>CE$1*'survival matrix'!CE106</f>
        <v>387020.91348113632</v>
      </c>
      <c r="CF106" s="6">
        <f>CF$1*'survival matrix'!CF106</f>
        <v>412228.98551762948</v>
      </c>
      <c r="CG106" s="6">
        <f>CG$1*'survival matrix'!CG106</f>
        <v>438571.62198640208</v>
      </c>
      <c r="CH106" s="6">
        <f>CH$1*'survival matrix'!CH106</f>
        <v>462668.84955140686</v>
      </c>
      <c r="CI106" s="6">
        <f>CI$1*'survival matrix'!CI106</f>
        <v>487318.05427407566</v>
      </c>
      <c r="CJ106" s="6">
        <f>CJ$1*'survival matrix'!CJ106</f>
        <v>513263.81177561561</v>
      </c>
      <c r="CK106" s="6">
        <f>CK$1*'survival matrix'!CK106</f>
        <v>539579.66166856873</v>
      </c>
      <c r="CL106" s="6">
        <f>CL$1*'survival matrix'!CL106</f>
        <v>570862.2528455751</v>
      </c>
      <c r="CM106" s="6">
        <f>CM$1*'survival matrix'!CM106</f>
        <v>604659.42952274904</v>
      </c>
      <c r="CN106" s="6">
        <f>CN$1*'survival matrix'!CN106</f>
        <v>637567.8943126318</v>
      </c>
      <c r="CO106" s="6">
        <f>CO$1*'survival matrix'!CO106</f>
        <v>672250.5101785186</v>
      </c>
      <c r="CP106" s="6">
        <f>CP$1*'survival matrix'!CP106</f>
        <v>710247.47076860955</v>
      </c>
      <c r="CQ106" s="6">
        <f>CQ$1*'survival matrix'!CQ106</f>
        <v>752413.80226614513</v>
      </c>
      <c r="CR106" s="6">
        <f>CR$1*'survival matrix'!CR106</f>
        <v>795495.2438283877</v>
      </c>
      <c r="CS106" s="6">
        <f>CS$1*'survival matrix'!CS106</f>
        <v>838355.88461855392</v>
      </c>
      <c r="CT106" s="6">
        <f>CT$1*'survival matrix'!CT106</f>
        <v>884562.23695949803</v>
      </c>
      <c r="CU106" s="6">
        <f>CU$1*'survival matrix'!CU106</f>
        <v>928880.45790714317</v>
      </c>
      <c r="CV106" s="6">
        <f>CV$1*'survival matrix'!CV106</f>
        <v>974388.87729161885</v>
      </c>
      <c r="CW106" s="6">
        <f>CW$1*'survival matrix'!CW106</f>
        <v>1023092.799153426</v>
      </c>
      <c r="CX106" s="6">
        <f>CX$1*'survival matrix'!CX106</f>
        <v>1066687.0306228001</v>
      </c>
      <c r="CY106" s="6">
        <f>CY$1*'survival matrix'!CY106</f>
        <v>1100837.9798621486</v>
      </c>
      <c r="CZ106" s="6">
        <f>CZ$1*'survival matrix'!CZ106</f>
        <v>1149803.3840344998</v>
      </c>
      <c r="DA106" s="6">
        <f>DA$1*'survival matrix'!DA106</f>
        <v>1180843.1393116296</v>
      </c>
      <c r="DB106" s="6">
        <f>DB$1*'survival matrix'!DB106</f>
        <v>1217779.6565103855</v>
      </c>
      <c r="DC106" s="6">
        <f>DC$1*'survival matrix'!DC106</f>
        <v>1256687.5134166821</v>
      </c>
      <c r="DD106" s="6">
        <f>DD$1*'survival matrix'!DD106</f>
        <v>1290737.7948939833</v>
      </c>
      <c r="DE106" s="6">
        <f>DE$1*'survival matrix'!DE106</f>
        <v>1316102.882755887</v>
      </c>
      <c r="DF106" s="6">
        <f>DF$1*'survival matrix'!DF106</f>
        <v>0</v>
      </c>
      <c r="DG106" s="6">
        <f>DG$1*'survival matrix'!DG106</f>
        <v>0</v>
      </c>
      <c r="DH106" s="6">
        <f>DH$1*'survival matrix'!DH106</f>
        <v>0</v>
      </c>
      <c r="DI106" s="6">
        <f>DI$1*'survival matrix'!DI106</f>
        <v>0</v>
      </c>
      <c r="DJ106" s="6">
        <f>DJ$1*'survival matrix'!DJ106</f>
        <v>0</v>
      </c>
      <c r="DK106" s="6">
        <f>DK$1*'survival matrix'!DK106</f>
        <v>0</v>
      </c>
      <c r="DL106" s="6">
        <f>DL$1*'survival matrix'!DL106</f>
        <v>0</v>
      </c>
      <c r="DM106" s="6">
        <f>DM$1*'survival matrix'!DM106</f>
        <v>0</v>
      </c>
      <c r="DN106" s="6">
        <f>DN$1*'survival matrix'!DN106</f>
        <v>0</v>
      </c>
      <c r="DO106" s="6">
        <f>DO$1*'survival matrix'!DO106</f>
        <v>0</v>
      </c>
      <c r="DP106" s="6">
        <f>DP$1*'survival matrix'!DP106</f>
        <v>0</v>
      </c>
      <c r="DQ106" s="6">
        <f>DQ$1*'survival matrix'!DQ106</f>
        <v>0</v>
      </c>
      <c r="DR106" s="6">
        <f>DR$1*'survival matrix'!DR106</f>
        <v>0</v>
      </c>
      <c r="DS106" s="6">
        <f>DS$1*'survival matrix'!DS106</f>
        <v>0</v>
      </c>
      <c r="DT106" s="6">
        <f>DT$1*'survival matrix'!DT106</f>
        <v>0</v>
      </c>
      <c r="DU106" s="6">
        <f>DU$1*'survival matrix'!DU106</f>
        <v>0</v>
      </c>
      <c r="DV106" s="6">
        <f>DV$1*'survival matrix'!DV106</f>
        <v>0</v>
      </c>
      <c r="DW106" s="6">
        <f>DW$1*'survival matrix'!DW106</f>
        <v>0</v>
      </c>
      <c r="DX106" s="6">
        <f>DX$1*'survival matrix'!DX106</f>
        <v>0</v>
      </c>
      <c r="DY106" s="6">
        <f>DY$1*'survival matrix'!DY106</f>
        <v>0</v>
      </c>
      <c r="DZ106" s="6">
        <f>DZ$1*'survival matrix'!DZ106</f>
        <v>0</v>
      </c>
      <c r="EA106" s="6">
        <f>EA$1*'survival matrix'!EA106</f>
        <v>0</v>
      </c>
      <c r="EB106" s="6">
        <f>EB$1*'survival matrix'!EB106</f>
        <v>0</v>
      </c>
      <c r="EC106" s="6">
        <f>EC$1*'survival matrix'!EC106</f>
        <v>0</v>
      </c>
    </row>
    <row r="107" spans="1:133">
      <c r="A107" s="12">
        <f>'data input'!C107-B107</f>
        <v>326647.4682110562</v>
      </c>
      <c r="B107" s="14">
        <f t="shared" si="3"/>
        <v>1017113.1617637537</v>
      </c>
      <c r="C107" s="11">
        <f>SUM(F107:EC107)</f>
        <v>27728220.934770998</v>
      </c>
      <c r="E107" s="7">
        <f>'data input'!B107</f>
        <v>1982</v>
      </c>
      <c r="F107" s="6">
        <f>F$1*'survival matrix'!F107</f>
        <v>2.5787497802390756E-3</v>
      </c>
      <c r="G107" s="6">
        <f>G$1*'survival matrix'!G107</f>
        <v>7.5094281016640741E-3</v>
      </c>
      <c r="H107" s="6">
        <f>H$1*'survival matrix'!H107</f>
        <v>1.6294508328229932E-2</v>
      </c>
      <c r="I107" s="6">
        <f>I$1*'survival matrix'!I107</f>
        <v>3.1277249113134821E-2</v>
      </c>
      <c r="J107" s="6">
        <f>J$1*'survival matrix'!J107</f>
        <v>5.5985025302222255E-2</v>
      </c>
      <c r="K107" s="6">
        <f>K$1*'survival matrix'!K107</f>
        <v>9.5691405171034791E-2</v>
      </c>
      <c r="L107" s="6">
        <f>L$1*'survival matrix'!L107</f>
        <v>0.15821173478126763</v>
      </c>
      <c r="M107" s="6">
        <f>M$1*'survival matrix'!M107</f>
        <v>0.2548706903462476</v>
      </c>
      <c r="N107" s="6">
        <f>N$1*'survival matrix'!N107</f>
        <v>0.40184247879996887</v>
      </c>
      <c r="O107" s="6">
        <f>O$1*'survival matrix'!O107</f>
        <v>0.62208985462829303</v>
      </c>
      <c r="P107" s="6">
        <f>P$1*'survival matrix'!P107</f>
        <v>0.94833229041896561</v>
      </c>
      <c r="Q107" s="6">
        <f>Q$1*'survival matrix'!Q107</f>
        <v>1.4263874400363128</v>
      </c>
      <c r="R107" s="6">
        <f>R$1*'survival matrix'!R107</f>
        <v>2.1193862567156367</v>
      </c>
      <c r="S107" s="6">
        <f>S$1*'survival matrix'!S107</f>
        <v>3.1134132129214453</v>
      </c>
      <c r="T107" s="6">
        <f>T$1*'survival matrix'!T107</f>
        <v>4.5247853058461045</v>
      </c>
      <c r="U107" s="6">
        <f>U$1*'survival matrix'!U107</f>
        <v>6.5111482245643444</v>
      </c>
      <c r="V107" s="6">
        <f>V$1*'survival matrix'!V107</f>
        <v>9.2810520510024279</v>
      </c>
      <c r="W107" s="6">
        <f>W$1*'survival matrix'!W107</f>
        <v>13.112871475510293</v>
      </c>
      <c r="X107" s="6">
        <f>X$1*'survival matrix'!X107</f>
        <v>18.370534570301185</v>
      </c>
      <c r="Y107" s="6">
        <f>Y$1*'survival matrix'!Y107</f>
        <v>25.52580732314528</v>
      </c>
      <c r="Z107" s="6">
        <f>Z$1*'survival matrix'!Z107</f>
        <v>35.190246805009309</v>
      </c>
      <c r="AA107" s="6">
        <f>AA$1*'survival matrix'!AA107</f>
        <v>48.145420462438103</v>
      </c>
      <c r="AB107" s="6">
        <f>AB$1*'survival matrix'!AB107</f>
        <v>65.375599305181453</v>
      </c>
      <c r="AC107" s="6">
        <f>AC$1*'survival matrix'!AC107</f>
        <v>88.482354633222243</v>
      </c>
      <c r="AD107" s="6">
        <f>AD$1*'survival matrix'!AD107</f>
        <v>119.87354702270768</v>
      </c>
      <c r="AE107" s="6">
        <f>AE$1*'survival matrix'!AE107</f>
        <v>160.97657314092686</v>
      </c>
      <c r="AF107" s="6">
        <f>AF$1*'survival matrix'!AF107</f>
        <v>212.47346770269849</v>
      </c>
      <c r="AG107" s="6">
        <f>AG$1*'survival matrix'!AG107</f>
        <v>279.36865372607355</v>
      </c>
      <c r="AH107" s="6">
        <f>AH$1*'survival matrix'!AH107</f>
        <v>363.61498644764475</v>
      </c>
      <c r="AI107" s="6">
        <f>AI$1*'survival matrix'!AI107</f>
        <v>480.08934000842549</v>
      </c>
      <c r="AJ107" s="6">
        <f>AJ$1*'survival matrix'!AJ107</f>
        <v>619.00096908458409</v>
      </c>
      <c r="AK107" s="6">
        <f>AK$1*'survival matrix'!AK107</f>
        <v>789.32387351743262</v>
      </c>
      <c r="AL107" s="6">
        <f>AL$1*'survival matrix'!AL107</f>
        <v>1001.7204011333589</v>
      </c>
      <c r="AM107" s="6">
        <f>AM$1*'survival matrix'!AM107</f>
        <v>1265.3496011256018</v>
      </c>
      <c r="AN107" s="6">
        <f>AN$1*'survival matrix'!AN107</f>
        <v>1572.7161724899718</v>
      </c>
      <c r="AO107" s="6">
        <f>AO$1*'survival matrix'!AO107</f>
        <v>1941.7859876981056</v>
      </c>
      <c r="AP107" s="6">
        <f>AP$1*'survival matrix'!AP107</f>
        <v>2374.1040490768646</v>
      </c>
      <c r="AQ107" s="6">
        <f>AQ$1*'survival matrix'!AQ107</f>
        <v>2903.7566139742262</v>
      </c>
      <c r="AR107" s="6">
        <f>AR$1*'survival matrix'!AR107</f>
        <v>3552.842298058943</v>
      </c>
      <c r="AS107" s="6">
        <f>AS$1*'survival matrix'!AS107</f>
        <v>4322.0338995493967</v>
      </c>
      <c r="AT107" s="6">
        <f>AT$1*'survival matrix'!AT107</f>
        <v>5282.1764675422992</v>
      </c>
      <c r="AU107" s="6">
        <f>AU$1*'survival matrix'!AU107</f>
        <v>6423.3636193902066</v>
      </c>
      <c r="AV107" s="6">
        <f>AV$1*'survival matrix'!AV107</f>
        <v>7716.2954561487095</v>
      </c>
      <c r="AW107" s="6">
        <f>AW$1*'survival matrix'!AW107</f>
        <v>9241.9658351703201</v>
      </c>
      <c r="AX107" s="6">
        <f>AX$1*'survival matrix'!AX107</f>
        <v>11004.0673637448</v>
      </c>
      <c r="AY107" s="6">
        <f>AY$1*'survival matrix'!AY107</f>
        <v>13115.005225801138</v>
      </c>
      <c r="AZ107" s="6">
        <f>AZ$1*'survival matrix'!AZ107</f>
        <v>15496.923707195698</v>
      </c>
      <c r="BA107" s="6">
        <f>BA$1*'survival matrix'!BA107</f>
        <v>18138.909651870443</v>
      </c>
      <c r="BB107" s="6">
        <f>BB$1*'survival matrix'!BB107</f>
        <v>21206.841702321773</v>
      </c>
      <c r="BC107" s="6">
        <f>BC$1*'survival matrix'!BC107</f>
        <v>24683.779775939754</v>
      </c>
      <c r="BD107" s="6">
        <f>BD$1*'survival matrix'!BD107</f>
        <v>28649.202003932398</v>
      </c>
      <c r="BE107" s="6">
        <f>BE$1*'survival matrix'!BE107</f>
        <v>33038.156032436898</v>
      </c>
      <c r="BF107" s="6">
        <f>BF$1*'survival matrix'!BF107</f>
        <v>37721.3900144324</v>
      </c>
      <c r="BG107" s="6">
        <f>BG$1*'survival matrix'!BG107</f>
        <v>42855.346774745231</v>
      </c>
      <c r="BH107" s="6">
        <f>BH$1*'survival matrix'!BH107</f>
        <v>48437.93466716016</v>
      </c>
      <c r="BI107" s="6">
        <f>BI$1*'survival matrix'!BI107</f>
        <v>54613.557299167129</v>
      </c>
      <c r="BJ107" s="6">
        <f>BJ$1*'survival matrix'!BJ107</f>
        <v>61398.342123713635</v>
      </c>
      <c r="BK107" s="6">
        <f>BK$1*'survival matrix'!BK107</f>
        <v>68721.970515131034</v>
      </c>
      <c r="BL107" s="6">
        <f>BL$1*'survival matrix'!BL107</f>
        <v>76819.810651320338</v>
      </c>
      <c r="BM107" s="6">
        <f>BM$1*'survival matrix'!BM107</f>
        <v>85784.530768382712</v>
      </c>
      <c r="BN107" s="6">
        <f>BN$1*'survival matrix'!BN107</f>
        <v>95819.950234230128</v>
      </c>
      <c r="BO107" s="6">
        <f>BO$1*'survival matrix'!BO107</f>
        <v>107613.30729841438</v>
      </c>
      <c r="BP107" s="6">
        <f>BP$1*'survival matrix'!BP107</f>
        <v>120120.42784279594</v>
      </c>
      <c r="BQ107" s="6">
        <f>BQ$1*'survival matrix'!BQ107</f>
        <v>134057.65577026561</v>
      </c>
      <c r="BR107" s="6">
        <f>BR$1*'survival matrix'!BR107</f>
        <v>147155.44073972348</v>
      </c>
      <c r="BS107" s="6">
        <f>BS$1*'survival matrix'!BS107</f>
        <v>163661.91098939456</v>
      </c>
      <c r="BT107" s="6">
        <f>BT$1*'survival matrix'!BT107</f>
        <v>180255.62385445705</v>
      </c>
      <c r="BU107" s="6">
        <f>BU$1*'survival matrix'!BU107</f>
        <v>191680.56152341753</v>
      </c>
      <c r="BV107" s="6">
        <f>BV$1*'survival matrix'!BV107</f>
        <v>204241.51236812692</v>
      </c>
      <c r="BW107" s="6">
        <f>BW$1*'survival matrix'!BW107</f>
        <v>217520.09292653707</v>
      </c>
      <c r="BX107" s="6">
        <f>BX$1*'survival matrix'!BX107</f>
        <v>231295.7127345617</v>
      </c>
      <c r="BY107" s="6">
        <f>BY$1*'survival matrix'!BY107</f>
        <v>245836.72210078107</v>
      </c>
      <c r="BZ107" s="6">
        <f>BZ$1*'survival matrix'!BZ107</f>
        <v>263374.72012280795</v>
      </c>
      <c r="CA107" s="6">
        <f>CA$1*'survival matrix'!CA107</f>
        <v>285540.21215298289</v>
      </c>
      <c r="CB107" s="6">
        <f>CB$1*'survival matrix'!CB107</f>
        <v>307432.89098292892</v>
      </c>
      <c r="CC107" s="6">
        <f>CC$1*'survival matrix'!CC107</f>
        <v>331658.06953335786</v>
      </c>
      <c r="CD107" s="6">
        <f>CD$1*'survival matrix'!CD107</f>
        <v>354573.27723713318</v>
      </c>
      <c r="CE107" s="6">
        <f>CE$1*'survival matrix'!CE107</f>
        <v>378891.15446678159</v>
      </c>
      <c r="CF107" s="6">
        <f>CF$1*'survival matrix'!CF107</f>
        <v>404377.61129883549</v>
      </c>
      <c r="CG107" s="6">
        <f>CG$1*'survival matrix'!CG107</f>
        <v>431026.18526515964</v>
      </c>
      <c r="CH107" s="6">
        <f>CH$1*'survival matrix'!CH107</f>
        <v>455506.26078221039</v>
      </c>
      <c r="CI107" s="6">
        <f>CI$1*'survival matrix'!CI107</f>
        <v>480556.68845679553</v>
      </c>
      <c r="CJ107" s="6">
        <f>CJ$1*'survival matrix'!CJ107</f>
        <v>506907.59039469721</v>
      </c>
      <c r="CK107" s="6">
        <f>CK$1*'survival matrix'!CK107</f>
        <v>533640.65511211543</v>
      </c>
      <c r="CL107" s="6">
        <f>CL$1*'survival matrix'!CL107</f>
        <v>565301.88617239858</v>
      </c>
      <c r="CM107" s="6">
        <f>CM$1*'survival matrix'!CM107</f>
        <v>599470.67589656659</v>
      </c>
      <c r="CN107" s="6">
        <f>CN$1*'survival matrix'!CN107</f>
        <v>632769.68571912462</v>
      </c>
      <c r="CO107" s="6">
        <f>CO$1*'survival matrix'!CO107</f>
        <v>667834.187384299</v>
      </c>
      <c r="CP107" s="6">
        <f>CP$1*'survival matrix'!CP107</f>
        <v>706193.77392329252</v>
      </c>
      <c r="CQ107" s="6">
        <f>CQ$1*'survival matrix'!CQ107</f>
        <v>748700.96499139559</v>
      </c>
      <c r="CR107" s="6">
        <f>CR$1*'survival matrix'!CR107</f>
        <v>792118.07111324382</v>
      </c>
      <c r="CS107" s="6">
        <f>CS$1*'survival matrix'!CS107</f>
        <v>835309.14495454496</v>
      </c>
      <c r="CT107" s="6">
        <f>CT$1*'survival matrix'!CT107</f>
        <v>881824.32381748268</v>
      </c>
      <c r="CU107" s="6">
        <f>CU$1*'survival matrix'!CU107</f>
        <v>926444.33328797063</v>
      </c>
      <c r="CV107" s="6">
        <f>CV$1*'survival matrix'!CV107</f>
        <v>972234.81637572823</v>
      </c>
      <c r="CW107" s="6">
        <f>CW$1*'survival matrix'!CW107</f>
        <v>1021196.3539781913</v>
      </c>
      <c r="CX107" s="6">
        <f>CX$1*'survival matrix'!CX107</f>
        <v>1065037.9042432515</v>
      </c>
      <c r="CY107" s="6">
        <f>CY$1*'survival matrix'!CY107</f>
        <v>1099426.0770460314</v>
      </c>
      <c r="CZ107" s="6">
        <f>CZ$1*'survival matrix'!CZ107</f>
        <v>1148586.5671823777</v>
      </c>
      <c r="DA107" s="6">
        <f>DA$1*'survival matrix'!DA107</f>
        <v>1179817.594076775</v>
      </c>
      <c r="DB107" s="6">
        <f>DB$1*'survival matrix'!DB107</f>
        <v>1216916.4396308002</v>
      </c>
      <c r="DC107" s="6">
        <f>DC$1*'survival matrix'!DC107</f>
        <v>1255964.4384206482</v>
      </c>
      <c r="DD107" s="6">
        <f>DD$1*'survival matrix'!DD107</f>
        <v>1290138.2726097191</v>
      </c>
      <c r="DE107" s="6">
        <f>DE$1*'survival matrix'!DE107</f>
        <v>1315612.1258334289</v>
      </c>
      <c r="DF107" s="6">
        <f>DF$1*'survival matrix'!DF107</f>
        <v>1341946.690145425</v>
      </c>
      <c r="DG107" s="6">
        <f>DG$1*'survival matrix'!DG107</f>
        <v>0</v>
      </c>
      <c r="DH107" s="6">
        <f>DH$1*'survival matrix'!DH107</f>
        <v>0</v>
      </c>
      <c r="DI107" s="6">
        <f>DI$1*'survival matrix'!DI107</f>
        <v>0</v>
      </c>
      <c r="DJ107" s="6">
        <f>DJ$1*'survival matrix'!DJ107</f>
        <v>0</v>
      </c>
      <c r="DK107" s="6">
        <f>DK$1*'survival matrix'!DK107</f>
        <v>0</v>
      </c>
      <c r="DL107" s="6">
        <f>DL$1*'survival matrix'!DL107</f>
        <v>0</v>
      </c>
      <c r="DM107" s="6">
        <f>DM$1*'survival matrix'!DM107</f>
        <v>0</v>
      </c>
      <c r="DN107" s="6">
        <f>DN$1*'survival matrix'!DN107</f>
        <v>0</v>
      </c>
      <c r="DO107" s="6">
        <f>DO$1*'survival matrix'!DO107</f>
        <v>0</v>
      </c>
      <c r="DP107" s="6">
        <f>DP$1*'survival matrix'!DP107</f>
        <v>0</v>
      </c>
      <c r="DQ107" s="6">
        <f>DQ$1*'survival matrix'!DQ107</f>
        <v>0</v>
      </c>
      <c r="DR107" s="6">
        <f>DR$1*'survival matrix'!DR107</f>
        <v>0</v>
      </c>
      <c r="DS107" s="6">
        <f>DS$1*'survival matrix'!DS107</f>
        <v>0</v>
      </c>
      <c r="DT107" s="6">
        <f>DT$1*'survival matrix'!DT107</f>
        <v>0</v>
      </c>
      <c r="DU107" s="6">
        <f>DU$1*'survival matrix'!DU107</f>
        <v>0</v>
      </c>
      <c r="DV107" s="6">
        <f>DV$1*'survival matrix'!DV107</f>
        <v>0</v>
      </c>
      <c r="DW107" s="6">
        <f>DW$1*'survival matrix'!DW107</f>
        <v>0</v>
      </c>
      <c r="DX107" s="6">
        <f>DX$1*'survival matrix'!DX107</f>
        <v>0</v>
      </c>
      <c r="DY107" s="6">
        <f>DY$1*'survival matrix'!DY107</f>
        <v>0</v>
      </c>
      <c r="DZ107" s="6">
        <f>DZ$1*'survival matrix'!DZ107</f>
        <v>0</v>
      </c>
      <c r="EA107" s="6">
        <f>EA$1*'survival matrix'!EA107</f>
        <v>0</v>
      </c>
      <c r="EB107" s="6">
        <f>EB$1*'survival matrix'!EB107</f>
        <v>0</v>
      </c>
      <c r="EC107" s="6">
        <f>EC$1*'survival matrix'!EC107</f>
        <v>0</v>
      </c>
    </row>
    <row r="108" spans="1:133">
      <c r="A108" s="12">
        <f>'data input'!C108-B108</f>
        <v>338370.12302784086</v>
      </c>
      <c r="B108" s="14">
        <f t="shared" si="3"/>
        <v>1030014.5923820846</v>
      </c>
      <c r="C108" s="11">
        <f>SUM(F108:EC108)</f>
        <v>28758235.527153082</v>
      </c>
      <c r="E108" s="7">
        <f>'data input'!B108</f>
        <v>1983</v>
      </c>
      <c r="F108" s="6">
        <f>F$1*'survival matrix'!F108</f>
        <v>1.7684345312876861E-3</v>
      </c>
      <c r="G108" s="6">
        <f>G$1*'survival matrix'!G108</f>
        <v>5.1777863188178968E-3</v>
      </c>
      <c r="H108" s="6">
        <f>H$1*'survival matrix'!H108</f>
        <v>1.1296236503206403E-2</v>
      </c>
      <c r="I108" s="6">
        <f>I$1*'survival matrix'!I108</f>
        <v>2.1800879593935934E-2</v>
      </c>
      <c r="J108" s="6">
        <f>J$1*'survival matrix'!J108</f>
        <v>3.9234480507615223E-2</v>
      </c>
      <c r="K108" s="6">
        <f>K$1*'survival matrix'!K108</f>
        <v>6.7424392037807049E-2</v>
      </c>
      <c r="L108" s="6">
        <f>L$1*'survival matrix'!L108</f>
        <v>0.11208004663084467</v>
      </c>
      <c r="M108" s="6">
        <f>M$1*'survival matrix'!M108</f>
        <v>0.1815316409389601</v>
      </c>
      <c r="N108" s="6">
        <f>N$1*'survival matrix'!N108</f>
        <v>0.28775861219895216</v>
      </c>
      <c r="O108" s="6">
        <f>O$1*'survival matrix'!O108</f>
        <v>0.44788112849596118</v>
      </c>
      <c r="P108" s="6">
        <f>P$1*'survival matrix'!P108</f>
        <v>0.68644277553495159</v>
      </c>
      <c r="Q108" s="6">
        <f>Q$1*'survival matrix'!Q108</f>
        <v>1.0380358128358362</v>
      </c>
      <c r="R108" s="6">
        <f>R$1*'survival matrix'!R108</f>
        <v>1.5506462211468306</v>
      </c>
      <c r="S108" s="6">
        <f>S$1*'survival matrix'!S108</f>
        <v>2.2901491745231879</v>
      </c>
      <c r="T108" s="6">
        <f>T$1*'survival matrix'!T108</f>
        <v>3.3461534924983836</v>
      </c>
      <c r="U108" s="6">
        <f>U$1*'survival matrix'!U108</f>
        <v>4.8408616047649486</v>
      </c>
      <c r="V108" s="6">
        <f>V$1*'survival matrix'!V108</f>
        <v>6.9370635347661338</v>
      </c>
      <c r="W108" s="6">
        <f>W$1*'survival matrix'!W108</f>
        <v>9.853389726922698</v>
      </c>
      <c r="X108" s="6">
        <f>X$1*'survival matrix'!X108</f>
        <v>13.877616596033034</v>
      </c>
      <c r="Y108" s="6">
        <f>Y$1*'survival matrix'!Y108</f>
        <v>19.38534231709016</v>
      </c>
      <c r="Z108" s="6">
        <f>Z$1*'survival matrix'!Z108</f>
        <v>26.866597585105122</v>
      </c>
      <c r="AA108" s="6">
        <f>AA$1*'survival matrix'!AA108</f>
        <v>36.951917933558427</v>
      </c>
      <c r="AB108" s="6">
        <f>AB$1*'survival matrix'!AB108</f>
        <v>50.441081561389375</v>
      </c>
      <c r="AC108" s="6">
        <f>AC$1*'survival matrix'!AC108</f>
        <v>68.628882251759975</v>
      </c>
      <c r="AD108" s="6">
        <f>AD$1*'survival matrix'!AD108</f>
        <v>93.465162460876385</v>
      </c>
      <c r="AE108" s="6">
        <f>AE$1*'survival matrix'!AE108</f>
        <v>126.17101657764645</v>
      </c>
      <c r="AF108" s="6">
        <f>AF$1*'survival matrix'!AF108</f>
        <v>167.40415995202633</v>
      </c>
      <c r="AG108" s="6">
        <f>AG$1*'survival matrix'!AG108</f>
        <v>221.25732438910651</v>
      </c>
      <c r="AH108" s="6">
        <f>AH$1*'survival matrix'!AH108</f>
        <v>289.476779795124</v>
      </c>
      <c r="AI108" s="6">
        <f>AI$1*'survival matrix'!AI108</f>
        <v>384.18395915303546</v>
      </c>
      <c r="AJ108" s="6">
        <f>AJ$1*'survival matrix'!AJ108</f>
        <v>497.90513626703381</v>
      </c>
      <c r="AK108" s="6">
        <f>AK$1*'survival matrix'!AK108</f>
        <v>638.17706580090078</v>
      </c>
      <c r="AL108" s="6">
        <f>AL$1*'survival matrix'!AL108</f>
        <v>814.05800923128606</v>
      </c>
      <c r="AM108" s="6">
        <f>AM$1*'survival matrix'!AM108</f>
        <v>1033.5561358992006</v>
      </c>
      <c r="AN108" s="6">
        <f>AN$1*'survival matrix'!AN108</f>
        <v>1291.1598443451117</v>
      </c>
      <c r="AO108" s="6">
        <f>AO$1*'survival matrix'!AO108</f>
        <v>1602.2420836932781</v>
      </c>
      <c r="AP108" s="6">
        <f>AP$1*'survival matrix'!AP108</f>
        <v>1968.8570093111962</v>
      </c>
      <c r="AQ108" s="6">
        <f>AQ$1*'survival matrix'!AQ108</f>
        <v>2420.2061543985787</v>
      </c>
      <c r="AR108" s="6">
        <f>AR$1*'survival matrix'!AR108</f>
        <v>2976.0166984884258</v>
      </c>
      <c r="AS108" s="6">
        <f>AS$1*'survival matrix'!AS108</f>
        <v>3638.3453233735568</v>
      </c>
      <c r="AT108" s="6">
        <f>AT$1*'survival matrix'!AT108</f>
        <v>4468.620117476381</v>
      </c>
      <c r="AU108" s="6">
        <f>AU$1*'survival matrix'!AU108</f>
        <v>5460.7927518386732</v>
      </c>
      <c r="AV108" s="6">
        <f>AV$1*'survival matrix'!AV108</f>
        <v>6592.0719357932758</v>
      </c>
      <c r="AW108" s="6">
        <f>AW$1*'survival matrix'!AW108</f>
        <v>7933.8490642959432</v>
      </c>
      <c r="AX108" s="6">
        <f>AX$1*'survival matrix'!AX108</f>
        <v>9492.1629395550226</v>
      </c>
      <c r="AY108" s="6">
        <f>AY$1*'survival matrix'!AY108</f>
        <v>11367.315798245523</v>
      </c>
      <c r="AZ108" s="6">
        <f>AZ$1*'survival matrix'!AZ108</f>
        <v>13495.743975363795</v>
      </c>
      <c r="BA108" s="6">
        <f>BA$1*'survival matrix'!BA108</f>
        <v>15871.13316574648</v>
      </c>
      <c r="BB108" s="6">
        <f>BB$1*'survival matrix'!BB108</f>
        <v>18642.358414502982</v>
      </c>
      <c r="BC108" s="6">
        <f>BC$1*'survival matrix'!BC108</f>
        <v>21799.492880120928</v>
      </c>
      <c r="BD108" s="6">
        <f>BD$1*'survival matrix'!BD108</f>
        <v>25417.79876280031</v>
      </c>
      <c r="BE108" s="6">
        <f>BE$1*'survival matrix'!BE108</f>
        <v>29445.009054811759</v>
      </c>
      <c r="BF108" s="6">
        <f>BF$1*'survival matrix'!BF108</f>
        <v>33770.136458975212</v>
      </c>
      <c r="BG108" s="6">
        <f>BG$1*'survival matrix'!BG108</f>
        <v>38536.921850177278</v>
      </c>
      <c r="BH108" s="6">
        <f>BH$1*'survival matrix'!BH108</f>
        <v>43748.28138943528</v>
      </c>
      <c r="BI108" s="6">
        <f>BI$1*'survival matrix'!BI108</f>
        <v>49539.828676665151</v>
      </c>
      <c r="BJ108" s="6">
        <f>BJ$1*'survival matrix'!BJ108</f>
        <v>55932.387968129871</v>
      </c>
      <c r="BK108" s="6">
        <f>BK$1*'survival matrix'!BK108</f>
        <v>62867.721966112738</v>
      </c>
      <c r="BL108" s="6">
        <f>BL$1*'survival matrix'!BL108</f>
        <v>70567.075894924434</v>
      </c>
      <c r="BM108" s="6">
        <f>BM$1*'survival matrix'!BM108</f>
        <v>79123.3388197108</v>
      </c>
      <c r="BN108" s="6">
        <f>BN$1*'survival matrix'!BN108</f>
        <v>88733.339119998593</v>
      </c>
      <c r="BO108" s="6">
        <f>BO$1*'survival matrix'!BO108</f>
        <v>100045.86934648499</v>
      </c>
      <c r="BP108" s="6">
        <f>BP$1*'survival matrix'!BP108</f>
        <v>112103.16626223097</v>
      </c>
      <c r="BQ108" s="6">
        <f>BQ$1*'survival matrix'!BQ108</f>
        <v>125581.14451242033</v>
      </c>
      <c r="BR108" s="6">
        <f>BR$1*'survival matrix'!BR108</f>
        <v>138357.71031876464</v>
      </c>
      <c r="BS108" s="6">
        <f>BS$1*'survival matrix'!BS108</f>
        <v>154429.31018783641</v>
      </c>
      <c r="BT108" s="6">
        <f>BT$1*'survival matrix'!BT108</f>
        <v>170681.0389162052</v>
      </c>
      <c r="BU108" s="6">
        <f>BU$1*'survival matrix'!BU108</f>
        <v>182115.35870018907</v>
      </c>
      <c r="BV108" s="6">
        <f>BV$1*'survival matrix'!BV108</f>
        <v>194688.6932218282</v>
      </c>
      <c r="BW108" s="6">
        <f>BW$1*'survival matrix'!BW108</f>
        <v>208007.48798107347</v>
      </c>
      <c r="BX108" s="6">
        <f>BX$1*'survival matrix'!BX108</f>
        <v>221862.17607738558</v>
      </c>
      <c r="BY108" s="6">
        <f>BY$1*'survival matrix'!BY108</f>
        <v>236510.47807055665</v>
      </c>
      <c r="BZ108" s="6">
        <f>BZ$1*'survival matrix'!BZ108</f>
        <v>254106.76515667359</v>
      </c>
      <c r="CA108" s="6">
        <f>CA$1*'survival matrix'!CA108</f>
        <v>276246.84569494188</v>
      </c>
      <c r="CB108" s="6">
        <f>CB$1*'survival matrix'!CB108</f>
        <v>298206.18715489114</v>
      </c>
      <c r="CC108" s="6">
        <f>CC$1*'survival matrix'!CC108</f>
        <v>322508.10791513714</v>
      </c>
      <c r="CD108" s="6">
        <f>CD$1*'survival matrix'!CD108</f>
        <v>345610.22538187914</v>
      </c>
      <c r="CE108" s="6">
        <f>CE$1*'survival matrix'!CE108</f>
        <v>370144.93090970087</v>
      </c>
      <c r="CF108" s="6">
        <f>CF$1*'survival matrix'!CF108</f>
        <v>395883.25759301137</v>
      </c>
      <c r="CG108" s="6">
        <f>CG$1*'survival matrix'!CG108</f>
        <v>422816.79680023505</v>
      </c>
      <c r="CH108" s="6">
        <f>CH$1*'survival matrix'!CH108</f>
        <v>447669.47086111392</v>
      </c>
      <c r="CI108" s="6">
        <f>CI$1*'survival matrix'!CI108</f>
        <v>473117.17757759924</v>
      </c>
      <c r="CJ108" s="6">
        <f>CJ$1*'survival matrix'!CJ108</f>
        <v>499874.42668538197</v>
      </c>
      <c r="CK108" s="6">
        <f>CK$1*'survival matrix'!CK108</f>
        <v>527032.08839860279</v>
      </c>
      <c r="CL108" s="6">
        <f>CL$1*'survival matrix'!CL108</f>
        <v>559079.76208793768</v>
      </c>
      <c r="CM108" s="6">
        <f>CM$1*'survival matrix'!CM108</f>
        <v>593631.65474709228</v>
      </c>
      <c r="CN108" s="6">
        <f>CN$1*'survival matrix'!CN108</f>
        <v>627339.71003197634</v>
      </c>
      <c r="CO108" s="6">
        <f>CO$1*'survival matrix'!CO108</f>
        <v>662808.20071600867</v>
      </c>
      <c r="CP108" s="6">
        <f>CP$1*'survival matrix'!CP108</f>
        <v>701554.46221777203</v>
      </c>
      <c r="CQ108" s="6">
        <f>CQ$1*'survival matrix'!CQ108</f>
        <v>744427.79702560615</v>
      </c>
      <c r="CR108" s="6">
        <f>CR$1*'survival matrix'!CR108</f>
        <v>788209.31041324849</v>
      </c>
      <c r="CS108" s="6">
        <f>CS$1*'survival matrix'!CS108</f>
        <v>831762.94744433183</v>
      </c>
      <c r="CT108" s="6">
        <f>CT$1*'survival matrix'!CT108</f>
        <v>878619.61184091563</v>
      </c>
      <c r="CU108" s="6">
        <f>CU$1*'survival matrix'!CU108</f>
        <v>923576.7859188068</v>
      </c>
      <c r="CV108" s="6">
        <f>CV$1*'survival matrix'!CV108</f>
        <v>969684.98862165317</v>
      </c>
      <c r="CW108" s="6">
        <f>CW$1*'survival matrix'!CW108</f>
        <v>1018938.8167619735</v>
      </c>
      <c r="CX108" s="6">
        <f>CX$1*'survival matrix'!CX108</f>
        <v>1063063.7079664178</v>
      </c>
      <c r="CY108" s="6">
        <f>CY$1*'survival matrix'!CY108</f>
        <v>1097726.3352342634</v>
      </c>
      <c r="CZ108" s="6">
        <f>CZ$1*'survival matrix'!CZ108</f>
        <v>1147113.4234151519</v>
      </c>
      <c r="DA108" s="6">
        <f>DA$1*'survival matrix'!DA108</f>
        <v>1178569.0137100471</v>
      </c>
      <c r="DB108" s="6">
        <f>DB$1*'survival matrix'!DB108</f>
        <v>1215859.5652549136</v>
      </c>
      <c r="DC108" s="6">
        <f>DC$1*'survival matrix'!DC108</f>
        <v>1255074.1544537521</v>
      </c>
      <c r="DD108" s="6">
        <f>DD$1*'survival matrix'!DD108</f>
        <v>1289395.9506590422</v>
      </c>
      <c r="DE108" s="6">
        <f>DE$1*'survival matrix'!DE108</f>
        <v>1315001.0499123505</v>
      </c>
      <c r="DF108" s="6">
        <f>DF$1*'survival matrix'!DF108</f>
        <v>1341446.2964175581</v>
      </c>
      <c r="DG108" s="6">
        <f>DG$1*'survival matrix'!DG108</f>
        <v>1366537.5355760809</v>
      </c>
      <c r="DH108" s="6">
        <f>DH$1*'survival matrix'!DH108</f>
        <v>0</v>
      </c>
      <c r="DI108" s="6">
        <f>DI$1*'survival matrix'!DI108</f>
        <v>0</v>
      </c>
      <c r="DJ108" s="6">
        <f>DJ$1*'survival matrix'!DJ108</f>
        <v>0</v>
      </c>
      <c r="DK108" s="6">
        <f>DK$1*'survival matrix'!DK108</f>
        <v>0</v>
      </c>
      <c r="DL108" s="6">
        <f>DL$1*'survival matrix'!DL108</f>
        <v>0</v>
      </c>
      <c r="DM108" s="6">
        <f>DM$1*'survival matrix'!DM108</f>
        <v>0</v>
      </c>
      <c r="DN108" s="6">
        <f>DN$1*'survival matrix'!DN108</f>
        <v>0</v>
      </c>
      <c r="DO108" s="6">
        <f>DO$1*'survival matrix'!DO108</f>
        <v>0</v>
      </c>
      <c r="DP108" s="6">
        <f>DP$1*'survival matrix'!DP108</f>
        <v>0</v>
      </c>
      <c r="DQ108" s="6">
        <f>DQ$1*'survival matrix'!DQ108</f>
        <v>0</v>
      </c>
      <c r="DR108" s="6">
        <f>DR$1*'survival matrix'!DR108</f>
        <v>0</v>
      </c>
      <c r="DS108" s="6">
        <f>DS$1*'survival matrix'!DS108</f>
        <v>0</v>
      </c>
      <c r="DT108" s="6">
        <f>DT$1*'survival matrix'!DT108</f>
        <v>0</v>
      </c>
      <c r="DU108" s="6">
        <f>DU$1*'survival matrix'!DU108</f>
        <v>0</v>
      </c>
      <c r="DV108" s="6">
        <f>DV$1*'survival matrix'!DV108</f>
        <v>0</v>
      </c>
      <c r="DW108" s="6">
        <f>DW$1*'survival matrix'!DW108</f>
        <v>0</v>
      </c>
      <c r="DX108" s="6">
        <f>DX$1*'survival matrix'!DX108</f>
        <v>0</v>
      </c>
      <c r="DY108" s="6">
        <f>DY$1*'survival matrix'!DY108</f>
        <v>0</v>
      </c>
      <c r="DZ108" s="6">
        <f>DZ$1*'survival matrix'!DZ108</f>
        <v>0</v>
      </c>
      <c r="EA108" s="6">
        <f>EA$1*'survival matrix'!EA108</f>
        <v>0</v>
      </c>
      <c r="EB108" s="6">
        <f>EB$1*'survival matrix'!EB108</f>
        <v>0</v>
      </c>
      <c r="EC108" s="6">
        <f>EC$1*'survival matrix'!EC108</f>
        <v>0</v>
      </c>
    </row>
    <row r="109" spans="1:133">
      <c r="A109" s="12">
        <f>'data input'!C109-B109</f>
        <v>350654.63433097047</v>
      </c>
      <c r="B109" s="14">
        <f t="shared" si="3"/>
        <v>1040934.2492170744</v>
      </c>
      <c r="C109" s="11">
        <f>SUM(F109:EC109)</f>
        <v>29799169.776370157</v>
      </c>
      <c r="E109" s="7">
        <f>'data input'!B109</f>
        <v>1984</v>
      </c>
      <c r="F109" s="6">
        <f>F$1*'survival matrix'!F109</f>
        <v>1.2061717389646315E-3</v>
      </c>
      <c r="G109" s="6">
        <f>G$1*'survival matrix'!G109</f>
        <v>3.5507811544932509E-3</v>
      </c>
      <c r="H109" s="6">
        <f>H$1*'survival matrix'!H109</f>
        <v>7.7888086853740938E-3</v>
      </c>
      <c r="I109" s="6">
        <f>I$1*'survival matrix'!I109</f>
        <v>1.5113551566595733E-2</v>
      </c>
      <c r="J109" s="6">
        <f>J$1*'survival matrix'!J109</f>
        <v>2.7347231925135794E-2</v>
      </c>
      <c r="K109" s="6">
        <f>K$1*'survival matrix'!K109</f>
        <v>4.7251224427688934E-2</v>
      </c>
      <c r="L109" s="6">
        <f>L$1*'survival matrix'!L109</f>
        <v>7.8971867851107727E-2</v>
      </c>
      <c r="M109" s="6">
        <f>M$1*'survival matrix'!M109</f>
        <v>0.12860028878098992</v>
      </c>
      <c r="N109" s="6">
        <f>N$1*'survival matrix'!N109</f>
        <v>0.20495606221267773</v>
      </c>
      <c r="O109" s="6">
        <f>O$1*'survival matrix'!O109</f>
        <v>0.32072679909545776</v>
      </c>
      <c r="P109" s="6">
        <f>P$1*'survival matrix'!P109</f>
        <v>0.49421279364569642</v>
      </c>
      <c r="Q109" s="6">
        <f>Q$1*'survival matrix'!Q109</f>
        <v>0.75137395580288746</v>
      </c>
      <c r="R109" s="6">
        <f>R$1*'survival matrix'!R109</f>
        <v>1.1284636035129352</v>
      </c>
      <c r="S109" s="6">
        <f>S$1*'survival matrix'!S109</f>
        <v>1.6755846897111355</v>
      </c>
      <c r="T109" s="6">
        <f>T$1*'survival matrix'!T109</f>
        <v>2.4613471243935412</v>
      </c>
      <c r="U109" s="6">
        <f>U$1*'survival matrix'!U109</f>
        <v>3.5798971377839983</v>
      </c>
      <c r="V109" s="6">
        <f>V$1*'survival matrix'!V109</f>
        <v>5.1575180532019438</v>
      </c>
      <c r="W109" s="6">
        <f>W$1*'survival matrix'!W109</f>
        <v>7.3648537033139414</v>
      </c>
      <c r="X109" s="6">
        <f>X$1*'survival matrix'!X109</f>
        <v>10.428041261359384</v>
      </c>
      <c r="Y109" s="6">
        <f>Y$1*'survival matrix'!Y109</f>
        <v>14.644230805038639</v>
      </c>
      <c r="Z109" s="6">
        <f>Z$1*'survival matrix'!Z109</f>
        <v>20.403593292445002</v>
      </c>
      <c r="AA109" s="6">
        <f>AA$1*'survival matrix'!AA109</f>
        <v>28.211575628319352</v>
      </c>
      <c r="AB109" s="6">
        <f>AB$1*'survival matrix'!AB109</f>
        <v>38.713852500063908</v>
      </c>
      <c r="AC109" s="6">
        <f>AC$1*'survival matrix'!AC109</f>
        <v>52.95117878718473</v>
      </c>
      <c r="AD109" s="6">
        <f>AD$1*'survival matrix'!AD109</f>
        <v>72.493658829019239</v>
      </c>
      <c r="AE109" s="6">
        <f>AE$1*'survival matrix'!AE109</f>
        <v>98.375286751544763</v>
      </c>
      <c r="AF109" s="6">
        <f>AF$1*'survival matrix'!AF109</f>
        <v>131.20886243480436</v>
      </c>
      <c r="AG109" s="6">
        <f>AG$1*'survival matrix'!AG109</f>
        <v>174.32480828344362</v>
      </c>
      <c r="AH109" s="6">
        <f>AH$1*'survival matrix'!AH109</f>
        <v>229.26286437649108</v>
      </c>
      <c r="AI109" s="6">
        <f>AI$1*'survival matrix'!AI109</f>
        <v>305.85190239559915</v>
      </c>
      <c r="AJ109" s="6">
        <f>AJ$1*'survival matrix'!AJ109</f>
        <v>398.44077048314301</v>
      </c>
      <c r="AK109" s="6">
        <f>AK$1*'survival matrix'!AK109</f>
        <v>513.32979232650246</v>
      </c>
      <c r="AL109" s="6">
        <f>AL$1*'survival matrix'!AL109</f>
        <v>658.17488758810612</v>
      </c>
      <c r="AM109" s="6">
        <f>AM$1*'survival matrix'!AM109</f>
        <v>839.92963452370748</v>
      </c>
      <c r="AN109" s="6">
        <f>AN$1*'survival matrix'!AN109</f>
        <v>1054.6383215851527</v>
      </c>
      <c r="AO109" s="6">
        <f>AO$1*'survival matrix'!AO109</f>
        <v>1315.3998639877227</v>
      </c>
      <c r="AP109" s="6">
        <f>AP$1*'survival matrix'!AP109</f>
        <v>1624.5794217685632</v>
      </c>
      <c r="AQ109" s="6">
        <f>AQ$1*'survival matrix'!AQ109</f>
        <v>2007.089728404512</v>
      </c>
      <c r="AR109" s="6">
        <f>AR$1*'survival matrix'!AR109</f>
        <v>2480.4330688779128</v>
      </c>
      <c r="AS109" s="6">
        <f>AS$1*'survival matrix'!AS109</f>
        <v>3047.6377865526465</v>
      </c>
      <c r="AT109" s="6">
        <f>AT$1*'survival matrix'!AT109</f>
        <v>3761.7435411712622</v>
      </c>
      <c r="AU109" s="6">
        <f>AU$1*'survival matrix'!AU109</f>
        <v>4619.726072799951</v>
      </c>
      <c r="AV109" s="6">
        <f>AV$1*'survival matrix'!AV109</f>
        <v>5604.2193435713461</v>
      </c>
      <c r="AW109" s="6">
        <f>AW$1*'survival matrix'!AW109</f>
        <v>6777.9291315095397</v>
      </c>
      <c r="AX109" s="6">
        <f>AX$1*'survival matrix'!AX109</f>
        <v>8148.6330288674317</v>
      </c>
      <c r="AY109" s="6">
        <f>AY$1*'survival matrix'!AY109</f>
        <v>9805.5028359627231</v>
      </c>
      <c r="AZ109" s="6">
        <f>AZ$1*'survival matrix'!AZ109</f>
        <v>11697.317771435241</v>
      </c>
      <c r="BA109" s="6">
        <f>BA$1*'survival matrix'!BA109</f>
        <v>13821.630270036323</v>
      </c>
      <c r="BB109" s="6">
        <f>BB$1*'survival matrix'!BB109</f>
        <v>16311.639376275367</v>
      </c>
      <c r="BC109" s="6">
        <f>BC$1*'survival matrix'!BC109</f>
        <v>19163.341964358948</v>
      </c>
      <c r="BD109" s="6">
        <f>BD$1*'survival matrix'!BD109</f>
        <v>22447.742128136713</v>
      </c>
      <c r="BE109" s="6">
        <f>BE$1*'survival matrix'!BE109</f>
        <v>26123.845076777667</v>
      </c>
      <c r="BF109" s="6">
        <f>BF$1*'survival matrix'!BF109</f>
        <v>30097.381126249544</v>
      </c>
      <c r="BG109" s="6">
        <f>BG$1*'survival matrix'!BG109</f>
        <v>34500.242676407965</v>
      </c>
      <c r="BH109" s="6">
        <f>BH$1*'survival matrix'!BH109</f>
        <v>39339.877701742269</v>
      </c>
      <c r="BI109" s="6">
        <f>BI$1*'survival matrix'!BI109</f>
        <v>44743.492467702832</v>
      </c>
      <c r="BJ109" s="6">
        <f>BJ$1*'survival matrix'!BJ109</f>
        <v>50736.136857728146</v>
      </c>
      <c r="BK109" s="6">
        <f>BK$1*'survival matrix'!BK109</f>
        <v>57270.957065842922</v>
      </c>
      <c r="BL109" s="6">
        <f>BL$1*'survival matrix'!BL109</f>
        <v>64555.647547197324</v>
      </c>
      <c r="BM109" s="6">
        <f>BM$1*'survival matrix'!BM109</f>
        <v>72683.108799805224</v>
      </c>
      <c r="BN109" s="6">
        <f>BN$1*'survival matrix'!BN109</f>
        <v>81843.171407584436</v>
      </c>
      <c r="BO109" s="6">
        <f>BO$1*'survival matrix'!BO109</f>
        <v>92646.719504404595</v>
      </c>
      <c r="BP109" s="6">
        <f>BP$1*'survival matrix'!BP109</f>
        <v>104219.99849979237</v>
      </c>
      <c r="BQ109" s="6">
        <f>BQ$1*'survival matrix'!BQ109</f>
        <v>117199.41541584695</v>
      </c>
      <c r="BR109" s="6">
        <f>BR$1*'survival matrix'!BR109</f>
        <v>129609.30514646691</v>
      </c>
      <c r="BS109" s="6">
        <f>BS$1*'survival matrix'!BS109</f>
        <v>145196.70938627826</v>
      </c>
      <c r="BT109" s="6">
        <f>BT$1*'survival matrix'!BT109</f>
        <v>161052.47056342181</v>
      </c>
      <c r="BU109" s="6">
        <f>BU$1*'survival matrix'!BU109</f>
        <v>172441.99077329956</v>
      </c>
      <c r="BV109" s="6">
        <f>BV$1*'survival matrix'!BV109</f>
        <v>184973.37924707969</v>
      </c>
      <c r="BW109" s="6">
        <f>BW$1*'survival matrix'!BW109</f>
        <v>198278.52597565312</v>
      </c>
      <c r="BX109" s="6">
        <f>BX$1*'survival matrix'!BX109</f>
        <v>212159.68282735822</v>
      </c>
      <c r="BY109" s="6">
        <f>BY$1*'survival matrix'!BY109</f>
        <v>226864.25402988313</v>
      </c>
      <c r="BZ109" s="6">
        <f>BZ$1*'survival matrix'!BZ109</f>
        <v>244466.78264579983</v>
      </c>
      <c r="CA109" s="6">
        <f>CA$1*'survival matrix'!CA109</f>
        <v>266525.93047481909</v>
      </c>
      <c r="CB109" s="6">
        <f>CB$1*'survival matrix'!CB109</f>
        <v>288500.58612451592</v>
      </c>
      <c r="CC109" s="6">
        <f>CC$1*'survival matrix'!CC109</f>
        <v>312828.96530824195</v>
      </c>
      <c r="CD109" s="6">
        <f>CD$1*'survival matrix'!CD109</f>
        <v>336075.34416654136</v>
      </c>
      <c r="CE109" s="6">
        <f>CE$1*'survival matrix'!CE109</f>
        <v>360788.2522689575</v>
      </c>
      <c r="CF109" s="6">
        <f>CF$1*'survival matrix'!CF109</f>
        <v>386744.79280544812</v>
      </c>
      <c r="CG109" s="6">
        <f>CG$1*'survival matrix'!CG109</f>
        <v>413935.10967307456</v>
      </c>
      <c r="CH109" s="6">
        <f>CH$1*'survival matrix'!CH109</f>
        <v>439143.09191751154</v>
      </c>
      <c r="CI109" s="6">
        <f>CI$1*'survival matrix'!CI109</f>
        <v>464977.39938361634</v>
      </c>
      <c r="CJ109" s="6">
        <f>CJ$1*'survival matrix'!CJ109</f>
        <v>492135.85738672107</v>
      </c>
      <c r="CK109" s="6">
        <f>CK$1*'survival matrix'!CK109</f>
        <v>519719.70439014182</v>
      </c>
      <c r="CL109" s="6">
        <f>CL$1*'survival matrix'!CL109</f>
        <v>552156.15934039839</v>
      </c>
      <c r="CM109" s="6">
        <f>CM$1*'survival matrix'!CM109</f>
        <v>587097.71260635473</v>
      </c>
      <c r="CN109" s="6">
        <f>CN$1*'survival matrix'!CN109</f>
        <v>621229.23627226602</v>
      </c>
      <c r="CO109" s="6">
        <f>CO$1*'survival matrix'!CO109</f>
        <v>657120.45603361249</v>
      </c>
      <c r="CP109" s="6">
        <f>CP$1*'survival matrix'!CP109</f>
        <v>696274.70349802694</v>
      </c>
      <c r="CQ109" s="6">
        <f>CQ$1*'survival matrix'!CQ109</f>
        <v>739537.30843708618</v>
      </c>
      <c r="CR109" s="6">
        <f>CR$1*'survival matrix'!CR109</f>
        <v>783710.65082405787</v>
      </c>
      <c r="CS109" s="6">
        <f>CS$1*'survival matrix'!CS109</f>
        <v>827658.55639551568</v>
      </c>
      <c r="CT109" s="6">
        <f>CT$1*'survival matrix'!CT109</f>
        <v>874889.5453155404</v>
      </c>
      <c r="CU109" s="6">
        <f>CU$1*'survival matrix'!CU109</f>
        <v>920220.33780644345</v>
      </c>
      <c r="CV109" s="6">
        <f>CV$1*'survival matrix'!CV109</f>
        <v>966683.60198877135</v>
      </c>
      <c r="CW109" s="6">
        <f>CW$1*'survival matrix'!CW109</f>
        <v>1016266.5009480128</v>
      </c>
      <c r="CX109" s="6">
        <f>CX$1*'survival matrix'!CX109</f>
        <v>1060713.6154748069</v>
      </c>
      <c r="CY109" s="6">
        <f>CY$1*'survival matrix'!CY109</f>
        <v>1095691.5463921314</v>
      </c>
      <c r="CZ109" s="6">
        <f>CZ$1*'survival matrix'!CZ109</f>
        <v>1145339.9557038366</v>
      </c>
      <c r="DA109" s="6">
        <f>DA$1*'survival matrix'!DA109</f>
        <v>1177057.4153278272</v>
      </c>
      <c r="DB109" s="6">
        <f>DB$1*'survival matrix'!DB109</f>
        <v>1214572.8422991813</v>
      </c>
      <c r="DC109" s="6">
        <f>DC$1*'survival matrix'!DC109</f>
        <v>1253984.1406529015</v>
      </c>
      <c r="DD109" s="6">
        <f>DD$1*'survival matrix'!DD109</f>
        <v>1288481.9689357253</v>
      </c>
      <c r="DE109" s="6">
        <f>DE$1*'survival matrix'!DE109</f>
        <v>1314244.4223746383</v>
      </c>
      <c r="DF109" s="6">
        <f>DF$1*'survival matrix'!DF109</f>
        <v>1340823.2210330551</v>
      </c>
      <c r="DG109" s="6">
        <f>DG$1*'survival matrix'!DG109</f>
        <v>1366027.9722553331</v>
      </c>
      <c r="DH109" s="6">
        <f>DH$1*'survival matrix'!DH109</f>
        <v>1389710.3804533051</v>
      </c>
      <c r="DI109" s="6">
        <f>DI$1*'survival matrix'!DI109</f>
        <v>0</v>
      </c>
      <c r="DJ109" s="6">
        <f>DJ$1*'survival matrix'!DJ109</f>
        <v>0</v>
      </c>
      <c r="DK109" s="6">
        <f>DK$1*'survival matrix'!DK109</f>
        <v>0</v>
      </c>
      <c r="DL109" s="6">
        <f>DL$1*'survival matrix'!DL109</f>
        <v>0</v>
      </c>
      <c r="DM109" s="6">
        <f>DM$1*'survival matrix'!DM109</f>
        <v>0</v>
      </c>
      <c r="DN109" s="6">
        <f>DN$1*'survival matrix'!DN109</f>
        <v>0</v>
      </c>
      <c r="DO109" s="6">
        <f>DO$1*'survival matrix'!DO109</f>
        <v>0</v>
      </c>
      <c r="DP109" s="6">
        <f>DP$1*'survival matrix'!DP109</f>
        <v>0</v>
      </c>
      <c r="DQ109" s="6">
        <f>DQ$1*'survival matrix'!DQ109</f>
        <v>0</v>
      </c>
      <c r="DR109" s="6">
        <f>DR$1*'survival matrix'!DR109</f>
        <v>0</v>
      </c>
      <c r="DS109" s="6">
        <f>DS$1*'survival matrix'!DS109</f>
        <v>0</v>
      </c>
      <c r="DT109" s="6">
        <f>DT$1*'survival matrix'!DT109</f>
        <v>0</v>
      </c>
      <c r="DU109" s="6">
        <f>DU$1*'survival matrix'!DU109</f>
        <v>0</v>
      </c>
      <c r="DV109" s="6">
        <f>DV$1*'survival matrix'!DV109</f>
        <v>0</v>
      </c>
      <c r="DW109" s="6">
        <f>DW$1*'survival matrix'!DW109</f>
        <v>0</v>
      </c>
      <c r="DX109" s="6">
        <f>DX$1*'survival matrix'!DX109</f>
        <v>0</v>
      </c>
      <c r="DY109" s="6">
        <f>DY$1*'survival matrix'!DY109</f>
        <v>0</v>
      </c>
      <c r="DZ109" s="6">
        <f>DZ$1*'survival matrix'!DZ109</f>
        <v>0</v>
      </c>
      <c r="EA109" s="6">
        <f>EA$1*'survival matrix'!EA109</f>
        <v>0</v>
      </c>
      <c r="EB109" s="6">
        <f>EB$1*'survival matrix'!EB109</f>
        <v>0</v>
      </c>
      <c r="EC109" s="6">
        <f>EC$1*'survival matrix'!EC109</f>
        <v>0</v>
      </c>
    </row>
    <row r="110" spans="1:133">
      <c r="A110" s="12">
        <f>'data input'!C110-B110</f>
        <v>363528.77121517784</v>
      </c>
      <c r="B110" s="14">
        <f t="shared" si="3"/>
        <v>1051460.2357332483</v>
      </c>
      <c r="C110" s="11">
        <f>SUM(F110:EC110)</f>
        <v>30850630.012103405</v>
      </c>
      <c r="E110" s="7">
        <f>'data input'!B110</f>
        <v>1985</v>
      </c>
      <c r="F110" s="6">
        <f>F$1*'survival matrix'!F110</f>
        <v>8.1821534961555207E-4</v>
      </c>
      <c r="G110" s="6">
        <f>G$1*'survival matrix'!G110</f>
        <v>2.4218323064973211E-3</v>
      </c>
      <c r="H110" s="6">
        <f>H$1*'survival matrix'!H110</f>
        <v>5.3413473235592521E-3</v>
      </c>
      <c r="I110" s="6">
        <f>I$1*'survival matrix'!I110</f>
        <v>1.0420865540070498E-2</v>
      </c>
      <c r="J110" s="6">
        <f>J$1*'survival matrix'!J110</f>
        <v>1.8958583671970695E-2</v>
      </c>
      <c r="K110" s="6">
        <f>K$1*'survival matrix'!K110</f>
        <v>3.29350656986485E-2</v>
      </c>
      <c r="L110" s="6">
        <f>L$1*'survival matrix'!L110</f>
        <v>5.5343731526924275E-2</v>
      </c>
      <c r="M110" s="6">
        <f>M$1*'survival matrix'!M110</f>
        <v>9.0612069824315425E-2</v>
      </c>
      <c r="N110" s="6">
        <f>N$1*'survival matrix'!N110</f>
        <v>0.14519457132449737</v>
      </c>
      <c r="O110" s="6">
        <f>O$1*'survival matrix'!O110</f>
        <v>0.22843765226124135</v>
      </c>
      <c r="P110" s="6">
        <f>P$1*'survival matrix'!P110</f>
        <v>0.35390481378461913</v>
      </c>
      <c r="Q110" s="6">
        <f>Q$1*'survival matrix'!Q110</f>
        <v>0.54096078362916011</v>
      </c>
      <c r="R110" s="6">
        <f>R$1*'survival matrix'!R110</f>
        <v>0.81682939188263726</v>
      </c>
      <c r="S110" s="6">
        <f>S$1*'survival matrix'!S110</f>
        <v>1.2193860283257272</v>
      </c>
      <c r="T110" s="6">
        <f>T$1*'survival matrix'!T110</f>
        <v>1.800841448923086</v>
      </c>
      <c r="U110" s="6">
        <f>U$1*'survival matrix'!U110</f>
        <v>2.63328312507576</v>
      </c>
      <c r="V110" s="6">
        <f>V$1*'survival matrix'!V110</f>
        <v>3.8140698132235578</v>
      </c>
      <c r="W110" s="6">
        <f>W$1*'survival matrix'!W110</f>
        <v>5.4755684078239302</v>
      </c>
      <c r="X110" s="6">
        <f>X$1*'survival matrix'!X110</f>
        <v>7.7943733507452455</v>
      </c>
      <c r="Y110" s="6">
        <f>Y$1*'survival matrix'!Y110</f>
        <v>11.004097282775916</v>
      </c>
      <c r="Z110" s="6">
        <f>Z$1*'survival matrix'!Z110</f>
        <v>15.413446125389521</v>
      </c>
      <c r="AA110" s="6">
        <f>AA$1*'survival matrix'!AA110</f>
        <v>21.42502464020248</v>
      </c>
      <c r="AB110" s="6">
        <f>AB$1*'survival matrix'!AB110</f>
        <v>29.556754797760441</v>
      </c>
      <c r="AC110" s="6">
        <f>AC$1*'survival matrix'!AC110</f>
        <v>40.640368164522712</v>
      </c>
      <c r="AD110" s="6">
        <f>AD$1*'survival matrix'!AD110</f>
        <v>55.933078955167289</v>
      </c>
      <c r="AE110" s="6">
        <f>AE$1*'survival matrix'!AE110</f>
        <v>76.302060438386704</v>
      </c>
      <c r="AF110" s="6">
        <f>AF$1*'survival matrix'!AF110</f>
        <v>102.30328498957904</v>
      </c>
      <c r="AG110" s="6">
        <f>AG$1*'survival matrix'!AG110</f>
        <v>136.63316249483159</v>
      </c>
      <c r="AH110" s="6">
        <f>AH$1*'survival matrix'!AH110</f>
        <v>180.63223438723216</v>
      </c>
      <c r="AI110" s="6">
        <f>AI$1*'survival matrix'!AI110</f>
        <v>242.23180618439073</v>
      </c>
      <c r="AJ110" s="6">
        <f>AJ$1*'survival matrix'!AJ110</f>
        <v>317.20186317225819</v>
      </c>
      <c r="AK110" s="6">
        <f>AK$1*'survival matrix'!AK110</f>
        <v>410.78410939876346</v>
      </c>
      <c r="AL110" s="6">
        <f>AL$1*'survival matrix'!AL110</f>
        <v>529.41541848752024</v>
      </c>
      <c r="AM110" s="6">
        <f>AM$1*'survival matrix'!AM110</f>
        <v>679.09238225736283</v>
      </c>
      <c r="AN110" s="6">
        <f>AN$1*'survival matrix'!AN110</f>
        <v>857.06228160799662</v>
      </c>
      <c r="AO110" s="6">
        <f>AO$1*'survival matrix'!AO110</f>
        <v>1074.4379255947094</v>
      </c>
      <c r="AP110" s="6">
        <f>AP$1*'survival matrix'!AP110</f>
        <v>1333.7382485334267</v>
      </c>
      <c r="AQ110" s="6">
        <f>AQ$1*'survival matrix'!AQ110</f>
        <v>1656.1267044729527</v>
      </c>
      <c r="AR110" s="6">
        <f>AR$1*'survival matrix'!AR110</f>
        <v>2057.0362262287886</v>
      </c>
      <c r="AS110" s="6">
        <f>AS$1*'survival matrix'!AS110</f>
        <v>2540.1273963169165</v>
      </c>
      <c r="AT110" s="6">
        <f>AT$1*'survival matrix'!AT110</f>
        <v>3151.0015516514572</v>
      </c>
      <c r="AU110" s="6">
        <f>AU$1*'survival matrix'!AU110</f>
        <v>3888.9465337120478</v>
      </c>
      <c r="AV110" s="6">
        <f>AV$1*'survival matrix'!AV110</f>
        <v>4741.0622222330476</v>
      </c>
      <c r="AW110" s="6">
        <f>AW$1*'survival matrix'!AW110</f>
        <v>5762.224975415179</v>
      </c>
      <c r="AX110" s="6">
        <f>AX$1*'survival matrix'!AX110</f>
        <v>6961.4202061005071</v>
      </c>
      <c r="AY110" s="6">
        <f>AY$1*'survival matrix'!AY110</f>
        <v>8417.6224936910712</v>
      </c>
      <c r="AZ110" s="6">
        <f>AZ$1*'survival matrix'!AZ110</f>
        <v>10090.164170390022</v>
      </c>
      <c r="BA110" s="6">
        <f>BA$1*'survival matrix'!BA110</f>
        <v>11979.776860248638</v>
      </c>
      <c r="BB110" s="6">
        <f>BB$1*'survival matrix'!BB110</f>
        <v>14205.252151977649</v>
      </c>
      <c r="BC110" s="6">
        <f>BC$1*'survival matrix'!BC110</f>
        <v>16767.488126592874</v>
      </c>
      <c r="BD110" s="6">
        <f>BD$1*'survival matrix'!BD110</f>
        <v>19733.200267310265</v>
      </c>
      <c r="BE110" s="6">
        <f>BE$1*'survival matrix'!BE110</f>
        <v>23071.287295623086</v>
      </c>
      <c r="BF110" s="6">
        <f>BF$1*'survival matrix'!BF110</f>
        <v>26702.634741774295</v>
      </c>
      <c r="BG110" s="6">
        <f>BG$1*'survival matrix'!BG110</f>
        <v>30748.082822862849</v>
      </c>
      <c r="BH110" s="6">
        <f>BH$1*'survival matrix'!BH110</f>
        <v>35219.090223317231</v>
      </c>
      <c r="BI110" s="6">
        <f>BI$1*'survival matrix'!BI110</f>
        <v>40234.803876280384</v>
      </c>
      <c r="BJ110" s="6">
        <f>BJ$1*'survival matrix'!BJ110</f>
        <v>45823.976747085413</v>
      </c>
      <c r="BK110" s="6">
        <f>BK$1*'survival matrix'!BK110</f>
        <v>51950.349720833365</v>
      </c>
      <c r="BL110" s="6">
        <f>BL$1*'survival matrix'!BL110</f>
        <v>58808.615986214492</v>
      </c>
      <c r="BM110" s="6">
        <f>BM$1*'survival matrix'!BM110</f>
        <v>66491.421031834252</v>
      </c>
      <c r="BN110" s="6">
        <f>BN$1*'survival matrix'!BN110</f>
        <v>75181.561100359933</v>
      </c>
      <c r="BO110" s="6">
        <f>BO$1*'survival matrix'!BO110</f>
        <v>85452.67674977475</v>
      </c>
      <c r="BP110" s="6">
        <f>BP$1*'survival matrix'!BP110</f>
        <v>96512.140189613667</v>
      </c>
      <c r="BQ110" s="6">
        <f>BQ$1*'survival matrix'!BQ110</f>
        <v>108957.87608927998</v>
      </c>
      <c r="BR110" s="6">
        <f>BR$1*'survival matrix'!BR110</f>
        <v>120958.72238302222</v>
      </c>
      <c r="BS110" s="6">
        <f>BS$1*'survival matrix'!BS110</f>
        <v>136015.87197238204</v>
      </c>
      <c r="BT110" s="6">
        <f>BT$1*'survival matrix'!BT110</f>
        <v>151423.90221063842</v>
      </c>
      <c r="BU110" s="6">
        <f>BU$1*'survival matrix'!BU110</f>
        <v>162714.08247373792</v>
      </c>
      <c r="BV110" s="6">
        <f>BV$1*'survival matrix'!BV110</f>
        <v>175148.20268367536</v>
      </c>
      <c r="BW110" s="6">
        <f>BW$1*'survival matrix'!BW110</f>
        <v>188384.07292640014</v>
      </c>
      <c r="BX110" s="6">
        <f>BX$1*'survival matrix'!BX110</f>
        <v>202236.51365040429</v>
      </c>
      <c r="BY110" s="6">
        <f>BY$1*'survival matrix'!BY110</f>
        <v>216943.00953334637</v>
      </c>
      <c r="BZ110" s="6">
        <f>BZ$1*'survival matrix'!BZ110</f>
        <v>234496.05587233097</v>
      </c>
      <c r="CA110" s="6">
        <f>CA$1*'survival matrix'!CA110</f>
        <v>256414.80530706738</v>
      </c>
      <c r="CB110" s="6">
        <f>CB$1*'survival matrix'!CB110</f>
        <v>278348.4711506163</v>
      </c>
      <c r="CC110" s="6">
        <f>CC$1*'survival matrix'!CC110</f>
        <v>302647.44239285769</v>
      </c>
      <c r="CD110" s="6">
        <f>CD$1*'survival matrix'!CD110</f>
        <v>325989.02043385158</v>
      </c>
      <c r="CE110" s="6">
        <f>CE$1*'survival matrix'!CE110</f>
        <v>350834.63146542723</v>
      </c>
      <c r="CF110" s="6">
        <f>CF$1*'survival matrix'!CF110</f>
        <v>376968.49590096815</v>
      </c>
      <c r="CG110" s="6">
        <f>CG$1*'survival matrix'!CG110</f>
        <v>404379.94068946381</v>
      </c>
      <c r="CH110" s="6">
        <f>CH$1*'survival matrix'!CH110</f>
        <v>429918.45473189856</v>
      </c>
      <c r="CI110" s="6">
        <f>CI$1*'survival matrix'!CI110</f>
        <v>456121.37107386941</v>
      </c>
      <c r="CJ110" s="6">
        <f>CJ$1*'survival matrix'!CJ110</f>
        <v>483668.87096077064</v>
      </c>
      <c r="CK110" s="6">
        <f>CK$1*'survival matrix'!CK110</f>
        <v>511673.90981935052</v>
      </c>
      <c r="CL110" s="6">
        <f>CL$1*'survival matrix'!CL110</f>
        <v>544495.18772479484</v>
      </c>
      <c r="CM110" s="6">
        <f>CM$1*'survival matrix'!CM110</f>
        <v>579827.13761559688</v>
      </c>
      <c r="CN110" s="6">
        <f>CN$1*'survival matrix'!CN110</f>
        <v>614391.53505893215</v>
      </c>
      <c r="CO110" s="6">
        <f>CO$1*'survival matrix'!CO110</f>
        <v>650719.90902638168</v>
      </c>
      <c r="CP110" s="6">
        <f>CP$1*'survival matrix'!CP110</f>
        <v>690299.77328740223</v>
      </c>
      <c r="CQ110" s="6">
        <f>CQ$1*'survival matrix'!CQ110</f>
        <v>733971.69840525161</v>
      </c>
      <c r="CR110" s="6">
        <f>CR$1*'survival matrix'!CR110</f>
        <v>778562.09510129935</v>
      </c>
      <c r="CS110" s="6">
        <f>CS$1*'survival matrix'!CS110</f>
        <v>822934.74248959741</v>
      </c>
      <c r="CT110" s="6">
        <f>CT$1*'survival matrix'!CT110</f>
        <v>870572.34312526579</v>
      </c>
      <c r="CU110" s="6">
        <f>CU$1*'survival matrix'!CU110</f>
        <v>916313.6607510231</v>
      </c>
      <c r="CV110" s="6">
        <f>CV$1*'survival matrix'!CV110</f>
        <v>963170.49576889165</v>
      </c>
      <c r="CW110" s="6">
        <f>CW$1*'survival matrix'!CW110</f>
        <v>1013120.9343700185</v>
      </c>
      <c r="CX110" s="6">
        <f>CX$1*'survival matrix'!CX110</f>
        <v>1057931.7391520217</v>
      </c>
      <c r="CY110" s="6">
        <f>CY$1*'survival matrix'!CY110</f>
        <v>1093269.3242270802</v>
      </c>
      <c r="CZ110" s="6">
        <f>CZ$1*'survival matrix'!CZ110</f>
        <v>1143216.9083763652</v>
      </c>
      <c r="DA110" s="6">
        <f>DA$1*'survival matrix'!DA110</f>
        <v>1175237.6534125379</v>
      </c>
      <c r="DB110" s="6">
        <f>DB$1*'survival matrix'!DB110</f>
        <v>1213015.0664522429</v>
      </c>
      <c r="DC110" s="6">
        <f>DC$1*'survival matrix'!DC110</f>
        <v>1252657.0711244694</v>
      </c>
      <c r="DD110" s="6">
        <f>DD$1*'survival matrix'!DD110</f>
        <v>1287362.9409298475</v>
      </c>
      <c r="DE110" s="6">
        <f>DE$1*'survival matrix'!DE110</f>
        <v>1313312.8269392659</v>
      </c>
      <c r="DF110" s="6">
        <f>DF$1*'survival matrix'!DF110</f>
        <v>1340051.7358906628</v>
      </c>
      <c r="DG110" s="6">
        <f>DG$1*'survival matrix'!DG110</f>
        <v>1365393.4791665468</v>
      </c>
      <c r="DH110" s="6">
        <f>DH$1*'survival matrix'!DH110</f>
        <v>1389192.1762928588</v>
      </c>
      <c r="DI110" s="6">
        <f>DI$1*'survival matrix'!DI110</f>
        <v>1413078.9160731682</v>
      </c>
      <c r="DJ110" s="6">
        <f>DJ$1*'survival matrix'!DJ110</f>
        <v>0</v>
      </c>
      <c r="DK110" s="6">
        <f>DK$1*'survival matrix'!DK110</f>
        <v>0</v>
      </c>
      <c r="DL110" s="6">
        <f>DL$1*'survival matrix'!DL110</f>
        <v>0</v>
      </c>
      <c r="DM110" s="6">
        <f>DM$1*'survival matrix'!DM110</f>
        <v>0</v>
      </c>
      <c r="DN110" s="6">
        <f>DN$1*'survival matrix'!DN110</f>
        <v>0</v>
      </c>
      <c r="DO110" s="6">
        <f>DO$1*'survival matrix'!DO110</f>
        <v>0</v>
      </c>
      <c r="DP110" s="6">
        <f>DP$1*'survival matrix'!DP110</f>
        <v>0</v>
      </c>
      <c r="DQ110" s="6">
        <f>DQ$1*'survival matrix'!DQ110</f>
        <v>0</v>
      </c>
      <c r="DR110" s="6">
        <f>DR$1*'survival matrix'!DR110</f>
        <v>0</v>
      </c>
      <c r="DS110" s="6">
        <f>DS$1*'survival matrix'!DS110</f>
        <v>0</v>
      </c>
      <c r="DT110" s="6">
        <f>DT$1*'survival matrix'!DT110</f>
        <v>0</v>
      </c>
      <c r="DU110" s="6">
        <f>DU$1*'survival matrix'!DU110</f>
        <v>0</v>
      </c>
      <c r="DV110" s="6">
        <f>DV$1*'survival matrix'!DV110</f>
        <v>0</v>
      </c>
      <c r="DW110" s="6">
        <f>DW$1*'survival matrix'!DW110</f>
        <v>0</v>
      </c>
      <c r="DX110" s="6">
        <f>DX$1*'survival matrix'!DX110</f>
        <v>0</v>
      </c>
      <c r="DY110" s="6">
        <f>DY$1*'survival matrix'!DY110</f>
        <v>0</v>
      </c>
      <c r="DZ110" s="6">
        <f>DZ$1*'survival matrix'!DZ110</f>
        <v>0</v>
      </c>
      <c r="EA110" s="6">
        <f>EA$1*'survival matrix'!EA110</f>
        <v>0</v>
      </c>
      <c r="EB110" s="6">
        <f>EB$1*'survival matrix'!EB110</f>
        <v>0</v>
      </c>
      <c r="EC110" s="6">
        <f>EC$1*'survival matrix'!EC110</f>
        <v>0</v>
      </c>
    </row>
    <row r="111" spans="1:133">
      <c r="A111" s="12">
        <f>'data input'!C111-B111</f>
        <v>377015.77876977925</v>
      </c>
      <c r="B111" s="14">
        <f t="shared" si="3"/>
        <v>1059818.9886036031</v>
      </c>
      <c r="C111" s="11">
        <f>SUM(F111:EC111)</f>
        <v>31910449.000707008</v>
      </c>
      <c r="E111" s="7">
        <f>'data input'!B111</f>
        <v>1986</v>
      </c>
      <c r="F111" s="6">
        <f>F$1*'survival matrix'!F111</f>
        <v>5.5202966024359135E-4</v>
      </c>
      <c r="G111" s="6">
        <f>G$1*'survival matrix'!G111</f>
        <v>1.6428675149294395E-3</v>
      </c>
      <c r="H111" s="6">
        <f>H$1*'survival matrix'!H111</f>
        <v>3.643099066257417E-3</v>
      </c>
      <c r="I111" s="6">
        <f>I$1*'survival matrix'!I111</f>
        <v>7.1463383567435769E-3</v>
      </c>
      <c r="J111" s="6">
        <f>J$1*'survival matrix'!J111</f>
        <v>1.3072033426772059E-2</v>
      </c>
      <c r="K111" s="6">
        <f>K$1*'survival matrix'!K111</f>
        <v>2.2832372961878081E-2</v>
      </c>
      <c r="L111" s="6">
        <f>L$1*'survival matrix'!L111</f>
        <v>3.8575707950956183E-2</v>
      </c>
      <c r="M111" s="6">
        <f>M$1*'survival matrix'!M111</f>
        <v>6.3501221408497913E-2</v>
      </c>
      <c r="N111" s="6">
        <f>N$1*'survival matrix'!N111</f>
        <v>0.10230444083506381</v>
      </c>
      <c r="O111" s="6">
        <f>O$1*'survival matrix'!O111</f>
        <v>0.1618293532592758</v>
      </c>
      <c r="P111" s="6">
        <f>P$1*'survival matrix'!P111</f>
        <v>0.25206869214832367</v>
      </c>
      <c r="Q111" s="6">
        <f>Q$1*'survival matrix'!Q111</f>
        <v>0.38738095787198495</v>
      </c>
      <c r="R111" s="6">
        <f>R$1*'survival matrix'!R111</f>
        <v>0.5880862179365729</v>
      </c>
      <c r="S111" s="6">
        <f>S$1*'survival matrix'!S111</f>
        <v>0.88264286494205135</v>
      </c>
      <c r="T111" s="6">
        <f>T$1*'survival matrix'!T111</f>
        <v>1.310540085219589</v>
      </c>
      <c r="U111" s="6">
        <f>U$1*'survival matrix'!U111</f>
        <v>1.926638202059602</v>
      </c>
      <c r="V111" s="6">
        <f>V$1*'survival matrix'!V111</f>
        <v>2.8055347096479766</v>
      </c>
      <c r="W111" s="6">
        <f>W$1*'survival matrix'!W111</f>
        <v>4.0492733053171355</v>
      </c>
      <c r="X111" s="6">
        <f>X$1*'survival matrix'!X111</f>
        <v>5.7949045829547767</v>
      </c>
      <c r="Y111" s="6">
        <f>Y$1*'survival matrix'!Y111</f>
        <v>8.2249427730683831</v>
      </c>
      <c r="Z111" s="6">
        <f>Z$1*'survival matrix'!Z111</f>
        <v>11.582107854258467</v>
      </c>
      <c r="AA111" s="6">
        <f>AA$1*'survival matrix'!AA111</f>
        <v>16.185063988174182</v>
      </c>
      <c r="AB111" s="6">
        <f>AB$1*'survival matrix'!AB111</f>
        <v>22.44660873144451</v>
      </c>
      <c r="AC111" s="6">
        <f>AC$1*'survival matrix'!AC111</f>
        <v>31.027586229697096</v>
      </c>
      <c r="AD111" s="6">
        <f>AD$1*'survival matrix'!AD111</f>
        <v>42.928995602709094</v>
      </c>
      <c r="AE111" s="6">
        <f>AE$1*'survival matrix'!AE111</f>
        <v>58.871482552813639</v>
      </c>
      <c r="AF111" s="6">
        <f>AF$1*'survival matrix'!AF111</f>
        <v>79.348703237175414</v>
      </c>
      <c r="AG111" s="6">
        <f>AG$1*'survival matrix'!AG111</f>
        <v>106.53260078892676</v>
      </c>
      <c r="AH111" s="6">
        <f>AH$1*'survival matrix'!AH111</f>
        <v>141.57682819708685</v>
      </c>
      <c r="AI111" s="6">
        <f>AI$1*'survival matrix'!AI111</f>
        <v>190.8502386975679</v>
      </c>
      <c r="AJ111" s="6">
        <f>AJ$1*'survival matrix'!AJ111</f>
        <v>251.22086748339828</v>
      </c>
      <c r="AK111" s="6">
        <f>AK$1*'survival matrix'!AK111</f>
        <v>327.02849335634744</v>
      </c>
      <c r="AL111" s="6">
        <f>AL$1*'survival matrix'!AL111</f>
        <v>423.65637926396602</v>
      </c>
      <c r="AM111" s="6">
        <f>AM$1*'survival matrix'!AM111</f>
        <v>546.24080092442239</v>
      </c>
      <c r="AN111" s="6">
        <f>AN$1*'survival matrix'!AN111</f>
        <v>692.94431656783888</v>
      </c>
      <c r="AO111" s="6">
        <f>AO$1*'survival matrix'!AO111</f>
        <v>873.15262598488209</v>
      </c>
      <c r="AP111" s="6">
        <f>AP$1*'survival matrix'!AP111</f>
        <v>1089.4169873914107</v>
      </c>
      <c r="AQ111" s="6">
        <f>AQ$1*'survival matrix'!AQ111</f>
        <v>1359.637762596172</v>
      </c>
      <c r="AR111" s="6">
        <f>AR$1*'survival matrix'!AR111</f>
        <v>1697.3394752181046</v>
      </c>
      <c r="AS111" s="6">
        <f>AS$1*'survival matrix'!AS111</f>
        <v>2106.5410468115679</v>
      </c>
      <c r="AT111" s="6">
        <f>AT$1*'survival matrix'!AT111</f>
        <v>2626.2784253770164</v>
      </c>
      <c r="AU111" s="6">
        <f>AU$1*'survival matrix'!AU111</f>
        <v>3257.5523631259484</v>
      </c>
      <c r="AV111" s="6">
        <f>AV$1*'survival matrix'!AV111</f>
        <v>3991.0889097568274</v>
      </c>
      <c r="AW111" s="6">
        <f>AW$1*'survival matrix'!AW111</f>
        <v>4874.7319603553024</v>
      </c>
      <c r="AX111" s="6">
        <f>AX$1*'survival matrix'!AX111</f>
        <v>5918.2190603722702</v>
      </c>
      <c r="AY111" s="6">
        <f>AY$1*'survival matrix'!AY111</f>
        <v>7191.2193256605278</v>
      </c>
      <c r="AZ111" s="6">
        <f>AZ$1*'survival matrix'!AZ111</f>
        <v>8661.9925878968588</v>
      </c>
      <c r="BA111" s="6">
        <f>BA$1*'survival matrix'!BA111</f>
        <v>10333.814777583559</v>
      </c>
      <c r="BB111" s="6">
        <f>BB$1*'survival matrix'!BB111</f>
        <v>12312.277763150712</v>
      </c>
      <c r="BC111" s="6">
        <f>BC$1*'survival matrix'!BC111</f>
        <v>14602.235330188565</v>
      </c>
      <c r="BD111" s="6">
        <f>BD$1*'survival matrix'!BD111</f>
        <v>17266.101173646344</v>
      </c>
      <c r="BE111" s="6">
        <f>BE$1*'survival matrix'!BE111</f>
        <v>20281.341884203626</v>
      </c>
      <c r="BF111" s="6">
        <f>BF$1*'survival matrix'!BF111</f>
        <v>23582.445687721534</v>
      </c>
      <c r="BG111" s="6">
        <f>BG$1*'survival matrix'!BG111</f>
        <v>27279.942437006419</v>
      </c>
      <c r="BH111" s="6">
        <f>BH$1*'survival matrix'!BH111</f>
        <v>31388.750313717705</v>
      </c>
      <c r="BI111" s="6">
        <f>BI$1*'survival matrix'!BI111</f>
        <v>36020.274353151734</v>
      </c>
      <c r="BJ111" s="6">
        <f>BJ$1*'survival matrix'!BJ111</f>
        <v>41206.410487090718</v>
      </c>
      <c r="BK111" s="6">
        <f>BK$1*'survival matrix'!BK111</f>
        <v>46920.632216952363</v>
      </c>
      <c r="BL111" s="6">
        <f>BL$1*'survival matrix'!BL111</f>
        <v>53345.156491267182</v>
      </c>
      <c r="BM111" s="6">
        <f>BM$1*'survival matrix'!BM111</f>
        <v>60572.058284753592</v>
      </c>
      <c r="BN111" s="6">
        <f>BN$1*'survival matrix'!BN111</f>
        <v>68777.036583883717</v>
      </c>
      <c r="BO111" s="6">
        <f>BO$1*'survival matrix'!BO111</f>
        <v>78497.271400423007</v>
      </c>
      <c r="BP111" s="6">
        <f>BP$1*'survival matrix'!BP111</f>
        <v>89017.946476344601</v>
      </c>
      <c r="BQ111" s="6">
        <f>BQ$1*'survival matrix'!BQ111</f>
        <v>100899.61584399843</v>
      </c>
      <c r="BR111" s="6">
        <f>BR$1*'survival matrix'!BR111</f>
        <v>112452.82613879759</v>
      </c>
      <c r="BS111" s="6">
        <f>BS$1*'survival matrix'!BS111</f>
        <v>126937.69231306255</v>
      </c>
      <c r="BT111" s="6">
        <f>BT$1*'survival matrix'!BT111</f>
        <v>141849.31727238657</v>
      </c>
      <c r="BU111" s="6">
        <f>BU$1*'survival matrix'!BU111</f>
        <v>152986.17417417627</v>
      </c>
      <c r="BV111" s="6">
        <f>BV$1*'survival matrix'!BV111</f>
        <v>165267.62982030731</v>
      </c>
      <c r="BW111" s="6">
        <f>BW$1*'survival matrix'!BW111</f>
        <v>178377.7315503108</v>
      </c>
      <c r="BX111" s="6">
        <f>BX$1*'survival matrix'!BX111</f>
        <v>192144.54993768112</v>
      </c>
      <c r="BY111" s="6">
        <f>BY$1*'survival matrix'!BY111</f>
        <v>206796.11377696128</v>
      </c>
      <c r="BZ111" s="6">
        <f>BZ$1*'survival matrix'!BZ111</f>
        <v>224241.05684777553</v>
      </c>
      <c r="CA111" s="6">
        <f>CA$1*'survival matrix'!CA111</f>
        <v>245956.77114504701</v>
      </c>
      <c r="CB111" s="6">
        <f>CB$1*'survival matrix'!CB111</f>
        <v>267788.83732045843</v>
      </c>
      <c r="CC111" s="6">
        <f>CC$1*'survival matrix'!CC111</f>
        <v>291997.51036671316</v>
      </c>
      <c r="CD111" s="6">
        <f>CD$1*'survival matrix'!CD111</f>
        <v>315379.18231211451</v>
      </c>
      <c r="CE111" s="6">
        <f>CE$1*'survival matrix'!CE111</f>
        <v>340305.35066271044</v>
      </c>
      <c r="CF111" s="6">
        <f>CF$1*'survival matrix'!CF111</f>
        <v>366568.48581339407</v>
      </c>
      <c r="CG111" s="6">
        <f>CG$1*'survival matrix'!CG111</f>
        <v>394157.85512828879</v>
      </c>
      <c r="CH111" s="6">
        <f>CH$1*'survival matrix'!CH111</f>
        <v>419994.33042318618</v>
      </c>
      <c r="CI111" s="6">
        <f>CI$1*'survival matrix'!CI111</f>
        <v>446540.08825694391</v>
      </c>
      <c r="CJ111" s="6">
        <f>CJ$1*'survival matrix'!CJ111</f>
        <v>474456.84211926121</v>
      </c>
      <c r="CK111" s="6">
        <f>CK$1*'survival matrix'!CK111</f>
        <v>502870.77957812313</v>
      </c>
      <c r="CL111" s="6">
        <f>CL$1*'survival matrix'!CL111</f>
        <v>536065.84323734872</v>
      </c>
      <c r="CM111" s="6">
        <f>CM$1*'survival matrix'!CM111</f>
        <v>571782.24095350737</v>
      </c>
      <c r="CN111" s="6">
        <f>CN$1*'survival matrix'!CN111</f>
        <v>606782.95537378557</v>
      </c>
      <c r="CO111" s="6">
        <f>CO$1*'survival matrix'!CO111</f>
        <v>643557.61200026399</v>
      </c>
      <c r="CP111" s="6">
        <f>CP$1*'survival matrix'!CP111</f>
        <v>683576.04994651629</v>
      </c>
      <c r="CQ111" s="6">
        <f>CQ$1*'survival matrix'!CQ111</f>
        <v>727673.27961664274</v>
      </c>
      <c r="CR111" s="6">
        <f>CR$1*'survival matrix'!CR111</f>
        <v>772702.79232175543</v>
      </c>
      <c r="CS111" s="6">
        <f>CS$1*'survival matrix'!CS111</f>
        <v>817528.50566807843</v>
      </c>
      <c r="CT111" s="6">
        <f>CT$1*'survival matrix'!CT111</f>
        <v>865603.60123431892</v>
      </c>
      <c r="CU111" s="6">
        <f>CU$1*'survival matrix'!CU111</f>
        <v>911792.04843509803</v>
      </c>
      <c r="CV111" s="6">
        <f>CV$1*'survival matrix'!CV111</f>
        <v>959081.47934349102</v>
      </c>
      <c r="CW111" s="6">
        <f>CW$1*'survival matrix'!CW111</f>
        <v>1009439.0663330484</v>
      </c>
      <c r="CX111" s="6">
        <f>CX$1*'survival matrix'!CX111</f>
        <v>1054657.2095700945</v>
      </c>
      <c r="CY111" s="6">
        <f>CY$1*'survival matrix'!CY111</f>
        <v>1090402.0658048969</v>
      </c>
      <c r="CZ111" s="6">
        <f>CZ$1*'survival matrix'!CZ111</f>
        <v>1140689.6228971183</v>
      </c>
      <c r="DA111" s="6">
        <f>DA$1*'survival matrix'!DA111</f>
        <v>1173059.1865330792</v>
      </c>
      <c r="DB111" s="6">
        <f>DB$1*'survival matrix'!DB111</f>
        <v>1211139.7130566847</v>
      </c>
      <c r="DC111" s="6">
        <f>DC$1*'survival matrix'!DC111</f>
        <v>1251050.4495519004</v>
      </c>
      <c r="DD111" s="6">
        <f>DD$1*'survival matrix'!DD111</f>
        <v>1286000.5471996914</v>
      </c>
      <c r="DE111" s="6">
        <f>DE$1*'survival matrix'!DE111</f>
        <v>1312172.2336913547</v>
      </c>
      <c r="DF111" s="6">
        <f>DF$1*'survival matrix'!DF111</f>
        <v>1339101.8470731298</v>
      </c>
      <c r="DG111" s="6">
        <f>DG$1*'survival matrix'!DG111</f>
        <v>1364607.8567472957</v>
      </c>
      <c r="DH111" s="6">
        <f>DH$1*'survival matrix'!DH111</f>
        <v>1388546.9238875231</v>
      </c>
      <c r="DI111" s="6">
        <f>DI$1*'survival matrix'!DI111</f>
        <v>1412551.9981025986</v>
      </c>
      <c r="DJ111" s="6">
        <f>DJ$1*'survival matrix'!DJ111</f>
        <v>1434895.1869491274</v>
      </c>
      <c r="DK111" s="6">
        <f>DK$1*'survival matrix'!DK111</f>
        <v>0</v>
      </c>
      <c r="DL111" s="6">
        <f>DL$1*'survival matrix'!DL111</f>
        <v>0</v>
      </c>
      <c r="DM111" s="6">
        <f>DM$1*'survival matrix'!DM111</f>
        <v>0</v>
      </c>
      <c r="DN111" s="6">
        <f>DN$1*'survival matrix'!DN111</f>
        <v>0</v>
      </c>
      <c r="DO111" s="6">
        <f>DO$1*'survival matrix'!DO111</f>
        <v>0</v>
      </c>
      <c r="DP111" s="6">
        <f>DP$1*'survival matrix'!DP111</f>
        <v>0</v>
      </c>
      <c r="DQ111" s="6">
        <f>DQ$1*'survival matrix'!DQ111</f>
        <v>0</v>
      </c>
      <c r="DR111" s="6">
        <f>DR$1*'survival matrix'!DR111</f>
        <v>0</v>
      </c>
      <c r="DS111" s="6">
        <f>DS$1*'survival matrix'!DS111</f>
        <v>0</v>
      </c>
      <c r="DT111" s="6">
        <f>DT$1*'survival matrix'!DT111</f>
        <v>0</v>
      </c>
      <c r="DU111" s="6">
        <f>DU$1*'survival matrix'!DU111</f>
        <v>0</v>
      </c>
      <c r="DV111" s="6">
        <f>DV$1*'survival matrix'!DV111</f>
        <v>0</v>
      </c>
      <c r="DW111" s="6">
        <f>DW$1*'survival matrix'!DW111</f>
        <v>0</v>
      </c>
      <c r="DX111" s="6">
        <f>DX$1*'survival matrix'!DX111</f>
        <v>0</v>
      </c>
      <c r="DY111" s="6">
        <f>DY$1*'survival matrix'!DY111</f>
        <v>0</v>
      </c>
      <c r="DZ111" s="6">
        <f>DZ$1*'survival matrix'!DZ111</f>
        <v>0</v>
      </c>
      <c r="EA111" s="6">
        <f>EA$1*'survival matrix'!EA111</f>
        <v>0</v>
      </c>
      <c r="EB111" s="6">
        <f>EB$1*'survival matrix'!EB111</f>
        <v>0</v>
      </c>
      <c r="EC111" s="6">
        <f>EC$1*'survival matrix'!EC111</f>
        <v>0</v>
      </c>
    </row>
    <row r="112" spans="1:133">
      <c r="A112" s="12">
        <f>'data input'!C112-B112</f>
        <v>391144.67665326642</v>
      </c>
      <c r="B112" s="14">
        <f t="shared" si="3"/>
        <v>1069549.2814181671</v>
      </c>
      <c r="C112" s="11">
        <f>SUM(F112:EC112)</f>
        <v>32979998.282125175</v>
      </c>
      <c r="E112" s="7">
        <f>'data input'!B112</f>
        <v>1987</v>
      </c>
      <c r="F112" s="6">
        <f>F$1*'survival matrix'!F112</f>
        <v>3.7041758234828705E-4</v>
      </c>
      <c r="G112" s="6">
        <f>G$1*'survival matrix'!G112</f>
        <v>1.1084020808432089E-3</v>
      </c>
      <c r="H112" s="6">
        <f>H$1*'survival matrix'!H112</f>
        <v>2.4713226814123781E-3</v>
      </c>
      <c r="I112" s="6">
        <f>I$1*'survival matrix'!I112</f>
        <v>4.8742043940448281E-3</v>
      </c>
      <c r="J112" s="6">
        <f>J$1*'survival matrix'!J112</f>
        <v>8.9644352015833956E-3</v>
      </c>
      <c r="K112" s="6">
        <f>K$1*'survival matrix'!K112</f>
        <v>1.5743029528701713E-2</v>
      </c>
      <c r="L112" s="6">
        <f>L$1*'survival matrix'!L112</f>
        <v>2.6742771952049278E-2</v>
      </c>
      <c r="M112" s="6">
        <f>M$1*'survival matrix'!M112</f>
        <v>4.42616445259299E-2</v>
      </c>
      <c r="N112" s="6">
        <f>N$1*'survival matrix'!N112</f>
        <v>7.1695271514442993E-2</v>
      </c>
      <c r="O112" s="6">
        <f>O$1*'survival matrix'!O112</f>
        <v>0.11402534781337861</v>
      </c>
      <c r="P112" s="6">
        <f>P$1*'survival matrix'!P112</f>
        <v>0.17857000815533178</v>
      </c>
      <c r="Q112" s="6">
        <f>Q$1*'survival matrix'!Q112</f>
        <v>0.27591207468961498</v>
      </c>
      <c r="R112" s="6">
        <f>R$1*'survival matrix'!R112</f>
        <v>0.42112738910063646</v>
      </c>
      <c r="S112" s="6">
        <f>S$1*'survival matrix'!S112</f>
        <v>0.63546942530571027</v>
      </c>
      <c r="T112" s="6">
        <f>T$1*'survival matrix'!T112</f>
        <v>0.94862400303854011</v>
      </c>
      <c r="U112" s="6">
        <f>U$1*'survival matrix'!U112</f>
        <v>1.4020871160114809</v>
      </c>
      <c r="V112" s="6">
        <f>V$1*'survival matrix'!V112</f>
        <v>2.0526658517421952</v>
      </c>
      <c r="W112" s="6">
        <f>W$1*'survival matrix'!W112</f>
        <v>2.9785445372633861</v>
      </c>
      <c r="X112" s="6">
        <f>X$1*'survival matrix'!X112</f>
        <v>4.2854276829214326</v>
      </c>
      <c r="Y112" s="6">
        <f>Y$1*'survival matrix'!Y112</f>
        <v>6.1150212371643127</v>
      </c>
      <c r="Z112" s="6">
        <f>Z$1*'survival matrix'!Z112</f>
        <v>8.6569731114509647</v>
      </c>
      <c r="AA112" s="6">
        <f>AA$1*'survival matrix'!AA112</f>
        <v>12.161923765401344</v>
      </c>
      <c r="AB112" s="6">
        <f>AB$1*'survival matrix'!AB112</f>
        <v>16.956797237667274</v>
      </c>
      <c r="AC112" s="6">
        <f>AC$1*'survival matrix'!AC112</f>
        <v>23.563618291137239</v>
      </c>
      <c r="AD112" s="6">
        <f>AD$1*'survival matrix'!AD112</f>
        <v>32.774878107037118</v>
      </c>
      <c r="AE112" s="6">
        <f>AE$1*'survival matrix'!AE112</f>
        <v>45.1842391451476</v>
      </c>
      <c r="AF112" s="6">
        <f>AF$1*'survival matrix'!AF112</f>
        <v>61.22214487232435</v>
      </c>
      <c r="AG112" s="6">
        <f>AG$1*'survival matrix'!AG112</f>
        <v>82.629054638334466</v>
      </c>
      <c r="AH112" s="6">
        <f>AH$1*'survival matrix'!AH112</f>
        <v>110.38716695043377</v>
      </c>
      <c r="AI112" s="6">
        <f>AI$1*'survival matrix'!AI112</f>
        <v>149.58554627373016</v>
      </c>
      <c r="AJ112" s="6">
        <f>AJ$1*'survival matrix'!AJ112</f>
        <v>197.93256418407623</v>
      </c>
      <c r="AK112" s="6">
        <f>AK$1*'survival matrix'!AK112</f>
        <v>259.00346539942893</v>
      </c>
      <c r="AL112" s="6">
        <f>AL$1*'survival matrix'!AL112</f>
        <v>337.27620967199272</v>
      </c>
      <c r="AM112" s="6">
        <f>AM$1*'survival matrix'!AM112</f>
        <v>437.12062747818294</v>
      </c>
      <c r="AN112" s="6">
        <f>AN$1*'survival matrix'!AN112</f>
        <v>557.38286626015065</v>
      </c>
      <c r="AO112" s="6">
        <f>AO$1*'survival matrix'!AO112</f>
        <v>705.9535376324543</v>
      </c>
      <c r="AP112" s="6">
        <f>AP$1*'survival matrix'!AP112</f>
        <v>885.325508969574</v>
      </c>
      <c r="AQ112" s="6">
        <f>AQ$1*'survival matrix'!AQ112</f>
        <v>1110.5720908130625</v>
      </c>
      <c r="AR112" s="6">
        <f>AR$1*'survival matrix'!AR112</f>
        <v>1393.4723956921705</v>
      </c>
      <c r="AS112" s="6">
        <f>AS$1*'survival matrix'!AS112</f>
        <v>1738.1878011334866</v>
      </c>
      <c r="AT112" s="6">
        <f>AT$1*'survival matrix'!AT112</f>
        <v>2177.9865495856789</v>
      </c>
      <c r="AU112" s="6">
        <f>AU$1*'survival matrix'!AU112</f>
        <v>2715.0857752925403</v>
      </c>
      <c r="AV112" s="6">
        <f>AV$1*'survival matrix'!AV112</f>
        <v>3343.1113019222535</v>
      </c>
      <c r="AW112" s="6">
        <f>AW$1*'survival matrix'!AW112</f>
        <v>4103.613863951281</v>
      </c>
      <c r="AX112" s="6">
        <f>AX$1*'survival matrix'!AX112</f>
        <v>5006.6999683402601</v>
      </c>
      <c r="AY112" s="6">
        <f>AY$1*'survival matrix'!AY112</f>
        <v>6113.581714711836</v>
      </c>
      <c r="AZ112" s="6">
        <f>AZ$1*'survival matrix'!AZ112</f>
        <v>7399.9859869574975</v>
      </c>
      <c r="BA112" s="6">
        <f>BA$1*'survival matrix'!BA112</f>
        <v>8871.1566528127041</v>
      </c>
      <c r="BB112" s="6">
        <f>BB$1*'survival matrix'!BB112</f>
        <v>10620.631701141685</v>
      </c>
      <c r="BC112" s="6">
        <f>BC$1*'survival matrix'!BC112</f>
        <v>12656.359452453968</v>
      </c>
      <c r="BD112" s="6">
        <f>BD$1*'survival matrix'!BD112</f>
        <v>15036.460480479849</v>
      </c>
      <c r="BE112" s="6">
        <f>BE$1*'survival matrix'!BE112</f>
        <v>17745.712614596712</v>
      </c>
      <c r="BF112" s="6">
        <f>BF$1*'survival matrix'!BF112</f>
        <v>20730.68734006361</v>
      </c>
      <c r="BG112" s="6">
        <f>BG$1*'survival matrix'!BG112</f>
        <v>24092.295277455709</v>
      </c>
      <c r="BH112" s="6">
        <f>BH$1*'survival matrix'!BH112</f>
        <v>27848.347705473643</v>
      </c>
      <c r="BI112" s="6">
        <f>BI$1*'survival matrix'!BI112</f>
        <v>32102.799667270818</v>
      </c>
      <c r="BJ112" s="6">
        <f>BJ$1*'survival matrix'!BJ112</f>
        <v>36890.106769691891</v>
      </c>
      <c r="BK112" s="6">
        <f>BK$1*'survival matrix'!BK112</f>
        <v>42192.558758413004</v>
      </c>
      <c r="BL112" s="6">
        <f>BL$1*'survival matrix'!BL112</f>
        <v>48180.396893050303</v>
      </c>
      <c r="BM112" s="6">
        <f>BM$1*'survival matrix'!BM112</f>
        <v>54944.770830107256</v>
      </c>
      <c r="BN112" s="6">
        <f>BN$1*'survival matrix'!BN112</f>
        <v>62654.198150120523</v>
      </c>
      <c r="BO112" s="6">
        <f>BO$1*'survival matrix'!BO112</f>
        <v>71810.290020914385</v>
      </c>
      <c r="BP112" s="6">
        <f>BP$1*'survival matrix'!BP112</f>
        <v>81772.346634891946</v>
      </c>
      <c r="BQ112" s="6">
        <f>BQ$1*'survival matrix'!BQ112</f>
        <v>93064.733462945078</v>
      </c>
      <c r="BR112" s="6">
        <f>BR$1*'survival matrix'!BR112</f>
        <v>104136.08786462904</v>
      </c>
      <c r="BS112" s="6">
        <f>BS$1*'survival matrix'!BS112</f>
        <v>118011.35100402299</v>
      </c>
      <c r="BT112" s="6">
        <f>BT$1*'survival matrix'!BT112</f>
        <v>132381.79287191067</v>
      </c>
      <c r="BU112" s="6">
        <f>BU$1*'survival matrix'!BU112</f>
        <v>143312.80624728676</v>
      </c>
      <c r="BV112" s="6">
        <f>BV$1*'survival matrix'!BV112</f>
        <v>155387.05695693925</v>
      </c>
      <c r="BW112" s="6">
        <f>BW$1*'survival matrix'!BW112</f>
        <v>168314.97243100512</v>
      </c>
      <c r="BX112" s="6">
        <f>BX$1*'survival matrix'!BX112</f>
        <v>181938.46441057476</v>
      </c>
      <c r="BY112" s="6">
        <f>BY$1*'survival matrix'!BY112</f>
        <v>196476.61786349377</v>
      </c>
      <c r="BZ112" s="6">
        <f>BZ$1*'survival matrix'!BZ112</f>
        <v>213752.81556712597</v>
      </c>
      <c r="CA112" s="6">
        <f>CA$1*'survival matrix'!CA112</f>
        <v>235200.57126444648</v>
      </c>
      <c r="CB112" s="6">
        <f>CB$1*'survival matrix'!CB112</f>
        <v>256866.90632840319</v>
      </c>
      <c r="CC112" s="6">
        <f>CC$1*'survival matrix'!CC112</f>
        <v>280920.07647227019</v>
      </c>
      <c r="CD112" s="6">
        <f>CD$1*'survival matrix'!CD112</f>
        <v>304281.23009573616</v>
      </c>
      <c r="CE112" s="6">
        <f>CE$1*'survival matrix'!CE112</f>
        <v>329229.56449762103</v>
      </c>
      <c r="CF112" s="6">
        <f>CF$1*'survival matrix'!CF112</f>
        <v>355566.99914591754</v>
      </c>
      <c r="CG112" s="6">
        <f>CG$1*'survival matrix'!CG112</f>
        <v>383283.6157316161</v>
      </c>
      <c r="CH112" s="6">
        <f>CH$1*'survival matrix'!CH112</f>
        <v>409377.53777646308</v>
      </c>
      <c r="CI112" s="6">
        <f>CI$1*'survival matrix'!CI112</f>
        <v>436232.27454038954</v>
      </c>
      <c r="CJ112" s="6">
        <f>CJ$1*'survival matrix'!CJ112</f>
        <v>464490.40450624743</v>
      </c>
      <c r="CK112" s="6">
        <f>CK$1*'survival matrix'!CK112</f>
        <v>493293.02834549989</v>
      </c>
      <c r="CL112" s="6">
        <f>CL$1*'survival matrix'!CL112</f>
        <v>526843.06023956439</v>
      </c>
      <c r="CM112" s="6">
        <f>CM$1*'survival matrix'!CM112</f>
        <v>562930.46486905636</v>
      </c>
      <c r="CN112" s="6">
        <f>CN$1*'survival matrix'!CN112</f>
        <v>598364.05626469338</v>
      </c>
      <c r="CO112" s="6">
        <f>CO$1*'survival matrix'!CO112</f>
        <v>635587.84175852872</v>
      </c>
      <c r="CP112" s="6">
        <f>CP$1*'survival matrix'!CP112</f>
        <v>676052.11431500525</v>
      </c>
      <c r="CQ112" s="6">
        <f>CQ$1*'survival matrix'!CQ112</f>
        <v>720585.52730376401</v>
      </c>
      <c r="CR112" s="6">
        <f>CR$1*'survival matrix'!CR112</f>
        <v>766072.01105901145</v>
      </c>
      <c r="CS112" s="6">
        <f>CS$1*'survival matrix'!CS112</f>
        <v>811375.94946767145</v>
      </c>
      <c r="CT112" s="6">
        <f>CT$1*'survival matrix'!CT112</f>
        <v>859917.05305472063</v>
      </c>
      <c r="CU112" s="6">
        <f>CU$1*'survival matrix'!CU112</f>
        <v>906588.04743200168</v>
      </c>
      <c r="CV112" s="6">
        <f>CV$1*'survival matrix'!CV112</f>
        <v>954348.8263069524</v>
      </c>
      <c r="CW112" s="6">
        <f>CW$1*'survival matrix'!CW112</f>
        <v>1005153.6226438895</v>
      </c>
      <c r="CX112" s="6">
        <f>CX$1*'survival matrix'!CX112</f>
        <v>1050824.391060337</v>
      </c>
      <c r="CY112" s="6">
        <f>CY$1*'survival matrix'!CY112</f>
        <v>1087027.0334766915</v>
      </c>
      <c r="CZ112" s="6">
        <f>CZ$1*'survival matrix'!CZ112</f>
        <v>1137697.997818219</v>
      </c>
      <c r="DA112" s="6">
        <f>DA$1*'survival matrix'!DA112</f>
        <v>1170465.9293596591</v>
      </c>
      <c r="DB112" s="6">
        <f>DB$1*'survival matrix'!DB112</f>
        <v>1208894.6967030733</v>
      </c>
      <c r="DC112" s="6">
        <f>DC$1*'survival matrix'!DC112</f>
        <v>1249116.2924474517</v>
      </c>
      <c r="DD112" s="6">
        <f>DD$1*'survival matrix'!DD112</f>
        <v>1284351.160253261</v>
      </c>
      <c r="DE112" s="6">
        <f>DE$1*'survival matrix'!DE112</f>
        <v>1310783.5847197019</v>
      </c>
      <c r="DF112" s="6">
        <f>DF$1*'survival matrix'!DF112</f>
        <v>1337938.8564331948</v>
      </c>
      <c r="DG112" s="6">
        <f>DG$1*'survival matrix'!DG112</f>
        <v>1363640.561449118</v>
      </c>
      <c r="DH112" s="6">
        <f>DH$1*'survival matrix'!DH112</f>
        <v>1387747.9793999207</v>
      </c>
      <c r="DI112" s="6">
        <f>DI$1*'survival matrix'!DI112</f>
        <v>1411895.8955201108</v>
      </c>
      <c r="DJ112" s="6">
        <f>DJ$1*'survival matrix'!DJ112</f>
        <v>1434360.1339869131</v>
      </c>
      <c r="DK112" s="6">
        <f>DK$1*'survival matrix'!DK112</f>
        <v>1458722.1701726189</v>
      </c>
      <c r="DL112" s="6">
        <f>DL$1*'survival matrix'!DL112</f>
        <v>0</v>
      </c>
      <c r="DM112" s="6">
        <f>DM$1*'survival matrix'!DM112</f>
        <v>0</v>
      </c>
      <c r="DN112" s="6">
        <f>DN$1*'survival matrix'!DN112</f>
        <v>0</v>
      </c>
      <c r="DO112" s="6">
        <f>DO$1*'survival matrix'!DO112</f>
        <v>0</v>
      </c>
      <c r="DP112" s="6">
        <f>DP$1*'survival matrix'!DP112</f>
        <v>0</v>
      </c>
      <c r="DQ112" s="6">
        <f>DQ$1*'survival matrix'!DQ112</f>
        <v>0</v>
      </c>
      <c r="DR112" s="6">
        <f>DR$1*'survival matrix'!DR112</f>
        <v>0</v>
      </c>
      <c r="DS112" s="6">
        <f>DS$1*'survival matrix'!DS112</f>
        <v>0</v>
      </c>
      <c r="DT112" s="6">
        <f>DT$1*'survival matrix'!DT112</f>
        <v>0</v>
      </c>
      <c r="DU112" s="6">
        <f>DU$1*'survival matrix'!DU112</f>
        <v>0</v>
      </c>
      <c r="DV112" s="6">
        <f>DV$1*'survival matrix'!DV112</f>
        <v>0</v>
      </c>
      <c r="DW112" s="6">
        <f>DW$1*'survival matrix'!DW112</f>
        <v>0</v>
      </c>
      <c r="DX112" s="6">
        <f>DX$1*'survival matrix'!DX112</f>
        <v>0</v>
      </c>
      <c r="DY112" s="6">
        <f>DY$1*'survival matrix'!DY112</f>
        <v>0</v>
      </c>
      <c r="DZ112" s="6">
        <f>DZ$1*'survival matrix'!DZ112</f>
        <v>0</v>
      </c>
      <c r="EA112" s="6">
        <f>EA$1*'survival matrix'!EA112</f>
        <v>0</v>
      </c>
      <c r="EB112" s="6">
        <f>EB$1*'survival matrix'!EB112</f>
        <v>0</v>
      </c>
      <c r="EC112" s="6">
        <f>EC$1*'survival matrix'!EC112</f>
        <v>0</v>
      </c>
    </row>
    <row r="113" spans="1:133">
      <c r="A113" s="12">
        <f>'data input'!C113-B113</f>
        <v>405934.40494062565</v>
      </c>
      <c r="B113" s="14">
        <f t="shared" si="3"/>
        <v>1076660.1243261322</v>
      </c>
      <c r="C113" s="11">
        <f>SUM(F113:EC113)</f>
        <v>34056658.406451307</v>
      </c>
      <c r="E113" s="7">
        <f>'data input'!B113</f>
        <v>1988</v>
      </c>
      <c r="F113" s="6">
        <f>F$1*'survival matrix'!F113</f>
        <v>2.4720275227165916E-4</v>
      </c>
      <c r="G113" s="6">
        <f>G$1*'survival matrix'!G113</f>
        <v>7.4374920158199701E-4</v>
      </c>
      <c r="H113" s="6">
        <f>H$1*'survival matrix'!H113</f>
        <v>1.6673402922755748E-3</v>
      </c>
      <c r="I113" s="6">
        <f>I$1*'survival matrix'!I113</f>
        <v>3.3064519118931155E-3</v>
      </c>
      <c r="J113" s="6">
        <f>J$1*'survival matrix'!J113</f>
        <v>6.1142486219472126E-3</v>
      </c>
      <c r="K113" s="6">
        <f>K$1*'survival matrix'!K113</f>
        <v>1.0796129682289969E-2</v>
      </c>
      <c r="L113" s="6">
        <f>L$1*'survival matrix'!L113</f>
        <v>1.8439268192727409E-2</v>
      </c>
      <c r="M113" s="6">
        <f>M$1*'survival matrix'!M113</f>
        <v>3.0684571422111083E-2</v>
      </c>
      <c r="N113" s="6">
        <f>N$1*'survival matrix'!N113</f>
        <v>4.9973064321840545E-2</v>
      </c>
      <c r="O113" s="6">
        <f>O$1*'survival matrix'!O113</f>
        <v>7.9909319715543117E-2</v>
      </c>
      <c r="P113" s="6">
        <f>P$1*'survival matrix'!P113</f>
        <v>0.1258208531324182</v>
      </c>
      <c r="Q113" s="6">
        <f>Q$1*'survival matrix'!Q113</f>
        <v>0.19546109041771662</v>
      </c>
      <c r="R113" s="6">
        <f>R$1*'survival matrix'!R113</f>
        <v>0.29994796923852723</v>
      </c>
      <c r="S113" s="6">
        <f>S$1*'survival matrix'!S113</f>
        <v>0.45505841111402939</v>
      </c>
      <c r="T113" s="6">
        <f>T$1*'survival matrix'!T113</f>
        <v>0.6829733451498311</v>
      </c>
      <c r="U113" s="6">
        <f>U$1*'survival matrix'!U113</f>
        <v>1.0148895921613221</v>
      </c>
      <c r="V113" s="6">
        <f>V$1*'survival matrix'!V113</f>
        <v>1.4938021789082281</v>
      </c>
      <c r="W113" s="6">
        <f>W$1*'survival matrix'!W113</f>
        <v>2.1792482689693609</v>
      </c>
      <c r="X113" s="6">
        <f>X$1*'survival matrix'!X113</f>
        <v>3.1522538125648278</v>
      </c>
      <c r="Y113" s="6">
        <f>Y$1*'survival matrix'!Y113</f>
        <v>4.5221592376995519</v>
      </c>
      <c r="Z113" s="6">
        <f>Z$1*'survival matrix'!Z113</f>
        <v>6.4362240427278099</v>
      </c>
      <c r="AA113" s="6">
        <f>AA$1*'survival matrix'!AA113</f>
        <v>9.0903528395209108</v>
      </c>
      <c r="AB113" s="6">
        <f>AB$1*'survival matrix'!AB113</f>
        <v>12.741826381444028</v>
      </c>
      <c r="AC113" s="6">
        <f>AC$1*'survival matrix'!AC113</f>
        <v>17.800617560053528</v>
      </c>
      <c r="AD113" s="6">
        <f>AD$1*'survival matrix'!AD113</f>
        <v>24.890583222796597</v>
      </c>
      <c r="AE113" s="6">
        <f>AE$1*'survival matrix'!AE113</f>
        <v>34.496682476493184</v>
      </c>
      <c r="AF113" s="6">
        <f>AF$1*'survival matrix'!AF113</f>
        <v>46.988387499980966</v>
      </c>
      <c r="AG113" s="6">
        <f>AG$1*'survival matrix'!AG113</f>
        <v>63.75312698697347</v>
      </c>
      <c r="AH113" s="6">
        <f>AH$1*'survival matrix'!AH113</f>
        <v>85.618741885314208</v>
      </c>
      <c r="AI113" s="6">
        <f>AI$1*'survival matrix'!AI113</f>
        <v>116.63154825663662</v>
      </c>
      <c r="AJ113" s="6">
        <f>AJ$1*'survival matrix'!AJ113</f>
        <v>155.13656645592923</v>
      </c>
      <c r="AK113" s="6">
        <f>AK$1*'survival matrix'!AK113</f>
        <v>204.06433809666888</v>
      </c>
      <c r="AL113" s="6">
        <f>AL$1*'survival matrix'!AL113</f>
        <v>267.11955953832785</v>
      </c>
      <c r="AM113" s="6">
        <f>AM$1*'survival matrix'!AM113</f>
        <v>347.99520465482175</v>
      </c>
      <c r="AN113" s="6">
        <f>AN$1*'survival matrix'!AN113</f>
        <v>446.03689038405537</v>
      </c>
      <c r="AO113" s="6">
        <f>AO$1*'survival matrix'!AO113</f>
        <v>567.84707925885471</v>
      </c>
      <c r="AP113" s="6">
        <f>AP$1*'survival matrix'!AP113</f>
        <v>715.79544791307217</v>
      </c>
      <c r="AQ113" s="6">
        <f>AQ$1*'survival matrix'!AQ113</f>
        <v>902.51741337426347</v>
      </c>
      <c r="AR113" s="6">
        <f>AR$1*'survival matrix'!AR113</f>
        <v>1138.208715988555</v>
      </c>
      <c r="AS113" s="6">
        <f>AS$1*'survival matrix'!AS113</f>
        <v>1427.0078288829925</v>
      </c>
      <c r="AT113" s="6">
        <f>AT$1*'survival matrix'!AT113</f>
        <v>1797.1402253246861</v>
      </c>
      <c r="AU113" s="6">
        <f>AU$1*'survival matrix'!AU113</f>
        <v>2251.634953255063</v>
      </c>
      <c r="AV113" s="6">
        <f>AV$1*'survival matrix'!AV113</f>
        <v>2786.3969414013354</v>
      </c>
      <c r="AW113" s="6">
        <f>AW$1*'survival matrix'!AW113</f>
        <v>3437.3671440299363</v>
      </c>
      <c r="AX113" s="6">
        <f>AX$1*'survival matrix'!AX113</f>
        <v>4214.7062791998187</v>
      </c>
      <c r="AY113" s="6">
        <f>AY$1*'survival matrix'!AY113</f>
        <v>5171.9730319627552</v>
      </c>
      <c r="AZ113" s="6">
        <f>AZ$1*'survival matrix'!AZ113</f>
        <v>6291.0637223308095</v>
      </c>
      <c r="BA113" s="6">
        <f>BA$1*'survival matrix'!BA113</f>
        <v>7578.675951610091</v>
      </c>
      <c r="BB113" s="6">
        <f>BB$1*'survival matrix'!BB113</f>
        <v>9117.3772319817181</v>
      </c>
      <c r="BC113" s="6">
        <f>BC$1*'survival matrix'!BC113</f>
        <v>10917.438268333795</v>
      </c>
      <c r="BD113" s="6">
        <f>BD$1*'survival matrix'!BD113</f>
        <v>13032.720294551928</v>
      </c>
      <c r="BE113" s="6">
        <f>BE$1*'survival matrix'!BE113</f>
        <v>15454.137778053173</v>
      </c>
      <c r="BF113" s="6">
        <f>BF$1*'survival matrix'!BF113</f>
        <v>18138.879662906114</v>
      </c>
      <c r="BG113" s="6">
        <f>BG$1*'survival matrix'!BG113</f>
        <v>21178.882263321382</v>
      </c>
      <c r="BH113" s="6">
        <f>BH$1*'survival matrix'!BH113</f>
        <v>24594.282684386493</v>
      </c>
      <c r="BI113" s="6">
        <f>BI$1*'survival matrix'!BI113</f>
        <v>28481.857943309569</v>
      </c>
      <c r="BJ113" s="6">
        <f>BJ$1*'survival matrix'!BJ113</f>
        <v>32878.031292063904</v>
      </c>
      <c r="BK113" s="6">
        <f>BK$1*'survival matrix'!BK113</f>
        <v>37772.957631725192</v>
      </c>
      <c r="BL113" s="6">
        <f>BL$1*'survival matrix'!BL113</f>
        <v>43325.380133714752</v>
      </c>
      <c r="BM113" s="6">
        <f>BM$1*'survival matrix'!BM113</f>
        <v>49625.14012355794</v>
      </c>
      <c r="BN113" s="6">
        <f>BN$1*'survival matrix'!BN113</f>
        <v>56833.474978165112</v>
      </c>
      <c r="BO113" s="6">
        <f>BO$1*'survival matrix'!BO113</f>
        <v>65417.417842662304</v>
      </c>
      <c r="BP113" s="6">
        <f>BP$1*'survival matrix'!BP113</f>
        <v>74806.369989450221</v>
      </c>
      <c r="BQ113" s="6">
        <f>BQ$1*'survival matrix'!BQ113</f>
        <v>85489.746118082665</v>
      </c>
      <c r="BR113" s="6">
        <f>BR$1*'survival matrix'!BR113</f>
        <v>96049.892558356849</v>
      </c>
      <c r="BS113" s="6">
        <f>BS$1*'survival matrix'!BS113</f>
        <v>109283.51771266492</v>
      </c>
      <c r="BT113" s="6">
        <f>BT$1*'survival matrix'!BT113</f>
        <v>123072.6188610668</v>
      </c>
      <c r="BU113" s="6">
        <f>BU$1*'survival matrix'!BU113</f>
        <v>133747.6034240583</v>
      </c>
      <c r="BV113" s="6">
        <f>BV$1*'survival matrix'!BV113</f>
        <v>145561.88039353493</v>
      </c>
      <c r="BW113" s="6">
        <f>BW$1*'survival matrix'!BW113</f>
        <v>158252.21331169945</v>
      </c>
      <c r="BX113" s="6">
        <f>BX$1*'survival matrix'!BX113</f>
        <v>171674.83494299397</v>
      </c>
      <c r="BY113" s="6">
        <f>BY$1*'survival matrix'!BY113</f>
        <v>186040.42715893418</v>
      </c>
      <c r="BZ113" s="6">
        <f>BZ$1*'survival matrix'!BZ113</f>
        <v>203086.16779290227</v>
      </c>
      <c r="CA113" s="6">
        <f>CA$1*'survival matrix'!CA113</f>
        <v>224199.72969044905</v>
      </c>
      <c r="CB113" s="6">
        <f>CB$1*'survival matrix'!CB113</f>
        <v>245633.5836013357</v>
      </c>
      <c r="CC113" s="6">
        <f>CC$1*'survival matrix'!CC113</f>
        <v>269462.57988572889</v>
      </c>
      <c r="CD113" s="6">
        <f>CD$1*'survival matrix'!CD113</f>
        <v>292737.79190863593</v>
      </c>
      <c r="CE113" s="6">
        <f>CE$1*'survival matrix'!CE113</f>
        <v>317644.2279252226</v>
      </c>
      <c r="CF113" s="6">
        <f>CF$1*'survival matrix'!CF113</f>
        <v>343994.49803115841</v>
      </c>
      <c r="CG113" s="6">
        <f>CG$1*'survival matrix'!CG113</f>
        <v>371780.47306790081</v>
      </c>
      <c r="CH113" s="6">
        <f>CH$1*'survival matrix'!CH113</f>
        <v>398083.40957000433</v>
      </c>
      <c r="CI113" s="6">
        <f>CI$1*'survival matrix'!CI113</f>
        <v>425205.01233916625</v>
      </c>
      <c r="CJ113" s="6">
        <f>CJ$1*'survival matrix'!CJ113</f>
        <v>453768.23042000423</v>
      </c>
      <c r="CK113" s="6">
        <f>CK$1*'survival matrix'!CK113</f>
        <v>482930.91791627719</v>
      </c>
      <c r="CL113" s="6">
        <f>CL$1*'survival matrix'!CL113</f>
        <v>516808.72940443066</v>
      </c>
      <c r="CM113" s="6">
        <f>CM$1*'survival matrix'!CM113</f>
        <v>553245.48757414881</v>
      </c>
      <c r="CN113" s="6">
        <f>CN$1*'survival matrix'!CN113</f>
        <v>589100.76639020152</v>
      </c>
      <c r="CO113" s="6">
        <f>CO$1*'survival matrix'!CO113</f>
        <v>626769.28502857836</v>
      </c>
      <c r="CP113" s="6">
        <f>CP$1*'survival matrix'!CP113</f>
        <v>667679.93454110238</v>
      </c>
      <c r="CQ113" s="6">
        <f>CQ$1*'survival matrix'!CQ113</f>
        <v>712654.23842251056</v>
      </c>
      <c r="CR113" s="6">
        <f>CR$1*'survival matrix'!CR113</f>
        <v>758610.24377922935</v>
      </c>
      <c r="CS113" s="6">
        <f>CS$1*'survival matrix'!CS113</f>
        <v>804413.30290261144</v>
      </c>
      <c r="CT113" s="6">
        <f>CT$1*'survival matrix'!CT113</f>
        <v>853445.48911544983</v>
      </c>
      <c r="CU113" s="6">
        <f>CU$1*'survival matrix'!CU113</f>
        <v>900632.25357506925</v>
      </c>
      <c r="CV113" s="6">
        <f>CV$1*'survival matrix'!CV113</f>
        <v>948901.93492647924</v>
      </c>
      <c r="CW113" s="6">
        <f>CW$1*'survival matrix'!CW113</f>
        <v>1000193.623470879</v>
      </c>
      <c r="CX113" s="6">
        <f>CX$1*'survival matrix'!CX113</f>
        <v>1046363.251299378</v>
      </c>
      <c r="CY113" s="6">
        <f>CY$1*'survival matrix'!CY113</f>
        <v>1083076.577066106</v>
      </c>
      <c r="CZ113" s="6">
        <f>CZ$1*'survival matrix'!CZ113</f>
        <v>1134176.5742600781</v>
      </c>
      <c r="DA113" s="6">
        <f>DA$1*'survival matrix'!DA113</f>
        <v>1167396.2115696645</v>
      </c>
      <c r="DB113" s="6">
        <f>DB$1*'survival matrix'!DB113</f>
        <v>1206222.2187240208</v>
      </c>
      <c r="DC113" s="6">
        <f>DC$1*'survival matrix'!DC113</f>
        <v>1246800.8812080421</v>
      </c>
      <c r="DD113" s="6">
        <f>DD$1*'survival matrix'!DD113</f>
        <v>1282365.5193687545</v>
      </c>
      <c r="DE113" s="6">
        <f>DE$1*'survival matrix'!DE113</f>
        <v>1309102.4117692395</v>
      </c>
      <c r="DF113" s="6">
        <f>DF$1*'survival matrix'!DF113</f>
        <v>1336522.9390944371</v>
      </c>
      <c r="DG113" s="6">
        <f>DG$1*'survival matrix'!DG113</f>
        <v>1362456.2592896763</v>
      </c>
      <c r="DH113" s="6">
        <f>DH$1*'survival matrix'!DH113</f>
        <v>1386764.2813441812</v>
      </c>
      <c r="DI113" s="6">
        <f>DI$1*'survival matrix'!DI113</f>
        <v>1411083.5164615507</v>
      </c>
      <c r="DJ113" s="6">
        <f>DJ$1*'survival matrix'!DJ113</f>
        <v>1433693.9019548248</v>
      </c>
      <c r="DK113" s="6">
        <f>DK$1*'survival matrix'!DK113</f>
        <v>1458178.2324513851</v>
      </c>
      <c r="DL113" s="6">
        <f>DL$1*'survival matrix'!DL113</f>
        <v>1480593.1778299951</v>
      </c>
      <c r="DM113" s="6">
        <f>DM$1*'survival matrix'!DM113</f>
        <v>0</v>
      </c>
      <c r="DN113" s="6">
        <f>DN$1*'survival matrix'!DN113</f>
        <v>0</v>
      </c>
      <c r="DO113" s="6">
        <f>DO$1*'survival matrix'!DO113</f>
        <v>0</v>
      </c>
      <c r="DP113" s="6">
        <f>DP$1*'survival matrix'!DP113</f>
        <v>0</v>
      </c>
      <c r="DQ113" s="6">
        <f>DQ$1*'survival matrix'!DQ113</f>
        <v>0</v>
      </c>
      <c r="DR113" s="6">
        <f>DR$1*'survival matrix'!DR113</f>
        <v>0</v>
      </c>
      <c r="DS113" s="6">
        <f>DS$1*'survival matrix'!DS113</f>
        <v>0</v>
      </c>
      <c r="DT113" s="6">
        <f>DT$1*'survival matrix'!DT113</f>
        <v>0</v>
      </c>
      <c r="DU113" s="6">
        <f>DU$1*'survival matrix'!DU113</f>
        <v>0</v>
      </c>
      <c r="DV113" s="6">
        <f>DV$1*'survival matrix'!DV113</f>
        <v>0</v>
      </c>
      <c r="DW113" s="6">
        <f>DW$1*'survival matrix'!DW113</f>
        <v>0</v>
      </c>
      <c r="DX113" s="6">
        <f>DX$1*'survival matrix'!DX113</f>
        <v>0</v>
      </c>
      <c r="DY113" s="6">
        <f>DY$1*'survival matrix'!DY113</f>
        <v>0</v>
      </c>
      <c r="DZ113" s="6">
        <f>DZ$1*'survival matrix'!DZ113</f>
        <v>0</v>
      </c>
      <c r="EA113" s="6">
        <f>EA$1*'survival matrix'!EA113</f>
        <v>0</v>
      </c>
      <c r="EB113" s="6">
        <f>EB$1*'survival matrix'!EB113</f>
        <v>0</v>
      </c>
      <c r="EC113" s="6">
        <f>EC$1*'survival matrix'!EC113</f>
        <v>0</v>
      </c>
    </row>
    <row r="114" spans="1:133">
      <c r="A114" s="12">
        <f>'data input'!C114-B114</f>
        <v>421410.04976677266</v>
      </c>
      <c r="B114" s="14">
        <f t="shared" si="3"/>
        <v>1083749.7000825703</v>
      </c>
      <c r="C114" s="11">
        <f>SUM(F114:EC114)</f>
        <v>35140408.106533878</v>
      </c>
      <c r="E114" s="7">
        <f>'data input'!B114</f>
        <v>1989</v>
      </c>
      <c r="F114" s="6">
        <f>F$1*'survival matrix'!F114</f>
        <v>1.6407625756320701E-4</v>
      </c>
      <c r="G114" s="6">
        <f>G$1*'survival matrix'!G114</f>
        <v>4.9635022307889889E-4</v>
      </c>
      <c r="H114" s="6">
        <f>H$1*'survival matrix'!H114</f>
        <v>1.1188024928661881E-3</v>
      </c>
      <c r="I114" s="6">
        <f>I$1*'survival matrix'!I114</f>
        <v>2.2307813296239781E-3</v>
      </c>
      <c r="J114" s="6">
        <f>J$1*'survival matrix'!J114</f>
        <v>4.1476449101164378E-3</v>
      </c>
      <c r="K114" s="6">
        <f>K$1*'survival matrix'!K114</f>
        <v>7.3635672017178964E-3</v>
      </c>
      <c r="L114" s="6">
        <f>L$1*'survival matrix'!L114</f>
        <v>1.2645134806631255E-2</v>
      </c>
      <c r="M114" s="6">
        <f>M$1*'survival matrix'!M114</f>
        <v>2.1157157636676794E-2</v>
      </c>
      <c r="N114" s="6">
        <f>N$1*'survival matrix'!N114</f>
        <v>3.4644037242379258E-2</v>
      </c>
      <c r="O114" s="6">
        <f>O$1*'survival matrix'!O114</f>
        <v>5.5698423197336026E-2</v>
      </c>
      <c r="P114" s="6">
        <f>P$1*'survival matrix'!P114</f>
        <v>8.8175646666706617E-2</v>
      </c>
      <c r="Q114" s="6">
        <f>Q$1*'survival matrix'!Q114</f>
        <v>0.13772234993211838</v>
      </c>
      <c r="R114" s="6">
        <f>R$1*'survival matrix'!R114</f>
        <v>0.21248855165869604</v>
      </c>
      <c r="S114" s="6">
        <f>S$1*'survival matrix'!S114</f>
        <v>0.32411533856788916</v>
      </c>
      <c r="T114" s="6">
        <f>T$1*'survival matrix'!T114</f>
        <v>0.48907587509438433</v>
      </c>
      <c r="U114" s="6">
        <f>U$1*'survival matrix'!U114</f>
        <v>0.73068205895693061</v>
      </c>
      <c r="V114" s="6">
        <f>V$1*'survival matrix'!V114</f>
        <v>1.081276809984931</v>
      </c>
      <c r="W114" s="6">
        <f>W$1*'survival matrix'!W114</f>
        <v>1.585920967022193</v>
      </c>
      <c r="X114" s="6">
        <f>X$1*'survival matrix'!X114</f>
        <v>2.3063424361938663</v>
      </c>
      <c r="Y114" s="6">
        <f>Y$1*'survival matrix'!Y114</f>
        <v>3.3263876450123293</v>
      </c>
      <c r="Z114" s="6">
        <f>Z$1*'survival matrix'!Z114</f>
        <v>4.7596940193493955</v>
      </c>
      <c r="AA114" s="6">
        <f>AA$1*'survival matrix'!AA114</f>
        <v>6.758430082821091</v>
      </c>
      <c r="AB114" s="6">
        <f>AB$1*'survival matrix'!AB114</f>
        <v>9.5237973746187059</v>
      </c>
      <c r="AC114" s="6">
        <f>AC$1*'survival matrix'!AC114</f>
        <v>13.375897302637568</v>
      </c>
      <c r="AD114" s="6">
        <f>AD$1*'survival matrix'!AD114</f>
        <v>18.80304405382147</v>
      </c>
      <c r="AE114" s="6">
        <f>AE$1*'survival matrix'!AE114</f>
        <v>26.198191898299783</v>
      </c>
      <c r="AF114" s="6">
        <f>AF$1*'survival matrix'!AF114</f>
        <v>35.874090486778506</v>
      </c>
      <c r="AG114" s="6">
        <f>AG$1*'survival matrix'!AG114</f>
        <v>48.930932450123919</v>
      </c>
      <c r="AH114" s="6">
        <f>AH$1*'survival matrix'!AH114</f>
        <v>66.059844781849549</v>
      </c>
      <c r="AI114" s="6">
        <f>AI$1*'survival matrix'!AI114</f>
        <v>90.462022912078183</v>
      </c>
      <c r="AJ114" s="6">
        <f>AJ$1*'survival matrix'!AJ114</f>
        <v>120.95966747925843</v>
      </c>
      <c r="AK114" s="6">
        <f>AK$1*'survival matrix'!AK114</f>
        <v>159.9425586129297</v>
      </c>
      <c r="AL114" s="6">
        <f>AL$1*'survival matrix'!AL114</f>
        <v>210.45886789892651</v>
      </c>
      <c r="AM114" s="6">
        <f>AM$1*'survival matrix'!AM114</f>
        <v>275.60890191231681</v>
      </c>
      <c r="AN114" s="6">
        <f>AN$1*'survival matrix'!AN114</f>
        <v>355.09351239789464</v>
      </c>
      <c r="AO114" s="6">
        <f>AO$1*'survival matrix'!AO114</f>
        <v>454.41071259637988</v>
      </c>
      <c r="AP114" s="6">
        <f>AP$1*'survival matrix'!AP114</f>
        <v>575.7636059270535</v>
      </c>
      <c r="AQ114" s="6">
        <f>AQ$1*'survival matrix'!AQ114</f>
        <v>729.69529242128715</v>
      </c>
      <c r="AR114" s="6">
        <f>AR$1*'survival matrix'!AR114</f>
        <v>924.97659065245239</v>
      </c>
      <c r="AS114" s="6">
        <f>AS$1*'survival matrix'!AS114</f>
        <v>1165.6009502877394</v>
      </c>
      <c r="AT114" s="6">
        <f>AT$1*'survival matrix'!AT114</f>
        <v>1475.4062647698477</v>
      </c>
      <c r="AU114" s="6">
        <f>AU$1*'survival matrix'!AU114</f>
        <v>1857.9103475232728</v>
      </c>
      <c r="AV114" s="6">
        <f>AV$1*'survival matrix'!AV114</f>
        <v>2310.7736794158009</v>
      </c>
      <c r="AW114" s="6">
        <f>AW$1*'survival matrix'!AW114</f>
        <v>2864.9567518411022</v>
      </c>
      <c r="AX114" s="6">
        <f>AX$1*'survival matrix'!AX114</f>
        <v>3530.4230286200527</v>
      </c>
      <c r="AY114" s="6">
        <f>AY$1*'survival matrix'!AY114</f>
        <v>4353.8353309578852</v>
      </c>
      <c r="AZ114" s="6">
        <f>AZ$1*'survival matrix'!AZ114</f>
        <v>5322.1194109430198</v>
      </c>
      <c r="BA114" s="6">
        <f>BA$1*'survival matrix'!BA114</f>
        <v>6442.9761659694632</v>
      </c>
      <c r="BB114" s="6">
        <f>BB$1*'survival matrix'!BB114</f>
        <v>7789.0234919782424</v>
      </c>
      <c r="BC114" s="6">
        <f>BC$1*'survival matrix'!BC114</f>
        <v>9372.1735109760375</v>
      </c>
      <c r="BD114" s="6">
        <f>BD$1*'survival matrix'!BD114</f>
        <v>11242.08899239536</v>
      </c>
      <c r="BE114" s="6">
        <f>BE$1*'survival matrix'!BE114</f>
        <v>13394.738430384099</v>
      </c>
      <c r="BF114" s="6">
        <f>BF$1*'survival matrix'!BF114</f>
        <v>15796.533593105773</v>
      </c>
      <c r="BG114" s="6">
        <f>BG$1*'survival matrix'!BG114</f>
        <v>18531.04002137078</v>
      </c>
      <c r="BH114" s="6">
        <f>BH$1*'survival matrix'!BH114</f>
        <v>21620.165755268514</v>
      </c>
      <c r="BI114" s="6">
        <f>BI$1*'survival matrix'!BI114</f>
        <v>25153.767578699531</v>
      </c>
      <c r="BJ114" s="6">
        <f>BJ$1*'survival matrix'!BJ114</f>
        <v>29169.6495764184</v>
      </c>
      <c r="BK114" s="6">
        <f>BK$1*'survival matrix'!BK114</f>
        <v>33664.865508873598</v>
      </c>
      <c r="BL114" s="6">
        <f>BL$1*'survival matrix'!BL114</f>
        <v>38787.117831361182</v>
      </c>
      <c r="BM114" s="6">
        <f>BM$1*'survival matrix'!BM114</f>
        <v>44624.54024226054</v>
      </c>
      <c r="BN114" s="6">
        <f>BN$1*'survival matrix'!BN114</f>
        <v>51330.9841298807</v>
      </c>
      <c r="BO114" s="6">
        <f>BO$1*'survival matrix'!BO114</f>
        <v>59339.985026844814</v>
      </c>
      <c r="BP114" s="6">
        <f>BP$1*'survival matrix'!BP114</f>
        <v>68146.773414609677</v>
      </c>
      <c r="BQ114" s="6">
        <f>BQ$1*'survival matrix'!BQ114</f>
        <v>78207.093737538176</v>
      </c>
      <c r="BR114" s="6">
        <f>BR$1*'survival matrix'!BR114</f>
        <v>88231.928722521639</v>
      </c>
      <c r="BS114" s="6">
        <f>BS$1*'survival matrix'!BS114</f>
        <v>100797.62309052578</v>
      </c>
      <c r="BT114" s="6">
        <f>BT$1*'survival matrix'!BT114</f>
        <v>113970.46647477962</v>
      </c>
      <c r="BU114" s="6">
        <f>BU$1*'survival matrix'!BU114</f>
        <v>124342.38472443997</v>
      </c>
      <c r="BV114" s="6">
        <f>BV$1*'survival matrix'!BV114</f>
        <v>135846.56641878642</v>
      </c>
      <c r="BW114" s="6">
        <f>BW$1*'survival matrix'!BW114</f>
        <v>148245.87193561011</v>
      </c>
      <c r="BX114" s="6">
        <f>BX$1*'survival matrix'!BX114</f>
        <v>161411.20547541318</v>
      </c>
      <c r="BY114" s="6">
        <f>BY$1*'survival matrix'!BY114</f>
        <v>175545.39513513542</v>
      </c>
      <c r="BZ114" s="6">
        <f>BZ$1*'survival matrix'!BZ114</f>
        <v>192298.89956937532</v>
      </c>
      <c r="CA114" s="6">
        <f>CA$1*'survival matrix'!CA114</f>
        <v>213011.762218118</v>
      </c>
      <c r="CB114" s="6">
        <f>CB$1*'survival matrix'!CB114</f>
        <v>234144.76737982503</v>
      </c>
      <c r="CC114" s="6">
        <f>CC$1*'survival matrix'!CC114</f>
        <v>257678.4222221697</v>
      </c>
      <c r="CD114" s="6">
        <f>CD$1*'survival matrix'!CD114</f>
        <v>280798.30259315472</v>
      </c>
      <c r="CE114" s="6">
        <f>CE$1*'survival matrix'!CE114</f>
        <v>305593.84115180798</v>
      </c>
      <c r="CF114" s="6">
        <f>CF$1*'survival matrix'!CF114</f>
        <v>331889.59474027238</v>
      </c>
      <c r="CG114" s="6">
        <f>CG$1*'survival matrix'!CG114</f>
        <v>359680.27831034869</v>
      </c>
      <c r="CH114" s="6">
        <f>CH$1*'survival matrix'!CH114</f>
        <v>386136.09415032191</v>
      </c>
      <c r="CI114" s="6">
        <f>CI$1*'survival matrix'!CI114</f>
        <v>413474.22723192454</v>
      </c>
      <c r="CJ114" s="6">
        <f>CJ$1*'survival matrix'!CJ114</f>
        <v>442297.6869791309</v>
      </c>
      <c r="CK114" s="6">
        <f>CK$1*'survival matrix'!CK114</f>
        <v>471783.06787827297</v>
      </c>
      <c r="CL114" s="6">
        <f>CL$1*'survival matrix'!CL114</f>
        <v>505952.64829816337</v>
      </c>
      <c r="CM114" s="6">
        <f>CM$1*'survival matrix'!CM114</f>
        <v>542708.29220359656</v>
      </c>
      <c r="CN114" s="6">
        <f>CN$1*'survival matrix'!CN114</f>
        <v>578965.54027798725</v>
      </c>
      <c r="CO114" s="6">
        <f>CO$1*'survival matrix'!CO114</f>
        <v>617066.25305187248</v>
      </c>
      <c r="CP114" s="6">
        <f>CP$1*'survival matrix'!CP114</f>
        <v>658416.11136300385</v>
      </c>
      <c r="CQ114" s="6">
        <f>CQ$1*'survival matrix'!CQ114</f>
        <v>703828.78062958212</v>
      </c>
      <c r="CR114" s="6">
        <f>CR$1*'survival matrix'!CR114</f>
        <v>750260.42718743044</v>
      </c>
      <c r="CS114" s="6">
        <f>CS$1*'survival matrix'!CS114</f>
        <v>796578.08013455523</v>
      </c>
      <c r="CT114" s="6">
        <f>CT$1*'survival matrix'!CT114</f>
        <v>846121.83192897018</v>
      </c>
      <c r="CU114" s="6">
        <f>CU$1*'survival matrix'!CU114</f>
        <v>893854.27517113381</v>
      </c>
      <c r="CV114" s="6">
        <f>CV$1*'survival matrix'!CV114</f>
        <v>942668.16168087476</v>
      </c>
      <c r="CW114" s="6">
        <f>CW$1*'survival matrix'!CW114</f>
        <v>994485.07553084567</v>
      </c>
      <c r="CX114" s="6">
        <f>CX$1*'survival matrix'!CX114</f>
        <v>1041199.9004003759</v>
      </c>
      <c r="CY114" s="6">
        <f>CY$1*'survival matrix'!CY114</f>
        <v>1078478.514798787</v>
      </c>
      <c r="CZ114" s="6">
        <f>CZ$1*'survival matrix'!CZ114</f>
        <v>1130054.767735919</v>
      </c>
      <c r="DA114" s="6">
        <f>DA$1*'survival matrix'!DA114</f>
        <v>1163782.8655595726</v>
      </c>
      <c r="DB114" s="6">
        <f>DB$1*'survival matrix'!DB114</f>
        <v>1203058.7248446823</v>
      </c>
      <c r="DC114" s="6">
        <f>DC$1*'survival matrix'!DC114</f>
        <v>1244044.6048273293</v>
      </c>
      <c r="DD114" s="6">
        <f>DD$1*'survival matrix'!DD114</f>
        <v>1279988.4760505857</v>
      </c>
      <c r="DE114" s="6">
        <f>DE$1*'survival matrix'!DE114</f>
        <v>1307078.5047948395</v>
      </c>
      <c r="DF114" s="6">
        <f>DF$1*'survival matrix'!DF114</f>
        <v>1334808.7535957235</v>
      </c>
      <c r="DG114" s="6">
        <f>DG$1*'survival matrix'!DG114</f>
        <v>1361014.3956114135</v>
      </c>
      <c r="DH114" s="6">
        <f>DH$1*'survival matrix'!DH114</f>
        <v>1385559.8965675305</v>
      </c>
      <c r="DI114" s="6">
        <f>DI$1*'survival matrix'!DI114</f>
        <v>1410083.2771297456</v>
      </c>
      <c r="DJ114" s="6">
        <f>DJ$1*'survival matrix'!DJ114</f>
        <v>1432868.980722297</v>
      </c>
      <c r="DK114" s="6">
        <f>DK$1*'survival matrix'!DK114</f>
        <v>1457500.9373816648</v>
      </c>
      <c r="DL114" s="6">
        <f>DL$1*'survival matrix'!DL114</f>
        <v>1480041.0847065132</v>
      </c>
      <c r="DM114" s="6">
        <f>DM$1*'survival matrix'!DM114</f>
        <v>1503127.9376657326</v>
      </c>
      <c r="DN114" s="6">
        <f>DN$1*'survival matrix'!DN114</f>
        <v>0</v>
      </c>
      <c r="DO114" s="6">
        <f>DO$1*'survival matrix'!DO114</f>
        <v>0</v>
      </c>
      <c r="DP114" s="6">
        <f>DP$1*'survival matrix'!DP114</f>
        <v>0</v>
      </c>
      <c r="DQ114" s="6">
        <f>DQ$1*'survival matrix'!DQ114</f>
        <v>0</v>
      </c>
      <c r="DR114" s="6">
        <f>DR$1*'survival matrix'!DR114</f>
        <v>0</v>
      </c>
      <c r="DS114" s="6">
        <f>DS$1*'survival matrix'!DS114</f>
        <v>0</v>
      </c>
      <c r="DT114" s="6">
        <f>DT$1*'survival matrix'!DT114</f>
        <v>0</v>
      </c>
      <c r="DU114" s="6">
        <f>DU$1*'survival matrix'!DU114</f>
        <v>0</v>
      </c>
      <c r="DV114" s="6">
        <f>DV$1*'survival matrix'!DV114</f>
        <v>0</v>
      </c>
      <c r="DW114" s="6">
        <f>DW$1*'survival matrix'!DW114</f>
        <v>0</v>
      </c>
      <c r="DX114" s="6">
        <f>DX$1*'survival matrix'!DX114</f>
        <v>0</v>
      </c>
      <c r="DY114" s="6">
        <f>DY$1*'survival matrix'!DY114</f>
        <v>0</v>
      </c>
      <c r="DZ114" s="6">
        <f>DZ$1*'survival matrix'!DZ114</f>
        <v>0</v>
      </c>
      <c r="EA114" s="6">
        <f>EA$1*'survival matrix'!EA114</f>
        <v>0</v>
      </c>
      <c r="EB114" s="6">
        <f>EB$1*'survival matrix'!EB114</f>
        <v>0</v>
      </c>
      <c r="EC114" s="6">
        <f>EC$1*'survival matrix'!EC114</f>
        <v>0</v>
      </c>
    </row>
    <row r="115" spans="1:133">
      <c r="A115" s="12">
        <f>'data input'!C115-B115</f>
        <v>437586.62988082529</v>
      </c>
      <c r="B115" s="14">
        <f t="shared" si="3"/>
        <v>1086702.9340669364</v>
      </c>
      <c r="C115" s="11">
        <f>SUM(F115:EC115)</f>
        <v>36227111.040600814</v>
      </c>
      <c r="E115" s="7">
        <f>'data input'!B115</f>
        <v>1990</v>
      </c>
      <c r="F115" s="6">
        <f>F$1*'survival matrix'!F115</f>
        <v>1.083096560550432E-4</v>
      </c>
      <c r="G115" s="6">
        <f>G$1*'survival matrix'!G115</f>
        <v>3.2944328610853162E-4</v>
      </c>
      <c r="H115" s="6">
        <f>H$1*'survival matrix'!H115</f>
        <v>7.4664667301042843E-4</v>
      </c>
      <c r="I115" s="6">
        <f>I$1*'survival matrix'!I115</f>
        <v>1.4968772266736265E-3</v>
      </c>
      <c r="J115" s="6">
        <f>J$1*'survival matrix'!J115</f>
        <v>2.7983134410989037E-3</v>
      </c>
      <c r="K115" s="6">
        <f>K$1*'survival matrix'!K115</f>
        <v>4.9951292322128358E-3</v>
      </c>
      <c r="L115" s="6">
        <f>L$1*'survival matrix'!L115</f>
        <v>8.6246926133311322E-3</v>
      </c>
      <c r="M115" s="6">
        <f>M$1*'survival matrix'!M115</f>
        <v>1.4508987430772547E-2</v>
      </c>
      <c r="N115" s="6">
        <f>N$1*'survival matrix'!N115</f>
        <v>2.3887228112944966E-2</v>
      </c>
      <c r="O115" s="6">
        <f>O$1*'survival matrix'!O115</f>
        <v>3.8613166388257236E-2</v>
      </c>
      <c r="P115" s="6">
        <f>P$1*'survival matrix'!P115</f>
        <v>6.1460221426283941E-2</v>
      </c>
      <c r="Q115" s="6">
        <f>Q$1*'survival matrix'!Q115</f>
        <v>9.6516252778404601E-2</v>
      </c>
      <c r="R115" s="6">
        <f>R$1*'survival matrix'!R115</f>
        <v>0.14971993968501576</v>
      </c>
      <c r="S115" s="6">
        <f>S$1*'survival matrix'!S115</f>
        <v>0.22960915200559542</v>
      </c>
      <c r="T115" s="6">
        <f>T$1*'survival matrix'!T115</f>
        <v>0.34834427618541819</v>
      </c>
      <c r="U115" s="6">
        <f>U$1*'survival matrix'!U115</f>
        <v>0.52323999163060997</v>
      </c>
      <c r="V115" s="6">
        <f>V$1*'survival matrix'!V115</f>
        <v>0.77847834082092493</v>
      </c>
      <c r="W115" s="6">
        <f>W$1*'survival matrix'!W115</f>
        <v>1.1479562610915994</v>
      </c>
      <c r="X115" s="6">
        <f>X$1*'survival matrix'!X115</f>
        <v>1.6784121748655714</v>
      </c>
      <c r="Y115" s="6">
        <f>Y$1*'survival matrix'!Y115</f>
        <v>2.4337472301066931</v>
      </c>
      <c r="Z115" s="6">
        <f>Z$1*'survival matrix'!Z115</f>
        <v>3.5011123111306075</v>
      </c>
      <c r="AA115" s="6">
        <f>AA$1*'survival matrix'!AA115</f>
        <v>4.9979707095095263</v>
      </c>
      <c r="AB115" s="6">
        <f>AB$1*'survival matrix'!AB115</f>
        <v>7.0806843051768569</v>
      </c>
      <c r="AC115" s="6">
        <f>AC$1*'survival matrix'!AC115</f>
        <v>9.9977296660976869</v>
      </c>
      <c r="AD115" s="6">
        <f>AD$1*'survival matrix'!AD115</f>
        <v>14.129149474302265</v>
      </c>
      <c r="AE115" s="6">
        <f>AE$1*'survival matrix'!AE115</f>
        <v>19.790848289285385</v>
      </c>
      <c r="AF115" s="6">
        <f>AF$1*'survival matrix'!AF115</f>
        <v>27.244251889729384</v>
      </c>
      <c r="AG115" s="6">
        <f>AG$1*'survival matrix'!AG115</f>
        <v>37.357159751840889</v>
      </c>
      <c r="AH115" s="6">
        <f>AH$1*'survival matrix'!AH115</f>
        <v>50.701353101422214</v>
      </c>
      <c r="AI115" s="6">
        <f>AI$1*'survival matrix'!AI115</f>
        <v>69.79671810908755</v>
      </c>
      <c r="AJ115" s="6">
        <f>AJ$1*'survival matrix'!AJ115</f>
        <v>93.81900844588499</v>
      </c>
      <c r="AK115" s="6">
        <f>AK$1*'survival matrix'!AK115</f>
        <v>124.70688985564023</v>
      </c>
      <c r="AL115" s="6">
        <f>AL$1*'survival matrix'!AL115</f>
        <v>164.95449488380925</v>
      </c>
      <c r="AM115" s="6">
        <f>AM$1*'survival matrix'!AM115</f>
        <v>217.14747351179909</v>
      </c>
      <c r="AN115" s="6">
        <f>AN$1*'survival matrix'!AN115</f>
        <v>281.23069432880868</v>
      </c>
      <c r="AO115" s="6">
        <f>AO$1*'survival matrix'!AO115</f>
        <v>361.7599787948995</v>
      </c>
      <c r="AP115" s="6">
        <f>AP$1*'survival matrix'!AP115</f>
        <v>460.7457888096443</v>
      </c>
      <c r="AQ115" s="6">
        <f>AQ$1*'survival matrix'!AQ115</f>
        <v>586.94420873642923</v>
      </c>
      <c r="AR115" s="6">
        <f>AR$1*'survival matrix'!AR115</f>
        <v>747.85378519792857</v>
      </c>
      <c r="AS115" s="6">
        <f>AS$1*'survival matrix'!AS115</f>
        <v>947.23716126353486</v>
      </c>
      <c r="AT115" s="6">
        <f>AT$1*'survival matrix'!AT115</f>
        <v>1205.1335034527187</v>
      </c>
      <c r="AU115" s="6">
        <f>AU$1*'survival matrix'!AU115</f>
        <v>1525.2969843359435</v>
      </c>
      <c r="AV115" s="6">
        <f>AV$1*'survival matrix'!AV115</f>
        <v>1906.7079783801491</v>
      </c>
      <c r="AW115" s="6">
        <f>AW$1*'survival matrix'!AW115</f>
        <v>2375.9237445507456</v>
      </c>
      <c r="AX115" s="6">
        <f>AX$1*'survival matrix'!AX115</f>
        <v>2942.5164286763325</v>
      </c>
      <c r="AY115" s="6">
        <f>AY$1*'survival matrix'!AY115</f>
        <v>3646.9636309155949</v>
      </c>
      <c r="AZ115" s="6">
        <f>AZ$1*'survival matrix'!AZ115</f>
        <v>4480.2305394362993</v>
      </c>
      <c r="BA115" s="6">
        <f>BA$1*'survival matrix'!BA115</f>
        <v>5450.6344285517625</v>
      </c>
      <c r="BB115" s="6">
        <f>BB$1*'survival matrix'!BB115</f>
        <v>6621.8021505894239</v>
      </c>
      <c r="BC115" s="6">
        <f>BC$1*'survival matrix'!BC115</f>
        <v>8006.6972979708044</v>
      </c>
      <c r="BD115" s="6">
        <f>BD$1*'survival matrix'!BD115</f>
        <v>9650.8728579825893</v>
      </c>
      <c r="BE115" s="6">
        <f>BE$1*'survival matrix'!BE115</f>
        <v>11554.367627085898</v>
      </c>
      <c r="BF115" s="6">
        <f>BF$1*'survival matrix'!BF115</f>
        <v>13691.507001245482</v>
      </c>
      <c r="BG115" s="6">
        <f>BG$1*'survival matrix'!BG115</f>
        <v>16138.052716199119</v>
      </c>
      <c r="BH115" s="6">
        <f>BH$1*'survival matrix'!BH115</f>
        <v>18917.153034719206</v>
      </c>
      <c r="BI115" s="6">
        <f>BI$1*'survival matrix'!BI115</f>
        <v>22111.993726339853</v>
      </c>
      <c r="BJ115" s="6">
        <f>BJ$1*'survival matrix'!BJ115</f>
        <v>25761.191115332178</v>
      </c>
      <c r="BK115" s="6">
        <f>BK$1*'survival matrix'!BK115</f>
        <v>29867.735120993399</v>
      </c>
      <c r="BL115" s="6">
        <f>BL$1*'survival matrix'!BL115</f>
        <v>34568.728189102876</v>
      </c>
      <c r="BM115" s="6">
        <f>BM$1*'survival matrix'!BM115</f>
        <v>39950.193055547315</v>
      </c>
      <c r="BN115" s="6">
        <f>BN$1*'survival matrix'!BN115</f>
        <v>46158.490661697891</v>
      </c>
      <c r="BO115" s="6">
        <f>BO$1*'survival matrix'!BO115</f>
        <v>53594.819441369131</v>
      </c>
      <c r="BP115" s="6">
        <f>BP$1*'survival matrix'!BP115</f>
        <v>61815.777011814745</v>
      </c>
      <c r="BQ115" s="6">
        <f>BQ$1*'survival matrix'!BQ115</f>
        <v>71244.749572780624</v>
      </c>
      <c r="BR115" s="6">
        <f>BR$1*'survival matrix'!BR115</f>
        <v>80715.676833510704</v>
      </c>
      <c r="BS115" s="6">
        <f>BS$1*'survival matrix'!BS115</f>
        <v>92593.218576683197</v>
      </c>
      <c r="BT115" s="6">
        <f>BT$1*'survival matrix'!BT115</f>
        <v>105120.62901727858</v>
      </c>
      <c r="BU115" s="6">
        <f>BU$1*'survival matrix'!BU115</f>
        <v>115146.32353463268</v>
      </c>
      <c r="BV115" s="6">
        <f>BV$1*'survival matrix'!BV115</f>
        <v>126293.74727248772</v>
      </c>
      <c r="BW115" s="6">
        <f>BW$1*'survival matrix'!BW115</f>
        <v>138351.41888635713</v>
      </c>
      <c r="BX115" s="6">
        <f>BX$1*'survival matrix'!BX115</f>
        <v>151205.11994830682</v>
      </c>
      <c r="BY115" s="6">
        <f>BY$1*'survival matrix'!BY115</f>
        <v>165050.36311133666</v>
      </c>
      <c r="BZ115" s="6">
        <f>BZ$1*'survival matrix'!BZ115</f>
        <v>181450.81058171822</v>
      </c>
      <c r="CA115" s="6">
        <f>CA$1*'survival matrix'!CA115</f>
        <v>201697.27911577208</v>
      </c>
      <c r="CB115" s="6">
        <f>CB$1*'survival matrix'!CB115</f>
        <v>222460.52474100085</v>
      </c>
      <c r="CC115" s="6">
        <f>CC$1*'survival matrix'!CC115</f>
        <v>245626.24273695683</v>
      </c>
      <c r="CD115" s="6">
        <f>CD$1*'survival matrix'!CD115</f>
        <v>268518.41025774856</v>
      </c>
      <c r="CE115" s="6">
        <f>CE$1*'survival matrix'!CE115</f>
        <v>293130.01003003871</v>
      </c>
      <c r="CF115" s="6">
        <f>CF$1*'survival matrix'!CF115</f>
        <v>319298.78517695924</v>
      </c>
      <c r="CG115" s="6">
        <f>CG$1*'survival matrix'!CG115</f>
        <v>347023.40440828016</v>
      </c>
      <c r="CH115" s="6">
        <f>CH$1*'survival matrix'!CH115</f>
        <v>373568.67256525648</v>
      </c>
      <c r="CI115" s="6">
        <f>CI$1*'survival matrix'!CI115</f>
        <v>401065.00119563943</v>
      </c>
      <c r="CJ115" s="6">
        <f>CJ$1*'survival matrix'!CJ115</f>
        <v>430095.33994930889</v>
      </c>
      <c r="CK115" s="6">
        <f>CK$1*'survival matrix'!CK115</f>
        <v>459857.13782857056</v>
      </c>
      <c r="CL115" s="6">
        <f>CL$1*'survival matrix'!CL115</f>
        <v>494273.37070314959</v>
      </c>
      <c r="CM115" s="6">
        <f>CM$1*'survival matrix'!CM115</f>
        <v>531308.16503470065</v>
      </c>
      <c r="CN115" s="6">
        <f>CN$1*'survival matrix'!CN115</f>
        <v>567938.47698014381</v>
      </c>
      <c r="CO115" s="6">
        <f>CO$1*'survival matrix'!CO115</f>
        <v>606449.89273168414</v>
      </c>
      <c r="CP115" s="6">
        <f>CP$1*'survival matrix'!CP115</f>
        <v>648223.15402585175</v>
      </c>
      <c r="CQ115" s="6">
        <f>CQ$1*'survival matrix'!CQ115</f>
        <v>694063.40498460259</v>
      </c>
      <c r="CR115" s="6">
        <f>CR$1*'survival matrix'!CR115</f>
        <v>740969.25711243879</v>
      </c>
      <c r="CS115" s="6">
        <f>CS$1*'survival matrix'!CS115</f>
        <v>787810.36189622036</v>
      </c>
      <c r="CT115" s="6">
        <f>CT$1*'survival matrix'!CT115</f>
        <v>837880.35578958085</v>
      </c>
      <c r="CU115" s="6">
        <f>CU$1*'survival matrix'!CU115</f>
        <v>886183.85875964467</v>
      </c>
      <c r="CV115" s="6">
        <f>CV$1*'survival matrix'!CV115</f>
        <v>935573.82943084952</v>
      </c>
      <c r="CW115" s="6">
        <f>CW$1*'survival matrix'!CW115</f>
        <v>987951.84566923999</v>
      </c>
      <c r="CX115" s="6">
        <f>CX$1*'survival matrix'!CX115</f>
        <v>1035257.3114784755</v>
      </c>
      <c r="CY115" s="6">
        <f>CY$1*'survival matrix'!CY115</f>
        <v>1073156.6889395306</v>
      </c>
      <c r="CZ115" s="6">
        <f>CZ$1*'survival matrix'!CZ115</f>
        <v>1125257.2656039775</v>
      </c>
      <c r="DA115" s="6">
        <f>DA$1*'survival matrix'!DA115</f>
        <v>1159553.4643209716</v>
      </c>
      <c r="DB115" s="6">
        <f>DB$1*'survival matrix'!DB115</f>
        <v>1199334.9955741556</v>
      </c>
      <c r="DC115" s="6">
        <f>DC$1*'survival matrix'!DC115</f>
        <v>1240781.9162182945</v>
      </c>
      <c r="DD115" s="6">
        <f>DD$1*'survival matrix'!DD115</f>
        <v>1277158.8325547415</v>
      </c>
      <c r="DE115" s="6">
        <f>DE$1*'survival matrix'!DE115</f>
        <v>1304655.6525119164</v>
      </c>
      <c r="DF115" s="6">
        <f>DF$1*'survival matrix'!DF115</f>
        <v>1332745.1039365334</v>
      </c>
      <c r="DG115" s="6">
        <f>DG$1*'survival matrix'!DG115</f>
        <v>1359268.7980819929</v>
      </c>
      <c r="DH115" s="6">
        <f>DH$1*'survival matrix'!DH115</f>
        <v>1384093.5827131984</v>
      </c>
      <c r="DI115" s="6">
        <f>DI$1*'survival matrix'!DI115</f>
        <v>1408858.6401415917</v>
      </c>
      <c r="DJ115" s="6">
        <f>DJ$1*'survival matrix'!DJ115</f>
        <v>1431853.2988756008</v>
      </c>
      <c r="DK115" s="6">
        <f>DK$1*'survival matrix'!DK115</f>
        <v>1456662.318016655</v>
      </c>
      <c r="DL115" s="6">
        <f>DL$1*'survival matrix'!DL115</f>
        <v>1479353.6347725156</v>
      </c>
      <c r="DM115" s="6">
        <f>DM$1*'survival matrix'!DM115</f>
        <v>1502567.4416358136</v>
      </c>
      <c r="DN115" s="6">
        <f>DN$1*'survival matrix'!DN115</f>
        <v>1522231.9284657543</v>
      </c>
      <c r="DO115" s="6">
        <f>DO$1*'survival matrix'!DO115</f>
        <v>0</v>
      </c>
      <c r="DP115" s="6">
        <f>DP$1*'survival matrix'!DP115</f>
        <v>0</v>
      </c>
      <c r="DQ115" s="6">
        <f>DQ$1*'survival matrix'!DQ115</f>
        <v>0</v>
      </c>
      <c r="DR115" s="6">
        <f>DR$1*'survival matrix'!DR115</f>
        <v>0</v>
      </c>
      <c r="DS115" s="6">
        <f>DS$1*'survival matrix'!DS115</f>
        <v>0</v>
      </c>
      <c r="DT115" s="6">
        <f>DT$1*'survival matrix'!DT115</f>
        <v>0</v>
      </c>
      <c r="DU115" s="6">
        <f>DU$1*'survival matrix'!DU115</f>
        <v>0</v>
      </c>
      <c r="DV115" s="6">
        <f>DV$1*'survival matrix'!DV115</f>
        <v>0</v>
      </c>
      <c r="DW115" s="6">
        <f>DW$1*'survival matrix'!DW115</f>
        <v>0</v>
      </c>
      <c r="DX115" s="6">
        <f>DX$1*'survival matrix'!DX115</f>
        <v>0</v>
      </c>
      <c r="DY115" s="6">
        <f>DY$1*'survival matrix'!DY115</f>
        <v>0</v>
      </c>
      <c r="DZ115" s="6">
        <f>DZ$1*'survival matrix'!DZ115</f>
        <v>0</v>
      </c>
      <c r="EA115" s="6">
        <f>EA$1*'survival matrix'!EA115</f>
        <v>0</v>
      </c>
      <c r="EB115" s="6">
        <f>EB$1*'survival matrix'!EB115</f>
        <v>0</v>
      </c>
      <c r="EC115" s="6">
        <f>EC$1*'survival matrix'!EC115</f>
        <v>0</v>
      </c>
    </row>
    <row r="116" spans="1:133">
      <c r="A116" s="12">
        <f>'data input'!C116-B116</f>
        <v>454481.38626204361</v>
      </c>
      <c r="B116" s="14">
        <f t="shared" si="3"/>
        <v>1085764.5900848508</v>
      </c>
      <c r="C116" s="11">
        <f>SUM(F116:EC116)</f>
        <v>37312875.630685665</v>
      </c>
      <c r="E116" s="7">
        <f>'data input'!B116</f>
        <v>1991</v>
      </c>
      <c r="F116" s="6">
        <f>F$1*'survival matrix'!F116</f>
        <v>7.1107584480470271E-5</v>
      </c>
      <c r="G116" s="6">
        <f>G$1*'survival matrix'!G116</f>
        <v>2.1747137299442935E-4</v>
      </c>
      <c r="H116" s="6">
        <f>H$1*'survival matrix'!H116</f>
        <v>4.9557292831005286E-4</v>
      </c>
      <c r="I116" s="6">
        <f>I$1*'survival matrix'!I116</f>
        <v>9.9895951995757049E-4</v>
      </c>
      <c r="J116" s="6">
        <f>J$1*'survival matrix'!J116</f>
        <v>1.8776971133166668E-3</v>
      </c>
      <c r="K116" s="6">
        <f>K$1*'survival matrix'!K116</f>
        <v>3.370090153193664E-3</v>
      </c>
      <c r="L116" s="6">
        <f>L$1*'survival matrix'!L116</f>
        <v>5.8506228043453852E-3</v>
      </c>
      <c r="M116" s="6">
        <f>M$1*'survival matrix'!M116</f>
        <v>9.8959448542593389E-3</v>
      </c>
      <c r="N116" s="6">
        <f>N$1*'survival matrix'!N116</f>
        <v>1.6381193466456265E-2</v>
      </c>
      <c r="O116" s="6">
        <f>O$1*'survival matrix'!O116</f>
        <v>2.662396149808707E-2</v>
      </c>
      <c r="P116" s="6">
        <f>P$1*'survival matrix'!P116</f>
        <v>4.2607557269336474E-2</v>
      </c>
      <c r="Q116" s="6">
        <f>Q$1*'survival matrix'!Q116</f>
        <v>6.7273793742821636E-2</v>
      </c>
      <c r="R116" s="6">
        <f>R$1*'survival matrix'!R116</f>
        <v>0.10492420113168922</v>
      </c>
      <c r="S116" s="6">
        <f>S$1*'survival matrix'!S116</f>
        <v>0.16178315547381864</v>
      </c>
      <c r="T116" s="6">
        <f>T$1*'survival matrix'!T116</f>
        <v>0.24677336843835784</v>
      </c>
      <c r="U116" s="6">
        <f>U$1*'survival matrix'!U116</f>
        <v>0.37267766708111333</v>
      </c>
      <c r="V116" s="6">
        <f>V$1*'survival matrix'!V116</f>
        <v>0.55746681548090626</v>
      </c>
      <c r="W116" s="6">
        <f>W$1*'survival matrix'!W116</f>
        <v>0.82648501957795151</v>
      </c>
      <c r="X116" s="6">
        <f>X$1*'survival matrix'!X116</f>
        <v>1.2149052852533089</v>
      </c>
      <c r="Y116" s="6">
        <f>Y$1*'survival matrix'!Y116</f>
        <v>1.7711294374384365</v>
      </c>
      <c r="Z116" s="6">
        <f>Z$1*'survival matrix'!Z116</f>
        <v>2.561584306712688</v>
      </c>
      <c r="AA116" s="6">
        <f>AA$1*'survival matrix'!AA116</f>
        <v>3.6763827066610162</v>
      </c>
      <c r="AB116" s="6">
        <f>AB$1*'survival matrix'!AB116</f>
        <v>5.2362830312488367</v>
      </c>
      <c r="AC116" s="6">
        <f>AC$1*'survival matrix'!AC116</f>
        <v>7.4330400731539221</v>
      </c>
      <c r="AD116" s="6">
        <f>AD$1*'survival matrix'!AD116</f>
        <v>10.560743227903343</v>
      </c>
      <c r="AE116" s="6">
        <f>AE$1*'survival matrix'!AE116</f>
        <v>14.871414059455004</v>
      </c>
      <c r="AF116" s="6">
        <f>AF$1*'survival matrix'!AF116</f>
        <v>20.581071319647183</v>
      </c>
      <c r="AG116" s="6">
        <f>AG$1*'survival matrix'!AG116</f>
        <v>28.370555360535608</v>
      </c>
      <c r="AH116" s="6">
        <f>AH$1*'survival matrix'!AH116</f>
        <v>38.708817768289357</v>
      </c>
      <c r="AI116" s="6">
        <f>AI$1*'survival matrix'!AI116</f>
        <v>53.569427264860707</v>
      </c>
      <c r="AJ116" s="6">
        <f>AJ$1*'survival matrix'!AJ116</f>
        <v>72.386827919334948</v>
      </c>
      <c r="AK116" s="6">
        <f>AK$1*'survival matrix'!AK116</f>
        <v>96.725437465613041</v>
      </c>
      <c r="AL116" s="6">
        <f>AL$1*'survival matrix'!AL116</f>
        <v>128.6146864415924</v>
      </c>
      <c r="AM116" s="6">
        <f>AM$1*'survival matrix'!AM116</f>
        <v>170.19692335148625</v>
      </c>
      <c r="AN116" s="6">
        <f>AN$1*'survival matrix'!AN116</f>
        <v>221.57678624944566</v>
      </c>
      <c r="AO116" s="6">
        <f>AO$1*'survival matrix'!AO116</f>
        <v>286.51047249453461</v>
      </c>
      <c r="AP116" s="6">
        <f>AP$1*'survival matrix'!AP116</f>
        <v>366.80338330330119</v>
      </c>
      <c r="AQ116" s="6">
        <f>AQ$1*'survival matrix'!AQ116</f>
        <v>469.69289072394241</v>
      </c>
      <c r="AR116" s="6">
        <f>AR$1*'survival matrix'!AR116</f>
        <v>601.55033582170381</v>
      </c>
      <c r="AS116" s="6">
        <f>AS$1*'survival matrix'!AS116</f>
        <v>765.8517022916152</v>
      </c>
      <c r="AT116" s="6">
        <f>AT$1*'survival matrix'!AT116</f>
        <v>979.36368228966376</v>
      </c>
      <c r="AU116" s="6">
        <f>AU$1*'survival matrix'!AU116</f>
        <v>1245.8849758411359</v>
      </c>
      <c r="AV116" s="6">
        <f>AV$1*'survival matrix'!AV116</f>
        <v>1565.3585940298417</v>
      </c>
      <c r="AW116" s="6">
        <f>AW$1*'survival matrix'!AW116</f>
        <v>1960.4657955525304</v>
      </c>
      <c r="AX116" s="6">
        <f>AX$1*'survival matrix'!AX116</f>
        <v>2440.2443936125806</v>
      </c>
      <c r="AY116" s="6">
        <f>AY$1*'survival matrix'!AY116</f>
        <v>3039.6500112760659</v>
      </c>
      <c r="AZ116" s="6">
        <f>AZ$1*'survival matrix'!AZ116</f>
        <v>3752.8378069932082</v>
      </c>
      <c r="BA116" s="6">
        <f>BA$1*'survival matrix'!BA116</f>
        <v>4588.4161816981032</v>
      </c>
      <c r="BB116" s="6">
        <f>BB$1*'survival matrix'!BB116</f>
        <v>5601.9177863325167</v>
      </c>
      <c r="BC116" s="6">
        <f>BC$1*'survival matrix'!BC116</f>
        <v>6806.8565259078441</v>
      </c>
      <c r="BD116" s="6">
        <f>BD$1*'survival matrix'!BD116</f>
        <v>8244.7916211297033</v>
      </c>
      <c r="BE116" s="6">
        <f>BE$1*'survival matrix'!BE116</f>
        <v>9918.9512730975584</v>
      </c>
      <c r="BF116" s="6">
        <f>BF$1*'survival matrix'!BF116</f>
        <v>11810.361664275841</v>
      </c>
      <c r="BG116" s="6">
        <f>BG$1*'survival matrix'!BG116</f>
        <v>13987.515707037272</v>
      </c>
      <c r="BH116" s="6">
        <f>BH$1*'survival matrix'!BH116</f>
        <v>16474.305412034941</v>
      </c>
      <c r="BI116" s="6">
        <f>BI$1*'survival matrix'!BI116</f>
        <v>19347.491317081574</v>
      </c>
      <c r="BJ116" s="6">
        <f>BJ$1*'survival matrix'!BJ116</f>
        <v>22645.963255525854</v>
      </c>
      <c r="BK116" s="6">
        <f>BK$1*'survival matrix'!BK116</f>
        <v>26377.705725202079</v>
      </c>
      <c r="BL116" s="6">
        <f>BL$1*'survival matrix'!BL116</f>
        <v>30669.649244539309</v>
      </c>
      <c r="BM116" s="6">
        <f>BM$1*'survival matrix'!BM116</f>
        <v>35605.310269348651</v>
      </c>
      <c r="BN116" s="6">
        <f>BN$1*'survival matrix'!BN116</f>
        <v>41323.464691769681</v>
      </c>
      <c r="BO116" s="6">
        <f>BO$1*'survival matrix'!BO116</f>
        <v>48194.205013492916</v>
      </c>
      <c r="BP116" s="6">
        <f>BP$1*'survival matrix'!BP116</f>
        <v>55830.910743866509</v>
      </c>
      <c r="BQ116" s="6">
        <f>BQ$1*'survival matrix'!BQ116</f>
        <v>64625.943858839062</v>
      </c>
      <c r="BR116" s="6">
        <f>BR$1*'survival matrix'!BR116</f>
        <v>73530.007417227142</v>
      </c>
      <c r="BS116" s="6">
        <f>BS$1*'survival matrix'!BS116</f>
        <v>84705.43958201466</v>
      </c>
      <c r="BT116" s="6">
        <f>BT$1*'survival matrix'!BT116</f>
        <v>96564.354208766788</v>
      </c>
      <c r="BU116" s="6">
        <f>BU$1*'survival matrix'!BU116</f>
        <v>106205.18045932706</v>
      </c>
      <c r="BV116" s="6">
        <f>BV$1*'survival matrix'!BV116</f>
        <v>116953.36804153047</v>
      </c>
      <c r="BW116" s="6">
        <f>BW$1*'survival matrix'!BW116</f>
        <v>128622.45688093678</v>
      </c>
      <c r="BX116" s="6">
        <f>BX$1*'survival matrix'!BX116</f>
        <v>141113.15623558365</v>
      </c>
      <c r="BY116" s="6">
        <f>BY$1*'survival matrix'!BY116</f>
        <v>154614.17240677707</v>
      </c>
      <c r="BZ116" s="6">
        <f>BZ$1*'survival matrix'!BZ116</f>
        <v>170602.72159406112</v>
      </c>
      <c r="CA116" s="6">
        <f>CA$1*'survival matrix'!CA116</f>
        <v>190319.00270693161</v>
      </c>
      <c r="CB116" s="6">
        <f>CB$1*'survival matrix'!CB116</f>
        <v>210644.15449970073</v>
      </c>
      <c r="CC116" s="6">
        <f>CC$1*'survival matrix'!CC116</f>
        <v>233369.05394423977</v>
      </c>
      <c r="CD116" s="6">
        <f>CD$1*'survival matrix'!CD116</f>
        <v>255959.22098764297</v>
      </c>
      <c r="CE116" s="6">
        <f>CE$1*'survival matrix'!CE116</f>
        <v>280310.82654422952</v>
      </c>
      <c r="CF116" s="6">
        <f>CF$1*'survival matrix'!CF116</f>
        <v>306275.98955767602</v>
      </c>
      <c r="CG116" s="6">
        <f>CG$1*'survival matrix'!CG116</f>
        <v>333858.46742875071</v>
      </c>
      <c r="CH116" s="6">
        <f>CH$1*'survival matrix'!CH116</f>
        <v>360423.07669151813</v>
      </c>
      <c r="CI116" s="6">
        <f>CI$1*'survival matrix'!CI116</f>
        <v>388011.6942673361</v>
      </c>
      <c r="CJ116" s="6">
        <f>CJ$1*'survival matrix'!CJ116</f>
        <v>417187.27956954995</v>
      </c>
      <c r="CK116" s="6">
        <f>CK$1*'survival matrix'!CK116</f>
        <v>447170.35120246356</v>
      </c>
      <c r="CL116" s="6">
        <f>CL$1*'survival matrix'!CL116</f>
        <v>481778.92135602445</v>
      </c>
      <c r="CM116" s="6">
        <f>CM$1*'survival matrix'!CM116</f>
        <v>519043.58737351047</v>
      </c>
      <c r="CN116" s="6">
        <f>CN$1*'survival matrix'!CN116</f>
        <v>556008.36469939421</v>
      </c>
      <c r="CO116" s="6">
        <f>CO$1*'survival matrix'!CO116</f>
        <v>594899.35839260789</v>
      </c>
      <c r="CP116" s="6">
        <f>CP$1*'survival matrix'!CP116</f>
        <v>637070.75258274621</v>
      </c>
      <c r="CQ116" s="6">
        <f>CQ$1*'survival matrix'!CQ116</f>
        <v>683318.59094649949</v>
      </c>
      <c r="CR116" s="6">
        <f>CR$1*'survival matrix'!CR116</f>
        <v>730688.5704792327</v>
      </c>
      <c r="CS116" s="6">
        <f>CS$1*'survival matrix'!CS116</f>
        <v>778054.17618526868</v>
      </c>
      <c r="CT116" s="6">
        <f>CT$1*'survival matrix'!CT116</f>
        <v>828658.03463839134</v>
      </c>
      <c r="CU116" s="6">
        <f>CU$1*'survival matrix'!CU116</f>
        <v>877552.16666581307</v>
      </c>
      <c r="CV116" s="6">
        <f>CV$1*'survival matrix'!CV116</f>
        <v>927545.4057215685</v>
      </c>
      <c r="CW116" s="6">
        <f>CW$1*'survival matrix'!CW116</f>
        <v>980516.71746070287</v>
      </c>
      <c r="CX116" s="6">
        <f>CX$1*'survival matrix'!CX116</f>
        <v>1028456.2300462715</v>
      </c>
      <c r="CY116" s="6">
        <f>CY$1*'survival matrix'!CY116</f>
        <v>1067031.7084735287</v>
      </c>
      <c r="CZ116" s="6">
        <f>CZ$1*'survival matrix'!CZ116</f>
        <v>1119704.6068052764</v>
      </c>
      <c r="DA116" s="6">
        <f>DA$1*'survival matrix'!DA116</f>
        <v>1154630.729267762</v>
      </c>
      <c r="DB116" s="6">
        <f>DB$1*'survival matrix'!DB116</f>
        <v>1194976.3913483233</v>
      </c>
      <c r="DC116" s="6">
        <f>DC$1*'survival matrix'!DC116</f>
        <v>1236941.4254389615</v>
      </c>
      <c r="DD116" s="6">
        <f>DD$1*'survival matrix'!DD116</f>
        <v>1273809.2970487515</v>
      </c>
      <c r="DE116" s="6">
        <f>DE$1*'survival matrix'!DE116</f>
        <v>1301771.47780994</v>
      </c>
      <c r="DF116" s="6">
        <f>DF$1*'survival matrix'!DF116</f>
        <v>1330274.6750328511</v>
      </c>
      <c r="DG116" s="6">
        <f>DG$1*'survival matrix'!DG116</f>
        <v>1357167.3325466842</v>
      </c>
      <c r="DH116" s="6">
        <f>DH$1*'survival matrix'!DH116</f>
        <v>1382318.3844887989</v>
      </c>
      <c r="DI116" s="6">
        <f>DI$1*'survival matrix'!DI116</f>
        <v>1407367.669633602</v>
      </c>
      <c r="DJ116" s="6">
        <f>DJ$1*'survival matrix'!DJ116</f>
        <v>1430609.7549375559</v>
      </c>
      <c r="DK116" s="6">
        <f>DK$1*'survival matrix'!DK116</f>
        <v>1455629.7703845401</v>
      </c>
      <c r="DL116" s="6">
        <f>DL$1*'survival matrix'!DL116</f>
        <v>1478502.4417653631</v>
      </c>
      <c r="DM116" s="6">
        <f>DM$1*'survival matrix'!DM116</f>
        <v>1501869.5286526855</v>
      </c>
      <c r="DN116" s="6">
        <f>DN$1*'survival matrix'!DN116</f>
        <v>1521664.3088166604</v>
      </c>
      <c r="DO116" s="6">
        <f>DO$1*'survival matrix'!DO116</f>
        <v>1538166.8013351976</v>
      </c>
      <c r="DP116" s="6">
        <f>DP$1*'survival matrix'!DP116</f>
        <v>0</v>
      </c>
      <c r="DQ116" s="6">
        <f>DQ$1*'survival matrix'!DQ116</f>
        <v>0</v>
      </c>
      <c r="DR116" s="6">
        <f>DR$1*'survival matrix'!DR116</f>
        <v>0</v>
      </c>
      <c r="DS116" s="6">
        <f>DS$1*'survival matrix'!DS116</f>
        <v>0</v>
      </c>
      <c r="DT116" s="6">
        <f>DT$1*'survival matrix'!DT116</f>
        <v>0</v>
      </c>
      <c r="DU116" s="6">
        <f>DU$1*'survival matrix'!DU116</f>
        <v>0</v>
      </c>
      <c r="DV116" s="6">
        <f>DV$1*'survival matrix'!DV116</f>
        <v>0</v>
      </c>
      <c r="DW116" s="6">
        <f>DW$1*'survival matrix'!DW116</f>
        <v>0</v>
      </c>
      <c r="DX116" s="6">
        <f>DX$1*'survival matrix'!DX116</f>
        <v>0</v>
      </c>
      <c r="DY116" s="6">
        <f>DY$1*'survival matrix'!DY116</f>
        <v>0</v>
      </c>
      <c r="DZ116" s="6">
        <f>DZ$1*'survival matrix'!DZ116</f>
        <v>0</v>
      </c>
      <c r="EA116" s="6">
        <f>EA$1*'survival matrix'!EA116</f>
        <v>0</v>
      </c>
      <c r="EB116" s="6">
        <f>EB$1*'survival matrix'!EB116</f>
        <v>0</v>
      </c>
      <c r="EC116" s="6">
        <f>EC$1*'survival matrix'!EC116</f>
        <v>0</v>
      </c>
    </row>
    <row r="117" spans="1:133">
      <c r="A117" s="12">
        <f>'data input'!C117-B117</f>
        <v>472105.95180151775</v>
      </c>
      <c r="B117" s="14">
        <f t="shared" si="3"/>
        <v>1079095.7572330907</v>
      </c>
      <c r="C117" s="11">
        <f>SUM(F117:EC117)</f>
        <v>38391971.387918755</v>
      </c>
      <c r="E117" s="7">
        <f>'data input'!B117</f>
        <v>1992</v>
      </c>
      <c r="F117" s="6">
        <f>F$1*'survival matrix'!F117</f>
        <v>4.6429110597627111E-5</v>
      </c>
      <c r="G117" s="6">
        <f>G$1*'survival matrix'!G117</f>
        <v>1.4277456498824515E-4</v>
      </c>
      <c r="H117" s="6">
        <f>H$1*'survival matrix'!H117</f>
        <v>3.2713650477294117E-4</v>
      </c>
      <c r="I117" s="6">
        <f>I$1*'survival matrix'!I117</f>
        <v>6.6304091675991879E-4</v>
      </c>
      <c r="J117" s="6">
        <f>J$1*'survival matrix'!J117</f>
        <v>1.2531043785820874E-3</v>
      </c>
      <c r="K117" s="6">
        <f>K$1*'survival matrix'!K117</f>
        <v>2.2613651706520923E-3</v>
      </c>
      <c r="L117" s="6">
        <f>L$1*'survival matrix'!L117</f>
        <v>3.9472705082026511E-3</v>
      </c>
      <c r="M117" s="6">
        <f>M$1*'survival matrix'!M117</f>
        <v>6.7129859846114812E-3</v>
      </c>
      <c r="N117" s="6">
        <f>N$1*'survival matrix'!N117</f>
        <v>1.1172894591333516E-2</v>
      </c>
      <c r="O117" s="6">
        <f>O$1*'survival matrix'!O117</f>
        <v>1.8257968738838237E-2</v>
      </c>
      <c r="P117" s="6">
        <f>P$1*'survival matrix'!P117</f>
        <v>2.9378112969552644E-2</v>
      </c>
      <c r="Q117" s="6">
        <f>Q$1*'survival matrix'!Q117</f>
        <v>4.6637840754621442E-2</v>
      </c>
      <c r="R117" s="6">
        <f>R$1*'survival matrix'!R117</f>
        <v>7.3134304973171915E-2</v>
      </c>
      <c r="S117" s="6">
        <f>S$1*'survival matrix'!S117</f>
        <v>0.11337814041580982</v>
      </c>
      <c r="T117" s="6">
        <f>T$1*'survival matrix'!T117</f>
        <v>0.17387710326062206</v>
      </c>
      <c r="U117" s="6">
        <f>U$1*'survival matrix'!U117</f>
        <v>0.26401158145742776</v>
      </c>
      <c r="V117" s="6">
        <f>V$1*'survival matrix'!V117</f>
        <v>0.39705572125922289</v>
      </c>
      <c r="W117" s="6">
        <f>W$1*'survival matrix'!W117</f>
        <v>0.59184430413431333</v>
      </c>
      <c r="X117" s="6">
        <f>X$1*'survival matrix'!X117</f>
        <v>0.87468578072228242</v>
      </c>
      <c r="Y117" s="6">
        <f>Y$1*'survival matrix'!Y117</f>
        <v>1.2820179373305702</v>
      </c>
      <c r="Z117" s="6">
        <f>Z$1*'survival matrix'!Z117</f>
        <v>1.8641612883932392</v>
      </c>
      <c r="AA117" s="6">
        <f>AA$1*'survival matrix'!AA117</f>
        <v>2.6898206655391879</v>
      </c>
      <c r="AB117" s="6">
        <f>AB$1*'survival matrix'!AB117</f>
        <v>3.8516793118931449</v>
      </c>
      <c r="AC117" s="6">
        <f>AC$1*'survival matrix'!AC117</f>
        <v>5.4968559433149782</v>
      </c>
      <c r="AD117" s="6">
        <f>AD$1*'survival matrix'!AD117</f>
        <v>7.8516253426498128</v>
      </c>
      <c r="AE117" s="6">
        <f>AE$1*'survival matrix'!AE117</f>
        <v>11.11554418780694</v>
      </c>
      <c r="AF117" s="6">
        <f>AF$1*'survival matrix'!AF117</f>
        <v>15.465210429981978</v>
      </c>
      <c r="AG117" s="6">
        <f>AG$1*'survival matrix'!AG117</f>
        <v>21.43191252292382</v>
      </c>
      <c r="AH117" s="6">
        <f>AH$1*'survival matrix'!AH117</f>
        <v>29.397059753238359</v>
      </c>
      <c r="AI117" s="6">
        <f>AI$1*'survival matrix'!AI117</f>
        <v>40.898498187989347</v>
      </c>
      <c r="AJ117" s="6">
        <f>AJ$1*'survival matrix'!AJ117</f>
        <v>55.55735309929883</v>
      </c>
      <c r="AK117" s="6">
        <f>AK$1*'survival matrix'!AK117</f>
        <v>74.62930714391733</v>
      </c>
      <c r="AL117" s="6">
        <f>AL$1*'survival matrix'!AL117</f>
        <v>99.756411413727733</v>
      </c>
      <c r="AM117" s="6">
        <f>AM$1*'survival matrix'!AM117</f>
        <v>132.70219732777764</v>
      </c>
      <c r="AN117" s="6">
        <f>AN$1*'survival matrix'!AN117</f>
        <v>173.66855204841431</v>
      </c>
      <c r="AO117" s="6">
        <f>AO$1*'survival matrix'!AO117</f>
        <v>225.73663189098772</v>
      </c>
      <c r="AP117" s="6">
        <f>AP$1*'survival matrix'!AP117</f>
        <v>290.50480103661607</v>
      </c>
      <c r="AQ117" s="6">
        <f>AQ$1*'survival matrix'!AQ117</f>
        <v>373.92624222601154</v>
      </c>
      <c r="AR117" s="6">
        <f>AR$1*'survival matrix'!AR117</f>
        <v>481.38121467509433</v>
      </c>
      <c r="AS117" s="6">
        <f>AS$1*'survival matrix'!AS117</f>
        <v>616.02730081952484</v>
      </c>
      <c r="AT117" s="6">
        <f>AT$1*'survival matrix'!AT117</f>
        <v>791.82634921504064</v>
      </c>
      <c r="AU117" s="6">
        <f>AU$1*'survival matrix'!AU117</f>
        <v>1012.4807701000198</v>
      </c>
      <c r="AV117" s="6">
        <f>AV$1*'survival matrix'!AV117</f>
        <v>1278.6078869451458</v>
      </c>
      <c r="AW117" s="6">
        <f>AW$1*'survival matrix'!AW117</f>
        <v>1609.4923901125339</v>
      </c>
      <c r="AX117" s="6">
        <f>AX$1*'survival matrix'!AX117</f>
        <v>2013.539229715843</v>
      </c>
      <c r="AY117" s="6">
        <f>AY$1*'survival matrix'!AY117</f>
        <v>2520.7977859608877</v>
      </c>
      <c r="AZ117" s="6">
        <f>AZ$1*'survival matrix'!AZ117</f>
        <v>3127.8934030609648</v>
      </c>
      <c r="BA117" s="6">
        <f>BA$1*'survival matrix'!BA117</f>
        <v>3843.4588509060563</v>
      </c>
      <c r="BB117" s="6">
        <f>BB$1*'survival matrix'!BB117</f>
        <v>4715.7685139746363</v>
      </c>
      <c r="BC117" s="6">
        <f>BC$1*'survival matrix'!BC117</f>
        <v>5758.4702433464481</v>
      </c>
      <c r="BD117" s="6">
        <f>BD$1*'survival matrix'!BD117</f>
        <v>7009.2713090652514</v>
      </c>
      <c r="BE117" s="6">
        <f>BE$1*'survival matrix'!BE117</f>
        <v>8473.8124261149678</v>
      </c>
      <c r="BF117" s="6">
        <f>BF$1*'survival matrix'!BF117</f>
        <v>10138.711667005933</v>
      </c>
      <c r="BG117" s="6">
        <f>BG$1*'survival matrix'!BG117</f>
        <v>12065.700238098083</v>
      </c>
      <c r="BH117" s="6">
        <f>BH$1*'survival matrix'!BH117</f>
        <v>14278.959783175158</v>
      </c>
      <c r="BI117" s="6">
        <f>BI$1*'survival matrix'!BI117</f>
        <v>16849.072391036301</v>
      </c>
      <c r="BJ117" s="6">
        <f>BJ$1*'survival matrix'!BJ117</f>
        <v>19814.702503796318</v>
      </c>
      <c r="BK117" s="6">
        <f>BK$1*'survival matrix'!BK117</f>
        <v>23187.924500217647</v>
      </c>
      <c r="BL117" s="6">
        <f>BL$1*'survival matrix'!BL117</f>
        <v>27085.916598309414</v>
      </c>
      <c r="BM117" s="6">
        <f>BM$1*'survival matrix'!BM117</f>
        <v>31589.313070191256</v>
      </c>
      <c r="BN117" s="6">
        <f>BN$1*'survival matrix'!BN117</f>
        <v>36829.228327111428</v>
      </c>
      <c r="BO117" s="6">
        <f>BO$1*'survival matrix'!BO117</f>
        <v>43145.941313795265</v>
      </c>
      <c r="BP117" s="6">
        <f>BP$1*'survival matrix'!BP117</f>
        <v>50204.971049925596</v>
      </c>
      <c r="BQ117" s="6">
        <f>BQ$1*'survival matrix'!BQ117</f>
        <v>58369.003476755723</v>
      </c>
      <c r="BR117" s="6">
        <f>BR$1*'survival matrix'!BR117</f>
        <v>66698.895845389328</v>
      </c>
      <c r="BS117" s="6">
        <f>BS$1*'survival matrix'!BS117</f>
        <v>77164.58369781253</v>
      </c>
      <c r="BT117" s="6">
        <f>BT$1*'survival matrix'!BT117</f>
        <v>88338.284346740751</v>
      </c>
      <c r="BU117" s="6">
        <f>BU$1*'survival matrix'!BU117</f>
        <v>97560.628780053696</v>
      </c>
      <c r="BV117" s="6">
        <f>BV$1*'survival matrix'!BV117</f>
        <v>107871.90747293764</v>
      </c>
      <c r="BW117" s="6">
        <f>BW$1*'survival matrix'!BW117</f>
        <v>119109.85193547318</v>
      </c>
      <c r="BX117" s="6">
        <f>BX$1*'survival matrix'!BX117</f>
        <v>131189.98705862972</v>
      </c>
      <c r="BY117" s="6">
        <f>BY$1*'survival matrix'!BY117</f>
        <v>144294.67649330955</v>
      </c>
      <c r="BZ117" s="6">
        <f>BZ$1*'survival matrix'!BZ117</f>
        <v>159815.45337053417</v>
      </c>
      <c r="CA117" s="6">
        <f>CA$1*'survival matrix'!CA117</f>
        <v>178940.72629809115</v>
      </c>
      <c r="CB117" s="6">
        <f>CB$1*'survival matrix'!CB117</f>
        <v>198761.16121237745</v>
      </c>
      <c r="CC117" s="6">
        <f>CC$1*'survival matrix'!CC117</f>
        <v>220973.25856671124</v>
      </c>
      <c r="CD117" s="6">
        <f>CD$1*'survival matrix'!CD117</f>
        <v>243186.39810062709</v>
      </c>
      <c r="CE117" s="6">
        <f>CE$1*'survival matrix'!CE117</f>
        <v>267200.08035126113</v>
      </c>
      <c r="CF117" s="6">
        <f>CF$1*'survival matrix'!CF117</f>
        <v>292881.9051135917</v>
      </c>
      <c r="CG117" s="6">
        <f>CG$1*'survival matrix'!CG117</f>
        <v>320241.84629227448</v>
      </c>
      <c r="CH117" s="6">
        <f>CH$1*'survival matrix'!CH117</f>
        <v>346749.79981642467</v>
      </c>
      <c r="CI117" s="6">
        <f>CI$1*'survival matrix'!CI117</f>
        <v>374357.85950625368</v>
      </c>
      <c r="CJ117" s="6">
        <f>CJ$1*'survival matrix'!CJ117</f>
        <v>403609.24710456101</v>
      </c>
      <c r="CK117" s="6">
        <f>CK$1*'survival matrix'!CK117</f>
        <v>433749.8340351776</v>
      </c>
      <c r="CL117" s="6">
        <f>CL$1*'survival matrix'!CL117</f>
        <v>468487.34474799008</v>
      </c>
      <c r="CM117" s="6">
        <f>CM$1*'survival matrix'!CM117</f>
        <v>505922.98611157574</v>
      </c>
      <c r="CN117" s="6">
        <f>CN$1*'survival matrix'!CN117</f>
        <v>543173.61413861241</v>
      </c>
      <c r="CO117" s="6">
        <f>CO$1*'survival matrix'!CO117</f>
        <v>582402.9059967302</v>
      </c>
      <c r="CP117" s="6">
        <f>CP$1*'survival matrix'!CP117</f>
        <v>624937.00881871895</v>
      </c>
      <c r="CQ117" s="6">
        <f>CQ$1*'survival matrix'!CQ117</f>
        <v>671562.3875581387</v>
      </c>
      <c r="CR117" s="6">
        <f>CR$1*'survival matrix'!CR117</f>
        <v>719376.76127969567</v>
      </c>
      <c r="CS117" s="6">
        <f>CS$1*'survival matrix'!CS117</f>
        <v>767258.94940326968</v>
      </c>
      <c r="CT117" s="6">
        <f>CT$1*'survival matrix'!CT117</f>
        <v>818395.99434566742</v>
      </c>
      <c r="CU117" s="6">
        <f>CU$1*'survival matrix'!CU117</f>
        <v>867893.1886840607</v>
      </c>
      <c r="CV117" s="6">
        <f>CV$1*'survival matrix'!CV117</f>
        <v>918510.839964026</v>
      </c>
      <c r="CW117" s="6">
        <f>CW$1*'survival matrix'!CW117</f>
        <v>972102.6261146497</v>
      </c>
      <c r="CX117" s="6">
        <f>CX$1*'survival matrix'!CX117</f>
        <v>1020716.2739332457</v>
      </c>
      <c r="CY117" s="6">
        <f>CY$1*'survival matrix'!CY117</f>
        <v>1060021.8864132445</v>
      </c>
      <c r="CZ117" s="6">
        <f>CZ$1*'survival matrix'!CZ117</f>
        <v>1113313.9567584957</v>
      </c>
      <c r="DA117" s="6">
        <f>DA$1*'survival matrix'!DA117</f>
        <v>1148933.125107279</v>
      </c>
      <c r="DB117" s="6">
        <f>DB$1*'survival matrix'!DB117</f>
        <v>1189903.2728156711</v>
      </c>
      <c r="DC117" s="6">
        <f>DC$1*'survival matrix'!DC117</f>
        <v>1232446.1525219528</v>
      </c>
      <c r="DD117" s="6">
        <f>DD$1*'survival matrix'!DD117</f>
        <v>1269866.5793189071</v>
      </c>
      <c r="DE117" s="6">
        <f>DE$1*'survival matrix'!DE117</f>
        <v>1298357.3920482753</v>
      </c>
      <c r="DF117" s="6">
        <f>DF$1*'survival matrix'!DF117</f>
        <v>1327333.8648987573</v>
      </c>
      <c r="DG117" s="6">
        <f>DG$1*'survival matrix'!DG117</f>
        <v>1354651.6336365521</v>
      </c>
      <c r="DH117" s="6">
        <f>DH$1*'survival matrix'!DH117</f>
        <v>1380181.2836828912</v>
      </c>
      <c r="DI117" s="6">
        <f>DI$1*'survival matrix'!DI117</f>
        <v>1405562.6207413783</v>
      </c>
      <c r="DJ117" s="6">
        <f>DJ$1*'survival matrix'!DJ117</f>
        <v>1429095.7656044317</v>
      </c>
      <c r="DK117" s="6">
        <f>DK$1*'survival matrix'!DK117</f>
        <v>1454365.5769239245</v>
      </c>
      <c r="DL117" s="6">
        <f>DL$1*'survival matrix'!DL117</f>
        <v>1477454.4128732588</v>
      </c>
      <c r="DM117" s="6">
        <f>DM$1*'survival matrix'!DM117</f>
        <v>1501005.3804122675</v>
      </c>
      <c r="DN117" s="6">
        <f>DN$1*'survival matrix'!DN117</f>
        <v>1520957.5257148454</v>
      </c>
      <c r="DO117" s="6">
        <f>DO$1*'survival matrix'!DO117</f>
        <v>1537593.2397880412</v>
      </c>
      <c r="DP117" s="6">
        <f>DP$1*'survival matrix'!DP117</f>
        <v>1549107.7449009214</v>
      </c>
      <c r="DQ117" s="6">
        <f>DQ$1*'survival matrix'!DQ117</f>
        <v>0</v>
      </c>
      <c r="DR117" s="6">
        <f>DR$1*'survival matrix'!DR117</f>
        <v>0</v>
      </c>
      <c r="DS117" s="6">
        <f>DS$1*'survival matrix'!DS117</f>
        <v>0</v>
      </c>
      <c r="DT117" s="6">
        <f>DT$1*'survival matrix'!DT117</f>
        <v>0</v>
      </c>
      <c r="DU117" s="6">
        <f>DU$1*'survival matrix'!DU117</f>
        <v>0</v>
      </c>
      <c r="DV117" s="6">
        <f>DV$1*'survival matrix'!DV117</f>
        <v>0</v>
      </c>
      <c r="DW117" s="6">
        <f>DW$1*'survival matrix'!DW117</f>
        <v>0</v>
      </c>
      <c r="DX117" s="6">
        <f>DX$1*'survival matrix'!DX117</f>
        <v>0</v>
      </c>
      <c r="DY117" s="6">
        <f>DY$1*'survival matrix'!DY117</f>
        <v>0</v>
      </c>
      <c r="DZ117" s="6">
        <f>DZ$1*'survival matrix'!DZ117</f>
        <v>0</v>
      </c>
      <c r="EA117" s="6">
        <f>EA$1*'survival matrix'!EA117</f>
        <v>0</v>
      </c>
      <c r="EB117" s="6">
        <f>EB$1*'survival matrix'!EB117</f>
        <v>0</v>
      </c>
      <c r="EC117" s="6">
        <f>EC$1*'survival matrix'!EC117</f>
        <v>0</v>
      </c>
    </row>
    <row r="118" spans="1:133">
      <c r="A118" s="12">
        <f>'data input'!C118-B118</f>
        <v>490477.79345685546</v>
      </c>
      <c r="B118" s="14">
        <f t="shared" si="3"/>
        <v>1072128.081152752</v>
      </c>
      <c r="C118" s="11">
        <f>SUM(F118:EC118)</f>
        <v>39464099.469071507</v>
      </c>
      <c r="E118" s="7">
        <f>'data input'!B118</f>
        <v>1993</v>
      </c>
      <c r="F118" s="6">
        <f>F$1*'survival matrix'!F118</f>
        <v>3.015011192141285E-5</v>
      </c>
      <c r="G118" s="6">
        <f>G$1*'survival matrix'!G118</f>
        <v>9.3223474215861781E-5</v>
      </c>
      <c r="H118" s="6">
        <f>H$1*'survival matrix'!H118</f>
        <v>2.1477204800619012E-4</v>
      </c>
      <c r="I118" s="6">
        <f>I$1*'survival matrix'!I118</f>
        <v>4.3768510271525763E-4</v>
      </c>
      <c r="J118" s="6">
        <f>J$1*'survival matrix'!J118</f>
        <v>8.3172486909802439E-4</v>
      </c>
      <c r="K118" s="6">
        <f>K$1*'survival matrix'!K118</f>
        <v>1.5091499991240964E-3</v>
      </c>
      <c r="L118" s="6">
        <f>L$1*'survival matrix'!L118</f>
        <v>2.6486591279858591E-3</v>
      </c>
      <c r="M118" s="6">
        <f>M$1*'survival matrix'!M118</f>
        <v>4.5290856179198589E-3</v>
      </c>
      <c r="N118" s="6">
        <f>N$1*'survival matrix'!N118</f>
        <v>7.5792141027221744E-3</v>
      </c>
      <c r="O118" s="6">
        <f>O$1*'survival matrix'!O118</f>
        <v>1.2452960804633739E-2</v>
      </c>
      <c r="P118" s="6">
        <f>P$1*'survival matrix'!P118</f>
        <v>2.0146688848039745E-2</v>
      </c>
      <c r="Q118" s="6">
        <f>Q$1*'survival matrix'!Q118</f>
        <v>3.2157012561978587E-2</v>
      </c>
      <c r="R118" s="6">
        <f>R$1*'survival matrix'!R118</f>
        <v>5.0700664839533574E-2</v>
      </c>
      <c r="S118" s="6">
        <f>S$1*'survival matrix'!S118</f>
        <v>7.9026872818921512E-2</v>
      </c>
      <c r="T118" s="6">
        <f>T$1*'survival matrix'!T118</f>
        <v>0.12185361678006931</v>
      </c>
      <c r="U118" s="6">
        <f>U$1*'survival matrix'!U118</f>
        <v>0.18602318921841099</v>
      </c>
      <c r="V118" s="6">
        <f>V$1*'survival matrix'!V118</f>
        <v>0.28128143475136486</v>
      </c>
      <c r="W118" s="6">
        <f>W$1*'survival matrix'!W118</f>
        <v>0.42154108643846522</v>
      </c>
      <c r="X118" s="6">
        <f>X$1*'survival matrix'!X118</f>
        <v>0.62636077480522567</v>
      </c>
      <c r="Y118" s="6">
        <f>Y$1*'survival matrix'!Y118</f>
        <v>0.92300434776703988</v>
      </c>
      <c r="Z118" s="6">
        <f>Z$1*'survival matrix'!Z118</f>
        <v>1.3493583017025939</v>
      </c>
      <c r="AA118" s="6">
        <f>AA$1*'survival matrix'!AA118</f>
        <v>1.9574837120442667</v>
      </c>
      <c r="AB118" s="6">
        <f>AB$1*'survival matrix'!AB118</f>
        <v>2.8180762006601459</v>
      </c>
      <c r="AC118" s="6">
        <f>AC$1*'survival matrix'!AC118</f>
        <v>4.0433502526454719</v>
      </c>
      <c r="AD118" s="6">
        <f>AD$1*'survival matrix'!AD118</f>
        <v>5.8064066660028333</v>
      </c>
      <c r="AE118" s="6">
        <f>AE$1*'survival matrix'!AE118</f>
        <v>8.2641047660104689</v>
      </c>
      <c r="AF118" s="6">
        <f>AF$1*'survival matrix'!AF118</f>
        <v>11.559373521639221</v>
      </c>
      <c r="AG118" s="6">
        <f>AG$1*'survival matrix'!AG118</f>
        <v>16.104557043518604</v>
      </c>
      <c r="AH118" s="6">
        <f>AH$1*'survival matrix'!AH118</f>
        <v>22.207362706017701</v>
      </c>
      <c r="AI118" s="6">
        <f>AI$1*'survival matrix'!AI118</f>
        <v>31.059992641649881</v>
      </c>
      <c r="AJ118" s="6">
        <f>AJ$1*'survival matrix'!AJ118</f>
        <v>42.416214267641301</v>
      </c>
      <c r="AK118" s="6">
        <f>AK$1*'survival matrix'!AK118</f>
        <v>57.278470237306301</v>
      </c>
      <c r="AL118" s="6">
        <f>AL$1*'survival matrix'!AL118</f>
        <v>76.967880032765521</v>
      </c>
      <c r="AM118" s="6">
        <f>AM$1*'survival matrix'!AM118</f>
        <v>102.92677577025523</v>
      </c>
      <c r="AN118" s="6">
        <f>AN$1*'survival matrix'!AN118</f>
        <v>135.40901920984606</v>
      </c>
      <c r="AO118" s="6">
        <f>AO$1*'survival matrix'!AO118</f>
        <v>176.92897648880773</v>
      </c>
      <c r="AP118" s="6">
        <f>AP$1*'survival matrix'!AP118</f>
        <v>228.88369406957074</v>
      </c>
      <c r="AQ118" s="6">
        <f>AQ$1*'survival matrix'!AQ118</f>
        <v>296.14603775455237</v>
      </c>
      <c r="AR118" s="6">
        <f>AR$1*'survival matrix'!AR118</f>
        <v>383.23140979249973</v>
      </c>
      <c r="AS118" s="6">
        <f>AS$1*'survival matrix'!AS118</f>
        <v>492.96617869301065</v>
      </c>
      <c r="AT118" s="6">
        <f>AT$1*'survival matrix'!AT118</f>
        <v>636.92049931487168</v>
      </c>
      <c r="AU118" s="6">
        <f>AU$1*'survival matrix'!AU118</f>
        <v>818.60188031927885</v>
      </c>
      <c r="AV118" s="6">
        <f>AV$1*'survival matrix'!AV118</f>
        <v>1039.0733680339779</v>
      </c>
      <c r="AW118" s="6">
        <f>AW$1*'survival matrix'!AW118</f>
        <v>1314.6570196917114</v>
      </c>
      <c r="AX118" s="6">
        <f>AX$1*'survival matrix'!AX118</f>
        <v>1653.0643252091702</v>
      </c>
      <c r="AY118" s="6">
        <f>AY$1*'survival matrix'!AY118</f>
        <v>2080.0069228717275</v>
      </c>
      <c r="AZ118" s="6">
        <f>AZ$1*'survival matrix'!AZ118</f>
        <v>2593.978496178137</v>
      </c>
      <c r="BA118" s="6">
        <f>BA$1*'survival matrix'!BA118</f>
        <v>3203.4237030662825</v>
      </c>
      <c r="BB118" s="6">
        <f>BB$1*'survival matrix'!BB118</f>
        <v>3950.1347559000587</v>
      </c>
      <c r="BC118" s="6">
        <f>BC$1*'survival matrix'!BC118</f>
        <v>4847.55644370343</v>
      </c>
      <c r="BD118" s="6">
        <f>BD$1*'survival matrix'!BD118</f>
        <v>5929.7092728733551</v>
      </c>
      <c r="BE118" s="6">
        <f>BE$1*'survival matrix'!BE118</f>
        <v>7203.9722828834711</v>
      </c>
      <c r="BF118" s="6">
        <f>BF$1*'survival matrix'!BF118</f>
        <v>8661.5548905546748</v>
      </c>
      <c r="BG118" s="6">
        <f>BG$1*'survival matrix'!BG118</f>
        <v>10357.909372464766</v>
      </c>
      <c r="BH118" s="6">
        <f>BH$1*'survival matrix'!BH118</f>
        <v>12317.10133980194</v>
      </c>
      <c r="BI118" s="6">
        <f>BI$1*'survival matrix'!BI118</f>
        <v>14603.785776586283</v>
      </c>
      <c r="BJ118" s="6">
        <f>BJ$1*'survival matrix'!BJ118</f>
        <v>17255.950728793126</v>
      </c>
      <c r="BK118" s="6">
        <f>BK$1*'survival matrix'!BK118</f>
        <v>20288.90625971448</v>
      </c>
      <c r="BL118" s="6">
        <f>BL$1*'survival matrix'!BL118</f>
        <v>23810.493438810212</v>
      </c>
      <c r="BM118" s="6">
        <f>BM$1*'survival matrix'!BM118</f>
        <v>27898.11818175354</v>
      </c>
      <c r="BN118" s="6">
        <f>BN$1*'survival matrix'!BN118</f>
        <v>32675.182857772132</v>
      </c>
      <c r="BO118" s="6">
        <f>BO$1*'survival matrix'!BO118</f>
        <v>38453.496963201156</v>
      </c>
      <c r="BP118" s="6">
        <f>BP$1*'survival matrix'!BP118</f>
        <v>44946.082915454797</v>
      </c>
      <c r="BQ118" s="6">
        <f>BQ$1*'survival matrix'!BQ118</f>
        <v>52487.306596291877</v>
      </c>
      <c r="BR118" s="6">
        <f>BR$1*'survival matrix'!BR118</f>
        <v>60241.256854971602</v>
      </c>
      <c r="BS118" s="6">
        <f>BS$1*'survival matrix'!BS118</f>
        <v>69995.811394510994</v>
      </c>
      <c r="BT118" s="6">
        <f>BT$1*'survival matrix'!BT118</f>
        <v>80474.016424827001</v>
      </c>
      <c r="BU118" s="6">
        <f>BU$1*'survival matrix'!BU118</f>
        <v>89249.688840530449</v>
      </c>
      <c r="BV118" s="6">
        <f>BV$1*'survival matrix'!BV118</f>
        <v>99091.692846319478</v>
      </c>
      <c r="BW118" s="6">
        <f>BW$1*'survival matrix'!BW118</f>
        <v>109860.93981095175</v>
      </c>
      <c r="BX118" s="6">
        <f>BX$1*'survival matrix'!BX118</f>
        <v>121487.49380860235</v>
      </c>
      <c r="BY118" s="6">
        <f>BY$1*'survival matrix'!BY118</f>
        <v>134147.78073692447</v>
      </c>
      <c r="BZ118" s="6">
        <f>BZ$1*'survival matrix'!BZ118</f>
        <v>149148.80559631047</v>
      </c>
      <c r="CA118" s="6">
        <f>CA$1*'survival matrix'!CA118</f>
        <v>167626.24319574522</v>
      </c>
      <c r="CB118" s="6">
        <f>CB$1*'survival matrix'!CB118</f>
        <v>186878.16792505418</v>
      </c>
      <c r="CC118" s="6">
        <f>CC$1*'survival matrix'!CC118</f>
        <v>208507.57322897777</v>
      </c>
      <c r="CD118" s="6">
        <f>CD$1*'survival matrix'!CD118</f>
        <v>230269.13774195997</v>
      </c>
      <c r="CE118" s="6">
        <f>CE$1*'survival matrix'!CE118</f>
        <v>253866.31847874846</v>
      </c>
      <c r="CF118" s="6">
        <f>CF$1*'survival matrix'!CF118</f>
        <v>279183.18227153452</v>
      </c>
      <c r="CG118" s="6">
        <f>CG$1*'survival matrix'!CG118</f>
        <v>306237.00595868233</v>
      </c>
      <c r="CH118" s="6">
        <f>CH$1*'survival matrix'!CH118</f>
        <v>332607.39782910096</v>
      </c>
      <c r="CI118" s="6">
        <f>CI$1*'survival matrix'!CI118</f>
        <v>360155.9423860095</v>
      </c>
      <c r="CJ118" s="6">
        <f>CJ$1*'survival matrix'!CJ118</f>
        <v>389406.54638850049</v>
      </c>
      <c r="CK118" s="6">
        <f>CK$1*'survival matrix'!CK118</f>
        <v>419632.74653843051</v>
      </c>
      <c r="CL118" s="6">
        <f>CL$1*'survival matrix'!CL118</f>
        <v>454427.06003559876</v>
      </c>
      <c r="CM118" s="6">
        <f>CM$1*'survival matrix'!CM118</f>
        <v>491965.31002906768</v>
      </c>
      <c r="CN118" s="6">
        <f>CN$1*'survival matrix'!CN118</f>
        <v>529443.04395050951</v>
      </c>
      <c r="CO118" s="6">
        <f>CO$1*'survival matrix'!CO118</f>
        <v>568958.87080063403</v>
      </c>
      <c r="CP118" s="6">
        <f>CP$1*'survival matrix'!CP118</f>
        <v>611809.58571605117</v>
      </c>
      <c r="CQ118" s="6">
        <f>CQ$1*'survival matrix'!CQ118</f>
        <v>658771.71101373015</v>
      </c>
      <c r="CR118" s="6">
        <f>CR$1*'survival matrix'!CR118</f>
        <v>707000.19253048324</v>
      </c>
      <c r="CS118" s="6">
        <f>CS$1*'survival matrix'!CS118</f>
        <v>755380.99319465586</v>
      </c>
      <c r="CT118" s="6">
        <f>CT$1*'survival matrix'!CT118</f>
        <v>807041.03909080697</v>
      </c>
      <c r="CU118" s="6">
        <f>CU$1*'survival matrix'!CU118</f>
        <v>857145.26312277303</v>
      </c>
      <c r="CV118" s="6">
        <f>CV$1*'survival matrix'!CV118</f>
        <v>908401.04100709187</v>
      </c>
      <c r="CW118" s="6">
        <f>CW$1*'survival matrix'!CW118</f>
        <v>962634.0598918671</v>
      </c>
      <c r="CX118" s="6">
        <f>CX$1*'survival matrix'!CX118</f>
        <v>1011957.218820428</v>
      </c>
      <c r="CY118" s="6">
        <f>CY$1*'survival matrix'!CY118</f>
        <v>1052044.3734768739</v>
      </c>
      <c r="CZ118" s="6">
        <f>CZ$1*'survival matrix'!CZ118</f>
        <v>1106000.0853223109</v>
      </c>
      <c r="DA118" s="6">
        <f>DA$1*'survival matrix'!DA118</f>
        <v>1142375.6549628412</v>
      </c>
      <c r="DB118" s="6">
        <f>DB$1*'survival matrix'!DB118</f>
        <v>1184031.6138809859</v>
      </c>
      <c r="DC118" s="6">
        <f>DC$1*'survival matrix'!DC118</f>
        <v>1227213.9609388199</v>
      </c>
      <c r="DD118" s="6">
        <f>DD$1*'survival matrix'!DD118</f>
        <v>1265251.650329686</v>
      </c>
      <c r="DE118" s="6">
        <f>DE$1*'survival matrix'!DE118</f>
        <v>1294338.6926078144</v>
      </c>
      <c r="DF118" s="6">
        <f>DF$1*'survival matrix'!DF118</f>
        <v>1323852.7380447951</v>
      </c>
      <c r="DG118" s="6">
        <f>DG$1*'survival matrix'!DG118</f>
        <v>1351656.9338748157</v>
      </c>
      <c r="DH118" s="6">
        <f>DH$1*'survival matrix'!DH118</f>
        <v>1377622.9252049942</v>
      </c>
      <c r="DI118" s="6">
        <f>DI$1*'survival matrix'!DI118</f>
        <v>1403389.5837310578</v>
      </c>
      <c r="DJ118" s="6">
        <f>DJ$1*'survival matrix'!DJ118</f>
        <v>1427262.8488874678</v>
      </c>
      <c r="DK118" s="6">
        <f>DK$1*'survival matrix'!DK118</f>
        <v>1452826.4472190372</v>
      </c>
      <c r="DL118" s="6">
        <f>DL$1*'survival matrix'!DL118</f>
        <v>1476171.2650254248</v>
      </c>
      <c r="DM118" s="6">
        <f>DM$1*'survival matrix'!DM118</f>
        <v>1499941.4004272241</v>
      </c>
      <c r="DN118" s="6">
        <f>DN$1*'survival matrix'!DN118</f>
        <v>1520082.3945902556</v>
      </c>
      <c r="DO118" s="6">
        <f>DO$1*'survival matrix'!DO118</f>
        <v>1536879.0580115148</v>
      </c>
      <c r="DP118" s="6">
        <f>DP$1*'survival matrix'!DP118</f>
        <v>1548530.1036242365</v>
      </c>
      <c r="DQ118" s="6">
        <f>DQ$1*'survival matrix'!DQ118</f>
        <v>1560496.5160152584</v>
      </c>
      <c r="DR118" s="6">
        <f>DR$1*'survival matrix'!DR118</f>
        <v>0</v>
      </c>
      <c r="DS118" s="6">
        <f>DS$1*'survival matrix'!DS118</f>
        <v>0</v>
      </c>
      <c r="DT118" s="6">
        <f>DT$1*'survival matrix'!DT118</f>
        <v>0</v>
      </c>
      <c r="DU118" s="6">
        <f>DU$1*'survival matrix'!DU118</f>
        <v>0</v>
      </c>
      <c r="DV118" s="6">
        <f>DV$1*'survival matrix'!DV118</f>
        <v>0</v>
      </c>
      <c r="DW118" s="6">
        <f>DW$1*'survival matrix'!DW118</f>
        <v>0</v>
      </c>
      <c r="DX118" s="6">
        <f>DX$1*'survival matrix'!DX118</f>
        <v>0</v>
      </c>
      <c r="DY118" s="6">
        <f>DY$1*'survival matrix'!DY118</f>
        <v>0</v>
      </c>
      <c r="DZ118" s="6">
        <f>DZ$1*'survival matrix'!DZ118</f>
        <v>0</v>
      </c>
      <c r="EA118" s="6">
        <f>EA$1*'survival matrix'!EA118</f>
        <v>0</v>
      </c>
      <c r="EB118" s="6">
        <f>EB$1*'survival matrix'!EB118</f>
        <v>0</v>
      </c>
      <c r="EC118" s="6">
        <f>EC$1*'survival matrix'!EC118</f>
        <v>0</v>
      </c>
    </row>
    <row r="119" spans="1:133">
      <c r="A119" s="12">
        <f>'data input'!C119-B119</f>
        <v>509601.51234174147</v>
      </c>
      <c r="B119" s="14">
        <f t="shared" si="3"/>
        <v>1062173.4842488244</v>
      </c>
      <c r="C119" s="11">
        <f>SUM(F119:EC119)</f>
        <v>40526272.953320332</v>
      </c>
      <c r="E119" s="7">
        <f>'data input'!B119</f>
        <v>1994</v>
      </c>
      <c r="F119" s="6">
        <f>F$1*'survival matrix'!F119</f>
        <v>1.9471978837296872E-5</v>
      </c>
      <c r="G119" s="6">
        <f>G$1*'survival matrix'!G119</f>
        <v>6.053741166118367E-5</v>
      </c>
      <c r="H119" s="6">
        <f>H$1*'survival matrix'!H119</f>
        <v>1.4023363672122777E-4</v>
      </c>
      <c r="I119" s="6">
        <f>I$1*'survival matrix'!I119</f>
        <v>2.873495452829418E-4</v>
      </c>
      <c r="J119" s="6">
        <f>J$1*'survival matrix'!J119</f>
        <v>5.490363800486484E-4</v>
      </c>
      <c r="K119" s="6">
        <f>K$1*'survival matrix'!K119</f>
        <v>1.0016704170254787E-3</v>
      </c>
      <c r="L119" s="6">
        <f>L$1*'survival matrix'!L119</f>
        <v>1.7676154088493549E-3</v>
      </c>
      <c r="M119" s="6">
        <f>M$1*'survival matrix'!M119</f>
        <v>3.0390630534199606E-3</v>
      </c>
      <c r="N119" s="6">
        <f>N$1*'survival matrix'!N119</f>
        <v>5.1135083056129847E-3</v>
      </c>
      <c r="O119" s="6">
        <f>O$1*'survival matrix'!O119</f>
        <v>8.4475563050900992E-3</v>
      </c>
      <c r="P119" s="6">
        <f>P$1*'survival matrix'!P119</f>
        <v>1.3741174067962316E-2</v>
      </c>
      <c r="Q119" s="6">
        <f>Q$1*'survival matrix'!Q119</f>
        <v>2.2052380526963206E-2</v>
      </c>
      <c r="R119" s="6">
        <f>R$1*'survival matrix'!R119</f>
        <v>3.4958349052298034E-2</v>
      </c>
      <c r="S119" s="6">
        <f>S$1*'survival matrix'!S119</f>
        <v>5.4785712308039032E-2</v>
      </c>
      <c r="T119" s="6">
        <f>T$1*'survival matrix'!T119</f>
        <v>8.4934452448131165E-2</v>
      </c>
      <c r="U119" s="6">
        <f>U$1*'survival matrix'!U119</f>
        <v>0.13036563173732205</v>
      </c>
      <c r="V119" s="6">
        <f>V$1*'survival matrix'!V119</f>
        <v>0.19819156898924425</v>
      </c>
      <c r="W119" s="6">
        <f>W$1*'survival matrix'!W119</f>
        <v>0.29862730909410462</v>
      </c>
      <c r="X119" s="6">
        <f>X$1*'survival matrix'!X119</f>
        <v>0.44612544155517136</v>
      </c>
      <c r="Y119" s="6">
        <f>Y$1*'survival matrix'!Y119</f>
        <v>0.66096160605075127</v>
      </c>
      <c r="Z119" s="6">
        <f>Z$1*'survival matrix'!Z119</f>
        <v>0.97148685903752574</v>
      </c>
      <c r="AA119" s="6">
        <f>AA$1*'survival matrix'!AA119</f>
        <v>1.4169089948065463</v>
      </c>
      <c r="AB119" s="6">
        <f>AB$1*'survival matrix'!AB119</f>
        <v>2.0508200910063459</v>
      </c>
      <c r="AC119" s="6">
        <f>AC$1*'survival matrix'!AC119</f>
        <v>2.9583119972448793</v>
      </c>
      <c r="AD119" s="6">
        <f>AD$1*'survival matrix'!AD119</f>
        <v>4.2710480503854136</v>
      </c>
      <c r="AE119" s="6">
        <f>AE$1*'survival matrix'!AE119</f>
        <v>6.1114420145924582</v>
      </c>
      <c r="AF119" s="6">
        <f>AF$1*'survival matrix'!AF119</f>
        <v>8.5940798037636377</v>
      </c>
      <c r="AG119" s="6">
        <f>AG$1*'survival matrix'!AG119</f>
        <v>12.037249095924157</v>
      </c>
      <c r="AH119" s="6">
        <f>AH$1*'survival matrix'!AH119</f>
        <v>16.687252670644032</v>
      </c>
      <c r="AI119" s="6">
        <f>AI$1*'survival matrix'!AI119</f>
        <v>23.463588808856173</v>
      </c>
      <c r="AJ119" s="6">
        <f>AJ$1*'survival matrix'!AJ119</f>
        <v>32.212608320822838</v>
      </c>
      <c r="AK119" s="6">
        <f>AK$1*'survival matrix'!AK119</f>
        <v>43.730230671103762</v>
      </c>
      <c r="AL119" s="6">
        <f>AL$1*'survival matrix'!AL119</f>
        <v>59.073339876834766</v>
      </c>
      <c r="AM119" s="6">
        <f>AM$1*'survival matrix'!AM119</f>
        <v>79.414000738143898</v>
      </c>
      <c r="AN119" s="6">
        <f>AN$1*'survival matrix'!AN119</f>
        <v>105.02624702631527</v>
      </c>
      <c r="AO119" s="6">
        <f>AO$1*'survival matrix'!AO119</f>
        <v>137.95116555974138</v>
      </c>
      <c r="AP119" s="6">
        <f>AP$1*'survival matrix'!AP119</f>
        <v>179.39559648547811</v>
      </c>
      <c r="AQ119" s="6">
        <f>AQ$1*'survival matrix'!AQ119</f>
        <v>233.32832663507324</v>
      </c>
      <c r="AR119" s="6">
        <f>AR$1*'survival matrix'!AR119</f>
        <v>303.51564222267643</v>
      </c>
      <c r="AS119" s="6">
        <f>AS$1*'survival matrix'!AS119</f>
        <v>392.45429169489807</v>
      </c>
      <c r="AT119" s="6">
        <f>AT$1*'survival matrix'!AT119</f>
        <v>509.68563286204449</v>
      </c>
      <c r="AU119" s="6">
        <f>AU$1*'survival matrix'!AU119</f>
        <v>658.45790414768419</v>
      </c>
      <c r="AV119" s="6">
        <f>AV$1*'survival matrix'!AV119</f>
        <v>840.1022893286887</v>
      </c>
      <c r="AW119" s="6">
        <f>AW$1*'survival matrix'!AW119</f>
        <v>1068.3690529426422</v>
      </c>
      <c r="AX119" s="6">
        <f>AX$1*'survival matrix'!AX119</f>
        <v>1350.2472161339197</v>
      </c>
      <c r="AY119" s="6">
        <f>AY$1*'survival matrix'!AY119</f>
        <v>1707.6326051380636</v>
      </c>
      <c r="AZ119" s="6">
        <f>AZ$1*'survival matrix'!AZ119</f>
        <v>2140.3911332674561</v>
      </c>
      <c r="BA119" s="6">
        <f>BA$1*'survival matrix'!BA119</f>
        <v>2656.6161723316613</v>
      </c>
      <c r="BB119" s="6">
        <f>BB$1*'survival matrix'!BB119</f>
        <v>3292.3353152000445</v>
      </c>
      <c r="BC119" s="6">
        <f>BC$1*'survival matrix'!BC119</f>
        <v>4060.5261120675937</v>
      </c>
      <c r="BD119" s="6">
        <f>BD$1*'survival matrix'!BD119</f>
        <v>4991.707724498151</v>
      </c>
      <c r="BE119" s="6">
        <f>BE$1*'survival matrix'!BE119</f>
        <v>6094.4225674485278</v>
      </c>
      <c r="BF119" s="6">
        <f>BF$1*'survival matrix'!BF119</f>
        <v>7363.580667177619</v>
      </c>
      <c r="BG119" s="6">
        <f>BG$1*'survival matrix'!BG119</f>
        <v>8848.8166472819958</v>
      </c>
      <c r="BH119" s="6">
        <f>BH$1*'survival matrix'!BH119</f>
        <v>10573.726919411947</v>
      </c>
      <c r="BI119" s="6">
        <f>BI$1*'survival matrix'!BI119</f>
        <v>12597.297848469254</v>
      </c>
      <c r="BJ119" s="6">
        <f>BJ$1*'survival matrix'!BJ119</f>
        <v>14956.444008673605</v>
      </c>
      <c r="BK119" s="6">
        <f>BK$1*'survival matrix'!BK119</f>
        <v>17668.91865732825</v>
      </c>
      <c r="BL119" s="6">
        <f>BL$1*'survival matrix'!BL119</f>
        <v>20833.639913439976</v>
      </c>
      <c r="BM119" s="6">
        <f>BM$1*'survival matrix'!BM119</f>
        <v>24524.477785745501</v>
      </c>
      <c r="BN119" s="6">
        <f>BN$1*'survival matrix'!BN119</f>
        <v>28857.104646467553</v>
      </c>
      <c r="BO119" s="6">
        <f>BO$1*'survival matrix'!BO119</f>
        <v>34116.246847030539</v>
      </c>
      <c r="BP119" s="6">
        <f>BP$1*'survival matrix'!BP119</f>
        <v>40057.859679714988</v>
      </c>
      <c r="BQ119" s="6">
        <f>BQ$1*'survival matrix'!BQ119</f>
        <v>46989.347567591685</v>
      </c>
      <c r="BR119" s="6">
        <f>BR$1*'survival matrix'!BR119</f>
        <v>54170.897736022293</v>
      </c>
      <c r="BS119" s="6">
        <f>BS$1*'survival matrix'!BS119</f>
        <v>63218.972361449756</v>
      </c>
      <c r="BT119" s="6">
        <f>BT$1*'survival matrix'!BT119</f>
        <v>72997.7899950836</v>
      </c>
      <c r="BU119" s="6">
        <f>BU$1*'survival matrix'!BU119</f>
        <v>81304.28362715352</v>
      </c>
      <c r="BV119" s="6">
        <f>BV$1*'survival matrix'!BV119</f>
        <v>90650.325482768618</v>
      </c>
      <c r="BW119" s="6">
        <f>BW$1*'survival matrix'!BW119</f>
        <v>100918.82825272116</v>
      </c>
      <c r="BX119" s="6">
        <f>BX$1*'survival matrix'!BX119</f>
        <v>112053.95715142624</v>
      </c>
      <c r="BY119" s="6">
        <f>BY$1*'survival matrix'!BY119</f>
        <v>124226.53624038771</v>
      </c>
      <c r="BZ119" s="6">
        <f>BZ$1*'survival matrix'!BZ119</f>
        <v>138660.56431566091</v>
      </c>
      <c r="CA119" s="6">
        <f>CA$1*'survival matrix'!CA119</f>
        <v>156438.27572341418</v>
      </c>
      <c r="CB119" s="6">
        <f>CB$1*'survival matrix'!CB119</f>
        <v>175061.79768375406</v>
      </c>
      <c r="CC119" s="6">
        <f>CC$1*'survival matrix'!CC119</f>
        <v>196041.88789124429</v>
      </c>
      <c r="CD119" s="6">
        <f>CD$1*'survival matrix'!CD119</f>
        <v>217279.04729979052</v>
      </c>
      <c r="CE119" s="6">
        <f>CE$1*'survival matrix'!CE119</f>
        <v>240381.77593155639</v>
      </c>
      <c r="CF119" s="6">
        <f>CF$1*'survival matrix'!CF119</f>
        <v>265251.44218251487</v>
      </c>
      <c r="CG119" s="6">
        <f>CG$1*'survival matrix'!CG119</f>
        <v>291913.63604280318</v>
      </c>
      <c r="CH119" s="6">
        <f>CH$1*'survival matrix'!CH119</f>
        <v>318061.78627240006</v>
      </c>
      <c r="CI119" s="6">
        <f>CI$1*'survival matrix'!CI119</f>
        <v>345466.76270070637</v>
      </c>
      <c r="CJ119" s="6">
        <f>CJ$1*'survival matrix'!CJ119</f>
        <v>374633.73113310814</v>
      </c>
      <c r="CK119" s="6">
        <f>CK$1*'survival matrix'!CK119</f>
        <v>404866.19113242958</v>
      </c>
      <c r="CL119" s="6">
        <f>CL$1*'survival matrix'!CL119</f>
        <v>439636.99888968078</v>
      </c>
      <c r="CM119" s="6">
        <f>CM$1*'survival matrix'!CM119</f>
        <v>477200.4024917052</v>
      </c>
      <c r="CN119" s="6">
        <f>CN$1*'survival matrix'!CN119</f>
        <v>514836.48383274378</v>
      </c>
      <c r="CO119" s="6">
        <f>CO$1*'survival matrix'!CO119</f>
        <v>554576.49009154784</v>
      </c>
      <c r="CP119" s="6">
        <f>CP$1*'survival matrix'!CP119</f>
        <v>597686.73447512393</v>
      </c>
      <c r="CQ119" s="6">
        <f>CQ$1*'survival matrix'!CQ119</f>
        <v>644933.55635732342</v>
      </c>
      <c r="CR119" s="6">
        <f>CR$1*'survival matrix'!CR119</f>
        <v>693534.56231201137</v>
      </c>
      <c r="CS119" s="6">
        <f>CS$1*'survival matrix'!CS119</f>
        <v>742384.98707195162</v>
      </c>
      <c r="CT119" s="6">
        <f>CT$1*'survival matrix'!CT119</f>
        <v>794547.21529333899</v>
      </c>
      <c r="CU119" s="6">
        <f>CU$1*'survival matrix'!CU119</f>
        <v>845252.67545504333</v>
      </c>
      <c r="CV119" s="6">
        <f>CV$1*'survival matrix'!CV119</f>
        <v>897151.4691751661</v>
      </c>
      <c r="CW119" s="6">
        <f>CW$1*'survival matrix'!CW119</f>
        <v>952038.60865583678</v>
      </c>
      <c r="CX119" s="6">
        <f>CX$1*'survival matrix'!CX119</f>
        <v>1002100.4571127458</v>
      </c>
      <c r="CY119" s="6">
        <f>CY$1*'survival matrix'!CY119</f>
        <v>1043016.4830789821</v>
      </c>
      <c r="CZ119" s="6">
        <f>CZ$1*'survival matrix'!CZ119</f>
        <v>1097676.5496468914</v>
      </c>
      <c r="DA119" s="6">
        <f>DA$1*'survival matrix'!DA119</f>
        <v>1134870.863864603</v>
      </c>
      <c r="DB119" s="6">
        <f>DB$1*'survival matrix'!DB119</f>
        <v>1177273.8211179215</v>
      </c>
      <c r="DC119" s="6">
        <f>DC$1*'survival matrix'!DC119</f>
        <v>1221158.1898663815</v>
      </c>
      <c r="DD119" s="6">
        <f>DD$1*'survival matrix'!DD119</f>
        <v>1259880.1872261227</v>
      </c>
      <c r="DE119" s="6">
        <f>DE$1*'survival matrix'!DE119</f>
        <v>1289634.8274524766</v>
      </c>
      <c r="DF119" s="6">
        <f>DF$1*'survival matrix'!DF119</f>
        <v>1319755.1249451847</v>
      </c>
      <c r="DG119" s="6">
        <f>DG$1*'survival matrix'!DG119</f>
        <v>1348112.0162212495</v>
      </c>
      <c r="DH119" s="6">
        <f>DH$1*'survival matrix'!DH119</f>
        <v>1374577.4432940476</v>
      </c>
      <c r="DI119" s="6">
        <f>DI$1*'survival matrix'!DI119</f>
        <v>1400788.2054325852</v>
      </c>
      <c r="DJ119" s="6">
        <f>DJ$1*'survival matrix'!DJ119</f>
        <v>1425056.2627501304</v>
      </c>
      <c r="DK119" s="6">
        <f>DK$1*'survival matrix'!DK119</f>
        <v>1450963.094219157</v>
      </c>
      <c r="DL119" s="6">
        <f>DL$1*'survival matrix'!DL119</f>
        <v>1474609.0587414263</v>
      </c>
      <c r="DM119" s="6">
        <f>DM$1*'survival matrix'!DM119</f>
        <v>1498638.7229550357</v>
      </c>
      <c r="DN119" s="6">
        <f>DN$1*'survival matrix'!DN119</f>
        <v>1519004.8919613066</v>
      </c>
      <c r="DO119" s="6">
        <f>DO$1*'survival matrix'!DO119</f>
        <v>1535994.7659286286</v>
      </c>
      <c r="DP119" s="6">
        <f>DP$1*'survival matrix'!DP119</f>
        <v>1547810.8418898634</v>
      </c>
      <c r="DQ119" s="6">
        <f>DQ$1*'survival matrix'!DQ119</f>
        <v>1559914.6280202237</v>
      </c>
      <c r="DR119" s="6">
        <f>DR$1*'survival matrix'!DR119</f>
        <v>1569653.260616503</v>
      </c>
      <c r="DS119" s="6">
        <f>DS$1*'survival matrix'!DS119</f>
        <v>0</v>
      </c>
      <c r="DT119" s="6">
        <f>DT$1*'survival matrix'!DT119</f>
        <v>0</v>
      </c>
      <c r="DU119" s="6">
        <f>DU$1*'survival matrix'!DU119</f>
        <v>0</v>
      </c>
      <c r="DV119" s="6">
        <f>DV$1*'survival matrix'!DV119</f>
        <v>0</v>
      </c>
      <c r="DW119" s="6">
        <f>DW$1*'survival matrix'!DW119</f>
        <v>0</v>
      </c>
      <c r="DX119" s="6">
        <f>DX$1*'survival matrix'!DX119</f>
        <v>0</v>
      </c>
      <c r="DY119" s="6">
        <f>DY$1*'survival matrix'!DY119</f>
        <v>0</v>
      </c>
      <c r="DZ119" s="6">
        <f>DZ$1*'survival matrix'!DZ119</f>
        <v>0</v>
      </c>
      <c r="EA119" s="6">
        <f>EA$1*'survival matrix'!EA119</f>
        <v>0</v>
      </c>
      <c r="EB119" s="6">
        <f>EB$1*'survival matrix'!EB119</f>
        <v>0</v>
      </c>
      <c r="EC119" s="6">
        <f>EC$1*'survival matrix'!EC119</f>
        <v>0</v>
      </c>
    </row>
    <row r="120" spans="1:133">
      <c r="A120" s="12">
        <f>'data input'!C120-B120</f>
        <v>529481.28045802563</v>
      </c>
      <c r="B120" s="14">
        <f t="shared" si="3"/>
        <v>1049847.3160018921</v>
      </c>
      <c r="C120" s="11">
        <f>SUM(F120:EC120)</f>
        <v>41576120.269322224</v>
      </c>
      <c r="E120" s="7">
        <f>'data input'!B120</f>
        <v>1995</v>
      </c>
      <c r="F120" s="6">
        <f>F$1*'survival matrix'!F120</f>
        <v>1.2506977941438228E-5</v>
      </c>
      <c r="G120" s="6">
        <f>G$1*'survival matrix'!G120</f>
        <v>3.9097141722187644E-5</v>
      </c>
      <c r="H120" s="6">
        <f>H$1*'survival matrix'!H120</f>
        <v>9.1064846771108616E-5</v>
      </c>
      <c r="I120" s="6">
        <f>I$1*'survival matrix'!I120</f>
        <v>1.8762251475134531E-4</v>
      </c>
      <c r="J120" s="6">
        <f>J$1*'survival matrix'!J120</f>
        <v>3.6045401859018279E-4</v>
      </c>
      <c r="K120" s="6">
        <f>K$1*'survival matrix'!K120</f>
        <v>6.6122045907067027E-4</v>
      </c>
      <c r="L120" s="6">
        <f>L$1*'survival matrix'!L120</f>
        <v>1.173222055296309E-3</v>
      </c>
      <c r="M120" s="6">
        <f>M$1*'survival matrix'!M120</f>
        <v>2.0281562942283497E-3</v>
      </c>
      <c r="N120" s="6">
        <f>N$1*'survival matrix'!N120</f>
        <v>3.4312166905075955E-3</v>
      </c>
      <c r="O120" s="6">
        <f>O$1*'survival matrix'!O120</f>
        <v>5.6993573136688291E-3</v>
      </c>
      <c r="P120" s="6">
        <f>P$1*'survival matrix'!P120</f>
        <v>9.3214251179496669E-3</v>
      </c>
      <c r="Q120" s="6">
        <f>Q$1*'survival matrix'!Q120</f>
        <v>1.504096289566849E-2</v>
      </c>
      <c r="R120" s="6">
        <f>R$1*'survival matrix'!R120</f>
        <v>2.3973458803420833E-2</v>
      </c>
      <c r="S120" s="6">
        <f>S$1*'survival matrix'!S120</f>
        <v>3.7775008671086067E-2</v>
      </c>
      <c r="T120" s="6">
        <f>T$1*'survival matrix'!T120</f>
        <v>5.8881166758632204E-2</v>
      </c>
      <c r="U120" s="6">
        <f>U$1*'survival matrix'!U120</f>
        <v>9.0867500220766617E-2</v>
      </c>
      <c r="V120" s="6">
        <f>V$1*'survival matrix'!V120</f>
        <v>0.1388932702683538</v>
      </c>
      <c r="W120" s="6">
        <f>W$1*'survival matrix'!W120</f>
        <v>0.2104135133721598</v>
      </c>
      <c r="X120" s="6">
        <f>X$1*'survival matrix'!X120</f>
        <v>0.31604330969405453</v>
      </c>
      <c r="Y120" s="6">
        <f>Y$1*'survival matrix'!Y120</f>
        <v>0.47076988248841184</v>
      </c>
      <c r="Z120" s="6">
        <f>Z$1*'survival matrix'!Z120</f>
        <v>0.69567983743529282</v>
      </c>
      <c r="AA120" s="6">
        <f>AA$1*'survival matrix'!AA120</f>
        <v>1.0201207990270473</v>
      </c>
      <c r="AB120" s="6">
        <f>AB$1*'survival matrix'!AB120</f>
        <v>1.484469789351258</v>
      </c>
      <c r="AC120" s="6">
        <f>AC$1*'survival matrix'!AC120</f>
        <v>2.1528749570340562</v>
      </c>
      <c r="AD120" s="6">
        <f>AD$1*'survival matrix'!AD120</f>
        <v>3.1249067972772497</v>
      </c>
      <c r="AE120" s="6">
        <f>AE$1*'survival matrix'!AE120</f>
        <v>4.4954244514598525</v>
      </c>
      <c r="AF120" s="6">
        <f>AF$1*'survival matrix'!AF120</f>
        <v>6.3554640068820092</v>
      </c>
      <c r="AG120" s="6">
        <f>AG$1*'survival matrix'!AG120</f>
        <v>8.9493672952514736</v>
      </c>
      <c r="AH120" s="6">
        <f>AH$1*'survival matrix'!AH120</f>
        <v>12.47278124945441</v>
      </c>
      <c r="AI120" s="6">
        <f>AI$1*'survival matrix'!AI120</f>
        <v>17.631217186693636</v>
      </c>
      <c r="AJ120" s="6">
        <f>AJ$1*'survival matrix'!AJ120</f>
        <v>24.334306991657332</v>
      </c>
      <c r="AK120" s="6">
        <f>AK$1*'survival matrix'!AK120</f>
        <v>33.210526132742324</v>
      </c>
      <c r="AL120" s="6">
        <f>AL$1*'survival matrix'!AL120</f>
        <v>45.100554687020285</v>
      </c>
      <c r="AM120" s="6">
        <f>AM$1*'survival matrix'!AM120</f>
        <v>60.950753152958079</v>
      </c>
      <c r="AN120" s="6">
        <f>AN$1*'survival matrix'!AN120</f>
        <v>81.033865060432774</v>
      </c>
      <c r="AO120" s="6">
        <f>AO$1*'survival matrix'!AO120</f>
        <v>106.99799227695762</v>
      </c>
      <c r="AP120" s="6">
        <f>AP$1*'survival matrix'!AP120</f>
        <v>139.87438418840489</v>
      </c>
      <c r="AQ120" s="6">
        <f>AQ$1*'survival matrix'!AQ120</f>
        <v>182.87923263303495</v>
      </c>
      <c r="AR120" s="6">
        <f>AR$1*'survival matrix'!AR120</f>
        <v>239.13471017323459</v>
      </c>
      <c r="AS120" s="6">
        <f>AS$1*'survival matrix'!AS120</f>
        <v>310.82007722518836</v>
      </c>
      <c r="AT120" s="6">
        <f>AT$1*'survival matrix'!AT120</f>
        <v>405.76478200242821</v>
      </c>
      <c r="AU120" s="6">
        <f>AU$1*'survival matrix'!AU120</f>
        <v>526.92060304156655</v>
      </c>
      <c r="AV120" s="6">
        <f>AV$1*'survival matrix'!AV120</f>
        <v>675.75216475838818</v>
      </c>
      <c r="AW120" s="6">
        <f>AW$1*'survival matrix'!AW120</f>
        <v>863.78817399897696</v>
      </c>
      <c r="AX120" s="6">
        <f>AX$1*'survival matrix'!AX120</f>
        <v>1097.2917787163358</v>
      </c>
      <c r="AY120" s="6">
        <f>AY$1*'survival matrix'!AY120</f>
        <v>1394.8193885167952</v>
      </c>
      <c r="AZ120" s="6">
        <f>AZ$1*'survival matrix'!AZ120</f>
        <v>1757.2065009618814</v>
      </c>
      <c r="BA120" s="6">
        <f>BA$1*'survival matrix'!BA120</f>
        <v>2192.0758819440598</v>
      </c>
      <c r="BB120" s="6">
        <f>BB$1*'survival matrix'!BB120</f>
        <v>2730.3510412085257</v>
      </c>
      <c r="BC120" s="6">
        <f>BC$1*'survival matrix'!BC120</f>
        <v>3384.3436599433085</v>
      </c>
      <c r="BD120" s="6">
        <f>BD$1*'survival matrix'!BD120</f>
        <v>4181.2735539081623</v>
      </c>
      <c r="BE120" s="6">
        <f>BE$1*'survival matrix'!BE120</f>
        <v>5130.3655552656301</v>
      </c>
      <c r="BF120" s="6">
        <f>BF$1*'survival matrix'!BF120</f>
        <v>6229.4482034448547</v>
      </c>
      <c r="BG120" s="6">
        <f>BG$1*'survival matrix'!BG120</f>
        <v>7522.7803800424199</v>
      </c>
      <c r="BH120" s="6">
        <f>BH$1*'survival matrix'!BH120</f>
        <v>9033.1907167518984</v>
      </c>
      <c r="BI120" s="6">
        <f>BI$1*'survival matrix'!BI120</f>
        <v>10814.264143608274</v>
      </c>
      <c r="BJ120" s="6">
        <f>BJ$1*'survival matrix'!BJ120</f>
        <v>12901.502583890746</v>
      </c>
      <c r="BK120" s="6">
        <f>BK$1*'survival matrix'!BK120</f>
        <v>15314.380340179661</v>
      </c>
      <c r="BL120" s="6">
        <f>BL$1*'survival matrix'!BL120</f>
        <v>18143.308675911758</v>
      </c>
      <c r="BM120" s="6">
        <f>BM$1*'survival matrix'!BM120</f>
        <v>21458.359969162844</v>
      </c>
      <c r="BN120" s="6">
        <f>BN$1*'survival matrix'!BN120</f>
        <v>25367.496734102082</v>
      </c>
      <c r="BO120" s="6">
        <f>BO$1*'survival matrix'!BO120</f>
        <v>30129.781054164981</v>
      </c>
      <c r="BP120" s="6">
        <f>BP$1*'survival matrix'!BP120</f>
        <v>35539.650146895263</v>
      </c>
      <c r="BQ120" s="6">
        <f>BQ$1*'survival matrix'!BQ120</f>
        <v>41878.903993582819</v>
      </c>
      <c r="BR120" s="6">
        <f>BR$1*'survival matrix'!BR120</f>
        <v>48496.585304802975</v>
      </c>
      <c r="BS120" s="6">
        <f>BS$1*'survival matrix'!BS120</f>
        <v>56848.556380773553</v>
      </c>
      <c r="BT120" s="6">
        <f>BT$1*'survival matrix'!BT120</f>
        <v>65930.30605982797</v>
      </c>
      <c r="BU120" s="6">
        <f>BU$1*'survival matrix'!BU120</f>
        <v>73750.923410909207</v>
      </c>
      <c r="BV120" s="6">
        <f>BV$1*'survival matrix'!BV120</f>
        <v>82580.229350870155</v>
      </c>
      <c r="BW120" s="6">
        <f>BW$1*'survival matrix'!BW120</f>
        <v>92321.811906441668</v>
      </c>
      <c r="BX120" s="6">
        <f>BX$1*'survival matrix'!BX120</f>
        <v>102933.34533877035</v>
      </c>
      <c r="BY120" s="6">
        <f>BY$1*'survival matrix'!BY120</f>
        <v>114580.31219971419</v>
      </c>
      <c r="BZ120" s="6">
        <f>BZ$1*'survival matrix'!BZ120</f>
        <v>128405.56529110549</v>
      </c>
      <c r="CA120" s="6">
        <f>CA$1*'survival matrix'!CA120</f>
        <v>145437.43414941675</v>
      </c>
      <c r="CB120" s="6">
        <f>CB$1*'survival matrix'!CB120</f>
        <v>163377.55504492988</v>
      </c>
      <c r="CC120" s="6">
        <f>CC$1*'survival matrix'!CC120</f>
        <v>183646.09251371576</v>
      </c>
      <c r="CD120" s="6">
        <f>CD$1*'survival matrix'!CD120</f>
        <v>204288.95685762106</v>
      </c>
      <c r="CE120" s="6">
        <f>CE$1*'survival matrix'!CE120</f>
        <v>226821.20485103494</v>
      </c>
      <c r="CF120" s="6">
        <f>CF$1*'survival matrix'!CF120</f>
        <v>251162.15936923141</v>
      </c>
      <c r="CG120" s="6">
        <f>CG$1*'survival matrix'!CG120</f>
        <v>277346.62354334118</v>
      </c>
      <c r="CH120" s="6">
        <f>CH$1*'survival matrix'!CH120</f>
        <v>303185.34569780948</v>
      </c>
      <c r="CI120" s="6">
        <f>CI$1*'survival matrix'!CI120</f>
        <v>330358.78443926864</v>
      </c>
      <c r="CJ120" s="6">
        <f>CJ$1*'survival matrix'!CJ120</f>
        <v>359354.06600712874</v>
      </c>
      <c r="CK120" s="6">
        <f>CK$1*'survival matrix'!CK120</f>
        <v>389506.88733996934</v>
      </c>
      <c r="CL120" s="6">
        <f>CL$1*'survival matrix'!CL120</f>
        <v>424166.50914314733</v>
      </c>
      <c r="CM120" s="6">
        <f>CM$1*'survival matrix'!CM120</f>
        <v>461669.14620790002</v>
      </c>
      <c r="CN120" s="6">
        <f>CN$1*'survival matrix'!CN120</f>
        <v>499385.16455130471</v>
      </c>
      <c r="CO120" s="6">
        <f>CO$1*'survival matrix'!CO120</f>
        <v>539276.53491227282</v>
      </c>
      <c r="CP120" s="6">
        <f>CP$1*'survival matrix'!CP120</f>
        <v>582578.15879214811</v>
      </c>
      <c r="CQ120" s="6">
        <f>CQ$1*'survival matrix'!CQ120</f>
        <v>630046.08010757423</v>
      </c>
      <c r="CR120" s="6">
        <f>CR$1*'survival matrix'!CR120</f>
        <v>678966.1794073045</v>
      </c>
      <c r="CS120" s="6">
        <f>CS$1*'survival matrix'!CS120</f>
        <v>728245.41282392212</v>
      </c>
      <c r="CT120" s="6">
        <f>CT$1*'survival matrix'!CT120</f>
        <v>780877.37111171708</v>
      </c>
      <c r="CU120" s="6">
        <f>CU$1*'survival matrix'!CU120</f>
        <v>832167.29629840108</v>
      </c>
      <c r="CV120" s="6">
        <f>CV$1*'survival matrix'!CV120</f>
        <v>884703.80953399045</v>
      </c>
      <c r="CW120" s="6">
        <f>CW$1*'survival matrix'!CW120</f>
        <v>940248.63238834264</v>
      </c>
      <c r="CX120" s="6">
        <f>CX$1*'survival matrix'!CX120</f>
        <v>991070.60997837945</v>
      </c>
      <c r="CY120" s="6">
        <f>CY$1*'survival matrix'!CY120</f>
        <v>1032857.1949789596</v>
      </c>
      <c r="CZ120" s="6">
        <f>CZ$1*'survival matrix'!CZ120</f>
        <v>1088257.0766356937</v>
      </c>
      <c r="DA120" s="6">
        <f>DA$1*'survival matrix'!DA120</f>
        <v>1126330.05247794</v>
      </c>
      <c r="DB120" s="6">
        <f>DB$1*'survival matrix'!DB120</f>
        <v>1169539.767915254</v>
      </c>
      <c r="DC120" s="6">
        <f>DC$1*'survival matrix'!DC120</f>
        <v>1214188.4992928447</v>
      </c>
      <c r="DD120" s="6">
        <f>DD$1*'survival matrix'!DD120</f>
        <v>1253663.2224299388</v>
      </c>
      <c r="DE120" s="6">
        <f>DE$1*'survival matrix'!DE120</f>
        <v>1284159.8487073977</v>
      </c>
      <c r="DF120" s="6">
        <f>DF$1*'survival matrix'!DF120</f>
        <v>1314958.8917944159</v>
      </c>
      <c r="DG120" s="6">
        <f>DG$1*'survival matrix'!DG120</f>
        <v>1343939.3153621124</v>
      </c>
      <c r="DH120" s="6">
        <f>DH$1*'survival matrix'!DH120</f>
        <v>1370972.4132580915</v>
      </c>
      <c r="DI120" s="6">
        <f>DI$1*'survival matrix'!DI120</f>
        <v>1397691.5125257962</v>
      </c>
      <c r="DJ120" s="6">
        <f>DJ$1*'survival matrix'!DJ120</f>
        <v>1422414.7222406412</v>
      </c>
      <c r="DK120" s="6">
        <f>DK$1*'survival matrix'!DK120</f>
        <v>1448719.8668753023</v>
      </c>
      <c r="DL120" s="6">
        <f>DL$1*'survival matrix'!DL120</f>
        <v>1472717.7679967431</v>
      </c>
      <c r="DM120" s="6">
        <f>DM$1*'survival matrix'!DM120</f>
        <v>1497052.739752468</v>
      </c>
      <c r="DN120" s="6">
        <f>DN$1*'survival matrix'!DN120</f>
        <v>1517685.658121679</v>
      </c>
      <c r="DO120" s="6">
        <f>DO$1*'survival matrix'!DO120</f>
        <v>1534905.9838966611</v>
      </c>
      <c r="DP120" s="6">
        <f>DP$1*'survival matrix'!DP120</f>
        <v>1546920.2598586006</v>
      </c>
      <c r="DQ120" s="6">
        <f>DQ$1*'survival matrix'!DQ120</f>
        <v>1559190.0783984899</v>
      </c>
      <c r="DR120" s="6">
        <f>DR$1*'survival matrix'!DR120</f>
        <v>1569067.958195545</v>
      </c>
      <c r="DS120" s="6">
        <f>DS$1*'survival matrix'!DS120</f>
        <v>1577196.6638962594</v>
      </c>
      <c r="DT120" s="6">
        <f>DT$1*'survival matrix'!DT120</f>
        <v>0</v>
      </c>
      <c r="DU120" s="6">
        <f>DU$1*'survival matrix'!DU120</f>
        <v>0</v>
      </c>
      <c r="DV120" s="6">
        <f>DV$1*'survival matrix'!DV120</f>
        <v>0</v>
      </c>
      <c r="DW120" s="6">
        <f>DW$1*'survival matrix'!DW120</f>
        <v>0</v>
      </c>
      <c r="DX120" s="6">
        <f>DX$1*'survival matrix'!DX120</f>
        <v>0</v>
      </c>
      <c r="DY120" s="6">
        <f>DY$1*'survival matrix'!DY120</f>
        <v>0</v>
      </c>
      <c r="DZ120" s="6">
        <f>DZ$1*'survival matrix'!DZ120</f>
        <v>0</v>
      </c>
      <c r="EA120" s="6">
        <f>EA$1*'survival matrix'!EA120</f>
        <v>0</v>
      </c>
      <c r="EB120" s="6">
        <f>EB$1*'survival matrix'!EB120</f>
        <v>0</v>
      </c>
      <c r="EC120" s="6">
        <f>EC$1*'survival matrix'!EC120</f>
        <v>0</v>
      </c>
    </row>
    <row r="121" spans="1:133">
      <c r="A121" s="12">
        <f>'data input'!C121-B121</f>
        <v>550115.93834948819</v>
      </c>
      <c r="B121" s="14">
        <f t="shared" si="3"/>
        <v>1034974.5294413269</v>
      </c>
      <c r="C121" s="11">
        <f>SUM(F121:EC121)</f>
        <v>42611094.798763551</v>
      </c>
      <c r="E121" s="7">
        <f>'data input'!B121</f>
        <v>1996</v>
      </c>
      <c r="F121" s="6">
        <f>F$1*'survival matrix'!F121</f>
        <v>7.989403718206988E-6</v>
      </c>
      <c r="G121" s="6">
        <f>G$1*'survival matrix'!G121</f>
        <v>2.5112346987357703E-5</v>
      </c>
      <c r="H121" s="6">
        <f>H$1*'survival matrix'!H121</f>
        <v>5.881280884696682E-5</v>
      </c>
      <c r="I121" s="6">
        <f>I$1*'survival matrix'!I121</f>
        <v>1.218382119733972E-4</v>
      </c>
      <c r="J121" s="6">
        <f>J$1*'survival matrix'!J121</f>
        <v>2.3535547743263821E-4</v>
      </c>
      <c r="K121" s="6">
        <f>K$1*'survival matrix'!K121</f>
        <v>4.3410524385460589E-4</v>
      </c>
      <c r="L121" s="6">
        <f>L$1*'survival matrix'!L121</f>
        <v>7.7446474689601258E-4</v>
      </c>
      <c r="M121" s="6">
        <f>M$1*'survival matrix'!M121</f>
        <v>1.3461512521695386E-3</v>
      </c>
      <c r="N121" s="6">
        <f>N$1*'survival matrix'!N121</f>
        <v>2.2898648713073262E-3</v>
      </c>
      <c r="O121" s="6">
        <f>O$1*'survival matrix'!O121</f>
        <v>3.8243274032352952E-3</v>
      </c>
      <c r="P121" s="6">
        <f>P$1*'survival matrix'!P121</f>
        <v>6.2889349891389846E-3</v>
      </c>
      <c r="Q121" s="6">
        <f>Q$1*'survival matrix'!Q121</f>
        <v>1.0203146298882743E-2</v>
      </c>
      <c r="R121" s="6">
        <f>R$1*'survival matrix'!R121</f>
        <v>1.6351246247642417E-2</v>
      </c>
      <c r="S121" s="6">
        <f>S$1*'survival matrix'!S121</f>
        <v>2.5905045253148642E-2</v>
      </c>
      <c r="T121" s="6">
        <f>T$1*'survival matrix'!T121</f>
        <v>4.0598843953419228E-2</v>
      </c>
      <c r="U121" s="6">
        <f>U$1*'survival matrix'!U121</f>
        <v>6.2994277106883656E-2</v>
      </c>
      <c r="V121" s="6">
        <f>V$1*'survival matrix'!V121</f>
        <v>9.6811437942500564E-2</v>
      </c>
      <c r="W121" s="6">
        <f>W$1*'survival matrix'!W121</f>
        <v>0.14745844704675248</v>
      </c>
      <c r="X121" s="6">
        <f>X$1*'survival matrix'!X121</f>
        <v>0.2226848688829591</v>
      </c>
      <c r="Y121" s="6">
        <f>Y$1*'survival matrix'!Y121</f>
        <v>0.33350187617022292</v>
      </c>
      <c r="Z121" s="6">
        <f>Z$1*'survival matrix'!Z121</f>
        <v>0.49549794166686151</v>
      </c>
      <c r="AA121" s="6">
        <f>AA$1*'survival matrix'!AA121</f>
        <v>0.73050650662901517</v>
      </c>
      <c r="AB121" s="6">
        <f>AB$1*'survival matrix'!AB121</f>
        <v>1.0687620116712393</v>
      </c>
      <c r="AC121" s="6">
        <f>AC$1*'survival matrix'!AC121</f>
        <v>1.5583413913210269</v>
      </c>
      <c r="AD121" s="6">
        <f>AD$1*'survival matrix'!AD121</f>
        <v>2.2741122617185554</v>
      </c>
      <c r="AE121" s="6">
        <f>AE$1*'survival matrix'!AE121</f>
        <v>3.2890715017232348</v>
      </c>
      <c r="AF121" s="6">
        <f>AF$1*'survival matrix'!AF121</f>
        <v>4.6749209480662346</v>
      </c>
      <c r="AG121" s="6">
        <f>AG$1*'survival matrix'!AG121</f>
        <v>6.6182049769225104</v>
      </c>
      <c r="AH121" s="6">
        <f>AH$1*'survival matrix'!AH121</f>
        <v>9.2731736051295233</v>
      </c>
      <c r="AI121" s="6">
        <f>AI$1*'survival matrix'!AI121</f>
        <v>13.178341544388173</v>
      </c>
      <c r="AJ121" s="6">
        <f>AJ$1*'survival matrix'!AJ121</f>
        <v>18.28549993578341</v>
      </c>
      <c r="AK121" s="6">
        <f>AK$1*'survival matrix'!AK121</f>
        <v>25.088162070570462</v>
      </c>
      <c r="AL121" s="6">
        <f>AL$1*'survival matrix'!AL121</f>
        <v>34.251206249048955</v>
      </c>
      <c r="AM121" s="6">
        <f>AM$1*'survival matrix'!AM121</f>
        <v>46.533898058268214</v>
      </c>
      <c r="AN121" s="6">
        <f>AN$1*'survival matrix'!AN121</f>
        <v>62.194009373919258</v>
      </c>
      <c r="AO121" s="6">
        <f>AO$1*'survival matrix'!AO121</f>
        <v>82.555181332298304</v>
      </c>
      <c r="AP121" s="6">
        <f>AP$1*'survival matrix'!AP121</f>
        <v>108.48968342100616</v>
      </c>
      <c r="AQ121" s="6">
        <f>AQ$1*'survival matrix'!AQ121</f>
        <v>142.5905682554727</v>
      </c>
      <c r="AR121" s="6">
        <f>AR$1*'survival matrix'!AR121</f>
        <v>187.43018870916026</v>
      </c>
      <c r="AS121" s="6">
        <f>AS$1*'survival matrix'!AS121</f>
        <v>244.88974781977345</v>
      </c>
      <c r="AT121" s="6">
        <f>AT$1*'survival matrix'!AT121</f>
        <v>321.36185932017935</v>
      </c>
      <c r="AU121" s="6">
        <f>AU$1*'survival matrix'!AU121</f>
        <v>419.48567870191391</v>
      </c>
      <c r="AV121" s="6">
        <f>AV$1*'survival matrix'!AV121</f>
        <v>540.7600636551432</v>
      </c>
      <c r="AW121" s="6">
        <f>AW$1*'survival matrix'!AW121</f>
        <v>694.80435404947411</v>
      </c>
      <c r="AX121" s="6">
        <f>AX$1*'survival matrix'!AX121</f>
        <v>887.17251709120728</v>
      </c>
      <c r="AY121" s="6">
        <f>AY$1*'survival matrix'!AY121</f>
        <v>1133.5137962334641</v>
      </c>
      <c r="AZ121" s="6">
        <f>AZ$1*'survival matrix'!AZ121</f>
        <v>1435.3120746199527</v>
      </c>
      <c r="BA121" s="6">
        <f>BA$1*'survival matrix'!BA121</f>
        <v>1799.638360711022</v>
      </c>
      <c r="BB121" s="6">
        <f>BB$1*'survival matrix'!BB121</f>
        <v>2252.9173499011795</v>
      </c>
      <c r="BC121" s="6">
        <f>BC$1*'survival matrix'!BC121</f>
        <v>2806.6540467711229</v>
      </c>
      <c r="BD121" s="6">
        <f>BD$1*'survival matrix'!BD121</f>
        <v>3484.9835346711229</v>
      </c>
      <c r="BE121" s="6">
        <f>BE$1*'survival matrix'!BE121</f>
        <v>4297.4194408127532</v>
      </c>
      <c r="BF121" s="6">
        <f>BF$1*'survival matrix'!BF121</f>
        <v>5244.0319222309599</v>
      </c>
      <c r="BG121" s="6">
        <f>BG$1*'survival matrix'!BG121</f>
        <v>6364.12811123959</v>
      </c>
      <c r="BH121" s="6">
        <f>BH$1*'survival matrix'!BH121</f>
        <v>7679.5251389953364</v>
      </c>
      <c r="BI121" s="6">
        <f>BI$1*'survival matrix'!BI121</f>
        <v>9238.6829369694024</v>
      </c>
      <c r="BJ121" s="6">
        <f>BJ$1*'survival matrix'!BJ121</f>
        <v>11075.411446955097</v>
      </c>
      <c r="BK121" s="6">
        <f>BK$1*'survival matrix'!BK121</f>
        <v>13210.260233978945</v>
      </c>
      <c r="BL121" s="6">
        <f>BL$1*'survival matrix'!BL121</f>
        <v>15725.553729738482</v>
      </c>
      <c r="BM121" s="6">
        <f>BM$1*'survival matrix'!BM121</f>
        <v>18687.356132530258</v>
      </c>
      <c r="BN121" s="6">
        <f>BN$1*'survival matrix'!BN121</f>
        <v>22195.982364742456</v>
      </c>
      <c r="BO121" s="6">
        <f>BO$1*'survival matrix'!BO121</f>
        <v>26486.271989324552</v>
      </c>
      <c r="BP121" s="6">
        <f>BP$1*'survival matrix'!BP121</f>
        <v>31386.860414887004</v>
      </c>
      <c r="BQ121" s="6">
        <f>BQ$1*'survival matrix'!BQ121</f>
        <v>37155.295074865018</v>
      </c>
      <c r="BR121" s="6">
        <f>BR$1*'survival matrix'!BR121</f>
        <v>43222.218335229722</v>
      </c>
      <c r="BS121" s="6">
        <f>BS$1*'survival matrix'!BS121</f>
        <v>50893.76361104269</v>
      </c>
      <c r="BT121" s="6">
        <f>BT$1*'survival matrix'!BT121</f>
        <v>59286.675838617433</v>
      </c>
      <c r="BU121" s="6">
        <f>BU$1*'survival matrix'!BU121</f>
        <v>66610.522770670999</v>
      </c>
      <c r="BV121" s="6">
        <f>BV$1*'survival matrix'!BV121</f>
        <v>74908.33075955321</v>
      </c>
      <c r="BW121" s="6">
        <f>BW$1*'survival matrix'!BW121</f>
        <v>84102.912600915675</v>
      </c>
      <c r="BX121" s="6">
        <f>BX$1*'survival matrix'!BX121</f>
        <v>94164.71744469073</v>
      </c>
      <c r="BY121" s="6">
        <f>BY$1*'survival matrix'!BY121</f>
        <v>105254.06816948976</v>
      </c>
      <c r="BZ121" s="6">
        <f>BZ$1*'survival matrix'!BZ121</f>
        <v>118434.83851763661</v>
      </c>
      <c r="CA121" s="6">
        <f>CA$1*'survival matrix'!CA121</f>
        <v>134681.23426881622</v>
      </c>
      <c r="CB121" s="6">
        <f>CB$1*'survival matrix'!CB121</f>
        <v>151888.7388234192</v>
      </c>
      <c r="CC121" s="6">
        <f>CC$1*'survival matrix'!CC121</f>
        <v>171388.9037209987</v>
      </c>
      <c r="CD121" s="6">
        <f>CD$1*'survival matrix'!CD121</f>
        <v>191371.69649895394</v>
      </c>
      <c r="CE121" s="6">
        <f>CE$1*'survival matrix'!CE121</f>
        <v>213260.63377051349</v>
      </c>
      <c r="CF121" s="6">
        <f>CF$1*'survival matrix'!CF121</f>
        <v>236993.43837669876</v>
      </c>
      <c r="CG121" s="6">
        <f>CG$1*'survival matrix'!CG121</f>
        <v>262614.88454030635</v>
      </c>
      <c r="CH121" s="6">
        <f>CH$1*'survival matrix'!CH121</f>
        <v>288055.85472813755</v>
      </c>
      <c r="CI121" s="6">
        <f>CI$1*'survival matrix'!CI121</f>
        <v>314907.18655131693</v>
      </c>
      <c r="CJ121" s="6">
        <f>CJ$1*'survival matrix'!CJ121</f>
        <v>343638.76716056955</v>
      </c>
      <c r="CK121" s="6">
        <f>CK$1*'survival matrix'!CK121</f>
        <v>373620.6114704248</v>
      </c>
      <c r="CL121" s="6">
        <f>CL$1*'survival matrix'!CL121</f>
        <v>408075.01418701262</v>
      </c>
      <c r="CM121" s="6">
        <f>CM$1*'survival matrix'!CM121</f>
        <v>445423.36204792676</v>
      </c>
      <c r="CN121" s="6">
        <f>CN$1*'survival matrix'!CN121</f>
        <v>483131.86942733143</v>
      </c>
      <c r="CO121" s="6">
        <f>CO$1*'survival matrix'!CO121</f>
        <v>523091.7185995566</v>
      </c>
      <c r="CP121" s="6">
        <f>CP$1*'survival matrix'!CP121</f>
        <v>566505.67848113994</v>
      </c>
      <c r="CQ121" s="6">
        <f>CQ$1*'survival matrix'!CQ121</f>
        <v>614119.51132831734</v>
      </c>
      <c r="CR121" s="6">
        <f>CR$1*'survival matrix'!CR121</f>
        <v>663293.10305599601</v>
      </c>
      <c r="CS121" s="6">
        <f>CS$1*'survival matrix'!CS121</f>
        <v>712947.89399912523</v>
      </c>
      <c r="CT121" s="6">
        <f>CT$1*'survival matrix'!CT121</f>
        <v>766004.66522499349</v>
      </c>
      <c r="CU121" s="6">
        <f>CU$1*'survival matrix'!CU121</f>
        <v>817850.21475247818</v>
      </c>
      <c r="CV121" s="6">
        <f>CV$1*'survival matrix'!CV121</f>
        <v>871007.68632107589</v>
      </c>
      <c r="CW121" s="6">
        <f>CW$1*'survival matrix'!CW121</f>
        <v>927203.01483525394</v>
      </c>
      <c r="CX121" s="6">
        <f>CX$1*'survival matrix'!CX121</f>
        <v>978797.26427073707</v>
      </c>
      <c r="CY121" s="6">
        <f>CY$1*'survival matrix'!CY121</f>
        <v>1021488.8167975228</v>
      </c>
      <c r="CZ121" s="6">
        <f>CZ$1*'survival matrix'!CZ121</f>
        <v>1077657.1318143106</v>
      </c>
      <c r="DA121" s="6">
        <f>DA$1*'survival matrix'!DA121</f>
        <v>1116664.6956527168</v>
      </c>
      <c r="DB121" s="6">
        <f>DB$1*'survival matrix'!DB121</f>
        <v>1160738.0452831734</v>
      </c>
      <c r="DC121" s="6">
        <f>DC$1*'survival matrix'!DC121</f>
        <v>1206211.9365908212</v>
      </c>
      <c r="DD121" s="6">
        <f>DD$1*'survival matrix'!DD121</f>
        <v>1246508.011240866</v>
      </c>
      <c r="DE121" s="6">
        <f>DE$1*'survival matrix'!DE121</f>
        <v>1277823.0742640563</v>
      </c>
      <c r="DF121" s="6">
        <f>DF$1*'survival matrix'!DF121</f>
        <v>1309376.4029921801</v>
      </c>
      <c r="DG121" s="6">
        <f>DG$1*'survival matrix'!DG121</f>
        <v>1339055.1924099633</v>
      </c>
      <c r="DH121" s="6">
        <f>DH$1*'survival matrix'!DH121</f>
        <v>1366728.9544818022</v>
      </c>
      <c r="DI121" s="6">
        <f>DI$1*'survival matrix'!DI121</f>
        <v>1394025.8624685819</v>
      </c>
      <c r="DJ121" s="6">
        <f>DJ$1*'survival matrix'!DJ121</f>
        <v>1419270.220049809</v>
      </c>
      <c r="DK121" s="6">
        <f>DK$1*'survival matrix'!DK121</f>
        <v>1446034.462575638</v>
      </c>
      <c r="DL121" s="6">
        <f>DL$1*'survival matrix'!DL121</f>
        <v>1470440.9073514838</v>
      </c>
      <c r="DM121" s="6">
        <f>DM$1*'survival matrix'!DM121</f>
        <v>1495132.6633944581</v>
      </c>
      <c r="DN121" s="6">
        <f>DN$1*'survival matrix'!DN121</f>
        <v>1516079.5178800784</v>
      </c>
      <c r="DO121" s="6">
        <f>DO$1*'survival matrix'!DO121</f>
        <v>1533572.9401880335</v>
      </c>
      <c r="DP121" s="6">
        <f>DP$1*'survival matrix'!DP121</f>
        <v>1545823.7333461535</v>
      </c>
      <c r="DQ121" s="6">
        <f>DQ$1*'survival matrix'!DQ121</f>
        <v>1558292.9489627965</v>
      </c>
      <c r="DR121" s="6">
        <f>DR$1*'survival matrix'!DR121</f>
        <v>1568339.1570322225</v>
      </c>
      <c r="DS121" s="6">
        <f>DS$1*'survival matrix'!DS121</f>
        <v>1576608.5486424852</v>
      </c>
      <c r="DT121" s="6">
        <f>DT$1*'survival matrix'!DT121</f>
        <v>1582950.7572883887</v>
      </c>
      <c r="DU121" s="6">
        <f>DU$1*'survival matrix'!DU121</f>
        <v>0</v>
      </c>
      <c r="DV121" s="6">
        <f>DV$1*'survival matrix'!DV121</f>
        <v>0</v>
      </c>
      <c r="DW121" s="6">
        <f>DW$1*'survival matrix'!DW121</f>
        <v>0</v>
      </c>
      <c r="DX121" s="6">
        <f>DX$1*'survival matrix'!DX121</f>
        <v>0</v>
      </c>
      <c r="DY121" s="6">
        <f>DY$1*'survival matrix'!DY121</f>
        <v>0</v>
      </c>
      <c r="DZ121" s="6">
        <f>DZ$1*'survival matrix'!DZ121</f>
        <v>0</v>
      </c>
      <c r="EA121" s="6">
        <f>EA$1*'survival matrix'!EA121</f>
        <v>0</v>
      </c>
      <c r="EB121" s="6">
        <f>EB$1*'survival matrix'!EB121</f>
        <v>0</v>
      </c>
      <c r="EC121" s="6">
        <f>EC$1*'survival matrix'!EC121</f>
        <v>0</v>
      </c>
    </row>
    <row r="122" spans="1:133">
      <c r="A122" s="12">
        <f>'data input'!C122-B122</f>
        <v>571499.92905669147</v>
      </c>
      <c r="B122" s="14">
        <f t="shared" si="3"/>
        <v>1017732.5608182997</v>
      </c>
      <c r="C122" s="11">
        <f>SUM(F122:EC122)</f>
        <v>43628827.35958185</v>
      </c>
      <c r="E122" s="7">
        <f>'data input'!B122</f>
        <v>1997</v>
      </c>
      <c r="F122" s="6">
        <f>F$1*'survival matrix'!F122</f>
        <v>5.0756853804228315E-6</v>
      </c>
      <c r="G122" s="6">
        <f>G$1*'survival matrix'!G122</f>
        <v>1.6041659250790051E-5</v>
      </c>
      <c r="H122" s="6">
        <f>H$1*'survival matrix'!H122</f>
        <v>3.7775847491890044E-5</v>
      </c>
      <c r="I122" s="6">
        <f>I$1*'survival matrix'!I122</f>
        <v>7.8687306080451444E-5</v>
      </c>
      <c r="J122" s="6">
        <f>J$1*'survival matrix'!J122</f>
        <v>1.5283501868920701E-4</v>
      </c>
      <c r="K122" s="6">
        <f>K$1*'survival matrix'!K122</f>
        <v>2.8344543729327489E-4</v>
      </c>
      <c r="L122" s="6">
        <f>L$1*'survival matrix'!L122</f>
        <v>5.0845251866617864E-4</v>
      </c>
      <c r="M122" s="6">
        <f>M$1*'survival matrix'!M122</f>
        <v>8.8861838565754429E-4</v>
      </c>
      <c r="N122" s="6">
        <f>N$1*'survival matrix'!N122</f>
        <v>1.5198554828251998E-3</v>
      </c>
      <c r="O122" s="6">
        <f>O$1*'survival matrix'!O122</f>
        <v>2.5522121646450076E-3</v>
      </c>
      <c r="P122" s="6">
        <f>P$1*'survival matrix'!P122</f>
        <v>4.2199400901655774E-3</v>
      </c>
      <c r="Q122" s="6">
        <f>Q$1*'survival matrix'!Q122</f>
        <v>6.883810463143185E-3</v>
      </c>
      <c r="R122" s="6">
        <f>R$1*'survival matrix'!R122</f>
        <v>1.1091986516488125E-2</v>
      </c>
      <c r="S122" s="6">
        <f>S$1*'survival matrix'!S122</f>
        <v>1.7668696764361433E-2</v>
      </c>
      <c r="T122" s="6">
        <f>T$1*'survival matrix'!T122</f>
        <v>2.7841552572398325E-2</v>
      </c>
      <c r="U122" s="6">
        <f>U$1*'survival matrix'!U122</f>
        <v>4.3434853060989667E-2</v>
      </c>
      <c r="V122" s="6">
        <f>V$1*'survival matrix'!V122</f>
        <v>6.7114936958197521E-2</v>
      </c>
      <c r="W122" s="6">
        <f>W$1*'survival matrix'!W122</f>
        <v>0.10278154058711676</v>
      </c>
      <c r="X122" s="6">
        <f>X$1*'survival matrix'!X122</f>
        <v>0.15605825129782533</v>
      </c>
      <c r="Y122" s="6">
        <f>Y$1*'survival matrix'!Y122</f>
        <v>0.23498621641154158</v>
      </c>
      <c r="Z122" s="6">
        <f>Z$1*'survival matrix'!Z122</f>
        <v>0.35101967931954459</v>
      </c>
      <c r="AA122" s="6">
        <f>AA$1*'survival matrix'!AA122</f>
        <v>0.52030323567138581</v>
      </c>
      <c r="AB122" s="6">
        <f>AB$1*'survival matrix'!AB122</f>
        <v>0.76533838375650576</v>
      </c>
      <c r="AC122" s="6">
        <f>AC$1*'survival matrix'!AC122</f>
        <v>1.1219467665870604</v>
      </c>
      <c r="AD122" s="6">
        <f>AD$1*'survival matrix'!AD122</f>
        <v>1.6460980487361585</v>
      </c>
      <c r="AE122" s="6">
        <f>AE$1*'survival matrix'!AE122</f>
        <v>2.3935810944041576</v>
      </c>
      <c r="AF122" s="6">
        <f>AF$1*'survival matrix'!AF122</f>
        <v>3.4203998819511559</v>
      </c>
      <c r="AG122" s="6">
        <f>AG$1*'survival matrix'!AG122</f>
        <v>4.8681866582374393</v>
      </c>
      <c r="AH122" s="6">
        <f>AH$1*'survival matrix'!AH122</f>
        <v>6.8576650930282499</v>
      </c>
      <c r="AI122" s="6">
        <f>AI$1*'survival matrix'!AI122</f>
        <v>9.7977384935014218</v>
      </c>
      <c r="AJ122" s="6">
        <f>AJ$1*'survival matrix'!AJ122</f>
        <v>13.667381038531186</v>
      </c>
      <c r="AK122" s="6">
        <f>AK$1*'survival matrix'!AK122</f>
        <v>18.851968378948108</v>
      </c>
      <c r="AL122" s="6">
        <f>AL$1*'survival matrix'!AL122</f>
        <v>25.874320992508775</v>
      </c>
      <c r="AM122" s="6">
        <f>AM$1*'survival matrix'!AM122</f>
        <v>35.339745841854651</v>
      </c>
      <c r="AN122" s="6">
        <f>AN$1*'survival matrix'!AN122</f>
        <v>47.483083347272434</v>
      </c>
      <c r="AO122" s="6">
        <f>AO$1*'survival matrix'!AO122</f>
        <v>63.361629336295948</v>
      </c>
      <c r="AP122" s="6">
        <f>AP$1*'survival matrix'!AP122</f>
        <v>83.706107908284437</v>
      </c>
      <c r="AQ122" s="6">
        <f>AQ$1*'survival matrix'!AQ122</f>
        <v>110.59641619598266</v>
      </c>
      <c r="AR122" s="6">
        <f>AR$1*'survival matrix'!AR122</f>
        <v>146.13893951478641</v>
      </c>
      <c r="AS122" s="6">
        <f>AS$1*'survival matrix'!AS122</f>
        <v>191.9409006477897</v>
      </c>
      <c r="AT122" s="6">
        <f>AT$1*'survival matrix'!AT122</f>
        <v>253.19543509023569</v>
      </c>
      <c r="AU122" s="6">
        <f>AU$1*'survival matrix'!AU122</f>
        <v>332.22867938555515</v>
      </c>
      <c r="AV122" s="6">
        <f>AV$1*'survival matrix'!AV122</f>
        <v>430.50338325710413</v>
      </c>
      <c r="AW122" s="6">
        <f>AW$1*'survival matrix'!AW122</f>
        <v>556.00627910382207</v>
      </c>
      <c r="AX122" s="6">
        <f>AX$1*'survival matrix'!AX122</f>
        <v>713.61399266937906</v>
      </c>
      <c r="AY122" s="6">
        <f>AY$1*'survival matrix'!AY122</f>
        <v>916.4584181415056</v>
      </c>
      <c r="AZ122" s="6">
        <f>AZ$1*'survival matrix'!AZ122</f>
        <v>1166.4205788049965</v>
      </c>
      <c r="BA122" s="6">
        <f>BA$1*'survival matrix'!BA122</f>
        <v>1469.9710407762832</v>
      </c>
      <c r="BB122" s="6">
        <f>BB$1*'survival matrix'!BB122</f>
        <v>1849.5876533242406</v>
      </c>
      <c r="BC122" s="6">
        <f>BC$1*'survival matrix'!BC122</f>
        <v>2315.8778859227641</v>
      </c>
      <c r="BD122" s="6">
        <f>BD$1*'survival matrix'!BD122</f>
        <v>2890.1152256740038</v>
      </c>
      <c r="BE122" s="6">
        <f>BE$1*'survival matrix'!BE122</f>
        <v>3581.7881321851855</v>
      </c>
      <c r="BF122" s="6">
        <f>BF$1*'survival matrix'!BF122</f>
        <v>4392.6313803717212</v>
      </c>
      <c r="BG122" s="6">
        <f>BG$1*'survival matrix'!BG122</f>
        <v>5357.4072506217071</v>
      </c>
      <c r="BH122" s="6">
        <f>BH$1*'survival matrix'!BH122</f>
        <v>6496.7311750467106</v>
      </c>
      <c r="BI122" s="6">
        <f>BI$1*'survival matrix'!BI122</f>
        <v>7854.2233957366388</v>
      </c>
      <c r="BJ122" s="6">
        <f>BJ$1*'survival matrix'!BJ122</f>
        <v>9461.7824565878364</v>
      </c>
      <c r="BK122" s="6">
        <f>BK$1*'survival matrix'!BK122</f>
        <v>11340.467241029164</v>
      </c>
      <c r="BL122" s="6">
        <f>BL$1*'survival matrix'!BL122</f>
        <v>13564.940433680416</v>
      </c>
      <c r="BM122" s="6">
        <f>BM$1*'survival matrix'!BM122</f>
        <v>16197.102093016929</v>
      </c>
      <c r="BN122" s="6">
        <f>BN$1*'survival matrix'!BN122</f>
        <v>19329.726398353705</v>
      </c>
      <c r="BO122" s="6">
        <f>BO$1*'survival matrix'!BO122</f>
        <v>23174.88525355787</v>
      </c>
      <c r="BP122" s="6">
        <f>BP$1*'survival matrix'!BP122</f>
        <v>27591.336304275726</v>
      </c>
      <c r="BQ122" s="6">
        <f>BQ$1*'survival matrix'!BQ122</f>
        <v>32813.718068932787</v>
      </c>
      <c r="BR122" s="6">
        <f>BR$1*'survival matrix'!BR122</f>
        <v>38347.094190473115</v>
      </c>
      <c r="BS122" s="6">
        <f>BS$1*'survival matrix'!BS122</f>
        <v>45358.685541932369</v>
      </c>
      <c r="BT122" s="6">
        <f>BT$1*'survival matrix'!BT122</f>
        <v>53076.494066181498</v>
      </c>
      <c r="BU122" s="6">
        <f>BU$1*'survival matrix'!BU122</f>
        <v>59898.348831598334</v>
      </c>
      <c r="BV122" s="6">
        <f>BV$1*'survival matrix'!BV122</f>
        <v>67655.872509849854</v>
      </c>
      <c r="BW122" s="6">
        <f>BW$1*'survival matrix'!BW122</f>
        <v>76289.553134848524</v>
      </c>
      <c r="BX122" s="6">
        <f>BX$1*'survival matrix'!BX122</f>
        <v>85781.754471698878</v>
      </c>
      <c r="BY122" s="6">
        <f>BY$1*'survival matrix'!BY122</f>
        <v>96287.743844958968</v>
      </c>
      <c r="BZ122" s="6">
        <f>BZ$1*'survival matrix'!BZ122</f>
        <v>108794.85600676284</v>
      </c>
      <c r="CA122" s="6">
        <f>CA$1*'survival matrix'!CA122</f>
        <v>124223.20010679585</v>
      </c>
      <c r="CB122" s="6">
        <f>CB$1*'survival matrix'!CB122</f>
        <v>140655.41609635172</v>
      </c>
      <c r="CC122" s="6">
        <f>CC$1*'survival matrix'!CC122</f>
        <v>159336.72423578583</v>
      </c>
      <c r="CD122" s="6">
        <f>CD$1*'survival matrix'!CD122</f>
        <v>178598.87361193806</v>
      </c>
      <c r="CE122" s="6">
        <f>CE$1*'survival matrix'!CE122</f>
        <v>199776.09122332142</v>
      </c>
      <c r="CF122" s="6">
        <f>CF$1*'survival matrix'!CF122</f>
        <v>222824.71738416611</v>
      </c>
      <c r="CG122" s="6">
        <f>CG$1*'survival matrix'!CG122</f>
        <v>247800.08506222221</v>
      </c>
      <c r="CH122" s="6">
        <f>CH$1*'survival matrix'!CH122</f>
        <v>272755.27664308326</v>
      </c>
      <c r="CI122" s="6">
        <f>CI$1*'survival matrix'!CI122</f>
        <v>299192.75475961121</v>
      </c>
      <c r="CJ122" s="6">
        <f>CJ$1*'survival matrix'!CJ122</f>
        <v>327566.03563660209</v>
      </c>
      <c r="CK122" s="6">
        <f>CK$1*'survival matrix'!CK122</f>
        <v>357281.40699242282</v>
      </c>
      <c r="CL122" s="6">
        <f>CL$1*'survival matrix'!CL122</f>
        <v>391431.42594364256</v>
      </c>
      <c r="CM122" s="6">
        <f>CM$1*'survival matrix'!CM122</f>
        <v>428525.45137077832</v>
      </c>
      <c r="CN122" s="6">
        <f>CN$1*'survival matrix'!CN122</f>
        <v>466130.82845244615</v>
      </c>
      <c r="CO122" s="6">
        <f>CO$1*'survival matrix'!CO122</f>
        <v>506066.85546221456</v>
      </c>
      <c r="CP122" s="6">
        <f>CP$1*'survival matrix'!CP122</f>
        <v>549503.65864020726</v>
      </c>
      <c r="CQ122" s="6">
        <f>CQ$1*'survival matrix'!CQ122</f>
        <v>597176.85117968672</v>
      </c>
      <c r="CR122" s="6">
        <f>CR$1*'survival matrix'!CR122</f>
        <v>646526.10210136045</v>
      </c>
      <c r="CS122" s="6">
        <f>CS$1*'survival matrix'!CS122</f>
        <v>696490.3927036894</v>
      </c>
      <c r="CT122" s="6">
        <f>CT$1*'survival matrix'!CT122</f>
        <v>749913.9757680936</v>
      </c>
      <c r="CU122" s="6">
        <f>CU$1*'survival matrix'!CU122</f>
        <v>802273.31861821027</v>
      </c>
      <c r="CV122" s="6">
        <f>CV$1*'survival matrix'!CV122</f>
        <v>856022.37251740415</v>
      </c>
      <c r="CW122" s="6">
        <f>CW$1*'survival matrix'!CW122</f>
        <v>912848.96029438032</v>
      </c>
      <c r="CX122" s="6">
        <f>CX$1*'survival matrix'!CX122</f>
        <v>965216.79807080142</v>
      </c>
      <c r="CY122" s="6">
        <f>CY$1*'survival matrix'!CY122</f>
        <v>1008838.7742487682</v>
      </c>
      <c r="CZ122" s="6">
        <f>CZ$1*'survival matrix'!CZ122</f>
        <v>1065795.652914861</v>
      </c>
      <c r="DA122" s="6">
        <f>DA$1*'survival matrix'!DA122</f>
        <v>1105788.052245538</v>
      </c>
      <c r="DB122" s="6">
        <f>DB$1*'survival matrix'!DB122</f>
        <v>1150777.4237374798</v>
      </c>
      <c r="DC122" s="6">
        <f>DC$1*'survival matrix'!DC122</f>
        <v>1197134.2265439867</v>
      </c>
      <c r="DD122" s="6">
        <f>DD$1*'survival matrix'!DD122</f>
        <v>1238319.126799918</v>
      </c>
      <c r="DE122" s="6">
        <f>DE$1*'survival matrix'!DE122</f>
        <v>1270529.9721014933</v>
      </c>
      <c r="DF122" s="6">
        <f>DF$1*'survival matrix'!DF122</f>
        <v>1302915.1957401801</v>
      </c>
      <c r="DG122" s="6">
        <f>DG$1*'survival matrix'!DG122</f>
        <v>1333370.4058635158</v>
      </c>
      <c r="DH122" s="6">
        <f>DH$1*'survival matrix'!DH122</f>
        <v>1361762.0097844871</v>
      </c>
      <c r="DI122" s="6">
        <f>DI$1*'survival matrix'!DI122</f>
        <v>1389711.0482365373</v>
      </c>
      <c r="DJ122" s="6">
        <f>DJ$1*'survival matrix'!DJ122</f>
        <v>1415547.9766815805</v>
      </c>
      <c r="DK122" s="6">
        <f>DK$1*'survival matrix'!DK122</f>
        <v>1442837.7447236003</v>
      </c>
      <c r="DL122" s="6">
        <f>DL$1*'survival matrix'!DL122</f>
        <v>1467715.2400742616</v>
      </c>
      <c r="DM122" s="6">
        <f>DM$1*'survival matrix'!DM122</f>
        <v>1492821.1487276969</v>
      </c>
      <c r="DN122" s="6">
        <f>DN$1*'survival matrix'!DN122</f>
        <v>1514135.038329127</v>
      </c>
      <c r="DO122" s="6">
        <f>DO$1*'survival matrix'!DO122</f>
        <v>1531949.9867131261</v>
      </c>
      <c r="DP122" s="6">
        <f>DP$1*'survival matrix'!DP122</f>
        <v>1544481.2077295992</v>
      </c>
      <c r="DQ122" s="6">
        <f>DQ$1*'survival matrix'!DQ122</f>
        <v>1557188.3609778585</v>
      </c>
      <c r="DR122" s="6">
        <f>DR$1*'survival matrix'!DR122</f>
        <v>1567436.7633841247</v>
      </c>
      <c r="DS122" s="6">
        <f>DS$1*'survival matrix'!DS122</f>
        <v>1575876.245023414</v>
      </c>
      <c r="DT122" s="6">
        <f>DT$1*'survival matrix'!DT122</f>
        <v>1582360.4964111971</v>
      </c>
      <c r="DU122" s="6">
        <f>DU$1*'survival matrix'!DU122</f>
        <v>1587087.1880651063</v>
      </c>
      <c r="DV122" s="6">
        <f>DV$1*'survival matrix'!DV122</f>
        <v>0</v>
      </c>
      <c r="DW122" s="6">
        <f>DW$1*'survival matrix'!DW122</f>
        <v>0</v>
      </c>
      <c r="DX122" s="6">
        <f>DX$1*'survival matrix'!DX122</f>
        <v>0</v>
      </c>
      <c r="DY122" s="6">
        <f>DY$1*'survival matrix'!DY122</f>
        <v>0</v>
      </c>
      <c r="DZ122" s="6">
        <f>DZ$1*'survival matrix'!DZ122</f>
        <v>0</v>
      </c>
      <c r="EA122" s="6">
        <f>EA$1*'survival matrix'!EA122</f>
        <v>0</v>
      </c>
      <c r="EB122" s="6">
        <f>EB$1*'survival matrix'!EB122</f>
        <v>0</v>
      </c>
      <c r="EC122" s="6">
        <f>EC$1*'survival matrix'!EC122</f>
        <v>0</v>
      </c>
    </row>
    <row r="123" spans="1:133">
      <c r="A123" s="12">
        <f>'data input'!C123-B123</f>
        <v>593613.42512535048</v>
      </c>
      <c r="B123" s="14">
        <f t="shared" si="3"/>
        <v>991501.66467176378</v>
      </c>
      <c r="C123" s="11">
        <f>SUM(F123:EC123)</f>
        <v>44620329.024253614</v>
      </c>
      <c r="E123" s="7">
        <f>'data input'!B123</f>
        <v>1998</v>
      </c>
      <c r="F123" s="6">
        <f>F$1*'survival matrix'!F123</f>
        <v>3.2069488639800396E-6</v>
      </c>
      <c r="G123" s="6">
        <f>G$1*'survival matrix'!G123</f>
        <v>1.019130065381561E-5</v>
      </c>
      <c r="H123" s="6">
        <f>H$1*'survival matrix'!H123</f>
        <v>2.4131048909119647E-5</v>
      </c>
      <c r="I123" s="6">
        <f>I$1*'survival matrix'!I123</f>
        <v>5.0541365602471253E-5</v>
      </c>
      <c r="J123" s="6">
        <f>J$1*'survival matrix'!J123</f>
        <v>9.870610952526951E-5</v>
      </c>
      <c r="K123" s="6">
        <f>K$1*'survival matrix'!K123</f>
        <v>1.84063652049428E-4</v>
      </c>
      <c r="L123" s="6">
        <f>L$1*'survival matrix'!L123</f>
        <v>3.3198987696281181E-4</v>
      </c>
      <c r="M123" s="6">
        <f>M$1*'survival matrix'!M123</f>
        <v>5.8339680163817438E-4</v>
      </c>
      <c r="N123" s="6">
        <f>N$1*'survival matrix'!N123</f>
        <v>1.003283638004447E-3</v>
      </c>
      <c r="O123" s="6">
        <f>O$1*'survival matrix'!O123</f>
        <v>1.6939836495916448E-3</v>
      </c>
      <c r="P123" s="6">
        <f>P$1*'survival matrix'!P123</f>
        <v>2.8162291813934146E-3</v>
      </c>
      <c r="Q123" s="6">
        <f>Q$1*'survival matrix'!Q123</f>
        <v>4.6191076544259708E-3</v>
      </c>
      <c r="R123" s="6">
        <f>R$1*'survival matrix'!R123</f>
        <v>7.483488975121827E-3</v>
      </c>
      <c r="S123" s="6">
        <f>S$1*'survival matrix'!S123</f>
        <v>1.1985688632294411E-2</v>
      </c>
      <c r="T123" s="6">
        <f>T$1*'survival matrix'!T123</f>
        <v>1.8989503590654482E-2</v>
      </c>
      <c r="U123" s="6">
        <f>U$1*'survival matrix'!U123</f>
        <v>2.9786408360775344E-2</v>
      </c>
      <c r="V123" s="6">
        <f>V$1*'survival matrix'!V123</f>
        <v>4.6276067586754566E-2</v>
      </c>
      <c r="W123" s="6">
        <f>W$1*'survival matrix'!W123</f>
        <v>7.1253735752461522E-2</v>
      </c>
      <c r="X123" s="6">
        <f>X$1*'survival matrix'!X123</f>
        <v>0.10877577928537632</v>
      </c>
      <c r="Y123" s="6">
        <f>Y$1*'survival matrix'!Y123</f>
        <v>0.16467907404859067</v>
      </c>
      <c r="Z123" s="6">
        <f>Z$1*'survival matrix'!Z123</f>
        <v>0.24732930224114033</v>
      </c>
      <c r="AA123" s="6">
        <f>AA$1*'survival matrix'!AA123</f>
        <v>0.3685921970127648</v>
      </c>
      <c r="AB123" s="6">
        <f>AB$1*'survival matrix'!AB123</f>
        <v>0.5451122390265678</v>
      </c>
      <c r="AC123" s="6">
        <f>AC$1*'survival matrix'!AC123</f>
        <v>0.80342388260775188</v>
      </c>
      <c r="AD123" s="6">
        <f>AD$1*'survival matrix'!AD123</f>
        <v>1.1851282354113792</v>
      </c>
      <c r="AE123" s="6">
        <f>AE$1*'survival matrix'!AE123</f>
        <v>1.732574611779683</v>
      </c>
      <c r="AF123" s="6">
        <f>AF$1*'survival matrix'!AF123</f>
        <v>2.4891536983769136</v>
      </c>
      <c r="AG123" s="6">
        <f>AG$1*'survival matrix'!AG123</f>
        <v>3.5618024895242817</v>
      </c>
      <c r="AH123" s="6">
        <f>AH$1*'survival matrix'!AH123</f>
        <v>5.0443275524029785</v>
      </c>
      <c r="AI123" s="6">
        <f>AI$1*'survival matrix'!AI123</f>
        <v>7.2455894948777271</v>
      </c>
      <c r="AJ123" s="6">
        <f>AJ$1*'survival matrix'!AJ123</f>
        <v>10.161326055750319</v>
      </c>
      <c r="AK123" s="6">
        <f>AK$1*'survival matrix'!AK123</f>
        <v>14.090784286253427</v>
      </c>
      <c r="AL123" s="6">
        <f>AL$1*'survival matrix'!AL123</f>
        <v>19.442710861220029</v>
      </c>
      <c r="AM123" s="6">
        <f>AM$1*'survival matrix'!AM123</f>
        <v>26.696634304119264</v>
      </c>
      <c r="AN123" s="6">
        <f>AN$1*'survival matrix'!AN123</f>
        <v>36.06059598056931</v>
      </c>
      <c r="AO123" s="6">
        <f>AO$1*'survival matrix'!AO123</f>
        <v>48.374522837178048</v>
      </c>
      <c r="AP123" s="6">
        <f>AP$1*'survival matrix'!AP123</f>
        <v>64.244972839684223</v>
      </c>
      <c r="AQ123" s="6">
        <f>AQ$1*'survival matrix'!AQ123</f>
        <v>85.331574915241873</v>
      </c>
      <c r="AR123" s="6">
        <f>AR$1*'survival matrix'!AR123</f>
        <v>113.34861186652526</v>
      </c>
      <c r="AS123" s="6">
        <f>AS$1*'survival matrix'!AS123</f>
        <v>149.65593250139045</v>
      </c>
      <c r="AT123" s="6">
        <f>AT$1*'survival matrix'!AT123</f>
        <v>198.45077339413535</v>
      </c>
      <c r="AU123" s="6">
        <f>AU$1*'survival matrix'!AU123</f>
        <v>261.75721413993563</v>
      </c>
      <c r="AV123" s="6">
        <f>AV$1*'survival matrix'!AV123</f>
        <v>340.95459690807479</v>
      </c>
      <c r="AW123" s="6">
        <f>AW$1*'survival matrix'!AW123</f>
        <v>442.64101651381719</v>
      </c>
      <c r="AX123" s="6">
        <f>AX$1*'survival matrix'!AX123</f>
        <v>571.05839718481536</v>
      </c>
      <c r="AY123" s="6">
        <f>AY$1*'survival matrix'!AY123</f>
        <v>737.1706610453848</v>
      </c>
      <c r="AZ123" s="6">
        <f>AZ$1*'survival matrix'!AZ123</f>
        <v>943.0639151384047</v>
      </c>
      <c r="BA123" s="6">
        <f>BA$1*'survival matrix'!BA123</f>
        <v>1194.5865310600516</v>
      </c>
      <c r="BB123" s="6">
        <f>BB$1*'survival matrix'!BB123</f>
        <v>1510.7703564897374</v>
      </c>
      <c r="BC123" s="6">
        <f>BC$1*'survival matrix'!BC123</f>
        <v>1901.2766467430658</v>
      </c>
      <c r="BD123" s="6">
        <f>BD$1*'survival matrix'!BD123</f>
        <v>2384.744905275074</v>
      </c>
      <c r="BE123" s="6">
        <f>BE$1*'survival matrix'!BE123</f>
        <v>2970.3957889556432</v>
      </c>
      <c r="BF123" s="6">
        <f>BF$1*'survival matrix'!BF123</f>
        <v>3661.1448251614124</v>
      </c>
      <c r="BG123" s="6">
        <f>BG$1*'survival matrix'!BG123</f>
        <v>4487.599533242399</v>
      </c>
      <c r="BH123" s="6">
        <f>BH$1*'survival matrix'!BH123</f>
        <v>5469.0342642640444</v>
      </c>
      <c r="BI123" s="6">
        <f>BI$1*'survival matrix'!BI123</f>
        <v>6644.5225541040381</v>
      </c>
      <c r="BJ123" s="6">
        <f>BJ$1*'survival matrix'!BJ123</f>
        <v>8043.8904162978533</v>
      </c>
      <c r="BK123" s="6">
        <f>BK$1*'survival matrix'!BK123</f>
        <v>9688.2210204640742</v>
      </c>
      <c r="BL123" s="6">
        <f>BL$1*'survival matrix'!BL123</f>
        <v>11644.945662688895</v>
      </c>
      <c r="BM123" s="6">
        <f>BM$1*'survival matrix'!BM123</f>
        <v>13971.700384357078</v>
      </c>
      <c r="BN123" s="6">
        <f>BN$1*'survival matrix'!BN123</f>
        <v>16753.870889162947</v>
      </c>
      <c r="BO123" s="6">
        <f>BO$1*'survival matrix'!BO123</f>
        <v>20182.21964242011</v>
      </c>
      <c r="BP123" s="6">
        <f>BP$1*'survival matrix'!BP123</f>
        <v>24141.791381650084</v>
      </c>
      <c r="BQ123" s="6">
        <f>BQ$1*'survival matrix'!BQ123</f>
        <v>28845.64810452301</v>
      </c>
      <c r="BR123" s="6">
        <f>BR$1*'survival matrix'!BR123</f>
        <v>33866.256074500212</v>
      </c>
      <c r="BS123" s="6">
        <f>BS$1*'survival matrix'!BS123</f>
        <v>40242.584805389241</v>
      </c>
      <c r="BT123" s="6">
        <f>BT$1*'survival matrix'!BT123</f>
        <v>47304.027707901761</v>
      </c>
      <c r="BU123" s="6">
        <f>BU$1*'survival matrix'!BU123</f>
        <v>53624.09531929894</v>
      </c>
      <c r="BV123" s="6">
        <f>BV$1*'survival matrix'!BV123</f>
        <v>60838.361320975229</v>
      </c>
      <c r="BW123" s="6">
        <f>BW$1*'survival matrix'!BW123</f>
        <v>68903.368001782364</v>
      </c>
      <c r="BX123" s="6">
        <f>BX$1*'survival matrix'!BX123</f>
        <v>77812.426625733176</v>
      </c>
      <c r="BY123" s="6">
        <f>BY$1*'survival matrix'!BY123</f>
        <v>87715.779596467226</v>
      </c>
      <c r="BZ123" s="6">
        <f>BZ$1*'survival matrix'!BZ123</f>
        <v>99526.901040628523</v>
      </c>
      <c r="CA123" s="6">
        <f>CA$1*'survival matrix'!CA123</f>
        <v>114112.07493904413</v>
      </c>
      <c r="CB123" s="6">
        <f>CB$1*'survival matrix'!CB123</f>
        <v>129733.48510429647</v>
      </c>
      <c r="CC123" s="6">
        <f>CC$1*'survival matrix'!CC123</f>
        <v>147552.56657222664</v>
      </c>
      <c r="CD123" s="6">
        <f>CD$1*'survival matrix'!CD123</f>
        <v>166039.68434183247</v>
      </c>
      <c r="CE123" s="6">
        <f>CE$1*'survival matrix'!CE123</f>
        <v>186442.32935080878</v>
      </c>
      <c r="CF123" s="6">
        <f>CF$1*'survival matrix'!CF123</f>
        <v>208735.43457088264</v>
      </c>
      <c r="CG123" s="6">
        <f>CG$1*'survival matrix'!CG123</f>
        <v>232985.28558413807</v>
      </c>
      <c r="CH123" s="6">
        <f>CH$1*'survival matrix'!CH123</f>
        <v>257368.43085507746</v>
      </c>
      <c r="CI123" s="6">
        <f>CI$1*'survival matrix'!CI123</f>
        <v>283300.62123223545</v>
      </c>
      <c r="CJ123" s="6">
        <f>CJ$1*'survival matrix'!CJ123</f>
        <v>311219.90463634307</v>
      </c>
      <c r="CK123" s="6">
        <f>CK$1*'survival matrix'!CK123</f>
        <v>340570.57957168738</v>
      </c>
      <c r="CL123" s="6">
        <f>CL$1*'survival matrix'!CL123</f>
        <v>374313.31759721547</v>
      </c>
      <c r="CM123" s="6">
        <f>CM$1*'survival matrix'!CM123</f>
        <v>411047.77957891754</v>
      </c>
      <c r="CN123" s="6">
        <f>CN$1*'survival matrix'!CN123</f>
        <v>448447.34398759867</v>
      </c>
      <c r="CO123" s="6">
        <f>CO$1*'survival matrix'!CO123</f>
        <v>488258.74986996164</v>
      </c>
      <c r="CP123" s="6">
        <f>CP$1*'survival matrix'!CP123</f>
        <v>531619.17634164507</v>
      </c>
      <c r="CQ123" s="6">
        <f>CQ$1*'survival matrix'!CQ123</f>
        <v>579254.32531988493</v>
      </c>
      <c r="CR123" s="6">
        <f>CR$1*'survival matrix'!CR123</f>
        <v>628689.39145618107</v>
      </c>
      <c r="CS123" s="6">
        <f>CS$1*'survival matrix'!CS123</f>
        <v>678884.21675288759</v>
      </c>
      <c r="CT123" s="6">
        <f>CT$1*'survival matrix'!CT123</f>
        <v>732603.15918311046</v>
      </c>
      <c r="CU123" s="6">
        <f>CU$1*'survival matrix'!CU123</f>
        <v>785420.77004313027</v>
      </c>
      <c r="CV123" s="6">
        <f>CV$1*'survival matrix'!CV123</f>
        <v>839718.44382142811</v>
      </c>
      <c r="CW123" s="6">
        <f>CW$1*'survival matrix'!CW123</f>
        <v>897143.78531120089</v>
      </c>
      <c r="CX123" s="6">
        <f>CX$1*'survival matrix'!CX123</f>
        <v>950274.25114030275</v>
      </c>
      <c r="CY123" s="6">
        <f>CY$1*'survival matrix'!CY123</f>
        <v>994841.49271255801</v>
      </c>
      <c r="CZ123" s="6">
        <f>CZ$1*'survival matrix'!CZ123</f>
        <v>1052596.9177589351</v>
      </c>
      <c r="DA123" s="6">
        <f>DA$1*'survival matrix'!DA123</f>
        <v>1093616.9439572352</v>
      </c>
      <c r="DB123" s="6">
        <f>DB$1*'survival matrix'!DB123</f>
        <v>1139568.5122999169</v>
      </c>
      <c r="DC123" s="6">
        <f>DC$1*'survival matrix'!DC123</f>
        <v>1186861.279070216</v>
      </c>
      <c r="DD123" s="6">
        <f>DD$1*'survival matrix'!DD123</f>
        <v>1228999.7844542351</v>
      </c>
      <c r="DE123" s="6">
        <f>DE$1*'survival matrix'!DE123</f>
        <v>1262183.276351064</v>
      </c>
      <c r="DF123" s="6">
        <f>DF$1*'survival matrix'!DF123</f>
        <v>1295478.8817284289</v>
      </c>
      <c r="DG123" s="6">
        <f>DG$1*'survival matrix'!DG123</f>
        <v>1326790.7985662711</v>
      </c>
      <c r="DH123" s="6">
        <f>DH$1*'survival matrix'!DH123</f>
        <v>1355980.824366167</v>
      </c>
      <c r="DI123" s="6">
        <f>DI$1*'survival matrix'!DI123</f>
        <v>1384660.5823784727</v>
      </c>
      <c r="DJ123" s="6">
        <f>DJ$1*'survival matrix'!DJ123</f>
        <v>1411166.5468097476</v>
      </c>
      <c r="DK123" s="6">
        <f>DK$1*'survival matrix'!DK123</f>
        <v>1439053.6920810116</v>
      </c>
      <c r="DL123" s="6">
        <f>DL$1*'survival matrix'!DL123</f>
        <v>1464470.5929852177</v>
      </c>
      <c r="DM123" s="6">
        <f>DM$1*'survival matrix'!DM123</f>
        <v>1490053.9965521214</v>
      </c>
      <c r="DN123" s="6">
        <f>DN$1*'survival matrix'!DN123</f>
        <v>1511794.1454878128</v>
      </c>
      <c r="DO123" s="6">
        <f>DO$1*'survival matrix'!DO123</f>
        <v>1529985.1521598506</v>
      </c>
      <c r="DP123" s="6">
        <f>DP$1*'survival matrix'!DP123</f>
        <v>1542846.7102255502</v>
      </c>
      <c r="DQ123" s="6">
        <f>DQ$1*'survival matrix'!DQ123</f>
        <v>1555835.9653461212</v>
      </c>
      <c r="DR123" s="6">
        <f>DR$1*'survival matrix'!DR123</f>
        <v>1566325.6938531122</v>
      </c>
      <c r="DS123" s="6">
        <f>DS$1*'survival matrix'!DS123</f>
        <v>1574969.5146728256</v>
      </c>
      <c r="DT123" s="6">
        <f>DT$1*'survival matrix'!DT123</f>
        <v>1581625.521125674</v>
      </c>
      <c r="DU123" s="6">
        <f>DU$1*'survival matrix'!DU123</f>
        <v>1586495.3847689561</v>
      </c>
      <c r="DV123" s="6">
        <f>DV$1*'survival matrix'!DV123</f>
        <v>1582975.34605749</v>
      </c>
      <c r="DW123" s="6">
        <f>DW$1*'survival matrix'!DW123</f>
        <v>0</v>
      </c>
      <c r="DX123" s="6">
        <f>DX$1*'survival matrix'!DX123</f>
        <v>0</v>
      </c>
      <c r="DY123" s="6">
        <f>DY$1*'survival matrix'!DY123</f>
        <v>0</v>
      </c>
      <c r="DZ123" s="6">
        <f>DZ$1*'survival matrix'!DZ123</f>
        <v>0</v>
      </c>
      <c r="EA123" s="6">
        <f>EA$1*'survival matrix'!EA123</f>
        <v>0</v>
      </c>
      <c r="EB123" s="6">
        <f>EB$1*'survival matrix'!EB123</f>
        <v>0</v>
      </c>
      <c r="EC123" s="6">
        <f>EC$1*'survival matrix'!EC123</f>
        <v>0</v>
      </c>
    </row>
    <row r="124" spans="1:133">
      <c r="A124" s="12">
        <f>'data input'!C124-B124</f>
        <v>616449.69500586274</v>
      </c>
      <c r="B124" s="14">
        <f t="shared" si="3"/>
        <v>965184.05907183141</v>
      </c>
      <c r="C124" s="11">
        <f>SUM(F124:EC124)</f>
        <v>45585513.083325446</v>
      </c>
      <c r="E124" s="7">
        <f>'data input'!B124</f>
        <v>1999</v>
      </c>
      <c r="F124" s="6">
        <f>F$1*'survival matrix'!F124</f>
        <v>2.0151392193834853E-6</v>
      </c>
      <c r="G124" s="6">
        <f>G$1*'survival matrix'!G124</f>
        <v>6.4391264636482138E-6</v>
      </c>
      <c r="H124" s="6">
        <f>H$1*'survival matrix'!H124</f>
        <v>1.5330507317231265E-5</v>
      </c>
      <c r="I124" s="6">
        <f>I$1*'survival matrix'!I124</f>
        <v>3.2285606975429628E-5</v>
      </c>
      <c r="J124" s="6">
        <f>J$1*'survival matrix'!J124</f>
        <v>6.339957252588657E-5</v>
      </c>
      <c r="K124" s="6">
        <f>K$1*'survival matrix'!K124</f>
        <v>1.1887463458722992E-4</v>
      </c>
      <c r="L124" s="6">
        <f>L$1*'survival matrix'!L124</f>
        <v>2.1558741527382224E-4</v>
      </c>
      <c r="M124" s="6">
        <f>M$1*'survival matrix'!M124</f>
        <v>3.809241281849487E-4</v>
      </c>
      <c r="N124" s="6">
        <f>N$1*'survival matrix'!N124</f>
        <v>6.5867696977099687E-4</v>
      </c>
      <c r="O124" s="6">
        <f>O$1*'survival matrix'!O124</f>
        <v>1.1182287381186638E-3</v>
      </c>
      <c r="P124" s="6">
        <f>P$1*'survival matrix'!P124</f>
        <v>1.8692200644090517E-3</v>
      </c>
      <c r="Q124" s="6">
        <f>Q$1*'survival matrix'!Q124</f>
        <v>3.0826185894695236E-3</v>
      </c>
      <c r="R124" s="6">
        <f>R$1*'survival matrix'!R124</f>
        <v>5.0214981065899514E-3</v>
      </c>
      <c r="S124" s="6">
        <f>S$1*'survival matrix'!S124</f>
        <v>8.0864476895719153E-3</v>
      </c>
      <c r="T124" s="6">
        <f>T$1*'survival matrix'!T124</f>
        <v>1.288166752504947E-2</v>
      </c>
      <c r="U124" s="6">
        <f>U$1*'survival matrix'!U124</f>
        <v>2.0316004542088643E-2</v>
      </c>
      <c r="V124" s="6">
        <f>V$1*'survival matrix'!V124</f>
        <v>3.1734833879474955E-2</v>
      </c>
      <c r="W124" s="6">
        <f>W$1*'survival matrix'!W124</f>
        <v>4.9129788999778191E-2</v>
      </c>
      <c r="X124" s="6">
        <f>X$1*'survival matrix'!X124</f>
        <v>7.5409266967533639E-2</v>
      </c>
      <c r="Y124" s="6">
        <f>Y$1*'survival matrix'!Y124</f>
        <v>0.11478466830596391</v>
      </c>
      <c r="Z124" s="6">
        <f>Z$1*'survival matrix'!Z124</f>
        <v>0.17332914713100814</v>
      </c>
      <c r="AA124" s="6">
        <f>AA$1*'survival matrix'!AA124</f>
        <v>0.25971094006870998</v>
      </c>
      <c r="AB124" s="6">
        <f>AB$1*'survival matrix'!AB124</f>
        <v>0.3861673424768976</v>
      </c>
      <c r="AC124" s="6">
        <f>AC$1*'survival matrix'!AC124</f>
        <v>0.57223863434904731</v>
      </c>
      <c r="AD124" s="6">
        <f>AD$1*'survival matrix'!AD124</f>
        <v>0.84866800871376169</v>
      </c>
      <c r="AE124" s="6">
        <f>AE$1*'survival matrix'!AE124</f>
        <v>1.2473880847823811</v>
      </c>
      <c r="AF124" s="6">
        <f>AF$1*'survival matrix'!AF124</f>
        <v>1.801754079988213</v>
      </c>
      <c r="AG124" s="6">
        <f>AG$1*'survival matrix'!AG124</f>
        <v>2.5920576966661439</v>
      </c>
      <c r="AH124" s="6">
        <f>AH$1*'survival matrix'!AH124</f>
        <v>3.6906757475544074</v>
      </c>
      <c r="AI124" s="6">
        <f>AI$1*'survival matrix'!AI124</f>
        <v>5.3296750754962439</v>
      </c>
      <c r="AJ124" s="6">
        <f>AJ$1*'survival matrix'!AJ124</f>
        <v>7.5144685043803943</v>
      </c>
      <c r="AK124" s="6">
        <f>AK$1*'survival matrix'!AK124</f>
        <v>10.4761148540607</v>
      </c>
      <c r="AL124" s="6">
        <f>AL$1*'survival matrix'!AL124</f>
        <v>14.532331010664175</v>
      </c>
      <c r="AM124" s="6">
        <f>AM$1*'survival matrix'!AM124</f>
        <v>20.060620794377463</v>
      </c>
      <c r="AN124" s="6">
        <f>AN$1*'survival matrix'!AN124</f>
        <v>27.241184698665311</v>
      </c>
      <c r="AO124" s="6">
        <f>AO$1*'survival matrix'!AO124</f>
        <v>36.737591597124144</v>
      </c>
      <c r="AP124" s="6">
        <f>AP$1*'survival matrix'!AP124</f>
        <v>49.048926587923305</v>
      </c>
      <c r="AQ124" s="6">
        <f>AQ$1*'survival matrix'!AQ124</f>
        <v>65.4925291569389</v>
      </c>
      <c r="AR124" s="6">
        <f>AR$1*'survival matrix'!AR124</f>
        <v>87.455054130211593</v>
      </c>
      <c r="AS124" s="6">
        <f>AS$1*'survival matrix'!AS124</f>
        <v>116.07646985084804</v>
      </c>
      <c r="AT124" s="6">
        <f>AT$1*'survival matrix'!AT124</f>
        <v>154.73166713132989</v>
      </c>
      <c r="AU124" s="6">
        <f>AU$1*'survival matrix'!AU124</f>
        <v>205.16136702485042</v>
      </c>
      <c r="AV124" s="6">
        <f>AV$1*'survival matrix'!AV124</f>
        <v>268.6322132090524</v>
      </c>
      <c r="AW124" s="6">
        <f>AW$1*'survival matrix'!AW124</f>
        <v>350.56748734147965</v>
      </c>
      <c r="AX124" s="6">
        <f>AX$1*'survival matrix'!AX124</f>
        <v>454.62412731392516</v>
      </c>
      <c r="AY124" s="6">
        <f>AY$1*'survival matrix'!AY124</f>
        <v>589.90925132165182</v>
      </c>
      <c r="AZ124" s="6">
        <f>AZ$1*'survival matrix'!AZ124</f>
        <v>758.57129572820872</v>
      </c>
      <c r="BA124" s="6">
        <f>BA$1*'survival matrix'!BA124</f>
        <v>965.83639848610676</v>
      </c>
      <c r="BB124" s="6">
        <f>BB$1*'survival matrix'!BB124</f>
        <v>1227.7424992225406</v>
      </c>
      <c r="BC124" s="6">
        <f>BC$1*'survival matrix'!BC124</f>
        <v>1552.9906853687737</v>
      </c>
      <c r="BD124" s="6">
        <f>BD$1*'survival matrix'!BD124</f>
        <v>1957.8147122521536</v>
      </c>
      <c r="BE124" s="6">
        <f>BE$1*'survival matrix'!BE124</f>
        <v>2450.987476705372</v>
      </c>
      <c r="BF124" s="6">
        <f>BF$1*'survival matrix'!BF124</f>
        <v>3036.2067129809625</v>
      </c>
      <c r="BG124" s="6">
        <f>BG$1*'survival matrix'!BG124</f>
        <v>3740.298328228223</v>
      </c>
      <c r="BH124" s="6">
        <f>BH$1*'survival matrix'!BH124</f>
        <v>4581.1032209190198</v>
      </c>
      <c r="BI124" s="6">
        <f>BI$1*'survival matrix'!BI124</f>
        <v>5593.4470026472891</v>
      </c>
      <c r="BJ124" s="6">
        <f>BJ$1*'survival matrix'!BJ124</f>
        <v>6804.9772206434163</v>
      </c>
      <c r="BK124" s="6">
        <f>BK$1*'survival matrix'!BK124</f>
        <v>8236.3961098287928</v>
      </c>
      <c r="BL124" s="6">
        <f>BL$1*'survival matrix'!BL124</f>
        <v>9948.3385431644729</v>
      </c>
      <c r="BM124" s="6">
        <f>BM$1*'survival matrix'!BM124</f>
        <v>11994.132417068367</v>
      </c>
      <c r="BN124" s="6">
        <f>BN$1*'survival matrix'!BN124</f>
        <v>14451.971901967943</v>
      </c>
      <c r="BO124" s="6">
        <f>BO$1*'survival matrix'!BO124</f>
        <v>17492.76193452139</v>
      </c>
      <c r="BP124" s="6">
        <f>BP$1*'survival matrix'!BP124</f>
        <v>21024.265315451576</v>
      </c>
      <c r="BQ124" s="6">
        <f>BQ$1*'survival matrix'!BQ124</f>
        <v>25239.285663013299</v>
      </c>
      <c r="BR124" s="6">
        <f>BR$1*'survival matrix'!BR124</f>
        <v>29770.905670930264</v>
      </c>
      <c r="BS124" s="6">
        <f>BS$1*'survival matrix'!BS124</f>
        <v>35540.259591760441</v>
      </c>
      <c r="BT124" s="6">
        <f>BT$1*'survival matrix'!BT124</f>
        <v>41968.507771502329</v>
      </c>
      <c r="BU124" s="6">
        <f>BU$1*'survival matrix'!BU124</f>
        <v>47792.073222325707</v>
      </c>
      <c r="BV124" s="6">
        <f>BV$1*'survival matrix'!BV124</f>
        <v>54465.6430466561</v>
      </c>
      <c r="BW124" s="6">
        <f>BW$1*'survival matrix'!BW124</f>
        <v>61960.149846774359</v>
      </c>
      <c r="BX124" s="6">
        <f>BX$1*'survival matrix'!BX124</f>
        <v>70278.800262830075</v>
      </c>
      <c r="BY124" s="6">
        <f>BY$1*'survival matrix'!BY124</f>
        <v>79566.776242853826</v>
      </c>
      <c r="BZ124" s="6">
        <f>BZ$1*'survival matrix'!BZ124</f>
        <v>90666.572577047962</v>
      </c>
      <c r="CA124" s="6">
        <f>CA$1*'survival matrix'!CA124</f>
        <v>104391.15971892136</v>
      </c>
      <c r="CB124" s="6">
        <f>CB$1*'survival matrix'!CB124</f>
        <v>119173.85127413859</v>
      </c>
      <c r="CC124" s="6">
        <f>CC$1*'survival matrix'!CC124</f>
        <v>136095.06998568535</v>
      </c>
      <c r="CD124" s="6">
        <f>CD$1*'survival matrix'!CD124</f>
        <v>153759.79200642629</v>
      </c>
      <c r="CE124" s="6">
        <f>CE$1*'survival matrix'!CE124</f>
        <v>173331.58315784033</v>
      </c>
      <c r="CF124" s="6">
        <f>CF$1*'survival matrix'!CF124</f>
        <v>194803.694481863</v>
      </c>
      <c r="CG124" s="6">
        <f>CG$1*'survival matrix'!CG124</f>
        <v>218253.54658110323</v>
      </c>
      <c r="CH124" s="6">
        <f>CH$1*'survival matrix'!CH124</f>
        <v>241981.58506707166</v>
      </c>
      <c r="CI124" s="6">
        <f>CI$1*'survival matrix'!CI124</f>
        <v>267318.88469464757</v>
      </c>
      <c r="CJ124" s="6">
        <f>CJ$1*'survival matrix'!CJ124</f>
        <v>294688.92852754064</v>
      </c>
      <c r="CK124" s="6">
        <f>CK$1*'survival matrix'!CK124</f>
        <v>323575.49857162638</v>
      </c>
      <c r="CL124" s="6">
        <f>CL$1*'survival matrix'!CL124</f>
        <v>356805.87072416098</v>
      </c>
      <c r="CM124" s="6">
        <f>CM$1*'survival matrix'!CM124</f>
        <v>393071.80739061581</v>
      </c>
      <c r="CN124" s="6">
        <f>CN$1*'survival matrix'!CN124</f>
        <v>430157.14565964608</v>
      </c>
      <c r="CO124" s="6">
        <f>CO$1*'survival matrix'!CO124</f>
        <v>469735.80418362597</v>
      </c>
      <c r="CP124" s="6">
        <f>CP$1*'survival matrix'!CP124</f>
        <v>512911.90412064228</v>
      </c>
      <c r="CQ124" s="6">
        <f>CQ$1*'survival matrix'!CQ124</f>
        <v>560401.55962004419</v>
      </c>
      <c r="CR124" s="6">
        <f>CR$1*'survival matrix'!CR124</f>
        <v>609821.10837739496</v>
      </c>
      <c r="CS124" s="6">
        <f>CS$1*'survival matrix'!CS124</f>
        <v>660154.79299653298</v>
      </c>
      <c r="CT124" s="6">
        <f>CT$1*'survival matrix'!CT124</f>
        <v>714084.10959131154</v>
      </c>
      <c r="CU124" s="6">
        <f>CU$1*'survival matrix'!CU124</f>
        <v>767290.32397653046</v>
      </c>
      <c r="CV124" s="6">
        <f>CV$1*'survival matrix'!CV124</f>
        <v>822079.32316830114</v>
      </c>
      <c r="CW124" s="6">
        <f>CW$1*'survival matrix'!CW124</f>
        <v>880056.65210609941</v>
      </c>
      <c r="CX124" s="6">
        <f>CX$1*'survival matrix'!CX124</f>
        <v>933925.19007399515</v>
      </c>
      <c r="CY124" s="6">
        <f>CY$1*'survival matrix'!CY124</f>
        <v>979440.32509614609</v>
      </c>
      <c r="CZ124" s="6">
        <f>CZ$1*'survival matrix'!CZ124</f>
        <v>1037992.5074427373</v>
      </c>
      <c r="DA124" s="6">
        <f>DA$1*'survival matrix'!DA124</f>
        <v>1080073.6719746108</v>
      </c>
      <c r="DB124" s="6">
        <f>DB$1*'survival matrix'!DB124</f>
        <v>1127025.5916769486</v>
      </c>
      <c r="DC124" s="6">
        <f>DC$1*'survival matrix'!DC124</f>
        <v>1175300.9002416462</v>
      </c>
      <c r="DD124" s="6">
        <f>DD$1*'survival matrix'!DD124</f>
        <v>1218453.3896130966</v>
      </c>
      <c r="DE124" s="6">
        <f>DE$1*'survival matrix'!DE124</f>
        <v>1252684.337183655</v>
      </c>
      <c r="DF124" s="6">
        <f>DF$1*'survival matrix'!DF124</f>
        <v>1286968.2851157347</v>
      </c>
      <c r="DG124" s="6">
        <f>DG$1*'survival matrix'!DG124</f>
        <v>1319218.2159159968</v>
      </c>
      <c r="DH124" s="6">
        <f>DH$1*'survival matrix'!DH124</f>
        <v>1349289.6444152023</v>
      </c>
      <c r="DI124" s="6">
        <f>DI$1*'survival matrix'!DI124</f>
        <v>1378782.1840161656</v>
      </c>
      <c r="DJ124" s="6">
        <f>DJ$1*'survival matrix'!DJ124</f>
        <v>1406038.1077189383</v>
      </c>
      <c r="DK124" s="6">
        <f>DK$1*'survival matrix'!DK124</f>
        <v>1434599.5068908802</v>
      </c>
      <c r="DL124" s="6">
        <f>DL$1*'survival matrix'!DL124</f>
        <v>1460629.8050396258</v>
      </c>
      <c r="DM124" s="6">
        <f>DM$1*'survival matrix'!DM124</f>
        <v>1486759.9656458357</v>
      </c>
      <c r="DN124" s="6">
        <f>DN$1*'survival matrix'!DN124</f>
        <v>1508991.8242169265</v>
      </c>
      <c r="DO124" s="6">
        <f>DO$1*'survival matrix'!DO124</f>
        <v>1527619.7546230759</v>
      </c>
      <c r="DP124" s="6">
        <f>DP$1*'survival matrix'!DP124</f>
        <v>1540867.899851223</v>
      </c>
      <c r="DQ124" s="6">
        <f>DQ$1*'survival matrix'!DQ124</f>
        <v>1554189.4513002781</v>
      </c>
      <c r="DR124" s="6">
        <f>DR$1*'survival matrix'!DR124</f>
        <v>1564965.3625795629</v>
      </c>
      <c r="DS124" s="6">
        <f>DS$1*'survival matrix'!DS124</f>
        <v>1573853.1055895982</v>
      </c>
      <c r="DT124" s="6">
        <f>DT$1*'survival matrix'!DT124</f>
        <v>1580715.4827468363</v>
      </c>
      <c r="DU124" s="6">
        <f>DU$1*'survival matrix'!DU124</f>
        <v>1585758.4889092287</v>
      </c>
      <c r="DV124" s="6">
        <f>DV$1*'survival matrix'!DV124</f>
        <v>1582385.0760114798</v>
      </c>
      <c r="DW124" s="6">
        <f>DW$1*'survival matrix'!DW124</f>
        <v>1579498.709786305</v>
      </c>
      <c r="DX124" s="6">
        <f>DX$1*'survival matrix'!DX124</f>
        <v>0</v>
      </c>
      <c r="DY124" s="6">
        <f>DY$1*'survival matrix'!DY124</f>
        <v>0</v>
      </c>
      <c r="DZ124" s="6">
        <f>DZ$1*'survival matrix'!DZ124</f>
        <v>0</v>
      </c>
      <c r="EA124" s="6">
        <f>EA$1*'survival matrix'!EA124</f>
        <v>0</v>
      </c>
      <c r="EB124" s="6">
        <f>EB$1*'survival matrix'!EB124</f>
        <v>0</v>
      </c>
      <c r="EC124" s="6">
        <f>EC$1*'survival matrix'!EC124</f>
        <v>0</v>
      </c>
    </row>
    <row r="125" spans="1:133">
      <c r="A125" s="12">
        <f>'data input'!C125-B125</f>
        <v>639984.21714505274</v>
      </c>
      <c r="B125" s="14">
        <f t="shared" si="3"/>
        <v>936681.67402496189</v>
      </c>
      <c r="C125" s="11">
        <f>SUM(F125:EC125)</f>
        <v>46522194.757350408</v>
      </c>
      <c r="E125" s="7">
        <f>'data input'!B125</f>
        <v>2000</v>
      </c>
      <c r="F125" s="6">
        <f>F$1*'survival matrix'!F125</f>
        <v>1.2593095841071782E-6</v>
      </c>
      <c r="G125" s="6">
        <f>G$1*'survival matrix'!G125</f>
        <v>4.0461313310009694E-6</v>
      </c>
      <c r="H125" s="6">
        <f>H$1*'survival matrix'!H125</f>
        <v>9.686209711669886E-6</v>
      </c>
      <c r="I125" s="6">
        <f>I$1*'survival matrix'!I125</f>
        <v>2.0511115610520459E-5</v>
      </c>
      <c r="J125" s="6">
        <f>J$1*'survival matrix'!J125</f>
        <v>4.0499374256736272E-5</v>
      </c>
      <c r="K125" s="6">
        <f>K$1*'survival matrix'!K125</f>
        <v>7.6353946612310976E-5</v>
      </c>
      <c r="L125" s="6">
        <f>L$1*'survival matrix'!L125</f>
        <v>1.3923376466201467E-4</v>
      </c>
      <c r="M125" s="6">
        <f>M$1*'survival matrix'!M125</f>
        <v>2.4736431412342814E-4</v>
      </c>
      <c r="N125" s="6">
        <f>N$1*'survival matrix'!N125</f>
        <v>4.300776928515524E-4</v>
      </c>
      <c r="O125" s="6">
        <f>O$1*'survival matrix'!O125</f>
        <v>7.3414086389354881E-4</v>
      </c>
      <c r="P125" s="6">
        <f>P$1*'survival matrix'!P125</f>
        <v>1.2339054124838177E-3</v>
      </c>
      <c r="Q125" s="6">
        <f>Q$1*'survival matrix'!Q125</f>
        <v>2.0460311101193102E-3</v>
      </c>
      <c r="R125" s="6">
        <f>R$1*'survival matrix'!R125</f>
        <v>3.3511588316258592E-3</v>
      </c>
      <c r="S125" s="6">
        <f>S$1*'survival matrix'!S125</f>
        <v>5.4260896083651962E-3</v>
      </c>
      <c r="T125" s="6">
        <f>T$1*'survival matrix'!T125</f>
        <v>8.6909424891199825E-3</v>
      </c>
      <c r="U125" s="6">
        <f>U$1*'survival matrix'!U125</f>
        <v>1.3781509068903526E-2</v>
      </c>
      <c r="V125" s="6">
        <f>V$1*'survival matrix'!V125</f>
        <v>2.1644940250226914E-2</v>
      </c>
      <c r="W125" s="6">
        <f>W$1*'survival matrix'!W125</f>
        <v>3.3691836271928163E-2</v>
      </c>
      <c r="X125" s="6">
        <f>X$1*'survival matrix'!X125</f>
        <v>5.1995047496367713E-2</v>
      </c>
      <c r="Y125" s="6">
        <f>Y$1*'survival matrix'!Y125</f>
        <v>7.9574954580241816E-2</v>
      </c>
      <c r="Z125" s="6">
        <f>Z$1*'survival matrix'!Z125</f>
        <v>0.12081394540339688</v>
      </c>
      <c r="AA125" s="6">
        <f>AA$1*'survival matrix'!AA125</f>
        <v>0.18200623757395645</v>
      </c>
      <c r="AB125" s="6">
        <f>AB$1*'survival matrix'!AB125</f>
        <v>0.27209442942992451</v>
      </c>
      <c r="AC125" s="6">
        <f>AC$1*'survival matrix'!AC125</f>
        <v>0.40538417021014744</v>
      </c>
      <c r="AD125" s="6">
        <f>AD$1*'survival matrix'!AD125</f>
        <v>0.604463761701727</v>
      </c>
      <c r="AE125" s="6">
        <f>AE$1*'survival matrix'!AE125</f>
        <v>0.89325216493392445</v>
      </c>
      <c r="AF125" s="6">
        <f>AF$1*'survival matrix'!AF125</f>
        <v>1.2971946811437707</v>
      </c>
      <c r="AG125" s="6">
        <f>AG$1*'survival matrix'!AG125</f>
        <v>1.8762403195826658</v>
      </c>
      <c r="AH125" s="6">
        <f>AH$1*'survival matrix'!AH125</f>
        <v>2.6858436158331682</v>
      </c>
      <c r="AI125" s="6">
        <f>AI$1*'survival matrix'!AI125</f>
        <v>3.899449894785064</v>
      </c>
      <c r="AJ125" s="6">
        <f>AJ$1*'survival matrix'!AJ125</f>
        <v>5.5274557745385469</v>
      </c>
      <c r="AK125" s="6">
        <f>AK$1*'survival matrix'!AK125</f>
        <v>7.7472600216938732</v>
      </c>
      <c r="AL125" s="6">
        <f>AL$1*'survival matrix'!AL125</f>
        <v>10.804392833794871</v>
      </c>
      <c r="AM125" s="6">
        <f>AM$1*'survival matrix'!AM125</f>
        <v>14.994183874059464</v>
      </c>
      <c r="AN125" s="6">
        <f>AN$1*'survival matrix'!AN125</f>
        <v>20.469811662558598</v>
      </c>
      <c r="AO125" s="6">
        <f>AO$1*'survival matrix'!AO125</f>
        <v>27.752606158274414</v>
      </c>
      <c r="AP125" s="6">
        <f>AP$1*'survival matrix'!AP125</f>
        <v>37.249761394640089</v>
      </c>
      <c r="AQ125" s="6">
        <f>AQ$1*'survival matrix'!AQ125</f>
        <v>50.001394859207672</v>
      </c>
      <c r="AR125" s="6">
        <f>AR$1*'survival matrix'!AR125</f>
        <v>67.122313026962345</v>
      </c>
      <c r="AS125" s="6">
        <f>AS$1*'survival matrix'!AS125</f>
        <v>89.559755403125322</v>
      </c>
      <c r="AT125" s="6">
        <f>AT$1*'survival matrix'!AT125</f>
        <v>120.01332252281007</v>
      </c>
      <c r="AU125" s="6">
        <f>AU$1*'survival matrix'!AU125</f>
        <v>159.96390342934225</v>
      </c>
      <c r="AV125" s="6">
        <f>AV$1*'survival matrix'!AV125</f>
        <v>210.54988787975424</v>
      </c>
      <c r="AW125" s="6">
        <f>AW$1*'survival matrix'!AW125</f>
        <v>276.20604285053366</v>
      </c>
      <c r="AX125" s="6">
        <f>AX$1*'survival matrix'!AX125</f>
        <v>360.05799745465004</v>
      </c>
      <c r="AY125" s="6">
        <f>AY$1*'survival matrix'!AY125</f>
        <v>469.63144207075175</v>
      </c>
      <c r="AZ125" s="6">
        <f>AZ$1*'survival matrix'!AZ125</f>
        <v>607.03477333530623</v>
      </c>
      <c r="BA125" s="6">
        <f>BA$1*'survival matrix'!BA125</f>
        <v>776.88877339087617</v>
      </c>
      <c r="BB125" s="6">
        <f>BB$1*'survival matrix'!BB125</f>
        <v>992.64336478427981</v>
      </c>
      <c r="BC125" s="6">
        <f>BC$1*'survival matrix'!BC125</f>
        <v>1262.0532678137283</v>
      </c>
      <c r="BD125" s="6">
        <f>BD$1*'survival matrix'!BD125</f>
        <v>1599.1718075399167</v>
      </c>
      <c r="BE125" s="6">
        <f>BE$1*'survival matrix'!BE125</f>
        <v>2012.1981729890967</v>
      </c>
      <c r="BF125" s="6">
        <f>BF$1*'survival matrix'!BF125</f>
        <v>2505.2905938913746</v>
      </c>
      <c r="BG125" s="6">
        <f>BG$1*'survival matrix'!BG125</f>
        <v>3101.849130542746</v>
      </c>
      <c r="BH125" s="6">
        <f>BH$1*'survival matrix'!BH125</f>
        <v>3818.2312373724908</v>
      </c>
      <c r="BI125" s="6">
        <f>BI$1*'survival matrix'!BI125</f>
        <v>4685.3167930034024</v>
      </c>
      <c r="BJ125" s="6">
        <f>BJ$1*'survival matrix'!BJ125</f>
        <v>5728.5198639864557</v>
      </c>
      <c r="BK125" s="6">
        <f>BK$1*'survival matrix'!BK125</f>
        <v>6967.8333501436391</v>
      </c>
      <c r="BL125" s="6">
        <f>BL$1*'survival matrix'!BL125</f>
        <v>8457.5338138038042</v>
      </c>
      <c r="BM125" s="6">
        <f>BM$1*'survival matrix'!BM125</f>
        <v>10246.650630483709</v>
      </c>
      <c r="BN125" s="6">
        <f>BN$1*'survival matrix'!BN125</f>
        <v>12406.425840195347</v>
      </c>
      <c r="BO125" s="6">
        <f>BO$1*'survival matrix'!BO125</f>
        <v>15089.342972616647</v>
      </c>
      <c r="BP125" s="6">
        <f>BP$1*'survival matrix'!BP125</f>
        <v>18222.597639280717</v>
      </c>
      <c r="BQ125" s="6">
        <f>BQ$1*'survival matrix'!BQ125</f>
        <v>21980.035771288971</v>
      </c>
      <c r="BR125" s="6">
        <f>BR$1*'survival matrix'!BR125</f>
        <v>26048.864977917146</v>
      </c>
      <c r="BS125" s="6">
        <f>BS$1*'survival matrix'!BS125</f>
        <v>31242.476685320737</v>
      </c>
      <c r="BT125" s="6">
        <f>BT$1*'survival matrix'!BT125</f>
        <v>37064.509352248635</v>
      </c>
      <c r="BU125" s="6">
        <f>BU$1*'survival matrix'!BU125</f>
        <v>42401.505614549147</v>
      </c>
      <c r="BV125" s="6">
        <f>BV$1*'survival matrix'!BV125</f>
        <v>48542.096329782413</v>
      </c>
      <c r="BW125" s="6">
        <f>BW$1*'survival matrix'!BW125</f>
        <v>55469.926069626752</v>
      </c>
      <c r="BX125" s="6">
        <f>BX$1*'survival matrix'!BX125</f>
        <v>63196.983276983447</v>
      </c>
      <c r="BY125" s="6">
        <f>BY$1*'survival matrix'!BY125</f>
        <v>71863.29764556585</v>
      </c>
      <c r="BZ125" s="6">
        <f>BZ$1*'survival matrix'!BZ125</f>
        <v>82243.433577542863</v>
      </c>
      <c r="CA125" s="6">
        <f>CA$1*'survival matrix'!CA125</f>
        <v>95097.793260880368</v>
      </c>
      <c r="CB125" s="6">
        <f>CB$1*'survival matrix'!CB125</f>
        <v>109021.736300239</v>
      </c>
      <c r="CC125" s="6">
        <f>CC$1*'survival matrix'!CC125</f>
        <v>125017.63609124236</v>
      </c>
      <c r="CD125" s="6">
        <f>CD$1*'survival matrix'!CD125</f>
        <v>141820.30269094507</v>
      </c>
      <c r="CE125" s="6">
        <f>CE$1*'survival matrix'!CE125</f>
        <v>160512.3996720312</v>
      </c>
      <c r="CF125" s="6">
        <f>CF$1*'survival matrix'!CF125</f>
        <v>181104.97163980582</v>
      </c>
      <c r="CG125" s="6">
        <f>CG$1*'survival matrix'!CG125</f>
        <v>203686.53408164126</v>
      </c>
      <c r="CH125" s="6">
        <f>CH$1*'survival matrix'!CH125</f>
        <v>226681.0069820174</v>
      </c>
      <c r="CI125" s="6">
        <f>CI$1*'survival matrix'!CI125</f>
        <v>251337.14815705971</v>
      </c>
      <c r="CJ125" s="6">
        <f>CJ$1*'survival matrix'!CJ125</f>
        <v>278064.74748696858</v>
      </c>
      <c r="CK125" s="6">
        <f>CK$1*'survival matrix'!CK125</f>
        <v>306388.23401497258</v>
      </c>
      <c r="CL125" s="6">
        <f>CL$1*'survival matrix'!CL125</f>
        <v>339000.6196602534</v>
      </c>
      <c r="CM125" s="6">
        <f>CM$1*'survival matrix'!CM125</f>
        <v>374686.98520645883</v>
      </c>
      <c r="CN125" s="6">
        <f>CN$1*'survival matrix'!CN125</f>
        <v>411345.48124706047</v>
      </c>
      <c r="CO125" s="6">
        <f>CO$1*'survival matrix'!CO125</f>
        <v>450577.34302771284</v>
      </c>
      <c r="CP125" s="6">
        <f>CP$1*'survival matrix'!CP125</f>
        <v>493453.69810911256</v>
      </c>
      <c r="CQ125" s="6">
        <f>CQ$1*'survival matrix'!CQ125</f>
        <v>540681.45734489721</v>
      </c>
      <c r="CR125" s="6">
        <f>CR$1*'survival matrix'!CR125</f>
        <v>589973.4974532862</v>
      </c>
      <c r="CS125" s="6">
        <f>CS$1*'survival matrix'!CS125</f>
        <v>640342.16743079014</v>
      </c>
      <c r="CT125" s="6">
        <f>CT$1*'survival matrix'!CT125</f>
        <v>694383.57221516711</v>
      </c>
      <c r="CU125" s="6">
        <f>CU$1*'survival matrix'!CU125</f>
        <v>747894.4377004283</v>
      </c>
      <c r="CV125" s="6">
        <f>CV$1*'survival matrix'!CV125</f>
        <v>803102.6607223216</v>
      </c>
      <c r="CW125" s="6">
        <f>CW$1*'survival matrix'!CW125</f>
        <v>861570.18728886638</v>
      </c>
      <c r="CX125" s="6">
        <f>CX$1*'survival matrix'!CX125</f>
        <v>916137.5127945292</v>
      </c>
      <c r="CY125" s="6">
        <f>CY$1*'survival matrix'!CY125</f>
        <v>962589.47423221299</v>
      </c>
      <c r="CZ125" s="6">
        <f>CZ$1*'survival matrix'!CZ125</f>
        <v>1021923.3178192561</v>
      </c>
      <c r="DA125" s="6">
        <f>DA$1*'survival matrix'!DA125</f>
        <v>1065088.0314021271</v>
      </c>
      <c r="DB125" s="6">
        <f>DB$1*'survival matrix'!DB125</f>
        <v>1113068.5894525428</v>
      </c>
      <c r="DC125" s="6">
        <f>DC$1*'survival matrix'!DC125</f>
        <v>1162364.6829447311</v>
      </c>
      <c r="DD125" s="6">
        <f>DD$1*'survival matrix'!DD125</f>
        <v>1206585.2943122564</v>
      </c>
      <c r="DE125" s="6">
        <f>DE$1*'survival matrix'!DE125</f>
        <v>1241934.6984950562</v>
      </c>
      <c r="DF125" s="6">
        <f>DF$1*'survival matrix'!DF125</f>
        <v>1277282.8189241362</v>
      </c>
      <c r="DG125" s="6">
        <f>DG$1*'survival matrix'!DG125</f>
        <v>1310551.6646984271</v>
      </c>
      <c r="DH125" s="6">
        <f>DH$1*'survival matrix'!DH125</f>
        <v>1341588.6508881636</v>
      </c>
      <c r="DI125" s="6">
        <f>DI$1*'survival matrix'!DI125</f>
        <v>1371978.4891993538</v>
      </c>
      <c r="DJ125" s="6">
        <f>DJ$1*'survival matrix'!DJ125</f>
        <v>1400068.9538230726</v>
      </c>
      <c r="DK125" s="6">
        <f>DK$1*'survival matrix'!DK125</f>
        <v>1429385.9081080665</v>
      </c>
      <c r="DL125" s="6">
        <f>DL$1*'survival matrix'!DL125</f>
        <v>1456108.8370718055</v>
      </c>
      <c r="DM125" s="6">
        <f>DM$1*'survival matrix'!DM125</f>
        <v>1482860.720566151</v>
      </c>
      <c r="DN125" s="6">
        <f>DN$1*'survival matrix'!DN125</f>
        <v>1505655.9278549124</v>
      </c>
      <c r="DO125" s="6">
        <f>DO$1*'survival matrix'!DO125</f>
        <v>1524788.0983787498</v>
      </c>
      <c r="DP125" s="6">
        <f>DP$1*'survival matrix'!DP125</f>
        <v>1538485.6772985023</v>
      </c>
      <c r="DQ125" s="6">
        <f>DQ$1*'survival matrix'!DQ125</f>
        <v>1552196.0930557293</v>
      </c>
      <c r="DR125" s="6">
        <f>DR$1*'survival matrix'!DR125</f>
        <v>1563309.1870519763</v>
      </c>
      <c r="DS125" s="6">
        <f>DS$1*'survival matrix'!DS125</f>
        <v>1572486.2368675258</v>
      </c>
      <c r="DT125" s="6">
        <f>DT$1*'survival matrix'!DT125</f>
        <v>1579595.000663535</v>
      </c>
      <c r="DU125" s="6">
        <f>DU$1*'survival matrix'!DU125</f>
        <v>1584846.0724963674</v>
      </c>
      <c r="DV125" s="6">
        <f>DV$1*'survival matrix'!DV125</f>
        <v>1581650.0893092165</v>
      </c>
      <c r="DW125" s="6">
        <f>DW$1*'survival matrix'!DW125</f>
        <v>1578909.7361308273</v>
      </c>
      <c r="DX125" s="6">
        <f>DX$1*'survival matrix'!DX125</f>
        <v>1574537.552986986</v>
      </c>
      <c r="DY125" s="6">
        <f>DY$1*'survival matrix'!DY125</f>
        <v>0</v>
      </c>
      <c r="DZ125" s="6">
        <f>DZ$1*'survival matrix'!DZ125</f>
        <v>0</v>
      </c>
      <c r="EA125" s="6">
        <f>EA$1*'survival matrix'!EA125</f>
        <v>0</v>
      </c>
      <c r="EB125" s="6">
        <f>EB$1*'survival matrix'!EB125</f>
        <v>0</v>
      </c>
      <c r="EC125" s="6">
        <f>EC$1*'survival matrix'!EC125</f>
        <v>0</v>
      </c>
    </row>
    <row r="126" spans="1:133">
      <c r="A126" s="12">
        <f>'data input'!C126-B126</f>
        <v>664185.31327052461</v>
      </c>
      <c r="B126" s="14">
        <f t="shared" si="3"/>
        <v>903412.19932979345</v>
      </c>
      <c r="C126" s="11">
        <f>SUM(F126:EC126)</f>
        <v>47425606.956680201</v>
      </c>
      <c r="E126" s="7">
        <f>'data input'!B126</f>
        <v>2001</v>
      </c>
      <c r="F126" s="6">
        <f>F$1*'survival matrix'!F126</f>
        <v>7.8265985166125372E-7</v>
      </c>
      <c r="G126" s="6">
        <f>G$1*'survival matrix'!G126</f>
        <v>2.5285260267252044E-6</v>
      </c>
      <c r="H126" s="6">
        <f>H$1*'survival matrix'!H126</f>
        <v>6.0864896526397109E-6</v>
      </c>
      <c r="I126" s="6">
        <f>I$1*'survival matrix'!I126</f>
        <v>1.2959451576693705E-5</v>
      </c>
      <c r="J126" s="6">
        <f>J$1*'survival matrix'!J126</f>
        <v>2.5729339645552681E-5</v>
      </c>
      <c r="K126" s="6">
        <f>K$1*'survival matrix'!K126</f>
        <v>4.8774572708171432E-5</v>
      </c>
      <c r="L126" s="6">
        <f>L$1*'survival matrix'!L126</f>
        <v>8.9430747531202712E-5</v>
      </c>
      <c r="M126" s="6">
        <f>M$1*'survival matrix'!M126</f>
        <v>1.5975637842634372E-4</v>
      </c>
      <c r="N126" s="6">
        <f>N$1*'survival matrix'!N126</f>
        <v>2.7928363062462009E-4</v>
      </c>
      <c r="O126" s="6">
        <f>O$1*'survival matrix'!O126</f>
        <v>4.7935121988727786E-4</v>
      </c>
      <c r="P126" s="6">
        <f>P$1*'survival matrix'!P126</f>
        <v>8.1008505201524139E-4</v>
      </c>
      <c r="Q126" s="6">
        <f>Q$1*'survival matrix'!Q126</f>
        <v>1.3506215287094291E-3</v>
      </c>
      <c r="R126" s="6">
        <f>R$1*'survival matrix'!R126</f>
        <v>2.2242697321946366E-3</v>
      </c>
      <c r="S126" s="6">
        <f>S$1*'survival matrix'!S126</f>
        <v>3.6211679714472072E-3</v>
      </c>
      <c r="T126" s="6">
        <f>T$1*'survival matrix'!T126</f>
        <v>5.8317118390473332E-3</v>
      </c>
      <c r="U126" s="6">
        <f>U$1*'survival matrix'!U126</f>
        <v>9.2980433238332664E-3</v>
      </c>
      <c r="V126" s="6">
        <f>V$1*'survival matrix'!V126</f>
        <v>1.4683002247631393E-2</v>
      </c>
      <c r="W126" s="6">
        <f>W$1*'survival matrix'!W126</f>
        <v>2.2979725868298086E-2</v>
      </c>
      <c r="X126" s="6">
        <f>X$1*'survival matrix'!X126</f>
        <v>3.5656750473865427E-2</v>
      </c>
      <c r="Y126" s="6">
        <f>Y$1*'survival matrix'!Y126</f>
        <v>5.4867308877333584E-2</v>
      </c>
      <c r="Z126" s="6">
        <f>Z$1*'survival matrix'!Z126</f>
        <v>8.3754776313062843E-2</v>
      </c>
      <c r="AA126" s="6">
        <f>AA$1*'survival matrix'!AA126</f>
        <v>0.1268620541513292</v>
      </c>
      <c r="AB126" s="6">
        <f>AB$1*'survival matrix'!AB126</f>
        <v>0.1906846255774633</v>
      </c>
      <c r="AC126" s="6">
        <f>AC$1*'survival matrix'!AC126</f>
        <v>0.28563465202874405</v>
      </c>
      <c r="AD126" s="6">
        <f>AD$1*'survival matrix'!AD126</f>
        <v>0.42821303168092684</v>
      </c>
      <c r="AE126" s="6">
        <f>AE$1*'survival matrix'!AE126</f>
        <v>0.63621882552460107</v>
      </c>
      <c r="AF126" s="6">
        <f>AF$1*'survival matrix'!AF126</f>
        <v>0.92891857105929887</v>
      </c>
      <c r="AG126" s="6">
        <f>AG$1*'survival matrix'!AG126</f>
        <v>1.350821951864843</v>
      </c>
      <c r="AH126" s="6">
        <f>AH$1*'survival matrix'!AH126</f>
        <v>1.944126510224415</v>
      </c>
      <c r="AI126" s="6">
        <f>AI$1*'survival matrix'!AI126</f>
        <v>2.8377764186165173</v>
      </c>
      <c r="AJ126" s="6">
        <f>AJ$1*'survival matrix'!AJ126</f>
        <v>4.0441558881423072</v>
      </c>
      <c r="AK126" s="6">
        <f>AK$1*'survival matrix'!AK126</f>
        <v>5.6986914136110771</v>
      </c>
      <c r="AL126" s="6">
        <f>AL$1*'survival matrix'!AL126</f>
        <v>7.9900270115394614</v>
      </c>
      <c r="AM126" s="6">
        <f>AM$1*'survival matrix'!AM126</f>
        <v>11.147767875546529</v>
      </c>
      <c r="AN126" s="6">
        <f>AN$1*'survival matrix'!AN126</f>
        <v>15.30003099514226</v>
      </c>
      <c r="AO126" s="6">
        <f>AO$1*'survival matrix'!AO126</f>
        <v>20.854108493779091</v>
      </c>
      <c r="AP126" s="6">
        <f>AP$1*'survival matrix'!AP126</f>
        <v>28.139513575409943</v>
      </c>
      <c r="AQ126" s="6">
        <f>AQ$1*'survival matrix'!AQ126</f>
        <v>37.973104764401896</v>
      </c>
      <c r="AR126" s="6">
        <f>AR$1*'survival matrix'!AR126</f>
        <v>51.245681312475234</v>
      </c>
      <c r="AS126" s="6">
        <f>AS$1*'survival matrix'!AS126</f>
        <v>68.7376847064358</v>
      </c>
      <c r="AT126" s="6">
        <f>AT$1*'survival matrix'!AT126</f>
        <v>92.597266475025691</v>
      </c>
      <c r="AU126" s="6">
        <f>AU$1*'survival matrix'!AU126</f>
        <v>124.07156136939308</v>
      </c>
      <c r="AV126" s="6">
        <f>AV$1*'survival matrix'!AV126</f>
        <v>164.16532225473165</v>
      </c>
      <c r="AW126" s="6">
        <f>AW$1*'survival matrix'!AW126</f>
        <v>216.48614162529165</v>
      </c>
      <c r="AX126" s="6">
        <f>AX$1*'survival matrix'!AX126</f>
        <v>283.68345116033049</v>
      </c>
      <c r="AY126" s="6">
        <f>AY$1*'survival matrix'!AY126</f>
        <v>371.94364842183546</v>
      </c>
      <c r="AZ126" s="6">
        <f>AZ$1*'survival matrix'!AZ126</f>
        <v>483.26520621577544</v>
      </c>
      <c r="BA126" s="6">
        <f>BA$1*'survival matrix'!BA126</f>
        <v>621.69304733492754</v>
      </c>
      <c r="BB126" s="6">
        <f>BB$1*'survival matrix'!BB126</f>
        <v>798.45146371644455</v>
      </c>
      <c r="BC126" s="6">
        <f>BC$1*'survival matrix'!BC126</f>
        <v>1020.3839999779451</v>
      </c>
      <c r="BD126" s="6">
        <f>BD$1*'survival matrix'!BD126</f>
        <v>1299.5828143180954</v>
      </c>
      <c r="BE126" s="6">
        <f>BE$1*'survival matrix'!BE126</f>
        <v>1643.5930168927314</v>
      </c>
      <c r="BF126" s="6">
        <f>BF$1*'survival matrix'!BF126</f>
        <v>2056.7796464677645</v>
      </c>
      <c r="BG126" s="6">
        <f>BG$1*'survival matrix'!BG126</f>
        <v>2559.4546699322859</v>
      </c>
      <c r="BH126" s="6">
        <f>BH$1*'survival matrix'!BH126</f>
        <v>3166.4793031269542</v>
      </c>
      <c r="BI126" s="6">
        <f>BI$1*'survival matrix'!BI126</f>
        <v>3905.0905586106037</v>
      </c>
      <c r="BJ126" s="6">
        <f>BJ$1*'survival matrix'!BJ126</f>
        <v>4798.4597521146434</v>
      </c>
      <c r="BK126" s="6">
        <f>BK$1*'survival matrix'!BK126</f>
        <v>5865.614308620874</v>
      </c>
      <c r="BL126" s="6">
        <f>BL$1*'survival matrix'!BL126</f>
        <v>7154.9116120660501</v>
      </c>
      <c r="BM126" s="6">
        <f>BM$1*'survival matrix'!BM126</f>
        <v>8711.1424495194024</v>
      </c>
      <c r="BN126" s="6">
        <f>BN$1*'survival matrix'!BN126</f>
        <v>10598.875077999101</v>
      </c>
      <c r="BO126" s="6">
        <f>BO$1*'survival matrix'!BO126</f>
        <v>12953.582793884985</v>
      </c>
      <c r="BP126" s="6">
        <f>BP$1*'survival matrix'!BP126</f>
        <v>15718.902861672335</v>
      </c>
      <c r="BQ126" s="6">
        <f>BQ$1*'survival matrix'!BQ126</f>
        <v>19051.003302494861</v>
      </c>
      <c r="BR126" s="6">
        <f>BR$1*'survival matrix'!BR126</f>
        <v>22685.070871682448</v>
      </c>
      <c r="BS126" s="6">
        <f>BS$1*'survival matrix'!BS126</f>
        <v>27336.456127577865</v>
      </c>
      <c r="BT126" s="6">
        <f>BT$1*'survival matrix'!BT126</f>
        <v>32582.403240491381</v>
      </c>
      <c r="BU126" s="6">
        <f>BU$1*'survival matrix'!BU126</f>
        <v>37446.911621361709</v>
      </c>
      <c r="BV126" s="6">
        <f>BV$1*'survival matrix'!BV126</f>
        <v>43066.932051563621</v>
      </c>
      <c r="BW126" s="6">
        <f>BW$1*'survival matrix'!BW126</f>
        <v>49437.156050304693</v>
      </c>
      <c r="BX126" s="6">
        <f>BX$1*'survival matrix'!BX126</f>
        <v>56577.203232509739</v>
      </c>
      <c r="BY126" s="6">
        <f>BY$1*'survival matrix'!BY126</f>
        <v>64621.814865238914</v>
      </c>
      <c r="BZ126" s="6">
        <f>BZ$1*'survival matrix'!BZ126</f>
        <v>74280.80696064535</v>
      </c>
      <c r="CA126" s="6">
        <f>CA$1*'survival matrix'!CA126</f>
        <v>86262.983380955877</v>
      </c>
      <c r="CB126" s="6">
        <f>CB$1*'survival matrix'!CB126</f>
        <v>99316.135269863749</v>
      </c>
      <c r="CC126" s="6">
        <f>CC$1*'survival matrix'!CC126</f>
        <v>114367.70406509785</v>
      </c>
      <c r="CD126" s="6">
        <f>CD$1*'survival matrix'!CD126</f>
        <v>130276.86450384484</v>
      </c>
      <c r="CE126" s="6">
        <f>CE$1*'survival matrix'!CE126</f>
        <v>148048.5685502619</v>
      </c>
      <c r="CF126" s="6">
        <f>CF$1*'survival matrix'!CF126</f>
        <v>167710.88719572153</v>
      </c>
      <c r="CG126" s="6">
        <f>CG$1*'survival matrix'!CG126</f>
        <v>189363.16416576208</v>
      </c>
      <c r="CH126" s="6">
        <f>CH$1*'survival matrix'!CH126</f>
        <v>211551.51601234544</v>
      </c>
      <c r="CI126" s="6">
        <f>CI$1*'survival matrix'!CI126</f>
        <v>235445.01462968392</v>
      </c>
      <c r="CJ126" s="6">
        <f>CJ$1*'survival matrix'!CJ126</f>
        <v>261440.56644639652</v>
      </c>
      <c r="CK126" s="6">
        <f>CK$1*'survival matrix'!CK126</f>
        <v>289104.06424172624</v>
      </c>
      <c r="CL126" s="6">
        <f>CL$1*'survival matrix'!CL126</f>
        <v>320994.02348504699</v>
      </c>
      <c r="CM126" s="6">
        <f>CM$1*'survival matrix'!CM126</f>
        <v>355989.4345511414</v>
      </c>
      <c r="CN126" s="6">
        <f>CN$1*'survival matrix'!CN126</f>
        <v>392105.95964619319</v>
      </c>
      <c r="CO126" s="6">
        <f>CO$1*'survival matrix'!CO126</f>
        <v>430872.66101910948</v>
      </c>
      <c r="CP126" s="6">
        <f>CP$1*'survival matrix'!CP126</f>
        <v>473327.88818943803</v>
      </c>
      <c r="CQ126" s="6">
        <f>CQ$1*'survival matrix'!CQ126</f>
        <v>520169.76498776959</v>
      </c>
      <c r="CR126" s="6">
        <f>CR$1*'survival matrix'!CR126</f>
        <v>569212.78130307922</v>
      </c>
      <c r="CS126" s="6">
        <f>CS$1*'survival matrix'!CS126</f>
        <v>619501.19944382843</v>
      </c>
      <c r="CT126" s="6">
        <f>CT$1*'survival matrix'!CT126</f>
        <v>673543.66942077153</v>
      </c>
      <c r="CU126" s="6">
        <f>CU$1*'survival matrix'!CU126</f>
        <v>727261.12276535644</v>
      </c>
      <c r="CV126" s="6">
        <f>CV$1*'survival matrix'!CV126</f>
        <v>782801.4951938981</v>
      </c>
      <c r="CW126" s="6">
        <f>CW$1*'survival matrix'!CW126</f>
        <v>841681.9281429142</v>
      </c>
      <c r="CX126" s="6">
        <f>CX$1*'survival matrix'!CX126</f>
        <v>896893.13363155955</v>
      </c>
      <c r="CY126" s="6">
        <f>CY$1*'survival matrix'!CY126</f>
        <v>944255.85275778116</v>
      </c>
      <c r="CZ126" s="6">
        <f>CZ$1*'survival matrix'!CZ126</f>
        <v>1004341.5652798581</v>
      </c>
      <c r="DA126" s="6">
        <f>DA$1*'survival matrix'!DA126</f>
        <v>1048599.3752513549</v>
      </c>
      <c r="DB126" s="6">
        <f>DB$1*'survival matrix'!DB126</f>
        <v>1097625.1560582612</v>
      </c>
      <c r="DC126" s="6">
        <f>DC$1*'survival matrix'!DC126</f>
        <v>1147970.0440073034</v>
      </c>
      <c r="DD126" s="6">
        <f>DD$1*'survival matrix'!DD126</f>
        <v>1193304.7381999651</v>
      </c>
      <c r="DE126" s="6">
        <f>DE$1*'survival matrix'!DE126</f>
        <v>1229837.8883217596</v>
      </c>
      <c r="DF126" s="6">
        <f>DF$1*'survival matrix'!DF126</f>
        <v>1266322.0937046779</v>
      </c>
      <c r="DG126" s="6">
        <f>DG$1*'survival matrix'!DG126</f>
        <v>1300688.7147037906</v>
      </c>
      <c r="DH126" s="6">
        <f>DH$1*'survival matrix'!DH126</f>
        <v>1332775.1379942717</v>
      </c>
      <c r="DI126" s="6">
        <f>DI$1*'survival matrix'!DI126</f>
        <v>1364148.0003874872</v>
      </c>
      <c r="DJ126" s="6">
        <f>DJ$1*'survival matrix'!DJ126</f>
        <v>1393160.2179873958</v>
      </c>
      <c r="DK126" s="6">
        <f>DK$1*'survival matrix'!DK126</f>
        <v>1423317.6341294039</v>
      </c>
      <c r="DL126" s="6">
        <f>DL$1*'survival matrix'!DL126</f>
        <v>1450817.069422272</v>
      </c>
      <c r="DM126" s="6">
        <f>DM$1*'survival matrix'!DM126</f>
        <v>1478270.9430638105</v>
      </c>
      <c r="DN126" s="6">
        <f>DN$1*'survival matrix'!DN126</f>
        <v>1501707.1253554877</v>
      </c>
      <c r="DO126" s="6">
        <f>DO$1*'survival matrix'!DO126</f>
        <v>1521417.2815269993</v>
      </c>
      <c r="DP126" s="6">
        <f>DP$1*'survival matrix'!DP126</f>
        <v>1535633.879551226</v>
      </c>
      <c r="DQ126" s="6">
        <f>DQ$1*'survival matrix'!DQ126</f>
        <v>1549796.3568165102</v>
      </c>
      <c r="DR126" s="6">
        <f>DR$1*'survival matrix'!DR126</f>
        <v>1561304.1320992601</v>
      </c>
      <c r="DS126" s="6">
        <f>DS$1*'survival matrix'!DS126</f>
        <v>1570822.1021299532</v>
      </c>
      <c r="DT126" s="6">
        <f>DT$1*'survival matrix'!DT126</f>
        <v>1578223.1451884077</v>
      </c>
      <c r="DU126" s="6">
        <f>DU$1*'survival matrix'!DU126</f>
        <v>1583722.6624656536</v>
      </c>
      <c r="DV126" s="6">
        <f>DV$1*'survival matrix'!DV126</f>
        <v>1580740.0367942955</v>
      </c>
      <c r="DW126" s="6">
        <f>DW$1*'survival matrix'!DW126</f>
        <v>1578176.3636554906</v>
      </c>
      <c r="DX126" s="6">
        <f>DX$1*'survival matrix'!DX126</f>
        <v>1573950.4292796201</v>
      </c>
      <c r="DY126" s="6">
        <f>DY$1*'survival matrix'!DY126</f>
        <v>1565481.4158036707</v>
      </c>
      <c r="DZ126" s="6">
        <f>DZ$1*'survival matrix'!DZ126</f>
        <v>0</v>
      </c>
      <c r="EA126" s="6">
        <f>EA$1*'survival matrix'!EA126</f>
        <v>0</v>
      </c>
      <c r="EB126" s="6">
        <f>EB$1*'survival matrix'!EB126</f>
        <v>0</v>
      </c>
      <c r="EC126" s="6">
        <f>EC$1*'survival matrix'!EC126</f>
        <v>0</v>
      </c>
    </row>
    <row r="127" spans="1:133">
      <c r="A127" s="12">
        <f>'data input'!C127-B127</f>
        <v>689021.69711989909</v>
      </c>
      <c r="B127" s="14">
        <f t="shared" si="3"/>
        <v>868223.53862259537</v>
      </c>
      <c r="C127" s="11">
        <f>SUM(F127:EC127)</f>
        <v>48293830.495302796</v>
      </c>
      <c r="E127" s="7">
        <f>'data input'!B127</f>
        <v>2002</v>
      </c>
      <c r="F127" s="6">
        <f>F$1*'survival matrix'!F127</f>
        <v>4.8375552106427132E-7</v>
      </c>
      <c r="G127" s="6">
        <f>G$1*'survival matrix'!G127</f>
        <v>1.571476807588514E-6</v>
      </c>
      <c r="H127" s="6">
        <f>H$1*'survival matrix'!H127</f>
        <v>3.8035956421330193E-6</v>
      </c>
      <c r="I127" s="6">
        <f>I$1*'survival matrix'!I127</f>
        <v>8.1432851727751067E-6</v>
      </c>
      <c r="J127" s="6">
        <f>J$1*'survival matrix'!J127</f>
        <v>1.6256460037006476E-5</v>
      </c>
      <c r="K127" s="6">
        <f>K$1*'survival matrix'!K127</f>
        <v>3.0986591035206248E-5</v>
      </c>
      <c r="L127" s="6">
        <f>L$1*'survival matrix'!L127</f>
        <v>5.7127976893645841E-5</v>
      </c>
      <c r="M127" s="6">
        <f>M$1*'survival matrix'!M127</f>
        <v>1.0261255508121299E-4</v>
      </c>
      <c r="N127" s="6">
        <f>N$1*'survival matrix'!N127</f>
        <v>1.803709704063746E-4</v>
      </c>
      <c r="O127" s="6">
        <f>O$1*'survival matrix'!O127</f>
        <v>3.1128084822727237E-4</v>
      </c>
      <c r="P127" s="6">
        <f>P$1*'survival matrix'!P127</f>
        <v>5.2893835092697016E-4</v>
      </c>
      <c r="Q127" s="6">
        <f>Q$1*'survival matrix'!Q127</f>
        <v>8.8671165574600447E-4</v>
      </c>
      <c r="R127" s="6">
        <f>R$1*'survival matrix'!R127</f>
        <v>1.4682800134860373E-3</v>
      </c>
      <c r="S127" s="6">
        <f>S$1*'survival matrix'!S127</f>
        <v>2.4034833079442405E-3</v>
      </c>
      <c r="T127" s="6">
        <f>T$1*'survival matrix'!T127</f>
        <v>3.8918649809452977E-3</v>
      </c>
      <c r="U127" s="6">
        <f>U$1*'survival matrix'!U127</f>
        <v>6.2390827461411462E-3</v>
      </c>
      <c r="V127" s="6">
        <f>V$1*'survival matrix'!V127</f>
        <v>9.906258475747597E-3</v>
      </c>
      <c r="W127" s="6">
        <f>W$1*'survival matrix'!W127</f>
        <v>1.5588463755201948E-2</v>
      </c>
      <c r="X127" s="6">
        <f>X$1*'survival matrix'!X127</f>
        <v>2.4319907785092729E-2</v>
      </c>
      <c r="Y127" s="6">
        <f>Y$1*'survival matrix'!Y127</f>
        <v>3.7626467058199248E-2</v>
      </c>
      <c r="Z127" s="6">
        <f>Z$1*'survival matrix'!Z127</f>
        <v>5.7749315801203405E-2</v>
      </c>
      <c r="AA127" s="6">
        <f>AA$1*'survival matrix'!AA127</f>
        <v>8.7947653166879303E-2</v>
      </c>
      <c r="AB127" s="6">
        <f>AB$1*'survival matrix'!AB127</f>
        <v>0.13291106732539565</v>
      </c>
      <c r="AC127" s="6">
        <f>AC$1*'survival matrix'!AC127</f>
        <v>0.20017365584501001</v>
      </c>
      <c r="AD127" s="6">
        <f>AD$1*'survival matrix'!AD127</f>
        <v>0.30171992220354682</v>
      </c>
      <c r="AE127" s="6">
        <f>AE$1*'survival matrix'!AE127</f>
        <v>0.45070889166851724</v>
      </c>
      <c r="AF127" s="6">
        <f>AF$1*'survival matrix'!AF127</f>
        <v>0.66162222213147948</v>
      </c>
      <c r="AG127" s="6">
        <f>AG$1*'survival matrix'!AG127</f>
        <v>0.96732095461217094</v>
      </c>
      <c r="AH127" s="6">
        <f>AH$1*'survival matrix'!AH127</f>
        <v>1.3996974373718136</v>
      </c>
      <c r="AI127" s="6">
        <f>AI$1*'survival matrix'!AI127</f>
        <v>2.0541018594675911</v>
      </c>
      <c r="AJ127" s="6">
        <f>AJ$1*'survival matrix'!AJ127</f>
        <v>2.9430844150420739</v>
      </c>
      <c r="AK127" s="6">
        <f>AK$1*'survival matrix'!AK127</f>
        <v>4.1694402226104197</v>
      </c>
      <c r="AL127" s="6">
        <f>AL$1*'survival matrix'!AL127</f>
        <v>5.8772647616937954</v>
      </c>
      <c r="AM127" s="6">
        <f>AM$1*'survival matrix'!AM127</f>
        <v>8.2439585281817163</v>
      </c>
      <c r="AN127" s="6">
        <f>AN$1*'survival matrix'!AN127</f>
        <v>11.375156891172365</v>
      </c>
      <c r="AO127" s="6">
        <f>AO$1*'survival matrix'!AO127</f>
        <v>15.587271226070378</v>
      </c>
      <c r="AP127" s="6">
        <f>AP$1*'survival matrix'!AP127</f>
        <v>21.144841883212013</v>
      </c>
      <c r="AQ127" s="6">
        <f>AQ$1*'survival matrix'!AQ127</f>
        <v>28.685947426554666</v>
      </c>
      <c r="AR127" s="6">
        <f>AR$1*'survival matrix'!AR127</f>
        <v>38.918066799559085</v>
      </c>
      <c r="AS127" s="6">
        <f>AS$1*'survival matrix'!AS127</f>
        <v>52.478964531637274</v>
      </c>
      <c r="AT127" s="6">
        <f>AT$1*'survival matrix'!AT127</f>
        <v>71.068993868824478</v>
      </c>
      <c r="AU127" s="6">
        <f>AU$1*'survival matrix'!AU127</f>
        <v>95.728434048733391</v>
      </c>
      <c r="AV127" s="6">
        <f>AV$1*'survival matrix'!AV127</f>
        <v>127.33027525707385</v>
      </c>
      <c r="AW127" s="6">
        <f>AW$1*'survival matrix'!AW127</f>
        <v>168.79380730849033</v>
      </c>
      <c r="AX127" s="6">
        <f>AX$1*'survival matrix'!AX127</f>
        <v>222.34682178144877</v>
      </c>
      <c r="AY127" s="6">
        <f>AY$1*'survival matrix'!AY127</f>
        <v>293.04794940643035</v>
      </c>
      <c r="AZ127" s="6">
        <f>AZ$1*'survival matrix'!AZ127</f>
        <v>382.74146033038937</v>
      </c>
      <c r="BA127" s="6">
        <f>BA$1*'survival matrix'!BA127</f>
        <v>494.93477461343531</v>
      </c>
      <c r="BB127" s="6">
        <f>BB$1*'survival matrix'!BB127</f>
        <v>638.94825183316186</v>
      </c>
      <c r="BC127" s="6">
        <f>BC$1*'survival matrix'!BC127</f>
        <v>820.76516827600653</v>
      </c>
      <c r="BD127" s="6">
        <f>BD$1*'survival matrix'!BD127</f>
        <v>1050.7270526494242</v>
      </c>
      <c r="BE127" s="6">
        <f>BE$1*'survival matrix'!BE127</f>
        <v>1335.6821502330722</v>
      </c>
      <c r="BF127" s="6">
        <f>BF$1*'survival matrix'!BF127</f>
        <v>1680.0078191104867</v>
      </c>
      <c r="BG127" s="6">
        <f>BG$1*'survival matrix'!BG127</f>
        <v>2101.246970714426</v>
      </c>
      <c r="BH127" s="6">
        <f>BH$1*'survival matrix'!BH127</f>
        <v>2612.7835038237772</v>
      </c>
      <c r="BI127" s="6">
        <f>BI$1*'survival matrix'!BI127</f>
        <v>3238.5121963399401</v>
      </c>
      <c r="BJ127" s="6">
        <f>BJ$1*'survival matrix'!BJ127</f>
        <v>3999.392293353143</v>
      </c>
      <c r="BK127" s="6">
        <f>BK$1*'survival matrix'!BK127</f>
        <v>4913.2960781527936</v>
      </c>
      <c r="BL127" s="6">
        <f>BL$1*'survival matrix'!BL127</f>
        <v>6023.0992648219863</v>
      </c>
      <c r="BM127" s="6">
        <f>BM$1*'survival matrix'!BM127</f>
        <v>7369.4596602973415</v>
      </c>
      <c r="BN127" s="6">
        <f>BN$1*'survival matrix'!BN127</f>
        <v>9010.5844278944351</v>
      </c>
      <c r="BO127" s="6">
        <f>BO$1*'survival matrix'!BO127</f>
        <v>11066.314151501329</v>
      </c>
      <c r="BP127" s="6">
        <f>BP$1*'survival matrix'!BP127</f>
        <v>13494.034168168895</v>
      </c>
      <c r="BQ127" s="6">
        <f>BQ$1*'survival matrix'!BQ127</f>
        <v>16433.489684467178</v>
      </c>
      <c r="BR127" s="6">
        <f>BR$1*'survival matrix'!BR127</f>
        <v>19662.086294612451</v>
      </c>
      <c r="BS127" s="6">
        <f>BS$1*'survival matrix'!BS127</f>
        <v>23806.39022700048</v>
      </c>
      <c r="BT127" s="6">
        <f>BT$1*'survival matrix'!BT127</f>
        <v>28508.861371199571</v>
      </c>
      <c r="BU127" s="6">
        <f>BU$1*'survival matrix'!BU127</f>
        <v>32918.562686550933</v>
      </c>
      <c r="BV127" s="6">
        <f>BV$1*'survival matrix'!BV127</f>
        <v>38034.583323492225</v>
      </c>
      <c r="BW127" s="6">
        <f>BW$1*'survival matrix'!BW127</f>
        <v>43861.036119586206</v>
      </c>
      <c r="BX127" s="6">
        <f>BX$1*'survival matrix'!BX127</f>
        <v>50424.008526431557</v>
      </c>
      <c r="BY127" s="6">
        <f>BY$1*'survival matrix'!BY127</f>
        <v>57852.786055625103</v>
      </c>
      <c r="BZ127" s="6">
        <f>BZ$1*'survival matrix'!BZ127</f>
        <v>66795.717879884352</v>
      </c>
      <c r="CA127" s="6">
        <f>CA$1*'survival matrix'!CA127</f>
        <v>77911.192877528447</v>
      </c>
      <c r="CB127" s="6">
        <f>CB$1*'survival matrix'!CB127</f>
        <v>90089.431441825975</v>
      </c>
      <c r="CC127" s="6">
        <f>CC$1*'survival matrix'!CC127</f>
        <v>104186.18114971355</v>
      </c>
      <c r="CD127" s="6">
        <f>CD$1*'survival matrix'!CD127</f>
        <v>119178.9122874665</v>
      </c>
      <c r="CE127" s="6">
        <f>CE$1*'survival matrix'!CE127</f>
        <v>135998.18177684731</v>
      </c>
      <c r="CF127" s="6">
        <f>CF$1*'survival matrix'!CF127</f>
        <v>154688.09157643828</v>
      </c>
      <c r="CG127" s="6">
        <f>CG$1*'survival matrix'!CG127</f>
        <v>175358.32383216993</v>
      </c>
      <c r="CH127" s="6">
        <f>CH$1*'survival matrix'!CH127</f>
        <v>196675.07543775483</v>
      </c>
      <c r="CI127" s="6">
        <f>CI$1*'survival matrix'!CI127</f>
        <v>219730.5828379782</v>
      </c>
      <c r="CJ127" s="6">
        <f>CJ$1*'survival matrix'!CJ127</f>
        <v>244909.59033759407</v>
      </c>
      <c r="CK127" s="6">
        <f>CK$1*'survival matrix'!CK127</f>
        <v>271819.89446847991</v>
      </c>
      <c r="CL127" s="6">
        <f>CL$1*'survival matrix'!CL127</f>
        <v>302885.90253859496</v>
      </c>
      <c r="CM127" s="6">
        <f>CM$1*'survival matrix'!CM127</f>
        <v>337080.44849375088</v>
      </c>
      <c r="CN127" s="6">
        <f>CN$1*'survival matrix'!CN127</f>
        <v>372539.17101408524</v>
      </c>
      <c r="CO127" s="6">
        <f>CO$1*'survival matrix'!CO127</f>
        <v>410719.81080724258</v>
      </c>
      <c r="CP127" s="6">
        <f>CP$1*'survival matrix'!CP127</f>
        <v>452628.27764110424</v>
      </c>
      <c r="CQ127" s="6">
        <f>CQ$1*'survival matrix'!CQ127</f>
        <v>498954.32399255235</v>
      </c>
      <c r="CR127" s="6">
        <f>CR$1*'survival matrix'!CR127</f>
        <v>547618.70350139507</v>
      </c>
      <c r="CS127" s="6">
        <f>CS$1*'survival matrix'!CS127</f>
        <v>597701.42604403361</v>
      </c>
      <c r="CT127" s="6">
        <f>CT$1*'survival matrix'!CT127</f>
        <v>651622.10503506172</v>
      </c>
      <c r="CU127" s="6">
        <f>CU$1*'survival matrix'!CU127</f>
        <v>705434.49593974859</v>
      </c>
      <c r="CV127" s="6">
        <f>CV$1*'survival matrix'!CV127</f>
        <v>761205.14553839969</v>
      </c>
      <c r="CW127" s="6">
        <f>CW$1*'survival matrix'!CW127</f>
        <v>820405.53972932883</v>
      </c>
      <c r="CX127" s="6">
        <f>CX$1*'survival matrix'!CX127</f>
        <v>876189.48890120978</v>
      </c>
      <c r="CY127" s="6">
        <f>CY$1*'survival matrix'!CY127</f>
        <v>924420.81991222687</v>
      </c>
      <c r="CZ127" s="6">
        <f>CZ$1*'survival matrix'!CZ127</f>
        <v>985212.72730501299</v>
      </c>
      <c r="DA127" s="6">
        <f>DA$1*'survival matrix'!DA127</f>
        <v>1030558.6725810422</v>
      </c>
      <c r="DB127" s="6">
        <f>DB$1*'survival matrix'!DB127</f>
        <v>1080632.7918150381</v>
      </c>
      <c r="DC127" s="6">
        <f>DC$1*'survival matrix'!DC127</f>
        <v>1132042.3652629261</v>
      </c>
      <c r="DD127" s="6">
        <f>DD$1*'survival matrix'!DD127</f>
        <v>1178526.9398886869</v>
      </c>
      <c r="DE127" s="6">
        <f>DE$1*'survival matrix'!DE127</f>
        <v>1216301.3972325088</v>
      </c>
      <c r="DF127" s="6">
        <f>DF$1*'survival matrix'!DF127</f>
        <v>1253987.7431109152</v>
      </c>
      <c r="DG127" s="6">
        <f>DG$1*'survival matrix'!DG127</f>
        <v>1289527.1368709917</v>
      </c>
      <c r="DH127" s="6">
        <f>DH$1*'survival matrix'!DH127</f>
        <v>1322744.9385796178</v>
      </c>
      <c r="DI127" s="6">
        <f>DI$1*'survival matrix'!DI127</f>
        <v>1355186.2847508558</v>
      </c>
      <c r="DJ127" s="6">
        <f>DJ$1*'survival matrix'!DJ127</f>
        <v>1385208.8356691103</v>
      </c>
      <c r="DK127" s="6">
        <f>DK$1*'survival matrix'!DK127</f>
        <v>1416294.1760935627</v>
      </c>
      <c r="DL127" s="6">
        <f>DL$1*'survival matrix'!DL127</f>
        <v>1444657.8122054243</v>
      </c>
      <c r="DM127" s="6">
        <f>DM$1*'survival matrix'!DM127</f>
        <v>1472898.6342400541</v>
      </c>
      <c r="DN127" s="6">
        <f>DN$1*'survival matrix'!DN127</f>
        <v>1497059.0141178865</v>
      </c>
      <c r="DO127" s="6">
        <f>DO$1*'survival matrix'!DO127</f>
        <v>1517427.142576382</v>
      </c>
      <c r="DP127" s="6">
        <f>DP$1*'survival matrix'!DP127</f>
        <v>1532239.0861600563</v>
      </c>
      <c r="DQ127" s="6">
        <f>DQ$1*'survival matrix'!DQ127</f>
        <v>1546923.5931474541</v>
      </c>
      <c r="DR127" s="6">
        <f>DR$1*'survival matrix'!DR127</f>
        <v>1558890.3145906327</v>
      </c>
      <c r="DS127" s="6">
        <f>DS$1*'survival matrix'!DS127</f>
        <v>1568807.4113305912</v>
      </c>
      <c r="DT127" s="6">
        <f>DT$1*'survival matrix'!DT127</f>
        <v>1576552.9391808938</v>
      </c>
      <c r="DU127" s="6">
        <f>DU$1*'survival matrix'!DU127</f>
        <v>1582347.2221757858</v>
      </c>
      <c r="DV127" s="6">
        <f>DV$1*'survival matrix'!DV127</f>
        <v>1579619.5373059832</v>
      </c>
      <c r="DW127" s="6">
        <f>DW$1*'survival matrix'!DW127</f>
        <v>1577268.3098587366</v>
      </c>
      <c r="DX127" s="6">
        <f>DX$1*'survival matrix'!DX127</f>
        <v>1573219.3603046406</v>
      </c>
      <c r="DY127" s="6">
        <f>DY$1*'survival matrix'!DY127</f>
        <v>1564897.6690070855</v>
      </c>
      <c r="DZ127" s="6">
        <f>DZ$1*'survival matrix'!DZ127</f>
        <v>1555143.1134640004</v>
      </c>
      <c r="EA127" s="6">
        <f>EA$1*'survival matrix'!EA127</f>
        <v>0</v>
      </c>
      <c r="EB127" s="6">
        <f>EB$1*'survival matrix'!EB127</f>
        <v>0</v>
      </c>
      <c r="EC127" s="6">
        <f>EC$1*'survival matrix'!EC127</f>
        <v>0</v>
      </c>
    </row>
    <row r="128" spans="1:133">
      <c r="A128" s="12">
        <f>'data input'!C128-B128</f>
        <v>714453.9478856537</v>
      </c>
      <c r="B128" s="14">
        <f t="shared" si="3"/>
        <v>831787.93501200527</v>
      </c>
      <c r="C128" s="11">
        <f>SUM(F128:EC128)</f>
        <v>49125618.430314802</v>
      </c>
      <c r="E128" s="7">
        <f>'data input'!B128</f>
        <v>2003</v>
      </c>
      <c r="F128" s="6">
        <f>F$1*'survival matrix'!F128</f>
        <v>2.9736480321019384E-7</v>
      </c>
      <c r="G128" s="6">
        <f>G$1*'survival matrix'!G128</f>
        <v>9.7131669687897702E-7</v>
      </c>
      <c r="H128" s="6">
        <f>H$1*'survival matrix'!H128</f>
        <v>2.3639315055017143E-6</v>
      </c>
      <c r="I128" s="6">
        <f>I$1*'survival matrix'!I128</f>
        <v>5.0889372632680815E-6</v>
      </c>
      <c r="J128" s="6">
        <f>J$1*'survival matrix'!J128</f>
        <v>1.021501482510572E-5</v>
      </c>
      <c r="K128" s="6">
        <f>K$1*'survival matrix'!K128</f>
        <v>1.9578126986013174E-5</v>
      </c>
      <c r="L128" s="6">
        <f>L$1*'survival matrix'!L128</f>
        <v>3.6293526696043123E-5</v>
      </c>
      <c r="M128" s="6">
        <f>M$1*'survival matrix'!M128</f>
        <v>6.5548458863459765E-5</v>
      </c>
      <c r="N128" s="6">
        <f>N$1*'survival matrix'!N128</f>
        <v>1.1585344083403395E-4</v>
      </c>
      <c r="O128" s="6">
        <f>O$1*'survival matrix'!O128</f>
        <v>2.0103587359596224E-4</v>
      </c>
      <c r="P128" s="6">
        <f>P$1*'survival matrix'!P128</f>
        <v>3.4348171383646403E-4</v>
      </c>
      <c r="Q128" s="6">
        <f>Q$1*'survival matrix'!Q128</f>
        <v>5.7897105960818358E-4</v>
      </c>
      <c r="R128" s="6">
        <f>R$1*'survival matrix'!R128</f>
        <v>9.639569444010158E-4</v>
      </c>
      <c r="S128" s="6">
        <f>S$1*'survival matrix'!S128</f>
        <v>1.5865820825246152E-3</v>
      </c>
      <c r="T128" s="6">
        <f>T$1*'survival matrix'!T128</f>
        <v>2.583153444477306E-3</v>
      </c>
      <c r="U128" s="6">
        <f>U$1*'survival matrix'!U128</f>
        <v>4.16372899126192E-3</v>
      </c>
      <c r="V128" s="6">
        <f>V$1*'survival matrix'!V128</f>
        <v>6.6472013715430647E-3</v>
      </c>
      <c r="W128" s="6">
        <f>W$1*'survival matrix'!W128</f>
        <v>1.0517150960987185E-2</v>
      </c>
      <c r="X128" s="6">
        <f>X$1*'survival matrix'!X128</f>
        <v>1.6497585881160435E-2</v>
      </c>
      <c r="Y128" s="6">
        <f>Y$1*'survival matrix'!Y128</f>
        <v>2.5663365196582792E-2</v>
      </c>
      <c r="Z128" s="6">
        <f>Z$1*'survival matrix'!Z128</f>
        <v>3.960286686349912E-2</v>
      </c>
      <c r="AA128" s="6">
        <f>AA$1*'survival matrix'!AA128</f>
        <v>6.0640324292964357E-2</v>
      </c>
      <c r="AB128" s="6">
        <f>AB$1*'survival matrix'!AB128</f>
        <v>9.2141157017921166E-2</v>
      </c>
      <c r="AC128" s="6">
        <f>AC$1*'survival matrix'!AC128</f>
        <v>0.13952511466625098</v>
      </c>
      <c r="AD128" s="6">
        <f>AD$1*'survival matrix'!AD128</f>
        <v>0.21144626339901559</v>
      </c>
      <c r="AE128" s="6">
        <f>AE$1*'survival matrix'!AE128</f>
        <v>0.31757055874002471</v>
      </c>
      <c r="AF128" s="6">
        <f>AF$1*'survival matrix'!AF128</f>
        <v>0.46870511603339837</v>
      </c>
      <c r="AG128" s="6">
        <f>AG$1*'survival matrix'!AG128</f>
        <v>0.68897431857242208</v>
      </c>
      <c r="AH128" s="6">
        <f>AH$1*'survival matrix'!AH128</f>
        <v>1.0023205940779549</v>
      </c>
      <c r="AI128" s="6">
        <f>AI$1*'survival matrix'!AI128</f>
        <v>1.4788755225942483</v>
      </c>
      <c r="AJ128" s="6">
        <f>AJ$1*'survival matrix'!AJ128</f>
        <v>2.1303282139666533</v>
      </c>
      <c r="AK128" s="6">
        <f>AK$1*'survival matrix'!AK128</f>
        <v>3.0342585394874582</v>
      </c>
      <c r="AL128" s="6">
        <f>AL$1*'survival matrix'!AL128</f>
        <v>4.3000931824116764</v>
      </c>
      <c r="AM128" s="6">
        <f>AM$1*'survival matrix'!AM128</f>
        <v>6.0640504574729928</v>
      </c>
      <c r="AN128" s="6">
        <f>AN$1*'survival matrix'!AN128</f>
        <v>8.4121164621745379</v>
      </c>
      <c r="AO128" s="6">
        <f>AO$1*'survival matrix'!AO128</f>
        <v>11.588712190066945</v>
      </c>
      <c r="AP128" s="6">
        <f>AP$1*'survival matrix'!AP128</f>
        <v>15.804578055413746</v>
      </c>
      <c r="AQ128" s="6">
        <f>AQ$1*'survival matrix'!AQ128</f>
        <v>21.555448034989514</v>
      </c>
      <c r="AR128" s="6">
        <f>AR$1*'survival matrix'!AR128</f>
        <v>29.399798227767555</v>
      </c>
      <c r="AS128" s="6">
        <f>AS$1*'survival matrix'!AS128</f>
        <v>39.854672528604958</v>
      </c>
      <c r="AT128" s="6">
        <f>AT$1*'survival matrix'!AT128</f>
        <v>54.258842503491941</v>
      </c>
      <c r="AU128" s="6">
        <f>AU$1*'survival matrix'!AU128</f>
        <v>73.472184994969794</v>
      </c>
      <c r="AV128" s="6">
        <f>AV$1*'survival matrix'!AV128</f>
        <v>98.242721561822549</v>
      </c>
      <c r="AW128" s="6">
        <f>AW$1*'survival matrix'!AW128</f>
        <v>130.92023121015797</v>
      </c>
      <c r="AX128" s="6">
        <f>AX$1*'survival matrix'!AX128</f>
        <v>173.36336778727298</v>
      </c>
      <c r="AY128" s="6">
        <f>AY$1*'survival matrix'!AY128</f>
        <v>229.68657464359742</v>
      </c>
      <c r="AZ128" s="6">
        <f>AZ$1*'survival matrix'!AZ128</f>
        <v>301.55535812628386</v>
      </c>
      <c r="BA128" s="6">
        <f>BA$1*'survival matrix'!BA128</f>
        <v>391.98364783426587</v>
      </c>
      <c r="BB128" s="6">
        <f>BB$1*'survival matrix'!BB128</f>
        <v>508.67178001481858</v>
      </c>
      <c r="BC128" s="6">
        <f>BC$1*'survival matrix'!BC128</f>
        <v>656.80444368468932</v>
      </c>
      <c r="BD128" s="6">
        <f>BD$1*'survival matrix'!BD128</f>
        <v>845.17217655176614</v>
      </c>
      <c r="BE128" s="6">
        <f>BE$1*'survival matrix'!BE128</f>
        <v>1079.9137642699898</v>
      </c>
      <c r="BF128" s="6">
        <f>BF$1*'survival matrix'!BF128</f>
        <v>1365.2750000606266</v>
      </c>
      <c r="BG128" s="6">
        <f>BG$1*'survival matrix'!BG128</f>
        <v>1716.3293825592543</v>
      </c>
      <c r="BH128" s="6">
        <f>BH$1*'survival matrix'!BH128</f>
        <v>2145.0285824704933</v>
      </c>
      <c r="BI128" s="6">
        <f>BI$1*'survival matrix'!BI128</f>
        <v>2672.2206063918352</v>
      </c>
      <c r="BJ128" s="6">
        <f>BJ$1*'survival matrix'!BJ128</f>
        <v>3316.7171223246487</v>
      </c>
      <c r="BK128" s="6">
        <f>BK$1*'survival matrix'!BK128</f>
        <v>4095.1054057016559</v>
      </c>
      <c r="BL128" s="6">
        <f>BL$1*'survival matrix'!BL128</f>
        <v>5045.2123919366295</v>
      </c>
      <c r="BM128" s="6">
        <f>BM$1*'survival matrix'!BM128</f>
        <v>6203.7086506027472</v>
      </c>
      <c r="BN128" s="6">
        <f>BN$1*'survival matrix'!BN128</f>
        <v>7622.7818385331238</v>
      </c>
      <c r="BO128" s="6">
        <f>BO$1*'survival matrix'!BO128</f>
        <v>9407.9755855118656</v>
      </c>
      <c r="BP128" s="6">
        <f>BP$1*'survival matrix'!BP128</f>
        <v>11528.024613124328</v>
      </c>
      <c r="BQ128" s="6">
        <f>BQ$1*'survival matrix'!BQ128</f>
        <v>14107.477681865306</v>
      </c>
      <c r="BR128" s="6">
        <f>BR$1*'survival matrix'!BR128</f>
        <v>16960.612896188137</v>
      </c>
      <c r="BS128" s="6">
        <f>BS$1*'survival matrix'!BS128</f>
        <v>20633.980015059406</v>
      </c>
      <c r="BT128" s="6">
        <f>BT$1*'survival matrix'!BT128</f>
        <v>24827.398092964591</v>
      </c>
      <c r="BU128" s="6">
        <f>BU$1*'survival matrix'!BU128</f>
        <v>28802.993236660659</v>
      </c>
      <c r="BV128" s="6">
        <f>BV$1*'survival matrix'!BV128</f>
        <v>33435.168914623959</v>
      </c>
      <c r="BW128" s="6">
        <f>BW$1*'survival matrix'!BW128</f>
        <v>38735.896742023338</v>
      </c>
      <c r="BX128" s="6">
        <f>BX$1*'survival matrix'!BX128</f>
        <v>44736.579446877513</v>
      </c>
      <c r="BY128" s="6">
        <f>BY$1*'survival matrix'!BY128</f>
        <v>51560.862161359553</v>
      </c>
      <c r="BZ128" s="6">
        <f>BZ$1*'survival matrix'!BZ128</f>
        <v>59798.976305376396</v>
      </c>
      <c r="CA128" s="6">
        <f>CA$1*'survival matrix'!CA128</f>
        <v>70060.278988216203</v>
      </c>
      <c r="CB128" s="6">
        <f>CB$1*'survival matrix'!CB128</f>
        <v>81367.172733797954</v>
      </c>
      <c r="CC128" s="6">
        <f>CC$1*'survival matrix'!CC128</f>
        <v>94507.038542818409</v>
      </c>
      <c r="CD128" s="6">
        <f>CD$1*'survival matrix'!CD128</f>
        <v>108569.07416572946</v>
      </c>
      <c r="CE128" s="6">
        <f>CE$1*'survival matrix'!CE128</f>
        <v>124412.84520444888</v>
      </c>
      <c r="CF128" s="6">
        <f>CF$1*'survival matrix'!CF128</f>
        <v>142097.28201312514</v>
      </c>
      <c r="CG128" s="6">
        <f>CG$1*'survival matrix'!CG128</f>
        <v>161741.70269569373</v>
      </c>
      <c r="CH128" s="6">
        <f>CH$1*'survival matrix'!CH128</f>
        <v>182129.46388105399</v>
      </c>
      <c r="CI128" s="6">
        <f>CI$1*'survival matrix'!CI128</f>
        <v>204278.98495002647</v>
      </c>
      <c r="CJ128" s="6">
        <f>CJ$1*'survival matrix'!CJ128</f>
        <v>228563.45933733508</v>
      </c>
      <c r="CK128" s="6">
        <f>CK$1*'survival matrix'!CK128</f>
        <v>254632.62991182611</v>
      </c>
      <c r="CL128" s="6">
        <f>CL$1*'survival matrix'!CL128</f>
        <v>284777.78159214294</v>
      </c>
      <c r="CM128" s="6">
        <f>CM$1*'survival matrix'!CM128</f>
        <v>318064.84981144872</v>
      </c>
      <c r="CN128" s="6">
        <f>CN$1*'survival matrix'!CN128</f>
        <v>352751.11747418396</v>
      </c>
      <c r="CO128" s="6">
        <f>CO$1*'survival matrix'!CO128</f>
        <v>390224.15771302237</v>
      </c>
      <c r="CP128" s="6">
        <f>CP$1*'survival matrix'!CP128</f>
        <v>431457.86998659791</v>
      </c>
      <c r="CQ128" s="6">
        <f>CQ$1*'survival matrix'!CQ128</f>
        <v>477134.01624022448</v>
      </c>
      <c r="CR128" s="6">
        <f>CR$1*'survival matrix'!CR128</f>
        <v>525283.74081419548</v>
      </c>
      <c r="CS128" s="6">
        <f>CS$1*'survival matrix'!CS128</f>
        <v>575026.58190819854</v>
      </c>
      <c r="CT128" s="6">
        <f>CT$1*'survival matrix'!CT128</f>
        <v>628692.02153431193</v>
      </c>
      <c r="CU128" s="6">
        <f>CU$1*'survival matrix'!CU128</f>
        <v>682474.99320113217</v>
      </c>
      <c r="CV128" s="6">
        <f>CV$1*'survival matrix'!CV128</f>
        <v>738359.78762042988</v>
      </c>
      <c r="CW128" s="6">
        <f>CW$1*'survival matrix'!CW128</f>
        <v>797771.74942095217</v>
      </c>
      <c r="CX128" s="6">
        <f>CX$1*'survival matrix'!CX128</f>
        <v>854040.80390936858</v>
      </c>
      <c r="CY128" s="6">
        <f>CY$1*'survival matrix'!CY128</f>
        <v>903081.73332639551</v>
      </c>
      <c r="CZ128" s="6">
        <f>CZ$1*'survival matrix'!CZ128</f>
        <v>964517.35459550878</v>
      </c>
      <c r="DA128" s="6">
        <f>DA$1*'survival matrix'!DA128</f>
        <v>1010930.4997035401</v>
      </c>
      <c r="DB128" s="6">
        <f>DB$1*'survival matrix'!DB128</f>
        <v>1062040.9679468882</v>
      </c>
      <c r="DC128" s="6">
        <f>DC$1*'survival matrix'!DC128</f>
        <v>1114517.1872883367</v>
      </c>
      <c r="DD128" s="6">
        <f>DD$1*'survival matrix'!DD128</f>
        <v>1162175.295010729</v>
      </c>
      <c r="DE128" s="6">
        <f>DE$1*'survival matrix'!DE128</f>
        <v>1201238.8099833028</v>
      </c>
      <c r="DF128" s="6">
        <f>DF$1*'survival matrix'!DF128</f>
        <v>1240185.4411393811</v>
      </c>
      <c r="DG128" s="6">
        <f>DG$1*'survival matrix'!DG128</f>
        <v>1276966.7623143054</v>
      </c>
      <c r="DH128" s="6">
        <f>DH$1*'survival matrix'!DH128</f>
        <v>1311394.0900499143</v>
      </c>
      <c r="DI128" s="6">
        <f>DI$1*'survival matrix'!DI128</f>
        <v>1344987.4235232135</v>
      </c>
      <c r="DJ128" s="6">
        <f>DJ$1*'survival matrix'!DJ128</f>
        <v>1376108.7617188573</v>
      </c>
      <c r="DK128" s="6">
        <f>DK$1*'survival matrix'!DK128</f>
        <v>1408210.7580316043</v>
      </c>
      <c r="DL128" s="6">
        <f>DL$1*'survival matrix'!DL128</f>
        <v>1437529.0496039682</v>
      </c>
      <c r="DM128" s="6">
        <f>DM$1*'survival matrix'!DM128</f>
        <v>1466645.6325806233</v>
      </c>
      <c r="DN128" s="6">
        <f>DN$1*'survival matrix'!DN128</f>
        <v>1491618.4259841845</v>
      </c>
      <c r="DO128" s="6">
        <f>DO$1*'survival matrix'!DO128</f>
        <v>1512730.3744552475</v>
      </c>
      <c r="DP128" s="6">
        <f>DP$1*'survival matrix'!DP128</f>
        <v>1528220.565446785</v>
      </c>
      <c r="DQ128" s="6">
        <f>DQ$1*'survival matrix'!DQ128</f>
        <v>1543503.8418248303</v>
      </c>
      <c r="DR128" s="6">
        <f>DR$1*'survival matrix'!DR128</f>
        <v>1556000.6940026747</v>
      </c>
      <c r="DS128" s="6">
        <f>DS$1*'survival matrix'!DS128</f>
        <v>1566381.9935536955</v>
      </c>
      <c r="DT128" s="6">
        <f>DT$1*'survival matrix'!DT128</f>
        <v>1574530.8981763981</v>
      </c>
      <c r="DU128" s="6">
        <f>DU$1*'survival matrix'!DU128</f>
        <v>1580672.6517295795</v>
      </c>
      <c r="DV128" s="6">
        <f>DV$1*'survival matrix'!DV128</f>
        <v>1578247.6605211361</v>
      </c>
      <c r="DW128" s="6">
        <f>DW$1*'survival matrix'!DW128</f>
        <v>1576150.271286302</v>
      </c>
      <c r="DX128" s="6">
        <f>DX$1*'survival matrix'!DX128</f>
        <v>1572314.1586768944</v>
      </c>
      <c r="DY128" s="6">
        <f>DY$1*'survival matrix'!DY128</f>
        <v>1564170.8048609558</v>
      </c>
      <c r="DZ128" s="6">
        <f>DZ$1*'survival matrix'!DZ128</f>
        <v>1554563.2216802004</v>
      </c>
      <c r="EA128" s="6">
        <f>EA$1*'survival matrix'!EA128</f>
        <v>1544154.6140235113</v>
      </c>
      <c r="EB128" s="6">
        <f>EB$1*'survival matrix'!EB128</f>
        <v>0</v>
      </c>
      <c r="EC128" s="6">
        <f>EC$1*'survival matrix'!EC128</f>
        <v>0</v>
      </c>
    </row>
    <row r="129" spans="1:133">
      <c r="A129" s="12">
        <f>'data input'!C129-B129</f>
        <v>740436.32936429698</v>
      </c>
      <c r="B129" s="14">
        <f t="shared" si="3"/>
        <v>794364.54598707706</v>
      </c>
      <c r="C129" s="11">
        <f>SUM(F129:EC129)</f>
        <v>49919982.976301879</v>
      </c>
      <c r="E129" s="7">
        <f>'data input'!B129</f>
        <v>2004</v>
      </c>
      <c r="F129" s="6">
        <f>F$1*'survival matrix'!F129</f>
        <v>1.8178693190160162E-7</v>
      </c>
      <c r="G129" s="6">
        <f>G$1*'survival matrix'!G129</f>
        <v>5.970689446329195E-7</v>
      </c>
      <c r="H129" s="6">
        <f>H$1*'survival matrix'!H129</f>
        <v>1.4611263306491672E-6</v>
      </c>
      <c r="I129" s="6">
        <f>I$1*'survival matrix'!I129</f>
        <v>3.1627702463700478E-6</v>
      </c>
      <c r="J129" s="6">
        <f>J$1*'survival matrix'!J129</f>
        <v>6.383611587386075E-6</v>
      </c>
      <c r="K129" s="6">
        <f>K$1*'survival matrix'!K129</f>
        <v>1.2302239045564927E-5</v>
      </c>
      <c r="L129" s="6">
        <f>L$1*'survival matrix'!L129</f>
        <v>2.2931185738310818E-5</v>
      </c>
      <c r="M129" s="6">
        <f>M$1*'survival matrix'!M129</f>
        <v>4.1643077017664667E-5</v>
      </c>
      <c r="N129" s="6">
        <f>N$1*'survival matrix'!N129</f>
        <v>7.4006679735141975E-5</v>
      </c>
      <c r="O129" s="6">
        <f>O$1*'survival matrix'!O129</f>
        <v>1.2912664180213896E-4</v>
      </c>
      <c r="P129" s="6">
        <f>P$1*'survival matrix'!P129</f>
        <v>2.2183229966957525E-4</v>
      </c>
      <c r="Q129" s="6">
        <f>Q$1*'survival matrix'!Q129</f>
        <v>3.7597192842496246E-4</v>
      </c>
      <c r="R129" s="6">
        <f>R$1*'survival matrix'!R129</f>
        <v>6.294077335060877E-4</v>
      </c>
      <c r="S129" s="6">
        <f>S$1*'survival matrix'!S129</f>
        <v>1.0416247597627413E-3</v>
      </c>
      <c r="T129" s="6">
        <f>T$1*'survival matrix'!T129</f>
        <v>1.7051855354572396E-3</v>
      </c>
      <c r="U129" s="6">
        <f>U$1*'survival matrix'!U129</f>
        <v>2.7635981562330113E-3</v>
      </c>
      <c r="V129" s="6">
        <f>V$1*'survival matrix'!V129</f>
        <v>4.4360920006339217E-3</v>
      </c>
      <c r="W129" s="6">
        <f>W$1*'survival matrix'!W129</f>
        <v>7.0571165151556989E-3</v>
      </c>
      <c r="X129" s="6">
        <f>X$1*'survival matrix'!X129</f>
        <v>1.1130513174918519E-2</v>
      </c>
      <c r="Y129" s="6">
        <f>Y$1*'survival matrix'!Y129</f>
        <v>1.7408929962708493E-2</v>
      </c>
      <c r="Z129" s="6">
        <f>Z$1*'survival matrix'!Z129</f>
        <v>2.7011380940378565E-2</v>
      </c>
      <c r="AA129" s="6">
        <f>AA$1*'survival matrix'!AA129</f>
        <v>4.1585439692493023E-2</v>
      </c>
      <c r="AB129" s="6">
        <f>AB$1*'survival matrix'!AB129</f>
        <v>6.3531765102288182E-2</v>
      </c>
      <c r="AC129" s="6">
        <f>AC$1*'survival matrix'!AC129</f>
        <v>9.6726373184049044E-2</v>
      </c>
      <c r="AD129" s="6">
        <f>AD$1*'survival matrix'!AD129</f>
        <v>0.14738235169837108</v>
      </c>
      <c r="AE129" s="6">
        <f>AE$1*'survival matrix'!AE129</f>
        <v>0.22255443896679641</v>
      </c>
      <c r="AF129" s="6">
        <f>AF$1*'survival matrix'!AF129</f>
        <v>0.33025074129779292</v>
      </c>
      <c r="AG129" s="6">
        <f>AG$1*'survival matrix'!AG129</f>
        <v>0.48808183451000525</v>
      </c>
      <c r="AH129" s="6">
        <f>AH$1*'survival matrix'!AH129</f>
        <v>0.71390281064761651</v>
      </c>
      <c r="AI129" s="6">
        <f>AI$1*'survival matrix'!AI129</f>
        <v>1.0590198658628074</v>
      </c>
      <c r="AJ129" s="6">
        <f>AJ$1*'survival matrix'!AJ129</f>
        <v>1.5337556101252892</v>
      </c>
      <c r="AK129" s="6">
        <f>AK$1*'survival matrix'!AK129</f>
        <v>2.1963238778004857</v>
      </c>
      <c r="AL129" s="6">
        <f>AL$1*'survival matrix'!AL129</f>
        <v>3.1293396146007195</v>
      </c>
      <c r="AM129" s="6">
        <f>AM$1*'survival matrix'!AM129</f>
        <v>4.4367546958127964</v>
      </c>
      <c r="AN129" s="6">
        <f>AN$1*'survival matrix'!AN129</f>
        <v>6.1877432432956061</v>
      </c>
      <c r="AO129" s="6">
        <f>AO$1*'survival matrix'!AO129</f>
        <v>8.5700441340829432</v>
      </c>
      <c r="AP129" s="6">
        <f>AP$1*'survival matrix'!AP129</f>
        <v>11.750273907039206</v>
      </c>
      <c r="AQ129" s="6">
        <f>AQ$1*'survival matrix'!AQ129</f>
        <v>16.111483021250965</v>
      </c>
      <c r="AR129" s="6">
        <f>AR$1*'survival matrix'!AR129</f>
        <v>22.091856110395657</v>
      </c>
      <c r="AS129" s="6">
        <f>AS$1*'survival matrix'!AS129</f>
        <v>30.107336441182404</v>
      </c>
      <c r="AT129" s="6">
        <f>AT$1*'survival matrix'!AT129</f>
        <v>41.206384673504104</v>
      </c>
      <c r="AU129" s="6">
        <f>AU$1*'survival matrix'!AU129</f>
        <v>56.093599993656824</v>
      </c>
      <c r="AV129" s="6">
        <f>AV$1*'survival matrix'!AV129</f>
        <v>75.401916731709449</v>
      </c>
      <c r="AW129" s="6">
        <f>AW$1*'survival matrix'!AW129</f>
        <v>101.01258161596907</v>
      </c>
      <c r="AX129" s="6">
        <f>AX$1*'survival matrix'!AX129</f>
        <v>134.46448395230777</v>
      </c>
      <c r="AY129" s="6">
        <f>AY$1*'survival matrix'!AY129</f>
        <v>179.08615826708967</v>
      </c>
      <c r="AZ129" s="6">
        <f>AZ$1*'survival matrix'!AZ129</f>
        <v>236.35455362763108</v>
      </c>
      <c r="BA129" s="6">
        <f>BA$1*'survival matrix'!BA129</f>
        <v>308.83711735925516</v>
      </c>
      <c r="BB129" s="6">
        <f>BB$1*'survival matrix'!BB129</f>
        <v>402.86322583877944</v>
      </c>
      <c r="BC129" s="6">
        <f>BC$1*'survival matrix'!BC129</f>
        <v>522.88723622327268</v>
      </c>
      <c r="BD129" s="6">
        <f>BD$1*'survival matrix'!BD129</f>
        <v>676.33576897988883</v>
      </c>
      <c r="BE129" s="6">
        <f>BE$1*'survival matrix'!BE129</f>
        <v>868.64906003405758</v>
      </c>
      <c r="BF129" s="6">
        <f>BF$1*'survival matrix'!BF129</f>
        <v>1103.8399100578736</v>
      </c>
      <c r="BG129" s="6">
        <f>BG$1*'survival matrix'!BG129</f>
        <v>1394.7920784787341</v>
      </c>
      <c r="BH129" s="6">
        <f>BH$1*'survival matrix'!BH129</f>
        <v>1752.0908459759944</v>
      </c>
      <c r="BI129" s="6">
        <f>BI$1*'survival matrix'!BI129</f>
        <v>2193.8249269365115</v>
      </c>
      <c r="BJ129" s="6">
        <f>BJ$1*'survival matrix'!BJ129</f>
        <v>2736.7504898901498</v>
      </c>
      <c r="BK129" s="6">
        <f>BK$1*'survival matrix'!BK129</f>
        <v>3396.0925112018272</v>
      </c>
      <c r="BL129" s="6">
        <f>BL$1*'survival matrix'!BL129</f>
        <v>4205.0542467817804</v>
      </c>
      <c r="BM129" s="6">
        <f>BM$1*'survival matrix'!BM129</f>
        <v>5196.4987432280832</v>
      </c>
      <c r="BN129" s="6">
        <f>BN$1*'survival matrix'!BN129</f>
        <v>6416.9586120588683</v>
      </c>
      <c r="BO129" s="6">
        <f>BO$1*'survival matrix'!BO129</f>
        <v>7958.9671463031837</v>
      </c>
      <c r="BP129" s="6">
        <f>BP$1*'survival matrix'!BP129</f>
        <v>9800.4965903430257</v>
      </c>
      <c r="BQ129" s="6">
        <f>BQ$1*'survival matrix'!BQ129</f>
        <v>12052.092644709379</v>
      </c>
      <c r="BR129" s="6">
        <f>BR$1*'survival matrix'!BR129</f>
        <v>14559.991365065256</v>
      </c>
      <c r="BS129" s="6">
        <f>BS$1*'survival matrix'!BS129</f>
        <v>17798.973226915281</v>
      </c>
      <c r="BT129" s="6">
        <f>BT$1*'survival matrix'!BT129</f>
        <v>21518.929631554725</v>
      </c>
      <c r="BU129" s="6">
        <f>BU$1*'survival matrix'!BU129</f>
        <v>25083.547534380232</v>
      </c>
      <c r="BV129" s="6">
        <f>BV$1*'survival matrix'!BV129</f>
        <v>29255.011930030989</v>
      </c>
      <c r="BW129" s="6">
        <f>BW$1*'survival matrix'!BW129</f>
        <v>34051.674488281635</v>
      </c>
      <c r="BX129" s="6">
        <f>BX$1*'survival matrix'!BX129</f>
        <v>39509.133284513016</v>
      </c>
      <c r="BY129" s="6">
        <f>BY$1*'survival matrix'!BY129</f>
        <v>45745.204989445563</v>
      </c>
      <c r="BZ129" s="6">
        <f>BZ$1*'survival matrix'!BZ129</f>
        <v>53295.389641345137</v>
      </c>
      <c r="CA129" s="6">
        <f>CA$1*'survival matrix'!CA129</f>
        <v>62721.580007542449</v>
      </c>
      <c r="CB129" s="6">
        <f>CB$1*'survival matrix'!CB129</f>
        <v>73168.008493635338</v>
      </c>
      <c r="CC129" s="6">
        <f>CC$1*'survival matrix'!CC129</f>
        <v>85357.07692459767</v>
      </c>
      <c r="CD129" s="6">
        <f>CD$1*'survival matrix'!CD129</f>
        <v>98482.750433039706</v>
      </c>
      <c r="CE129" s="6">
        <f>CE$1*'survival matrix'!CE129</f>
        <v>113337.05903935943</v>
      </c>
      <c r="CF129" s="6">
        <f>CF$1*'survival matrix'!CF129</f>
        <v>129992.37872223913</v>
      </c>
      <c r="CG129" s="6">
        <f>CG$1*'survival matrix'!CG129</f>
        <v>148576.76571616426</v>
      </c>
      <c r="CH129" s="6">
        <f>CH$1*'survival matrix'!CH129</f>
        <v>167987.06189373025</v>
      </c>
      <c r="CI129" s="6">
        <f>CI$1*'survival matrix'!CI129</f>
        <v>189171.00668858876</v>
      </c>
      <c r="CJ129" s="6">
        <f>CJ$1*'survival matrix'!CJ129</f>
        <v>212490.72781336764</v>
      </c>
      <c r="CK129" s="6">
        <f>CK$1*'survival matrix'!CK129</f>
        <v>237637.54891176507</v>
      </c>
      <c r="CL129" s="6">
        <f>CL$1*'survival matrix'!CL129</f>
        <v>266771.18541693653</v>
      </c>
      <c r="CM129" s="6">
        <f>CM$1*'survival matrix'!CM129</f>
        <v>299049.25112914655</v>
      </c>
      <c r="CN129" s="6">
        <f>CN$1*'survival matrix'!CN129</f>
        <v>332851.49495203386</v>
      </c>
      <c r="CO129" s="6">
        <f>CO$1*'survival matrix'!CO129</f>
        <v>369496.73593783349</v>
      </c>
      <c r="CP129" s="6">
        <f>CP$1*'survival matrix'!CP129</f>
        <v>409927.35065119952</v>
      </c>
      <c r="CQ129" s="6">
        <f>CQ$1*'survival matrix'!CQ129</f>
        <v>454817.42196493986</v>
      </c>
      <c r="CR129" s="6">
        <f>CR$1*'survival matrix'!CR129</f>
        <v>502311.99303948163</v>
      </c>
      <c r="CS129" s="6">
        <f>CS$1*'survival matrix'!CS129</f>
        <v>551573.77219050634</v>
      </c>
      <c r="CT129" s="6">
        <f>CT$1*'survival matrix'!CT129</f>
        <v>604841.49520700262</v>
      </c>
      <c r="CU129" s="6">
        <f>CU$1*'survival matrix'!CU129</f>
        <v>658459.22016281029</v>
      </c>
      <c r="CV129" s="6">
        <f>CV$1*'survival matrix'!CV129</f>
        <v>714328.67819279653</v>
      </c>
      <c r="CW129" s="6">
        <f>CW$1*'survival matrix'!CW129</f>
        <v>773828.95126832568</v>
      </c>
      <c r="CX129" s="6">
        <f>CX$1*'survival matrix'!CX129</f>
        <v>830479.0658001164</v>
      </c>
      <c r="CY129" s="6">
        <f>CY$1*'survival matrix'!CY129</f>
        <v>880253.25491310621</v>
      </c>
      <c r="CZ129" s="6">
        <f>CZ$1*'survival matrix'!CZ129</f>
        <v>942252.69017005281</v>
      </c>
      <c r="DA129" s="6">
        <f>DA$1*'survival matrix'!DA129</f>
        <v>989694.89961948525</v>
      </c>
      <c r="DB129" s="6">
        <f>DB$1*'survival matrix'!DB129</f>
        <v>1041813.1786162308</v>
      </c>
      <c r="DC129" s="6">
        <f>DC$1*'survival matrix'!DC129</f>
        <v>1095342.3969238063</v>
      </c>
      <c r="DD129" s="6">
        <f>DD$1*'survival matrix'!DD129</f>
        <v>1144183.6283490281</v>
      </c>
      <c r="DE129" s="6">
        <f>DE$1*'survival matrix'!DE129</f>
        <v>1184572.0459326457</v>
      </c>
      <c r="DF129" s="6">
        <f>DF$1*'survival matrix'!DF129</f>
        <v>1224827.0756430815</v>
      </c>
      <c r="DG129" s="6">
        <f>DG$1*'survival matrix'!DG129</f>
        <v>1262911.5365292833</v>
      </c>
      <c r="DH129" s="6">
        <f>DH$1*'survival matrix'!DH129</f>
        <v>1298620.724921345</v>
      </c>
      <c r="DI129" s="6">
        <f>DI$1*'survival matrix'!DI129</f>
        <v>1333445.7059376889</v>
      </c>
      <c r="DJ129" s="6">
        <f>DJ$1*'survival matrix'!DJ129</f>
        <v>1365752.4421096358</v>
      </c>
      <c r="DK129" s="6">
        <f>DK$1*'survival matrix'!DK129</f>
        <v>1398959.5738739178</v>
      </c>
      <c r="DL129" s="6">
        <f>DL$1*'survival matrix'!DL129</f>
        <v>1429324.4347151252</v>
      </c>
      <c r="DM129" s="6">
        <f>DM$1*'survival matrix'!DM129</f>
        <v>1459408.369578412</v>
      </c>
      <c r="DN129" s="6">
        <f>DN$1*'survival matrix'!DN129</f>
        <v>1485285.9518572539</v>
      </c>
      <c r="DO129" s="6">
        <f>DO$1*'survival matrix'!DO129</f>
        <v>1507232.8337122719</v>
      </c>
      <c r="DP129" s="6">
        <f>DP$1*'survival matrix'!DP129</f>
        <v>1523490.3893266544</v>
      </c>
      <c r="DQ129" s="6">
        <f>DQ$1*'survival matrix'!DQ129</f>
        <v>1539455.7776451521</v>
      </c>
      <c r="DR129" s="6">
        <f>DR$1*'survival matrix'!DR129</f>
        <v>1552560.8761248617</v>
      </c>
      <c r="DS129" s="6">
        <f>DS$1*'survival matrix'!DS129</f>
        <v>1563478.4860940522</v>
      </c>
      <c r="DT129" s="6">
        <f>DT$1*'survival matrix'!DT129</f>
        <v>1572096.6317373649</v>
      </c>
      <c r="DU129" s="6">
        <f>DU$1*'survival matrix'!DU129</f>
        <v>1578645.3269014372</v>
      </c>
      <c r="DV129" s="6">
        <f>DV$1*'survival matrix'!DV129</f>
        <v>1576577.4285694733</v>
      </c>
      <c r="DW129" s="6">
        <f>DW$1*'survival matrix'!DW129</f>
        <v>1574781.4075089546</v>
      </c>
      <c r="DX129" s="6">
        <f>DX$1*'survival matrix'!DX129</f>
        <v>1571199.6318291805</v>
      </c>
      <c r="DY129" s="6">
        <f>DY$1*'survival matrix'!DY129</f>
        <v>1563270.8096064106</v>
      </c>
      <c r="DZ129" s="6">
        <f>DZ$1*'survival matrix'!DZ129</f>
        <v>1553841.157681314</v>
      </c>
      <c r="EA129" s="6">
        <f>EA$1*'survival matrix'!EA129</f>
        <v>1543578.8197021808</v>
      </c>
      <c r="EB129" s="6">
        <f>EB$1*'survival matrix'!EB129</f>
        <v>1532729.050670793</v>
      </c>
      <c r="EC129" s="6">
        <f>EC$1*'survival matrix'!EC129</f>
        <v>0</v>
      </c>
    </row>
    <row r="130" spans="1:133">
      <c r="A130" s="12">
        <f>'data input'!C130-B130</f>
        <v>766915.61517505092</v>
      </c>
      <c r="B130" s="14">
        <f t="shared" si="3"/>
        <v>754917.44629409909</v>
      </c>
      <c r="C130" s="11">
        <f>SUM(F130:EC130)</f>
        <v>50674900.422595978</v>
      </c>
      <c r="E130" s="7">
        <f>'data input'!B130</f>
        <v>2005</v>
      </c>
      <c r="F130" s="6">
        <f>F$1*'survival matrix'!F130</f>
        <v>1.1052117704143764E-7</v>
      </c>
      <c r="G130" s="6">
        <f>G$1*'survival matrix'!G130</f>
        <v>3.6500396283222567E-7</v>
      </c>
      <c r="H130" s="6">
        <f>H$1*'survival matrix'!H130</f>
        <v>8.9815521448280623E-7</v>
      </c>
      <c r="I130" s="6">
        <f>I$1*'survival matrix'!I130</f>
        <v>1.9548818880791718E-6</v>
      </c>
      <c r="J130" s="6">
        <f>J$1*'survival matrix'!J130</f>
        <v>3.9674092543247298E-6</v>
      </c>
      <c r="K130" s="6">
        <f>K$1*'survival matrix'!K130</f>
        <v>7.6879688445531845E-6</v>
      </c>
      <c r="L130" s="6">
        <f>L$1*'survival matrix'!L130</f>
        <v>1.4409188823450159E-5</v>
      </c>
      <c r="M130" s="6">
        <f>M$1*'survival matrix'!M130</f>
        <v>2.6311169531809678E-5</v>
      </c>
      <c r="N130" s="6">
        <f>N$1*'survival matrix'!N130</f>
        <v>4.7016602944881101E-5</v>
      </c>
      <c r="O130" s="6">
        <f>O$1*'survival matrix'!O130</f>
        <v>8.248554342736434E-5</v>
      </c>
      <c r="P130" s="6">
        <f>P$1*'survival matrix'!P130</f>
        <v>1.4248432076927246E-4</v>
      </c>
      <c r="Q130" s="6">
        <f>Q$1*'survival matrix'!Q130</f>
        <v>2.4281559726181944E-4</v>
      </c>
      <c r="R130" s="6">
        <f>R$1*'survival matrix'!R130</f>
        <v>4.0872446973776828E-4</v>
      </c>
      <c r="S130" s="6">
        <f>S$1*'survival matrix'!S130</f>
        <v>6.8012029273099069E-4</v>
      </c>
      <c r="T130" s="6">
        <f>T$1*'survival matrix'!T130</f>
        <v>1.1194904400377863E-3</v>
      </c>
      <c r="U130" s="6">
        <f>U$1*'survival matrix'!U130</f>
        <v>1.8243002992717602E-3</v>
      </c>
      <c r="V130" s="6">
        <f>V$1*'survival matrix'!V130</f>
        <v>2.9443740693883033E-3</v>
      </c>
      <c r="W130" s="6">
        <f>W$1*'survival matrix'!W130</f>
        <v>4.7096539386404096E-3</v>
      </c>
      <c r="X130" s="6">
        <f>X$1*'survival matrix'!X130</f>
        <v>7.4686888721337309E-3</v>
      </c>
      <c r="Y130" s="6">
        <f>Y$1*'survival matrix'!Y130</f>
        <v>1.1745374487332622E-2</v>
      </c>
      <c r="Z130" s="6">
        <f>Z$1*'survival matrix'!Z130</f>
        <v>1.8323366222045747E-2</v>
      </c>
      <c r="AA130" s="6">
        <f>AA$1*'survival matrix'!AA130</f>
        <v>2.8363607033266701E-2</v>
      </c>
      <c r="AB130" s="6">
        <f>AB$1*'survival matrix'!AB130</f>
        <v>4.3568308992789621E-2</v>
      </c>
      <c r="AC130" s="6">
        <f>AC$1*'survival matrix'!AC130</f>
        <v>6.6693293412085644E-2</v>
      </c>
      <c r="AD130" s="6">
        <f>AD$1*'survival matrix'!AD130</f>
        <v>0.1021734358378396</v>
      </c>
      <c r="AE130" s="6">
        <f>AE$1*'survival matrix'!AE130</f>
        <v>0.15512497628743036</v>
      </c>
      <c r="AF130" s="6">
        <f>AF$1*'survival matrix'!AF130</f>
        <v>0.23144075048867421</v>
      </c>
      <c r="AG130" s="6">
        <f>AG$1*'survival matrix'!AG130</f>
        <v>0.34390362329527058</v>
      </c>
      <c r="AH130" s="6">
        <f>AH$1*'survival matrix'!AH130</f>
        <v>0.50574162793864819</v>
      </c>
      <c r="AI130" s="6">
        <f>AI$1*'survival matrix'!AI130</f>
        <v>0.75428686513879961</v>
      </c>
      <c r="AJ130" s="6">
        <f>AJ$1*'survival matrix'!AJ130</f>
        <v>1.0983193890800889</v>
      </c>
      <c r="AK130" s="6">
        <f>AK$1*'survival matrix'!AK130</f>
        <v>1.5812699879500143</v>
      </c>
      <c r="AL130" s="6">
        <f>AL$1*'survival matrix'!AL130</f>
        <v>2.2651475567587966</v>
      </c>
      <c r="AM130" s="6">
        <f>AM$1*'survival matrix'!AM130</f>
        <v>3.2287933402610465</v>
      </c>
      <c r="AN130" s="6">
        <f>AN$1*'survival matrix'!AN130</f>
        <v>4.5272543630212612</v>
      </c>
      <c r="AO130" s="6">
        <f>AO$1*'survival matrix'!AO130</f>
        <v>6.3039109032625991</v>
      </c>
      <c r="AP130" s="6">
        <f>AP$1*'survival matrix'!AP130</f>
        <v>8.6895216931181292</v>
      </c>
      <c r="AQ130" s="6">
        <f>AQ$1*'survival matrix'!AQ130</f>
        <v>11.978449401467072</v>
      </c>
      <c r="AR130" s="6">
        <f>AR$1*'survival matrix'!AR130</f>
        <v>16.512417837606417</v>
      </c>
      <c r="AS130" s="6">
        <f>AS$1*'survival matrix'!AS130</f>
        <v>22.623520725311423</v>
      </c>
      <c r="AT130" s="6">
        <f>AT$1*'survival matrix'!AT130</f>
        <v>31.128457673301465</v>
      </c>
      <c r="AU130" s="6">
        <f>AU$1*'survival matrix'!AU130</f>
        <v>42.599774569675617</v>
      </c>
      <c r="AV130" s="6">
        <f>AV$1*'survival matrix'!AV130</f>
        <v>57.566886791145556</v>
      </c>
      <c r="AW130" s="6">
        <f>AW$1*'survival matrix'!AW130</f>
        <v>77.527802027240639</v>
      </c>
      <c r="AX130" s="6">
        <f>AX$1*'survival matrix'!AX130</f>
        <v>103.74717898166828</v>
      </c>
      <c r="AY130" s="6">
        <f>AY$1*'survival matrix'!AY130</f>
        <v>138.90320753305849</v>
      </c>
      <c r="AZ130" s="6">
        <f>AZ$1*'survival matrix'!AZ130</f>
        <v>184.28516801116902</v>
      </c>
      <c r="BA130" s="6">
        <f>BA$1*'survival matrix'!BA130</f>
        <v>242.06188698037511</v>
      </c>
      <c r="BB130" s="6">
        <f>BB$1*'survival matrix'!BB130</f>
        <v>317.40894816792138</v>
      </c>
      <c r="BC130" s="6">
        <f>BC$1*'survival matrix'!BC130</f>
        <v>414.12173234515745</v>
      </c>
      <c r="BD130" s="6">
        <f>BD$1*'survival matrix'!BD130</f>
        <v>538.43627947592063</v>
      </c>
      <c r="BE130" s="6">
        <f>BE$1*'survival matrix'!BE130</f>
        <v>695.12277650778549</v>
      </c>
      <c r="BF130" s="6">
        <f>BF$1*'survival matrix'!BF130</f>
        <v>887.89450789899195</v>
      </c>
      <c r="BG130" s="6">
        <f>BG$1*'survival matrix'!BG130</f>
        <v>1127.7047938247106</v>
      </c>
      <c r="BH130" s="6">
        <f>BH$1*'survival matrix'!BH130</f>
        <v>1423.8539860562291</v>
      </c>
      <c r="BI130" s="6">
        <f>BI$1*'survival matrix'!BI130</f>
        <v>1791.9484167117344</v>
      </c>
      <c r="BJ130" s="6">
        <f>BJ$1*'survival matrix'!BJ130</f>
        <v>2246.8023145864263</v>
      </c>
      <c r="BK130" s="6">
        <f>BK$1*'survival matrix'!BK130</f>
        <v>2802.2461672069371</v>
      </c>
      <c r="BL130" s="6">
        <f>BL$1*'survival matrix'!BL130</f>
        <v>3487.273664997685</v>
      </c>
      <c r="BM130" s="6">
        <f>BM$1*'survival matrix'!BM130</f>
        <v>4331.1475139344157</v>
      </c>
      <c r="BN130" s="6">
        <f>BN$1*'survival matrix'!BN130</f>
        <v>5375.1262738089254</v>
      </c>
      <c r="BO130" s="6">
        <f>BO$1*'survival matrix'!BO130</f>
        <v>6699.963852355485</v>
      </c>
      <c r="BP130" s="6">
        <f>BP$1*'survival matrix'!BP130</f>
        <v>8291.0323980982794</v>
      </c>
      <c r="BQ130" s="6">
        <f>BQ$1*'survival matrix'!BQ130</f>
        <v>10246.030593697749</v>
      </c>
      <c r="BR130" s="6">
        <f>BR$1*'survival matrix'!BR130</f>
        <v>12438.677472692843</v>
      </c>
      <c r="BS130" s="6">
        <f>BS$1*'survival matrix'!BS130</f>
        <v>15279.689364831753</v>
      </c>
      <c r="BT130" s="6">
        <f>BT$1*'survival matrix'!BT130</f>
        <v>18562.335143504974</v>
      </c>
      <c r="BU130" s="6">
        <f>BU$1*'survival matrix'!BU130</f>
        <v>21740.944914201165</v>
      </c>
      <c r="BV130" s="6">
        <f>BV$1*'survival matrix'!BV130</f>
        <v>25477.195246214284</v>
      </c>
      <c r="BW130" s="6">
        <f>BW$1*'survival matrix'!BW130</f>
        <v>29794.440277419933</v>
      </c>
      <c r="BX130" s="6">
        <f>BX$1*'survival matrix'!BX130</f>
        <v>34731.405726276651</v>
      </c>
      <c r="BY130" s="6">
        <f>BY$1*'survival matrix'!BY130</f>
        <v>40399.901454278988</v>
      </c>
      <c r="BZ130" s="6">
        <f>BZ$1*'survival matrix'!BZ130</f>
        <v>47284.091497655078</v>
      </c>
      <c r="CA130" s="6">
        <f>CA$1*'survival matrix'!CA130</f>
        <v>55900.138295883116</v>
      </c>
      <c r="CB130" s="6">
        <f>CB$1*'survival matrix'!CB130</f>
        <v>65503.779959225947</v>
      </c>
      <c r="CC130" s="6">
        <f>CC$1*'survival matrix'!CC130</f>
        <v>76755.860128548578</v>
      </c>
      <c r="CD130" s="6">
        <f>CD$1*'survival matrix'!CD130</f>
        <v>88947.869217701882</v>
      </c>
      <c r="CE130" s="6">
        <f>CE$1*'survival matrix'!CE130</f>
        <v>102807.77823664264</v>
      </c>
      <c r="CF130" s="6">
        <f>CF$1*'survival matrix'!CF130</f>
        <v>118419.87760747997</v>
      </c>
      <c r="CG130" s="6">
        <f>CG$1*'survival matrix'!CG130</f>
        <v>135919.89181409572</v>
      </c>
      <c r="CH130" s="6">
        <f>CH$1*'survival matrix'!CH130</f>
        <v>154313.78501863679</v>
      </c>
      <c r="CI130" s="6">
        <f>CI$1*'survival matrix'!CI130</f>
        <v>174481.82700328564</v>
      </c>
      <c r="CJ130" s="6">
        <f>CJ$1*'survival matrix'!CJ130</f>
        <v>196775.42896680842</v>
      </c>
      <c r="CK130" s="6">
        <f>CK$1*'survival matrix'!CK130</f>
        <v>220926.72149102969</v>
      </c>
      <c r="CL130" s="6">
        <f>CL$1*'survival matrix'!CL130</f>
        <v>248965.93435302892</v>
      </c>
      <c r="CM130" s="6">
        <f>CM$1*'survival matrix'!CM130</f>
        <v>280140.26507175603</v>
      </c>
      <c r="CN130" s="6">
        <f>CN$1*'survival matrix'!CN130</f>
        <v>312951.87242988375</v>
      </c>
      <c r="CO130" s="6">
        <f>CO$1*'survival matrix'!CO130</f>
        <v>348652.44883541891</v>
      </c>
      <c r="CP130" s="6">
        <f>CP$1*'survival matrix'!CP130</f>
        <v>388153.36017370125</v>
      </c>
      <c r="CQ130" s="6">
        <f>CQ$1*'survival matrix'!CQ130</f>
        <v>432121.21920939308</v>
      </c>
      <c r="CR130" s="6">
        <f>CR$1*'survival matrix'!CR130</f>
        <v>478817.77010269597</v>
      </c>
      <c r="CS130" s="6">
        <f>CS$1*'survival matrix'!CS130</f>
        <v>527452.30680064263</v>
      </c>
      <c r="CT130" s="6">
        <f>CT$1*'survival matrix'!CT130</f>
        <v>580172.6660732585</v>
      </c>
      <c r="CU130" s="6">
        <f>CU$1*'survival matrix'!CU130</f>
        <v>633479.42333379074</v>
      </c>
      <c r="CV130" s="6">
        <f>CV$1*'survival matrix'!CV130</f>
        <v>689191.99834204209</v>
      </c>
      <c r="CW130" s="6">
        <f>CW$1*'survival matrix'!CW130</f>
        <v>748643.44073811301</v>
      </c>
      <c r="CX130" s="6">
        <f>CX$1*'survival matrix'!CX130</f>
        <v>805554.65269966959</v>
      </c>
      <c r="CY130" s="6">
        <f>CY$1*'survival matrix'!CY130</f>
        <v>855968.35357450414</v>
      </c>
      <c r="CZ130" s="6">
        <f>CZ$1*'survival matrix'!CZ130</f>
        <v>918434.0318984692</v>
      </c>
      <c r="DA130" s="6">
        <f>DA$1*'survival matrix'!DA130</f>
        <v>966849.04337996326</v>
      </c>
      <c r="DB130" s="6">
        <f>DB$1*'survival matrix'!DB130</f>
        <v>1019928.8571620063</v>
      </c>
      <c r="DC130" s="6">
        <f>DC$1*'survival matrix'!DC130</f>
        <v>1074480.343652223</v>
      </c>
      <c r="DD130" s="6">
        <f>DD$1*'survival matrix'!DD130</f>
        <v>1124498.4395853628</v>
      </c>
      <c r="DE130" s="6">
        <f>DE$1*'survival matrix'!DE130</f>
        <v>1166233.6545740578</v>
      </c>
      <c r="DF130" s="6">
        <f>DF$1*'survival matrix'!DF130</f>
        <v>1207833.0327409182</v>
      </c>
      <c r="DG130" s="6">
        <f>DG$1*'survival matrix'!DG130</f>
        <v>1247271.7327353519</v>
      </c>
      <c r="DH130" s="6">
        <f>DH$1*'survival matrix'!DH130</f>
        <v>1284327.1598603416</v>
      </c>
      <c r="DI130" s="6">
        <f>DI$1*'survival matrix'!DI130</f>
        <v>1320457.551568001</v>
      </c>
      <c r="DJ130" s="6">
        <f>DJ$1*'survival matrix'!DJ130</f>
        <v>1354032.5340250842</v>
      </c>
      <c r="DK130" s="6">
        <f>DK$1*'survival matrix'!DK130</f>
        <v>1388431.2836177596</v>
      </c>
      <c r="DL130" s="6">
        <f>DL$1*'survival matrix'!DL130</f>
        <v>1419934.5451043446</v>
      </c>
      <c r="DM130" s="6">
        <f>DM$1*'survival matrix'!DM130</f>
        <v>1451078.8797213247</v>
      </c>
      <c r="DN130" s="6">
        <f>DN$1*'survival matrix'!DN130</f>
        <v>1477956.7069269929</v>
      </c>
      <c r="DO130" s="6">
        <f>DO$1*'survival matrix'!DO130</f>
        <v>1500834.0706261657</v>
      </c>
      <c r="DP130" s="6">
        <f>DP$1*'survival matrix'!DP130</f>
        <v>1517953.7447082298</v>
      </c>
      <c r="DQ130" s="6">
        <f>DQ$1*'survival matrix'!DQ130</f>
        <v>1534690.8260916537</v>
      </c>
      <c r="DR130" s="6">
        <f>DR$1*'survival matrix'!DR130</f>
        <v>1548489.0585503874</v>
      </c>
      <c r="DS130" s="6">
        <f>DS$1*'survival matrix'!DS130</f>
        <v>1560022.1372191634</v>
      </c>
      <c r="DT130" s="6">
        <f>DT$1*'survival matrix'!DT130</f>
        <v>1569182.5313989322</v>
      </c>
      <c r="DU130" s="6">
        <f>DU$1*'survival matrix'!DU130</f>
        <v>1576204.6994467054</v>
      </c>
      <c r="DV130" s="6">
        <f>DV$1*'survival matrix'!DV130</f>
        <v>1574555.3561555992</v>
      </c>
      <c r="DW130" s="6">
        <f>DW$1*'survival matrix'!DW130</f>
        <v>1573114.8438323531</v>
      </c>
      <c r="DX130" s="6">
        <f>DX$1*'survival matrix'!DX130</f>
        <v>1569835.0676107972</v>
      </c>
      <c r="DY130" s="6">
        <f>DY$1*'survival matrix'!DY130</f>
        <v>1562162.6930904211</v>
      </c>
      <c r="DZ130" s="6">
        <f>DZ$1*'survival matrix'!DZ130</f>
        <v>1552947.1059167085</v>
      </c>
      <c r="EA130" s="6">
        <f>EA$1*'survival matrix'!EA130</f>
        <v>1542861.8577416723</v>
      </c>
      <c r="EB130" s="6">
        <f>EB$1*'survival matrix'!EB130</f>
        <v>1532157.5167871392</v>
      </c>
      <c r="EC130" s="6">
        <f>EC$1*'survival matrix'!EC130</f>
        <v>1519778.7420150032</v>
      </c>
    </row>
  </sheetData>
  <conditionalFormatting sqref="F3:EC1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 input</vt:lpstr>
      <vt:lpstr>survival matrix</vt:lpstr>
      <vt:lpstr>model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Tomer Fishman</dc:creator>
  <cp:lastModifiedBy>Tomer Fishman</cp:lastModifiedBy>
  <dcterms:created xsi:type="dcterms:W3CDTF">2019-10-16T11:01:07Z</dcterms:created>
  <dcterms:modified xsi:type="dcterms:W3CDTF">2019-10-16T14:34:16Z</dcterms:modified>
</cp:coreProperties>
</file>